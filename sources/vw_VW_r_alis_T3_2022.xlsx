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0By2Fs2Dk-bu8dmlhN2wwWlRYbHc\PARK AVENUE VOLKSWAGEN\5 Réalisé\2022\"/>
    </mc:Choice>
  </mc:AlternateContent>
  <xr:revisionPtr revIDLastSave="0" documentId="13_ncr:1_{26616B67-0763-479A-8A1A-95B0A8FCBC30}" xr6:coauthVersionLast="47" xr6:coauthVersionMax="47" xr10:uidLastSave="{00000000-0000-0000-0000-000000000000}"/>
  <bookViews>
    <workbookView xWindow="42330" yWindow="105" windowWidth="14295" windowHeight="15480" activeTab="1" xr2:uid="{508BF4A0-C9FC-49F5-A5A9-A2907877ABE5}"/>
  </bookViews>
  <sheets>
    <sheet name="Paramètre" sheetId="2" r:id="rId1"/>
    <sheet name="Conso" sheetId="1" r:id="rId2"/>
    <sheet name="START" sheetId="3" r:id="rId3"/>
    <sheet name="VW 2022-07" sheetId="16" r:id="rId4"/>
    <sheet name="VW 2022-08" sheetId="17" r:id="rId5"/>
    <sheet name="VW 2022-09" sheetId="19" r:id="rId6"/>
    <sheet name="END" sheetId="4" r:id="rId7"/>
  </sheets>
  <externalReferences>
    <externalReference r:id="rId8"/>
    <externalReference r:id="rId9"/>
    <externalReference r:id="rId10"/>
    <externalReference r:id="rId11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Conso!$C$1:$S$398,Conso!$V$401:$AO$497</definedName>
    <definedName name="_xlnm.Print_Area" localSheetId="3">'VW 2022-07'!$C$1:$S$352,'VW 2022-07'!$V$401:$AO$497</definedName>
    <definedName name="_xlnm.Print_Area" localSheetId="4">'VW 2022-08'!$C$1:$S$352,'VW 2022-08'!$V$401:$AO$497</definedName>
    <definedName name="_xlnm.Print_Area" localSheetId="5">'VW 2022-09'!$C$1:$S$352,'VW 2022-09'!$V$401:$AO$497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31" i="19" l="1"/>
  <c r="K531" i="19"/>
  <c r="O535" i="19"/>
  <c r="J535" i="19"/>
  <c r="O511" i="19"/>
  <c r="P511" i="19" s="1"/>
  <c r="J511" i="19"/>
  <c r="K511" i="19" s="1"/>
  <c r="O520" i="19"/>
  <c r="J517" i="19"/>
  <c r="O504" i="19"/>
  <c r="P504" i="19" s="1"/>
  <c r="J516" i="19"/>
  <c r="J518" i="19" s="1"/>
  <c r="K518" i="19" s="1"/>
  <c r="AO493" i="19"/>
  <c r="AI493" i="19"/>
  <c r="AI491" i="19"/>
  <c r="AO481" i="19"/>
  <c r="AN481" i="19"/>
  <c r="AN468" i="19"/>
  <c r="AO466" i="19"/>
  <c r="AN466" i="19"/>
  <c r="AH466" i="19"/>
  <c r="AN460" i="19"/>
  <c r="AH457" i="19"/>
  <c r="AO455" i="19"/>
  <c r="AH454" i="19"/>
  <c r="AI454" i="19" s="1"/>
  <c r="AN454" i="19"/>
  <c r="AO454" i="19" s="1"/>
  <c r="AH453" i="19"/>
  <c r="S393" i="19"/>
  <c r="N378" i="19"/>
  <c r="N375" i="19"/>
  <c r="N374" i="19"/>
  <c r="N373" i="19"/>
  <c r="N371" i="19"/>
  <c r="S370" i="19"/>
  <c r="S367" i="19"/>
  <c r="S366" i="19"/>
  <c r="Q376" i="19"/>
  <c r="S364" i="19"/>
  <c r="N362" i="19"/>
  <c r="P361" i="19"/>
  <c r="Q361" i="19"/>
  <c r="P359" i="19"/>
  <c r="O361" i="19"/>
  <c r="R361" i="19" s="1"/>
  <c r="J361" i="19"/>
  <c r="K361" i="19" s="1"/>
  <c r="I361" i="19"/>
  <c r="G361" i="19"/>
  <c r="M361" i="19" s="1"/>
  <c r="F361" i="19"/>
  <c r="D361" i="19"/>
  <c r="E361" i="19" s="1"/>
  <c r="N351" i="19"/>
  <c r="N347" i="19"/>
  <c r="S347" i="19"/>
  <c r="S346" i="19"/>
  <c r="N345" i="19"/>
  <c r="Q344" i="19"/>
  <c r="N344" i="19"/>
  <c r="S343" i="19"/>
  <c r="S342" i="19"/>
  <c r="S341" i="19"/>
  <c r="N340" i="19"/>
  <c r="N339" i="19"/>
  <c r="S338" i="19"/>
  <c r="S337" i="19"/>
  <c r="N336" i="19"/>
  <c r="N335" i="19"/>
  <c r="S333" i="19"/>
  <c r="N328" i="19"/>
  <c r="S326" i="19"/>
  <c r="S322" i="19"/>
  <c r="S320" i="19"/>
  <c r="F329" i="19"/>
  <c r="P311" i="19"/>
  <c r="S311" i="19"/>
  <c r="R311" i="19" s="1"/>
  <c r="K311" i="19"/>
  <c r="H311" i="19"/>
  <c r="M311" i="19"/>
  <c r="E311" i="19"/>
  <c r="K307" i="19"/>
  <c r="H307" i="19"/>
  <c r="E307" i="19"/>
  <c r="P306" i="19"/>
  <c r="H306" i="19"/>
  <c r="E306" i="19"/>
  <c r="R302" i="19"/>
  <c r="S302" i="19"/>
  <c r="K302" i="19"/>
  <c r="H302" i="19"/>
  <c r="E302" i="19"/>
  <c r="S301" i="19"/>
  <c r="P301" i="19"/>
  <c r="N301" i="19"/>
  <c r="K301" i="19"/>
  <c r="H301" i="19"/>
  <c r="E301" i="19"/>
  <c r="P300" i="19"/>
  <c r="K300" i="19"/>
  <c r="H300" i="19"/>
  <c r="E300" i="19"/>
  <c r="R299" i="19"/>
  <c r="H299" i="19"/>
  <c r="K298" i="19"/>
  <c r="N298" i="19"/>
  <c r="H298" i="19"/>
  <c r="H297" i="19"/>
  <c r="E297" i="19"/>
  <c r="P296" i="19"/>
  <c r="H296" i="19"/>
  <c r="R295" i="19"/>
  <c r="K295" i="19"/>
  <c r="H295" i="19"/>
  <c r="E295" i="19"/>
  <c r="N294" i="19"/>
  <c r="K294" i="19"/>
  <c r="H294" i="19"/>
  <c r="N287" i="19"/>
  <c r="S283" i="19"/>
  <c r="S281" i="19"/>
  <c r="Q280" i="19"/>
  <c r="S279" i="19"/>
  <c r="S277" i="19"/>
  <c r="S275" i="19"/>
  <c r="S273" i="19"/>
  <c r="N272" i="19"/>
  <c r="S271" i="19"/>
  <c r="S270" i="19"/>
  <c r="S268" i="19"/>
  <c r="S267" i="19"/>
  <c r="S266" i="19"/>
  <c r="I284" i="19"/>
  <c r="S264" i="19"/>
  <c r="N263" i="19"/>
  <c r="S262" i="19"/>
  <c r="S260" i="19"/>
  <c r="N259" i="19"/>
  <c r="S258" i="19"/>
  <c r="S257" i="19"/>
  <c r="N255" i="19"/>
  <c r="L265" i="19"/>
  <c r="I265" i="19"/>
  <c r="I247" i="19"/>
  <c r="F247" i="19"/>
  <c r="R246" i="19"/>
  <c r="S247" i="19"/>
  <c r="M246" i="19"/>
  <c r="F244" i="19"/>
  <c r="R243" i="19"/>
  <c r="P265" i="19"/>
  <c r="S243" i="19"/>
  <c r="K249" i="19"/>
  <c r="I249" i="19"/>
  <c r="M243" i="19"/>
  <c r="E249" i="19"/>
  <c r="L241" i="19"/>
  <c r="N231" i="19"/>
  <c r="S227" i="19"/>
  <c r="N227" i="19"/>
  <c r="S226" i="19"/>
  <c r="S225" i="19"/>
  <c r="N225" i="19"/>
  <c r="Q224" i="19"/>
  <c r="S224" i="19"/>
  <c r="S223" i="19"/>
  <c r="N223" i="19"/>
  <c r="S222" i="19"/>
  <c r="N222" i="19"/>
  <c r="S221" i="19"/>
  <c r="S220" i="19"/>
  <c r="S219" i="19"/>
  <c r="N219" i="19"/>
  <c r="S218" i="19"/>
  <c r="S217" i="19"/>
  <c r="S216" i="19"/>
  <c r="N216" i="19"/>
  <c r="S215" i="19"/>
  <c r="N215" i="19"/>
  <c r="S214" i="19"/>
  <c r="N214" i="19"/>
  <c r="S213" i="19"/>
  <c r="N213" i="19"/>
  <c r="S212" i="19"/>
  <c r="S211" i="19"/>
  <c r="N211" i="19"/>
  <c r="S210" i="19"/>
  <c r="N210" i="19"/>
  <c r="F228" i="19"/>
  <c r="N208" i="19"/>
  <c r="S208" i="19"/>
  <c r="S207" i="19"/>
  <c r="N207" i="19"/>
  <c r="S206" i="19"/>
  <c r="S205" i="19"/>
  <c r="S204" i="19"/>
  <c r="N204" i="19"/>
  <c r="S203" i="19"/>
  <c r="N203" i="19"/>
  <c r="S202" i="19"/>
  <c r="N202" i="19"/>
  <c r="S201" i="19"/>
  <c r="N201" i="19"/>
  <c r="N200" i="19"/>
  <c r="Y199" i="19"/>
  <c r="N199" i="19"/>
  <c r="S197" i="19"/>
  <c r="Q191" i="19"/>
  <c r="L191" i="19"/>
  <c r="I191" i="19"/>
  <c r="F191" i="19"/>
  <c r="R187" i="19"/>
  <c r="S187" i="19"/>
  <c r="M187" i="19"/>
  <c r="L188" i="19"/>
  <c r="N187" i="19"/>
  <c r="F188" i="19"/>
  <c r="N183" i="19"/>
  <c r="P181" i="19"/>
  <c r="M181" i="19"/>
  <c r="K181" i="19"/>
  <c r="S180" i="19"/>
  <c r="R180" i="19"/>
  <c r="L181" i="19"/>
  <c r="M180" i="19"/>
  <c r="R178" i="19"/>
  <c r="P179" i="19"/>
  <c r="R177" i="19"/>
  <c r="S177" i="19"/>
  <c r="H179" i="19"/>
  <c r="M177" i="19"/>
  <c r="F178" i="19"/>
  <c r="K176" i="19"/>
  <c r="I175" i="19"/>
  <c r="H176" i="19"/>
  <c r="F175" i="19"/>
  <c r="E176" i="19"/>
  <c r="O184" i="19"/>
  <c r="L172" i="19"/>
  <c r="M171" i="19"/>
  <c r="I172" i="19"/>
  <c r="E184" i="19"/>
  <c r="E193" i="19" s="1"/>
  <c r="N161" i="19"/>
  <c r="N158" i="19"/>
  <c r="N155" i="19"/>
  <c r="S151" i="19"/>
  <c r="S150" i="19"/>
  <c r="N150" i="19"/>
  <c r="S149" i="19"/>
  <c r="Q148" i="19"/>
  <c r="S148" i="19"/>
  <c r="S147" i="19"/>
  <c r="N147" i="19"/>
  <c r="S146" i="19"/>
  <c r="N146" i="19"/>
  <c r="S145" i="19"/>
  <c r="S144" i="19"/>
  <c r="N144" i="19"/>
  <c r="S143" i="19"/>
  <c r="S141" i="19"/>
  <c r="N141" i="19"/>
  <c r="S140" i="19"/>
  <c r="S139" i="19"/>
  <c r="N139" i="19"/>
  <c r="S138" i="19"/>
  <c r="N137" i="19"/>
  <c r="S137" i="19"/>
  <c r="S136" i="19"/>
  <c r="N136" i="19"/>
  <c r="N135" i="19"/>
  <c r="F152" i="19"/>
  <c r="S133" i="19"/>
  <c r="N133" i="19"/>
  <c r="N132" i="19"/>
  <c r="N131" i="19"/>
  <c r="S131" i="19"/>
  <c r="S130" i="19"/>
  <c r="N130" i="19"/>
  <c r="S129" i="19"/>
  <c r="S128" i="19"/>
  <c r="S127" i="19"/>
  <c r="S126" i="19"/>
  <c r="S125" i="19"/>
  <c r="N123" i="19"/>
  <c r="F134" i="19"/>
  <c r="S118" i="19"/>
  <c r="S117" i="19"/>
  <c r="S114" i="19"/>
  <c r="N114" i="19"/>
  <c r="N112" i="19"/>
  <c r="V108" i="19"/>
  <c r="N103" i="19"/>
  <c r="H103" i="19"/>
  <c r="E103" i="19"/>
  <c r="H102" i="19"/>
  <c r="E102" i="19"/>
  <c r="N101" i="19"/>
  <c r="H101" i="19"/>
  <c r="E101" i="19"/>
  <c r="P99" i="19"/>
  <c r="E99" i="19"/>
  <c r="H97" i="19"/>
  <c r="E97" i="19"/>
  <c r="R95" i="19"/>
  <c r="Q96" i="19"/>
  <c r="J96" i="19"/>
  <c r="I96" i="19"/>
  <c r="F96" i="19"/>
  <c r="N82" i="19"/>
  <c r="N80" i="19"/>
  <c r="S79" i="19"/>
  <c r="S78" i="19"/>
  <c r="N78" i="19"/>
  <c r="N77" i="19"/>
  <c r="N76" i="19"/>
  <c r="N75" i="19"/>
  <c r="S71" i="19"/>
  <c r="S70" i="19"/>
  <c r="S69" i="19"/>
  <c r="N69" i="19"/>
  <c r="Q68" i="19"/>
  <c r="S68" i="19"/>
  <c r="N67" i="19"/>
  <c r="S66" i="19"/>
  <c r="S65" i="19"/>
  <c r="N65" i="19"/>
  <c r="S64" i="19"/>
  <c r="N63" i="19"/>
  <c r="S62" i="19"/>
  <c r="S60" i="19"/>
  <c r="N59" i="19"/>
  <c r="S58" i="19"/>
  <c r="S56" i="19"/>
  <c r="N55" i="19"/>
  <c r="N53" i="19"/>
  <c r="S51" i="19"/>
  <c r="N49" i="19"/>
  <c r="S47" i="19"/>
  <c r="N45" i="19"/>
  <c r="S43" i="19"/>
  <c r="Q54" i="19"/>
  <c r="N40" i="19"/>
  <c r="K40" i="19"/>
  <c r="N39" i="19"/>
  <c r="K39" i="19"/>
  <c r="P38" i="19"/>
  <c r="N38" i="19"/>
  <c r="K38" i="19"/>
  <c r="S37" i="19"/>
  <c r="N36" i="19"/>
  <c r="S35" i="19"/>
  <c r="N35" i="19"/>
  <c r="N34" i="19"/>
  <c r="S33" i="19"/>
  <c r="S32" i="19"/>
  <c r="N31" i="19"/>
  <c r="H23" i="19"/>
  <c r="E23" i="19"/>
  <c r="N22" i="19"/>
  <c r="H22" i="19"/>
  <c r="E22" i="19"/>
  <c r="H21" i="19"/>
  <c r="E21" i="19"/>
  <c r="R19" i="19"/>
  <c r="H19" i="19"/>
  <c r="E19" i="19"/>
  <c r="P17" i="19"/>
  <c r="H17" i="19"/>
  <c r="E17" i="19"/>
  <c r="P15" i="19"/>
  <c r="M15" i="19"/>
  <c r="H15" i="19"/>
  <c r="P12" i="19"/>
  <c r="M12" i="19"/>
  <c r="H12" i="19"/>
  <c r="E12" i="19"/>
  <c r="P11" i="19"/>
  <c r="N11" i="19"/>
  <c r="M11" i="19"/>
  <c r="H11" i="19"/>
  <c r="E11" i="19"/>
  <c r="P10" i="19"/>
  <c r="S10" i="19"/>
  <c r="K10" i="19"/>
  <c r="H10" i="19"/>
  <c r="E10" i="19"/>
  <c r="P9" i="19"/>
  <c r="H9" i="19"/>
  <c r="F13" i="19"/>
  <c r="E9" i="19"/>
  <c r="W8" i="19"/>
  <c r="P8" i="19"/>
  <c r="R8" i="19"/>
  <c r="H8" i="19"/>
  <c r="E8" i="19"/>
  <c r="S7" i="19"/>
  <c r="N7" i="19"/>
  <c r="R7" i="19"/>
  <c r="H7" i="19"/>
  <c r="E7" i="19"/>
  <c r="O13" i="19"/>
  <c r="N6" i="19"/>
  <c r="E6" i="19"/>
  <c r="S89" i="19"/>
  <c r="S6" i="19" l="1"/>
  <c r="P7" i="19"/>
  <c r="K8" i="19"/>
  <c r="F24" i="19"/>
  <c r="L41" i="19"/>
  <c r="I54" i="19"/>
  <c r="H94" i="19"/>
  <c r="H95" i="19"/>
  <c r="F121" i="19"/>
  <c r="Q134" i="19"/>
  <c r="S124" i="19"/>
  <c r="N145" i="19"/>
  <c r="Q175" i="19"/>
  <c r="Q209" i="19"/>
  <c r="Q228" i="19"/>
  <c r="Q230" i="19" s="1"/>
  <c r="P230" i="19" s="1"/>
  <c r="I228" i="19"/>
  <c r="N218" i="19"/>
  <c r="H284" i="19"/>
  <c r="G303" i="19"/>
  <c r="K297" i="19"/>
  <c r="N382" i="19"/>
  <c r="N386" i="19"/>
  <c r="N390" i="19"/>
  <c r="AH419" i="19"/>
  <c r="AI419" i="19" s="1"/>
  <c r="AH458" i="19"/>
  <c r="AI458" i="19" s="1"/>
  <c r="J520" i="19"/>
  <c r="P526" i="19"/>
  <c r="K7" i="19"/>
  <c r="N8" i="19"/>
  <c r="Q184" i="19"/>
  <c r="S382" i="19"/>
  <c r="S390" i="19"/>
  <c r="AN453" i="19"/>
  <c r="AN458" i="19"/>
  <c r="AO458" i="19" s="1"/>
  <c r="I13" i="19"/>
  <c r="N15" i="19"/>
  <c r="S40" i="19"/>
  <c r="N68" i="19"/>
  <c r="N71" i="19"/>
  <c r="F104" i="19"/>
  <c r="D112" i="19" s="1"/>
  <c r="N118" i="19"/>
  <c r="N156" i="19"/>
  <c r="V174" i="19"/>
  <c r="N221" i="19"/>
  <c r="N224" i="19"/>
  <c r="F241" i="19"/>
  <c r="Q241" i="19"/>
  <c r="Q265" i="19"/>
  <c r="Q286" i="19" s="1"/>
  <c r="P286" i="19" s="1"/>
  <c r="Q284" i="19"/>
  <c r="P284" i="19" s="1"/>
  <c r="E296" i="19"/>
  <c r="R297" i="19"/>
  <c r="K306" i="19"/>
  <c r="N307" i="19"/>
  <c r="S339" i="19"/>
  <c r="K359" i="19"/>
  <c r="N367" i="19"/>
  <c r="S369" i="19"/>
  <c r="AH455" i="19"/>
  <c r="J532" i="19"/>
  <c r="K532" i="19" s="1"/>
  <c r="R6" i="19"/>
  <c r="S9" i="19"/>
  <c r="D13" i="19"/>
  <c r="D27" i="19" s="1"/>
  <c r="M17" i="19"/>
  <c r="N33" i="19"/>
  <c r="S36" i="19"/>
  <c r="F54" i="19"/>
  <c r="F72" i="19"/>
  <c r="S77" i="19"/>
  <c r="S81" i="19"/>
  <c r="N94" i="19"/>
  <c r="N95" i="19"/>
  <c r="Q121" i="19"/>
  <c r="N142" i="19"/>
  <c r="F184" i="19"/>
  <c r="P184" i="19"/>
  <c r="P193" i="19" s="1"/>
  <c r="M298" i="19"/>
  <c r="S344" i="19"/>
  <c r="S374" i="19"/>
  <c r="AI457" i="19"/>
  <c r="O532" i="19"/>
  <c r="P532" i="19" s="1"/>
  <c r="G13" i="19"/>
  <c r="M9" i="19"/>
  <c r="S8" i="19"/>
  <c r="K6" i="19"/>
  <c r="N9" i="19"/>
  <c r="N13" i="19" s="1"/>
  <c r="E15" i="19"/>
  <c r="N17" i="19"/>
  <c r="I24" i="19"/>
  <c r="G32" i="19" s="1"/>
  <c r="S23" i="19"/>
  <c r="S38" i="19"/>
  <c r="S39" i="19"/>
  <c r="I72" i="19"/>
  <c r="N70" i="19"/>
  <c r="S76" i="19"/>
  <c r="N81" i="19"/>
  <c r="P94" i="19"/>
  <c r="P95" i="19"/>
  <c r="H99" i="19"/>
  <c r="S113" i="19"/>
  <c r="N117" i="19"/>
  <c r="N125" i="19"/>
  <c r="N127" i="19"/>
  <c r="N149" i="19"/>
  <c r="S156" i="19"/>
  <c r="G184" i="19"/>
  <c r="Q172" i="19"/>
  <c r="M174" i="19"/>
  <c r="S198" i="19"/>
  <c r="N206" i="19"/>
  <c r="N217" i="19"/>
  <c r="N220" i="19"/>
  <c r="N226" i="19"/>
  <c r="I241" i="19"/>
  <c r="S246" i="19"/>
  <c r="L303" i="19"/>
  <c r="E298" i="19"/>
  <c r="K299" i="19"/>
  <c r="I329" i="19"/>
  <c r="I350" i="19" s="1"/>
  <c r="H350" i="19" s="1"/>
  <c r="F348" i="19"/>
  <c r="S377" i="19"/>
  <c r="AI455" i="19"/>
  <c r="AO460" i="19"/>
  <c r="S19" i="19"/>
  <c r="S21" i="19"/>
  <c r="L54" i="19"/>
  <c r="S44" i="19"/>
  <c r="S46" i="19"/>
  <c r="S48" i="19"/>
  <c r="S50" i="19"/>
  <c r="S52" i="19"/>
  <c r="S57" i="19"/>
  <c r="S61" i="19"/>
  <c r="F83" i="19"/>
  <c r="R99" i="19"/>
  <c r="I104" i="19"/>
  <c r="I107" i="19" s="1"/>
  <c r="S123" i="19"/>
  <c r="N129" i="19"/>
  <c r="S142" i="19"/>
  <c r="I162" i="19"/>
  <c r="F162" i="19"/>
  <c r="H184" i="19"/>
  <c r="H193" i="19" s="1"/>
  <c r="P173" i="19"/>
  <c r="P176" i="19"/>
  <c r="F209" i="19"/>
  <c r="H249" i="19"/>
  <c r="S254" i="19"/>
  <c r="S256" i="19"/>
  <c r="N269" i="19"/>
  <c r="M294" i="19"/>
  <c r="R298" i="19"/>
  <c r="M307" i="19"/>
  <c r="N325" i="19"/>
  <c r="N343" i="19"/>
  <c r="Q394" i="19"/>
  <c r="P394" i="19" s="1"/>
  <c r="Q24" i="19"/>
  <c r="F41" i="19"/>
  <c r="Q72" i="19"/>
  <c r="I83" i="19"/>
  <c r="E94" i="19"/>
  <c r="E95" i="19"/>
  <c r="S99" i="19"/>
  <c r="S101" i="19"/>
  <c r="L104" i="19"/>
  <c r="I134" i="19"/>
  <c r="L152" i="19"/>
  <c r="L228" i="19"/>
  <c r="R240" i="19"/>
  <c r="F249" i="19"/>
  <c r="P249" i="19"/>
  <c r="D303" i="19"/>
  <c r="Q329" i="19"/>
  <c r="S323" i="19"/>
  <c r="S330" i="19"/>
  <c r="S348" i="19" s="1"/>
  <c r="S345" i="19"/>
  <c r="N368" i="19"/>
  <c r="N370" i="19"/>
  <c r="AN491" i="19"/>
  <c r="AN493" i="19"/>
  <c r="J504" i="19"/>
  <c r="K504" i="19" s="1"/>
  <c r="K510" i="19"/>
  <c r="N12" i="19"/>
  <c r="I41" i="19"/>
  <c r="H41" i="19" s="1"/>
  <c r="S34" i="19"/>
  <c r="N37" i="19"/>
  <c r="Q104" i="19"/>
  <c r="N126" i="19"/>
  <c r="N138" i="19"/>
  <c r="N140" i="19"/>
  <c r="N143" i="19"/>
  <c r="N148" i="19"/>
  <c r="N151" i="19"/>
  <c r="E179" i="19"/>
  <c r="F181" i="19"/>
  <c r="S183" i="19"/>
  <c r="L209" i="19"/>
  <c r="I209" i="19"/>
  <c r="I230" i="19" s="1"/>
  <c r="S200" i="19"/>
  <c r="N205" i="19"/>
  <c r="Q247" i="19"/>
  <c r="F265" i="19"/>
  <c r="F284" i="19"/>
  <c r="E284" i="19" s="1"/>
  <c r="S274" i="19"/>
  <c r="N276" i="19"/>
  <c r="S278" i="19"/>
  <c r="N280" i="19"/>
  <c r="S282" i="19"/>
  <c r="F303" i="19"/>
  <c r="F308" i="19" s="1"/>
  <c r="F313" i="19" s="1"/>
  <c r="O303" i="19"/>
  <c r="K296" i="19"/>
  <c r="E299" i="19"/>
  <c r="N302" i="19"/>
  <c r="P307" i="19"/>
  <c r="N311" i="19"/>
  <c r="Q348" i="19"/>
  <c r="S334" i="19"/>
  <c r="H359" i="19"/>
  <c r="P510" i="19"/>
  <c r="J527" i="19"/>
  <c r="K527" i="19" s="1"/>
  <c r="J536" i="19"/>
  <c r="J537" i="19" s="1"/>
  <c r="K537" i="19" s="1"/>
  <c r="I27" i="19"/>
  <c r="H72" i="19" s="1"/>
  <c r="G31" i="19"/>
  <c r="K120" i="19"/>
  <c r="K116" i="19"/>
  <c r="K112" i="19"/>
  <c r="P117" i="19"/>
  <c r="P113" i="19"/>
  <c r="J107" i="19"/>
  <c r="K101" i="19"/>
  <c r="R101" i="19" s="1"/>
  <c r="P120" i="19"/>
  <c r="P116" i="19"/>
  <c r="P112" i="19"/>
  <c r="K117" i="19"/>
  <c r="K119" i="19"/>
  <c r="K118" i="19"/>
  <c r="K102" i="19"/>
  <c r="R102" i="19" s="1"/>
  <c r="P115" i="19"/>
  <c r="P114" i="19"/>
  <c r="J104" i="19"/>
  <c r="J158" i="19"/>
  <c r="K115" i="19"/>
  <c r="P111" i="19"/>
  <c r="P119" i="19"/>
  <c r="P118" i="19"/>
  <c r="K114" i="19"/>
  <c r="K113" i="19"/>
  <c r="K111" i="19"/>
  <c r="K103" i="19"/>
  <c r="R103" i="19" s="1"/>
  <c r="O24" i="19"/>
  <c r="P37" i="19" s="1"/>
  <c r="N41" i="19"/>
  <c r="F154" i="19"/>
  <c r="H54" i="19"/>
  <c r="H13" i="19"/>
  <c r="G27" i="19"/>
  <c r="G111" i="19"/>
  <c r="D31" i="19"/>
  <c r="Q107" i="19"/>
  <c r="P134" i="19" s="1"/>
  <c r="G112" i="19"/>
  <c r="N104" i="19"/>
  <c r="N105" i="19" s="1"/>
  <c r="S104" i="19"/>
  <c r="S105" i="19" s="1"/>
  <c r="J112" i="19"/>
  <c r="P22" i="19"/>
  <c r="O27" i="19"/>
  <c r="P23" i="19"/>
  <c r="P21" i="19"/>
  <c r="F27" i="19"/>
  <c r="G24" i="19"/>
  <c r="H31" i="19" s="1"/>
  <c r="F74" i="19"/>
  <c r="I74" i="19"/>
  <c r="D111" i="19"/>
  <c r="Q41" i="19"/>
  <c r="S41" i="19" s="1"/>
  <c r="K9" i="19"/>
  <c r="M10" i="19"/>
  <c r="Q13" i="19"/>
  <c r="N21" i="19"/>
  <c r="S31" i="19"/>
  <c r="N44" i="19"/>
  <c r="S45" i="19"/>
  <c r="N48" i="19"/>
  <c r="S49" i="19"/>
  <c r="N52" i="19"/>
  <c r="S53" i="19"/>
  <c r="S55" i="19"/>
  <c r="N58" i="19"/>
  <c r="S59" i="19"/>
  <c r="N62" i="19"/>
  <c r="S63" i="19"/>
  <c r="N66" i="19"/>
  <c r="S67" i="19"/>
  <c r="N79" i="19"/>
  <c r="N83" i="19" s="1"/>
  <c r="S80" i="19"/>
  <c r="K94" i="19"/>
  <c r="S94" i="19"/>
  <c r="K95" i="19"/>
  <c r="S95" i="19"/>
  <c r="N102" i="19"/>
  <c r="N119" i="19"/>
  <c r="S119" i="19"/>
  <c r="L134" i="19"/>
  <c r="N128" i="19"/>
  <c r="S132" i="19"/>
  <c r="S228" i="19"/>
  <c r="H265" i="19"/>
  <c r="I286" i="19"/>
  <c r="H286" i="19" s="1"/>
  <c r="G308" i="19"/>
  <c r="R9" i="19"/>
  <c r="M6" i="19"/>
  <c r="M7" i="19"/>
  <c r="M8" i="19"/>
  <c r="R12" i="19"/>
  <c r="J13" i="19"/>
  <c r="S22" i="19"/>
  <c r="L83" i="19"/>
  <c r="D96" i="19"/>
  <c r="E113" i="19" s="1"/>
  <c r="L96" i="19"/>
  <c r="K96" i="19" s="1"/>
  <c r="Q185" i="19"/>
  <c r="Q193" i="19"/>
  <c r="P228" i="19" s="1"/>
  <c r="I250" i="19"/>
  <c r="N265" i="19"/>
  <c r="R10" i="19"/>
  <c r="L24" i="19"/>
  <c r="N10" i="19"/>
  <c r="D32" i="19"/>
  <c r="V484" i="19"/>
  <c r="V401" i="19"/>
  <c r="AC411" i="19"/>
  <c r="Z421" i="19"/>
  <c r="C235" i="19"/>
  <c r="C290" i="19"/>
  <c r="C355" i="19" s="1"/>
  <c r="C167" i="19"/>
  <c r="AC471" i="19" s="1"/>
  <c r="K12" i="19"/>
  <c r="S12" i="19"/>
  <c r="N23" i="19"/>
  <c r="N32" i="19"/>
  <c r="P39" i="19"/>
  <c r="N43" i="19"/>
  <c r="N47" i="19"/>
  <c r="N51" i="19"/>
  <c r="N57" i="19"/>
  <c r="N61" i="19"/>
  <c r="M94" i="19"/>
  <c r="M95" i="19"/>
  <c r="S103" i="19"/>
  <c r="S111" i="19"/>
  <c r="N111" i="19"/>
  <c r="L121" i="19"/>
  <c r="N124" i="19"/>
  <c r="F172" i="19"/>
  <c r="N180" i="19"/>
  <c r="I181" i="19"/>
  <c r="R11" i="19"/>
  <c r="R15" i="19"/>
  <c r="C89" i="19"/>
  <c r="AF415" i="19" s="1"/>
  <c r="S102" i="19"/>
  <c r="S112" i="19"/>
  <c r="N113" i="19"/>
  <c r="S116" i="19"/>
  <c r="N116" i="19"/>
  <c r="I121" i="19"/>
  <c r="N160" i="19"/>
  <c r="S160" i="19"/>
  <c r="I184" i="19"/>
  <c r="N177" i="19"/>
  <c r="I178" i="19"/>
  <c r="F350" i="19"/>
  <c r="E350" i="19" s="1"/>
  <c r="E329" i="19"/>
  <c r="L13" i="19"/>
  <c r="L27" i="19" s="1"/>
  <c r="R17" i="19"/>
  <c r="H6" i="19"/>
  <c r="P6" i="19"/>
  <c r="K11" i="19"/>
  <c r="S11" i="19"/>
  <c r="K15" i="19"/>
  <c r="S15" i="19"/>
  <c r="K17" i="19"/>
  <c r="S17" i="19"/>
  <c r="N19" i="19"/>
  <c r="P40" i="19"/>
  <c r="N42" i="19"/>
  <c r="N46" i="19"/>
  <c r="N50" i="19"/>
  <c r="N56" i="19"/>
  <c r="N60" i="19"/>
  <c r="N64" i="19"/>
  <c r="G96" i="19"/>
  <c r="H113" i="19" s="1"/>
  <c r="O96" i="19"/>
  <c r="K99" i="19"/>
  <c r="V99" i="19"/>
  <c r="N115" i="19"/>
  <c r="S115" i="19"/>
  <c r="E118" i="19"/>
  <c r="K184" i="19"/>
  <c r="L308" i="19"/>
  <c r="E348" i="19"/>
  <c r="L72" i="19"/>
  <c r="E111" i="19"/>
  <c r="Q152" i="19"/>
  <c r="P152" i="19" s="1"/>
  <c r="D184" i="19"/>
  <c r="E185" i="19" s="1"/>
  <c r="E173" i="19"/>
  <c r="L184" i="19"/>
  <c r="S171" i="19"/>
  <c r="S174" i="19"/>
  <c r="V175" i="19"/>
  <c r="W175" i="19" s="1"/>
  <c r="L175" i="19"/>
  <c r="L178" i="19"/>
  <c r="N178" i="19" s="1"/>
  <c r="K179" i="19"/>
  <c r="F230" i="19"/>
  <c r="AO484" i="19"/>
  <c r="AO401" i="19"/>
  <c r="S290" i="19"/>
  <c r="S355" i="19"/>
  <c r="S167" i="19"/>
  <c r="S235" i="19"/>
  <c r="J24" i="19"/>
  <c r="S42" i="19"/>
  <c r="M99" i="19"/>
  <c r="E114" i="19"/>
  <c r="S135" i="19"/>
  <c r="N171" i="19"/>
  <c r="N174" i="19"/>
  <c r="N228" i="19"/>
  <c r="F250" i="19"/>
  <c r="E303" i="19"/>
  <c r="D308" i="19"/>
  <c r="Q350" i="19"/>
  <c r="R94" i="19"/>
  <c r="R96" i="19" s="1"/>
  <c r="N99" i="19"/>
  <c r="H111" i="19"/>
  <c r="H117" i="19"/>
  <c r="S120" i="19"/>
  <c r="N120" i="19"/>
  <c r="S155" i="19"/>
  <c r="S157" i="19"/>
  <c r="N157" i="19"/>
  <c r="N162" i="19" s="1"/>
  <c r="S159" i="19"/>
  <c r="N159" i="19"/>
  <c r="S161" i="19"/>
  <c r="F193" i="19"/>
  <c r="F185" i="19"/>
  <c r="P185" i="19"/>
  <c r="N209" i="19"/>
  <c r="L230" i="19"/>
  <c r="S209" i="19"/>
  <c r="E265" i="19"/>
  <c r="F286" i="19"/>
  <c r="E286" i="19" s="1"/>
  <c r="F352" i="19"/>
  <c r="O308" i="19"/>
  <c r="K158" i="19"/>
  <c r="Q181" i="19"/>
  <c r="I188" i="19"/>
  <c r="N198" i="19"/>
  <c r="S199" i="19"/>
  <c r="S240" i="19"/>
  <c r="S241" i="19" s="1"/>
  <c r="I244" i="19"/>
  <c r="N254" i="19"/>
  <c r="S255" i="19"/>
  <c r="N258" i="19"/>
  <c r="S259" i="19"/>
  <c r="N262" i="19"/>
  <c r="S263" i="19"/>
  <c r="N268" i="19"/>
  <c r="S269" i="19"/>
  <c r="S272" i="19"/>
  <c r="N275" i="19"/>
  <c r="S276" i="19"/>
  <c r="N279" i="19"/>
  <c r="S280" i="19"/>
  <c r="N283" i="19"/>
  <c r="L284" i="19"/>
  <c r="S284" i="19" s="1"/>
  <c r="E294" i="19"/>
  <c r="P295" i="19"/>
  <c r="R296" i="19"/>
  <c r="S297" i="19"/>
  <c r="P299" i="19"/>
  <c r="R300" i="19"/>
  <c r="P302" i="19"/>
  <c r="J303" i="19"/>
  <c r="S306" i="19"/>
  <c r="N317" i="19"/>
  <c r="N320" i="19"/>
  <c r="N372" i="19"/>
  <c r="S372" i="19"/>
  <c r="N122" i="19"/>
  <c r="I152" i="19"/>
  <c r="L162" i="19"/>
  <c r="N212" i="19"/>
  <c r="N243" i="19"/>
  <c r="N244" i="19" s="1"/>
  <c r="L244" i="19"/>
  <c r="N246" i="19"/>
  <c r="N247" i="19" s="1"/>
  <c r="L247" i="19"/>
  <c r="M297" i="19"/>
  <c r="M306" i="19"/>
  <c r="N331" i="19"/>
  <c r="N334" i="19"/>
  <c r="N359" i="19"/>
  <c r="S359" i="19"/>
  <c r="P376" i="19"/>
  <c r="Q396" i="19"/>
  <c r="P396" i="19" s="1"/>
  <c r="H173" i="19"/>
  <c r="Q188" i="19"/>
  <c r="N197" i="19"/>
  <c r="M240" i="19"/>
  <c r="L249" i="19"/>
  <c r="L250" i="19" s="1"/>
  <c r="N253" i="19"/>
  <c r="N257" i="19"/>
  <c r="N261" i="19"/>
  <c r="N267" i="19"/>
  <c r="N271" i="19"/>
  <c r="N274" i="19"/>
  <c r="N278" i="19"/>
  <c r="N282" i="19"/>
  <c r="P294" i="19"/>
  <c r="S296" i="19"/>
  <c r="N297" i="19"/>
  <c r="P298" i="19"/>
  <c r="S300" i="19"/>
  <c r="N306" i="19"/>
  <c r="S317" i="19"/>
  <c r="N319" i="19"/>
  <c r="N322" i="19"/>
  <c r="S325" i="19"/>
  <c r="N327" i="19"/>
  <c r="S336" i="19"/>
  <c r="N338" i="19"/>
  <c r="N341" i="19"/>
  <c r="N346" i="19"/>
  <c r="F376" i="19"/>
  <c r="S122" i="19"/>
  <c r="R171" i="19"/>
  <c r="K173" i="19"/>
  <c r="R174" i="19"/>
  <c r="N240" i="19"/>
  <c r="Q244" i="19"/>
  <c r="K265" i="19"/>
  <c r="Q303" i="19"/>
  <c r="S303" i="19" s="1"/>
  <c r="M296" i="19"/>
  <c r="M300" i="19"/>
  <c r="S324" i="19"/>
  <c r="I348" i="19"/>
  <c r="S331" i="19"/>
  <c r="N333" i="19"/>
  <c r="L348" i="19"/>
  <c r="Q178" i="19"/>
  <c r="S244" i="19"/>
  <c r="S253" i="19"/>
  <c r="N256" i="19"/>
  <c r="N260" i="19"/>
  <c r="S261" i="19"/>
  <c r="N264" i="19"/>
  <c r="N266" i="19"/>
  <c r="N270" i="19"/>
  <c r="N273" i="19"/>
  <c r="N277" i="19"/>
  <c r="N281" i="19"/>
  <c r="I303" i="19"/>
  <c r="I308" i="19" s="1"/>
  <c r="I313" i="19" s="1"/>
  <c r="R294" i="19"/>
  <c r="S295" i="19"/>
  <c r="N296" i="19"/>
  <c r="P297" i="19"/>
  <c r="S299" i="19"/>
  <c r="N300" i="19"/>
  <c r="R301" i="19"/>
  <c r="R307" i="19"/>
  <c r="S319" i="19"/>
  <c r="N321" i="19"/>
  <c r="N324" i="19"/>
  <c r="S327" i="19"/>
  <c r="H329" i="19"/>
  <c r="S362" i="19"/>
  <c r="S383" i="19"/>
  <c r="N383" i="19"/>
  <c r="S385" i="19"/>
  <c r="N385" i="19"/>
  <c r="J184" i="19"/>
  <c r="M295" i="19"/>
  <c r="M299" i="19"/>
  <c r="S318" i="19"/>
  <c r="N330" i="19"/>
  <c r="Q249" i="19"/>
  <c r="S294" i="19"/>
  <c r="N295" i="19"/>
  <c r="S298" i="19"/>
  <c r="N299" i="19"/>
  <c r="R306" i="19"/>
  <c r="S307" i="19"/>
  <c r="N318" i="19"/>
  <c r="S321" i="19"/>
  <c r="N323" i="19"/>
  <c r="N326" i="19"/>
  <c r="L329" i="19"/>
  <c r="S332" i="19"/>
  <c r="N337" i="19"/>
  <c r="S340" i="19"/>
  <c r="N342" i="19"/>
  <c r="H361" i="19"/>
  <c r="S328" i="19"/>
  <c r="N332" i="19"/>
  <c r="S335" i="19"/>
  <c r="L361" i="19"/>
  <c r="S392" i="19"/>
  <c r="N392" i="19"/>
  <c r="R359" i="19"/>
  <c r="N366" i="19"/>
  <c r="N369" i="19"/>
  <c r="F394" i="19"/>
  <c r="E394" i="19" s="1"/>
  <c r="S380" i="19"/>
  <c r="N380" i="19"/>
  <c r="S387" i="19"/>
  <c r="N387" i="19"/>
  <c r="S389" i="19"/>
  <c r="L394" i="19"/>
  <c r="K394" i="19" s="1"/>
  <c r="AI453" i="19"/>
  <c r="AH459" i="19"/>
  <c r="AI459" i="19" s="1"/>
  <c r="S371" i="19"/>
  <c r="I394" i="19"/>
  <c r="H394" i="19" s="1"/>
  <c r="S378" i="19"/>
  <c r="N389" i="19"/>
  <c r="S384" i="19"/>
  <c r="N384" i="19"/>
  <c r="S391" i="19"/>
  <c r="N391" i="19"/>
  <c r="AO459" i="19"/>
  <c r="E359" i="19"/>
  <c r="M359" i="19"/>
  <c r="S365" i="19"/>
  <c r="S373" i="19"/>
  <c r="N377" i="19"/>
  <c r="N393" i="19"/>
  <c r="AO453" i="19"/>
  <c r="N365" i="19"/>
  <c r="S368" i="19"/>
  <c r="L376" i="19"/>
  <c r="S379" i="19"/>
  <c r="N379" i="19"/>
  <c r="S381" i="19"/>
  <c r="S388" i="19"/>
  <c r="N388" i="19"/>
  <c r="AN419" i="19"/>
  <c r="AO419" i="19" s="1"/>
  <c r="AI452" i="19"/>
  <c r="AI460" i="19"/>
  <c r="AH460" i="19"/>
  <c r="I376" i="19"/>
  <c r="S375" i="19"/>
  <c r="N381" i="19"/>
  <c r="S386" i="19"/>
  <c r="AN452" i="19"/>
  <c r="AH452" i="19"/>
  <c r="AO491" i="19"/>
  <c r="AN459" i="19"/>
  <c r="AN457" i="19"/>
  <c r="AO457" i="19" s="1"/>
  <c r="AN490" i="19"/>
  <c r="AO490" i="19" s="1"/>
  <c r="AH490" i="19"/>
  <c r="AI490" i="19" s="1"/>
  <c r="AN492" i="19"/>
  <c r="AO492" i="19" s="1"/>
  <c r="K517" i="19"/>
  <c r="AN456" i="19"/>
  <c r="AO456" i="19" s="1"/>
  <c r="O517" i="19"/>
  <c r="P503" i="19"/>
  <c r="AN455" i="19"/>
  <c r="AH456" i="19"/>
  <c r="AI456" i="19" s="1"/>
  <c r="AH468" i="19"/>
  <c r="AI468" i="19" s="1"/>
  <c r="AO468" i="19"/>
  <c r="K536" i="19"/>
  <c r="O527" i="19"/>
  <c r="P527" i="19" s="1"/>
  <c r="K503" i="19"/>
  <c r="O536" i="19"/>
  <c r="P536" i="19" s="1"/>
  <c r="O516" i="19"/>
  <c r="O518" i="19" s="1"/>
  <c r="P518" i="19" s="1"/>
  <c r="K526" i="19"/>
  <c r="AH491" i="19"/>
  <c r="AH492" i="19"/>
  <c r="AI492" i="19" s="1"/>
  <c r="AH493" i="19"/>
  <c r="H134" i="19" l="1"/>
  <c r="P303" i="19"/>
  <c r="N72" i="19"/>
  <c r="L74" i="19"/>
  <c r="P35" i="19"/>
  <c r="AF427" i="19"/>
  <c r="AL437" i="19"/>
  <c r="E13" i="19"/>
  <c r="Z439" i="19"/>
  <c r="P517" i="19"/>
  <c r="N241" i="19"/>
  <c r="H152" i="19"/>
  <c r="S13" i="19"/>
  <c r="AC475" i="19"/>
  <c r="AL426" i="19"/>
  <c r="AO426" i="19" s="1"/>
  <c r="D24" i="19"/>
  <c r="E32" i="19" s="1"/>
  <c r="S96" i="19"/>
  <c r="S97" i="19" s="1"/>
  <c r="P33" i="19"/>
  <c r="P34" i="19"/>
  <c r="AF425" i="19"/>
  <c r="R13" i="19"/>
  <c r="R14" i="19" s="1"/>
  <c r="J111" i="19"/>
  <c r="Q288" i="19"/>
  <c r="P36" i="19"/>
  <c r="I186" i="19"/>
  <c r="AL445" i="19"/>
  <c r="S265" i="19"/>
  <c r="F107" i="19"/>
  <c r="H185" i="19"/>
  <c r="S394" i="19"/>
  <c r="S54" i="19"/>
  <c r="AL496" i="19"/>
  <c r="AO496" i="19" s="1"/>
  <c r="AL416" i="19"/>
  <c r="AC450" i="19"/>
  <c r="AI450" i="19" s="1"/>
  <c r="H74" i="19"/>
  <c r="H27" i="19"/>
  <c r="K74" i="19"/>
  <c r="N74" i="19"/>
  <c r="F232" i="19"/>
  <c r="F194" i="19"/>
  <c r="E228" i="19"/>
  <c r="Z420" i="19"/>
  <c r="Z438" i="19"/>
  <c r="AF471" i="19"/>
  <c r="Z427" i="19"/>
  <c r="Z445" i="19"/>
  <c r="Z412" i="19"/>
  <c r="Y412" i="19" s="1"/>
  <c r="AF428" i="19"/>
  <c r="AF463" i="19"/>
  <c r="AC408" i="19"/>
  <c r="AC425" i="19"/>
  <c r="AI425" i="19" s="1"/>
  <c r="AL446" i="19"/>
  <c r="Z462" i="19"/>
  <c r="AF438" i="19"/>
  <c r="AF446" i="19"/>
  <c r="Z470" i="19"/>
  <c r="Z478" i="19"/>
  <c r="AC462" i="19"/>
  <c r="AL474" i="19"/>
  <c r="AO474" i="19" s="1"/>
  <c r="Z464" i="19"/>
  <c r="G313" i="19"/>
  <c r="H308" i="19"/>
  <c r="Q27" i="19"/>
  <c r="S14" i="19"/>
  <c r="Z406" i="19"/>
  <c r="F85" i="19"/>
  <c r="E72" i="19"/>
  <c r="M96" i="19"/>
  <c r="M97" i="19" s="1"/>
  <c r="AE415" i="19"/>
  <c r="I396" i="19"/>
  <c r="H376" i="19"/>
  <c r="N348" i="19"/>
  <c r="K35" i="19"/>
  <c r="K24" i="19"/>
  <c r="K34" i="19"/>
  <c r="K37" i="19"/>
  <c r="K33" i="19"/>
  <c r="K31" i="19"/>
  <c r="K36" i="19"/>
  <c r="M24" i="19"/>
  <c r="AL427" i="19"/>
  <c r="AC423" i="19"/>
  <c r="AF423" i="19"/>
  <c r="Z417" i="19"/>
  <c r="Y417" i="19" s="1"/>
  <c r="Z414" i="19"/>
  <c r="Y414" i="19" s="1"/>
  <c r="AC442" i="19"/>
  <c r="AC431" i="19"/>
  <c r="AI431" i="19" s="1"/>
  <c r="AF417" i="19"/>
  <c r="AC477" i="19"/>
  <c r="AI477" i="19" s="1"/>
  <c r="AC421" i="19"/>
  <c r="AC439" i="19"/>
  <c r="AI439" i="19" s="1"/>
  <c r="AF473" i="19"/>
  <c r="AC428" i="19"/>
  <c r="AC446" i="19"/>
  <c r="AC413" i="19"/>
  <c r="AL430" i="19"/>
  <c r="AF409" i="19"/>
  <c r="AF426" i="19"/>
  <c r="Z450" i="19"/>
  <c r="AF464" i="19"/>
  <c r="AF439" i="19"/>
  <c r="AF447" i="19"/>
  <c r="Z471" i="19"/>
  <c r="Z479" i="19"/>
  <c r="AL464" i="19"/>
  <c r="AL475" i="19"/>
  <c r="AO475" i="19" s="1"/>
  <c r="K284" i="19"/>
  <c r="J27" i="19"/>
  <c r="K21" i="19"/>
  <c r="R21" i="19" s="1"/>
  <c r="K22" i="19"/>
  <c r="R22" i="19" s="1"/>
  <c r="K13" i="19"/>
  <c r="K23" i="19"/>
  <c r="R23" i="19" s="1"/>
  <c r="E54" i="19"/>
  <c r="AH425" i="19"/>
  <c r="AL429" i="19"/>
  <c r="N361" i="19"/>
  <c r="S361" i="19"/>
  <c r="H348" i="19"/>
  <c r="M303" i="19"/>
  <c r="J308" i="19"/>
  <c r="K303" i="19"/>
  <c r="R303" i="19"/>
  <c r="S230" i="19"/>
  <c r="N230" i="19"/>
  <c r="E230" i="19"/>
  <c r="L313" i="19"/>
  <c r="N308" i="19"/>
  <c r="N309" i="19" s="1"/>
  <c r="AC436" i="19"/>
  <c r="AC434" i="19"/>
  <c r="Z430" i="19"/>
  <c r="AL425" i="19"/>
  <c r="AO425" i="19" s="1"/>
  <c r="AL421" i="19"/>
  <c r="Z415" i="19"/>
  <c r="Y415" i="19" s="1"/>
  <c r="AC449" i="19"/>
  <c r="AI449" i="19" s="1"/>
  <c r="AC433" i="19"/>
  <c r="AC422" i="19"/>
  <c r="AC479" i="19"/>
  <c r="AF422" i="19"/>
  <c r="AL442" i="19"/>
  <c r="AF475" i="19"/>
  <c r="AF429" i="19"/>
  <c r="AL449" i="19"/>
  <c r="AO449" i="19" s="1"/>
  <c r="AF414" i="19"/>
  <c r="Z436" i="19"/>
  <c r="AC496" i="19"/>
  <c r="AI496" i="19" s="1"/>
  <c r="Z411" i="19"/>
  <c r="Y411" i="19" s="1"/>
  <c r="AL428" i="19"/>
  <c r="AL463" i="19"/>
  <c r="AL415" i="19"/>
  <c r="AF440" i="19"/>
  <c r="AF448" i="19"/>
  <c r="Z472" i="19"/>
  <c r="Z494" i="19"/>
  <c r="AF479" i="19"/>
  <c r="AL476" i="19"/>
  <c r="AO476" i="19" s="1"/>
  <c r="N134" i="19"/>
  <c r="S134" i="19"/>
  <c r="AO416" i="19"/>
  <c r="AK416" i="19"/>
  <c r="I352" i="19"/>
  <c r="E209" i="19"/>
  <c r="S184" i="19"/>
  <c r="S185" i="19" s="1"/>
  <c r="L185" i="19"/>
  <c r="L193" i="19"/>
  <c r="K230" i="19" s="1"/>
  <c r="N184" i="19"/>
  <c r="N185" i="19" s="1"/>
  <c r="N303" i="19"/>
  <c r="N304" i="19" s="1"/>
  <c r="L85" i="19"/>
  <c r="N27" i="19"/>
  <c r="S27" i="19"/>
  <c r="H121" i="19"/>
  <c r="I154" i="19"/>
  <c r="N394" i="19"/>
  <c r="Q398" i="19"/>
  <c r="O313" i="19"/>
  <c r="R308" i="19"/>
  <c r="E308" i="19"/>
  <c r="D313" i="19"/>
  <c r="N54" i="19"/>
  <c r="Z443" i="19"/>
  <c r="Z441" i="19"/>
  <c r="AL436" i="19"/>
  <c r="AC430" i="19"/>
  <c r="AC426" i="19"/>
  <c r="AI426" i="19" s="1"/>
  <c r="Z416" i="19"/>
  <c r="Y416" i="19" s="1"/>
  <c r="AL408" i="19"/>
  <c r="Z440" i="19"/>
  <c r="Z429" i="19"/>
  <c r="Z409" i="19"/>
  <c r="Y409" i="19" s="1"/>
  <c r="AL424" i="19"/>
  <c r="AO424" i="19" s="1"/>
  <c r="Z446" i="19"/>
  <c r="AF477" i="19"/>
  <c r="AL431" i="19"/>
  <c r="AC463" i="19"/>
  <c r="AI463" i="19" s="1"/>
  <c r="AF416" i="19"/>
  <c r="AC437" i="19"/>
  <c r="AC470" i="19"/>
  <c r="AC412" i="19"/>
  <c r="Z434" i="19"/>
  <c r="AF470" i="19"/>
  <c r="AF433" i="19"/>
  <c r="AF441" i="19"/>
  <c r="AF449" i="19"/>
  <c r="Z473" i="19"/>
  <c r="Z495" i="19"/>
  <c r="AL469" i="19"/>
  <c r="AL477" i="19"/>
  <c r="AO477" i="19" s="1"/>
  <c r="L286" i="19"/>
  <c r="K32" i="19"/>
  <c r="P41" i="19"/>
  <c r="Q74" i="19"/>
  <c r="P74" i="19" s="1"/>
  <c r="P27" i="19"/>
  <c r="K41" i="19"/>
  <c r="P32" i="19"/>
  <c r="P24" i="19"/>
  <c r="AC417" i="19"/>
  <c r="AF412" i="19"/>
  <c r="AL444" i="19"/>
  <c r="AF431" i="19"/>
  <c r="AH431" i="19" s="1"/>
  <c r="AC410" i="19"/>
  <c r="Z428" i="19"/>
  <c r="AC447" i="19"/>
  <c r="AC494" i="19"/>
  <c r="AI494" i="19" s="1"/>
  <c r="AL433" i="19"/>
  <c r="AC495" i="19"/>
  <c r="AI495" i="19" s="1"/>
  <c r="AF420" i="19"/>
  <c r="AL440" i="19"/>
  <c r="AC472" i="19"/>
  <c r="AF413" i="19"/>
  <c r="AC435" i="19"/>
  <c r="AF472" i="19"/>
  <c r="AF434" i="19"/>
  <c r="AF442" i="19"/>
  <c r="AF450" i="19"/>
  <c r="Z474" i="19"/>
  <c r="Z496" i="19"/>
  <c r="AL470" i="19"/>
  <c r="AL478" i="19"/>
  <c r="AO478" i="19" s="1"/>
  <c r="S24" i="19"/>
  <c r="S25" i="19" s="1"/>
  <c r="N24" i="19"/>
  <c r="N25" i="19" s="1"/>
  <c r="J32" i="19"/>
  <c r="H112" i="19"/>
  <c r="S72" i="19"/>
  <c r="E41" i="19"/>
  <c r="K104" i="19"/>
  <c r="AN427" i="19"/>
  <c r="AC441" i="19"/>
  <c r="L350" i="19"/>
  <c r="N329" i="19"/>
  <c r="K329" i="19"/>
  <c r="S329" i="19"/>
  <c r="AL410" i="19"/>
  <c r="AL412" i="19"/>
  <c r="Z410" i="19"/>
  <c r="Y410" i="19" s="1"/>
  <c r="Z448" i="19"/>
  <c r="AL443" i="19"/>
  <c r="AL439" i="19"/>
  <c r="AO439" i="19" s="1"/>
  <c r="AC424" i="19"/>
  <c r="AI424" i="19" s="1"/>
  <c r="AC416" i="19"/>
  <c r="AC473" i="19"/>
  <c r="AL435" i="19"/>
  <c r="AF411" i="19"/>
  <c r="AC429" i="19"/>
  <c r="AL450" i="19"/>
  <c r="AO450" i="19" s="1"/>
  <c r="AC420" i="19"/>
  <c r="Z437" i="19"/>
  <c r="Z408" i="19"/>
  <c r="AL422" i="19"/>
  <c r="Z444" i="19"/>
  <c r="AC474" i="19"/>
  <c r="AC415" i="19"/>
  <c r="AL438" i="19"/>
  <c r="AF474" i="19"/>
  <c r="AF435" i="19"/>
  <c r="AF443" i="19"/>
  <c r="AL462" i="19"/>
  <c r="AL465" i="19" s="1"/>
  <c r="AO465" i="19" s="1"/>
  <c r="Z475" i="19"/>
  <c r="AF494" i="19"/>
  <c r="AL471" i="19"/>
  <c r="AO471" i="19" s="1"/>
  <c r="AL494" i="19"/>
  <c r="AO494" i="19" s="1"/>
  <c r="E37" i="19"/>
  <c r="E36" i="19"/>
  <c r="E31" i="19"/>
  <c r="E78" i="19"/>
  <c r="E40" i="19"/>
  <c r="E39" i="19"/>
  <c r="E35" i="19"/>
  <c r="E38" i="19"/>
  <c r="E34" i="19"/>
  <c r="E33" i="19"/>
  <c r="E24" i="19"/>
  <c r="I288" i="19"/>
  <c r="N96" i="19"/>
  <c r="N97" i="19" s="1"/>
  <c r="L107" i="19"/>
  <c r="AF406" i="19" s="1"/>
  <c r="M13" i="19"/>
  <c r="K78" i="19"/>
  <c r="E74" i="19"/>
  <c r="P13" i="19"/>
  <c r="P31" i="19"/>
  <c r="AN465" i="19"/>
  <c r="AO452" i="19"/>
  <c r="L186" i="19"/>
  <c r="K193" i="19"/>
  <c r="M184" i="19"/>
  <c r="Z435" i="19"/>
  <c r="K185" i="19"/>
  <c r="R249" i="19"/>
  <c r="M249" i="19"/>
  <c r="N284" i="19"/>
  <c r="S304" i="19"/>
  <c r="Q308" i="19"/>
  <c r="P308" i="19" s="1"/>
  <c r="F396" i="19"/>
  <c r="E376" i="19"/>
  <c r="N249" i="19"/>
  <c r="N250" i="19" s="1"/>
  <c r="L288" i="19"/>
  <c r="S249" i="19"/>
  <c r="S250" i="19" s="1"/>
  <c r="Q250" i="19"/>
  <c r="K72" i="19"/>
  <c r="N152" i="19"/>
  <c r="I185" i="19"/>
  <c r="I193" i="19"/>
  <c r="J31" i="19"/>
  <c r="AL411" i="19"/>
  <c r="AL417" i="19"/>
  <c r="AL413" i="19"/>
  <c r="AC469" i="19"/>
  <c r="AC448" i="19"/>
  <c r="AI448" i="19" s="1"/>
  <c r="AC444" i="19"/>
  <c r="Z431" i="19"/>
  <c r="Z422" i="19"/>
  <c r="AC440" i="19"/>
  <c r="Z413" i="19"/>
  <c r="Y413" i="19" s="1"/>
  <c r="AF430" i="19"/>
  <c r="Z463" i="19"/>
  <c r="AF421" i="19"/>
  <c r="AC438" i="19"/>
  <c r="AC409" i="19"/>
  <c r="Z426" i="19"/>
  <c r="AC445" i="19"/>
  <c r="AC476" i="19"/>
  <c r="AI476" i="19" s="1"/>
  <c r="AL420" i="19"/>
  <c r="Z442" i="19"/>
  <c r="AF476" i="19"/>
  <c r="AF436" i="19"/>
  <c r="AF444" i="19"/>
  <c r="AC464" i="19"/>
  <c r="AI464" i="19" s="1"/>
  <c r="Z476" i="19"/>
  <c r="AF495" i="19"/>
  <c r="AL472" i="19"/>
  <c r="AO472" i="19" s="1"/>
  <c r="AL495" i="19"/>
  <c r="AO495" i="19" s="1"/>
  <c r="D158" i="19"/>
  <c r="E158" i="19" s="1"/>
  <c r="E119" i="19"/>
  <c r="E116" i="19"/>
  <c r="E115" i="19"/>
  <c r="D104" i="19"/>
  <c r="E104" i="19" s="1"/>
  <c r="E112" i="19"/>
  <c r="E117" i="19"/>
  <c r="D107" i="19"/>
  <c r="E107" i="19" s="1"/>
  <c r="E120" i="19"/>
  <c r="E96" i="19"/>
  <c r="E27" i="19"/>
  <c r="F164" i="19"/>
  <c r="S152" i="19"/>
  <c r="K54" i="19"/>
  <c r="Q154" i="19"/>
  <c r="P154" i="19" s="1"/>
  <c r="AB411" i="19"/>
  <c r="L396" i="19"/>
  <c r="L398" i="19" s="1"/>
  <c r="N376" i="19"/>
  <c r="K376" i="19"/>
  <c r="S376" i="19"/>
  <c r="Q158" i="19"/>
  <c r="P102" i="19"/>
  <c r="O104" i="19"/>
  <c r="P104" i="19" s="1"/>
  <c r="P101" i="19"/>
  <c r="P96" i="19"/>
  <c r="O107" i="19"/>
  <c r="P103" i="19"/>
  <c r="R184" i="19"/>
  <c r="H118" i="19"/>
  <c r="H114" i="19"/>
  <c r="G107" i="19"/>
  <c r="H107" i="19" s="1"/>
  <c r="H120" i="19"/>
  <c r="H119" i="19"/>
  <c r="H96" i="19"/>
  <c r="H116" i="19"/>
  <c r="H115" i="19"/>
  <c r="G104" i="19"/>
  <c r="H104" i="19" s="1"/>
  <c r="O537" i="19"/>
  <c r="P537" i="19" s="1"/>
  <c r="K348" i="19"/>
  <c r="H230" i="19"/>
  <c r="R97" i="19"/>
  <c r="F288" i="19"/>
  <c r="N121" i="19"/>
  <c r="S121" i="19"/>
  <c r="L154" i="19"/>
  <c r="Z425" i="19"/>
  <c r="Z423" i="19"/>
  <c r="AL414" i="19"/>
  <c r="AF408" i="19"/>
  <c r="AF462" i="19"/>
  <c r="Z449" i="19"/>
  <c r="Z433" i="19"/>
  <c r="AF424" i="19"/>
  <c r="AL409" i="19"/>
  <c r="Z447" i="19"/>
  <c r="AC414" i="19"/>
  <c r="AL434" i="19"/>
  <c r="AF469" i="19"/>
  <c r="AL423" i="19"/>
  <c r="AL441" i="19"/>
  <c r="AF410" i="19"/>
  <c r="AC427" i="19"/>
  <c r="AL448" i="19"/>
  <c r="AO448" i="19" s="1"/>
  <c r="AC478" i="19"/>
  <c r="AI478" i="19" s="1"/>
  <c r="Z424" i="19"/>
  <c r="AC443" i="19"/>
  <c r="AF478" i="19"/>
  <c r="AF437" i="19"/>
  <c r="AF445" i="19"/>
  <c r="Z469" i="19"/>
  <c r="Z480" i="19" s="1"/>
  <c r="X480" i="19" s="1"/>
  <c r="Z477" i="19"/>
  <c r="AF496" i="19"/>
  <c r="AL473" i="19"/>
  <c r="AO473" i="19" s="1"/>
  <c r="Q232" i="19"/>
  <c r="Q194" i="19"/>
  <c r="H303" i="19"/>
  <c r="P209" i="19"/>
  <c r="H36" i="19"/>
  <c r="H35" i="19"/>
  <c r="H32" i="19"/>
  <c r="H39" i="19"/>
  <c r="H38" i="19"/>
  <c r="H34" i="19"/>
  <c r="H24" i="19"/>
  <c r="H37" i="19"/>
  <c r="H33" i="19"/>
  <c r="H40" i="19"/>
  <c r="U32" i="19"/>
  <c r="E121" i="19"/>
  <c r="P121" i="19"/>
  <c r="M107" i="19"/>
  <c r="M108" i="19" s="1"/>
  <c r="R107" i="19"/>
  <c r="AC406" i="19"/>
  <c r="I85" i="19"/>
  <c r="K134" i="19" l="1"/>
  <c r="E134" i="19"/>
  <c r="E152" i="19"/>
  <c r="K121" i="19"/>
  <c r="E154" i="19"/>
  <c r="K107" i="19"/>
  <c r="AH406" i="19"/>
  <c r="AI406" i="19" s="1"/>
  <c r="S398" i="19"/>
  <c r="S158" i="19"/>
  <c r="S162" i="19" s="1"/>
  <c r="Q162" i="19"/>
  <c r="Q164" i="19" s="1"/>
  <c r="AN433" i="19"/>
  <c r="AH433" i="19"/>
  <c r="AF451" i="19"/>
  <c r="AD451" i="19" s="1"/>
  <c r="AN469" i="19"/>
  <c r="AO469" i="19" s="1"/>
  <c r="AH469" i="19"/>
  <c r="AF480" i="19"/>
  <c r="AH462" i="19"/>
  <c r="AF465" i="19"/>
  <c r="AD465" i="19" s="1"/>
  <c r="AI445" i="19"/>
  <c r="AK411" i="19"/>
  <c r="S288" i="19"/>
  <c r="N288" i="19"/>
  <c r="AN443" i="19"/>
  <c r="AO443" i="19" s="1"/>
  <c r="AH443" i="19"/>
  <c r="AI443" i="19" s="1"/>
  <c r="Z418" i="19"/>
  <c r="Y408" i="19"/>
  <c r="AB416" i="19"/>
  <c r="AI416" i="19"/>
  <c r="AE413" i="19"/>
  <c r="AN413" i="19"/>
  <c r="AO413" i="19" s="1"/>
  <c r="AH413" i="19"/>
  <c r="S286" i="19"/>
  <c r="N286" i="19"/>
  <c r="K286" i="19"/>
  <c r="AH470" i="19"/>
  <c r="AI470" i="19" s="1"/>
  <c r="AN470" i="19"/>
  <c r="AO470" i="19" s="1"/>
  <c r="AN477" i="19"/>
  <c r="AH477" i="19"/>
  <c r="N28" i="19"/>
  <c r="N85" i="19"/>
  <c r="AH409" i="19"/>
  <c r="AE409" i="19"/>
  <c r="AN409" i="19"/>
  <c r="AO409" i="19" s="1"/>
  <c r="AO427" i="19"/>
  <c r="AN435" i="19"/>
  <c r="AH435" i="19"/>
  <c r="AI435" i="19" s="1"/>
  <c r="AB410" i="19"/>
  <c r="AL405" i="19"/>
  <c r="AH479" i="19"/>
  <c r="AI479" i="19" s="1"/>
  <c r="AE479" i="19"/>
  <c r="AD479" i="19"/>
  <c r="AH422" i="19"/>
  <c r="AN422" i="19"/>
  <c r="AO422" i="19" s="1"/>
  <c r="AH417" i="19"/>
  <c r="AE417" i="19"/>
  <c r="AN417" i="19"/>
  <c r="AI462" i="19"/>
  <c r="AC465" i="19"/>
  <c r="AC418" i="19"/>
  <c r="AB408" i="19"/>
  <c r="Z432" i="19"/>
  <c r="X432" i="19" s="1"/>
  <c r="AN495" i="19"/>
  <c r="AH495" i="19"/>
  <c r="AK410" i="19"/>
  <c r="M104" i="19"/>
  <c r="AH408" i="19"/>
  <c r="AI408" i="19" s="1"/>
  <c r="AN408" i="19"/>
  <c r="AO408" i="19" s="1"/>
  <c r="AF418" i="19"/>
  <c r="AE408" i="19"/>
  <c r="AN496" i="19"/>
  <c r="AH496" i="19"/>
  <c r="AB414" i="19"/>
  <c r="AK414" i="19"/>
  <c r="P107" i="19"/>
  <c r="R108" i="19"/>
  <c r="AH444" i="19"/>
  <c r="AN444" i="19"/>
  <c r="AO444" i="19" s="1"/>
  <c r="AI409" i="19"/>
  <c r="AB409" i="19"/>
  <c r="I232" i="19"/>
  <c r="I194" i="19"/>
  <c r="H209" i="19"/>
  <c r="H228" i="19"/>
  <c r="AH474" i="19"/>
  <c r="AI474" i="19" s="1"/>
  <c r="AN474" i="19"/>
  <c r="AC432" i="19"/>
  <c r="AA432" i="19" s="1"/>
  <c r="AO440" i="19"/>
  <c r="AB412" i="19"/>
  <c r="AB413" i="19"/>
  <c r="AI413" i="19"/>
  <c r="AH463" i="19"/>
  <c r="S396" i="19"/>
  <c r="N396" i="19"/>
  <c r="K396" i="19"/>
  <c r="AH436" i="19"/>
  <c r="AI436" i="19" s="1"/>
  <c r="AN436" i="19"/>
  <c r="AO436" i="19" s="1"/>
  <c r="AI444" i="19"/>
  <c r="E396" i="19"/>
  <c r="F398" i="19"/>
  <c r="N350" i="19"/>
  <c r="K350" i="19"/>
  <c r="S350" i="19"/>
  <c r="AN450" i="19"/>
  <c r="AH450" i="19"/>
  <c r="AN420" i="19"/>
  <c r="AH420" i="19"/>
  <c r="AI420" i="19" s="1"/>
  <c r="AF432" i="19"/>
  <c r="AI422" i="19"/>
  <c r="AN447" i="19"/>
  <c r="AO447" i="19" s="1"/>
  <c r="AH447" i="19"/>
  <c r="AI442" i="19"/>
  <c r="H396" i="19"/>
  <c r="I398" i="19"/>
  <c r="N398" i="19" s="1"/>
  <c r="AN428" i="19"/>
  <c r="AO428" i="19" s="1"/>
  <c r="AH428" i="19"/>
  <c r="AI428" i="19" s="1"/>
  <c r="AH478" i="19"/>
  <c r="AN478" i="19"/>
  <c r="AK409" i="19"/>
  <c r="AH476" i="19"/>
  <c r="AN476" i="19"/>
  <c r="AN421" i="19"/>
  <c r="AH421" i="19"/>
  <c r="AI421" i="19" s="1"/>
  <c r="Q313" i="19"/>
  <c r="P313" i="19" s="1"/>
  <c r="AB415" i="19"/>
  <c r="AG415" i="19" s="1"/>
  <c r="AI415" i="19"/>
  <c r="AI429" i="19"/>
  <c r="AN442" i="19"/>
  <c r="AO442" i="19" s="1"/>
  <c r="AH442" i="19"/>
  <c r="AH412" i="19"/>
  <c r="AI412" i="19" s="1"/>
  <c r="AE412" i="19"/>
  <c r="AN412" i="19"/>
  <c r="AI437" i="19"/>
  <c r="AN448" i="19"/>
  <c r="AH448" i="19"/>
  <c r="AH414" i="19"/>
  <c r="AI414" i="19" s="1"/>
  <c r="AN414" i="19"/>
  <c r="AO414" i="19" s="1"/>
  <c r="AE414" i="19"/>
  <c r="AI433" i="19"/>
  <c r="AC451" i="19"/>
  <c r="AA451" i="19" s="1"/>
  <c r="AO429" i="19"/>
  <c r="AN439" i="19"/>
  <c r="AH439" i="19"/>
  <c r="AM415" i="19"/>
  <c r="S28" i="19"/>
  <c r="P54" i="19"/>
  <c r="P72" i="19"/>
  <c r="AH446" i="19"/>
  <c r="AI446" i="19" s="1"/>
  <c r="AN446" i="19"/>
  <c r="AO446" i="19" s="1"/>
  <c r="AN445" i="19"/>
  <c r="AO445" i="19" s="1"/>
  <c r="AH445" i="19"/>
  <c r="AN424" i="19"/>
  <c r="AH424" i="19"/>
  <c r="N154" i="19"/>
  <c r="K154" i="19"/>
  <c r="S154" i="19"/>
  <c r="AI469" i="19"/>
  <c r="AC480" i="19"/>
  <c r="AA480" i="19" s="1"/>
  <c r="S107" i="19"/>
  <c r="S108" i="19" s="1"/>
  <c r="L164" i="19"/>
  <c r="N107" i="19"/>
  <c r="N108" i="19" s="1"/>
  <c r="K152" i="19"/>
  <c r="AN494" i="19"/>
  <c r="AH494" i="19"/>
  <c r="AH411" i="19"/>
  <c r="AI411" i="19" s="1"/>
  <c r="AE411" i="19"/>
  <c r="AN411" i="19"/>
  <c r="AO411" i="19" s="1"/>
  <c r="AN434" i="19"/>
  <c r="AO434" i="19" s="1"/>
  <c r="AH434" i="19"/>
  <c r="AI434" i="19" s="1"/>
  <c r="AL451" i="19"/>
  <c r="AO433" i="19"/>
  <c r="AB417" i="19"/>
  <c r="AI417" i="19"/>
  <c r="AN449" i="19"/>
  <c r="AH449" i="19"/>
  <c r="AN416" i="19"/>
  <c r="AE416" i="19"/>
  <c r="AH416" i="19"/>
  <c r="H154" i="19"/>
  <c r="I164" i="19"/>
  <c r="N193" i="19"/>
  <c r="N194" i="19" s="1"/>
  <c r="L232" i="19"/>
  <c r="L194" i="19"/>
  <c r="S193" i="19"/>
  <c r="S194" i="19" s="1"/>
  <c r="K209" i="19"/>
  <c r="K228" i="19"/>
  <c r="AH440" i="19"/>
  <c r="AI440" i="19" s="1"/>
  <c r="AN440" i="19"/>
  <c r="L352" i="19"/>
  <c r="N313" i="19"/>
  <c r="N314" i="19" s="1"/>
  <c r="K308" i="19"/>
  <c r="J313" i="19"/>
  <c r="AF405" i="19" s="1"/>
  <c r="M308" i="19"/>
  <c r="R27" i="19"/>
  <c r="R28" i="19" s="1"/>
  <c r="M27" i="19"/>
  <c r="M28" i="19" s="1"/>
  <c r="K27" i="19"/>
  <c r="K82" i="19"/>
  <c r="J82" i="19" s="1"/>
  <c r="AH464" i="19"/>
  <c r="AN473" i="19"/>
  <c r="AH473" i="19"/>
  <c r="AI473" i="19" s="1"/>
  <c r="AH415" i="19"/>
  <c r="AH438" i="19"/>
  <c r="AI438" i="19" s="1"/>
  <c r="AN438" i="19"/>
  <c r="AO438" i="19" s="1"/>
  <c r="AO423" i="19"/>
  <c r="AH410" i="19"/>
  <c r="AI410" i="19" s="1"/>
  <c r="AE410" i="19"/>
  <c r="AN410" i="19"/>
  <c r="AO410" i="19" s="1"/>
  <c r="AN437" i="19"/>
  <c r="AO437" i="19" s="1"/>
  <c r="AH437" i="19"/>
  <c r="Z451" i="19"/>
  <c r="X451" i="19" s="1"/>
  <c r="AO420" i="19"/>
  <c r="AL432" i="19"/>
  <c r="AH430" i="19"/>
  <c r="AI430" i="19" s="1"/>
  <c r="AN430" i="19"/>
  <c r="AO430" i="19" s="1"/>
  <c r="AK413" i="19"/>
  <c r="AO435" i="19"/>
  <c r="AK412" i="19"/>
  <c r="AO412" i="19"/>
  <c r="AH427" i="19"/>
  <c r="AI427" i="19" s="1"/>
  <c r="AH472" i="19"/>
  <c r="AI472" i="19" s="1"/>
  <c r="AN472" i="19"/>
  <c r="AN441" i="19"/>
  <c r="AO441" i="19" s="1"/>
  <c r="AH441" i="19"/>
  <c r="AI441" i="19" s="1"/>
  <c r="AK408" i="19"/>
  <c r="AL418" i="19"/>
  <c r="E313" i="19"/>
  <c r="Z405" i="19"/>
  <c r="AK415" i="19"/>
  <c r="AO415" i="19"/>
  <c r="AN429" i="19"/>
  <c r="AH429" i="19"/>
  <c r="S308" i="19"/>
  <c r="S309" i="19" s="1"/>
  <c r="AN423" i="19"/>
  <c r="AH423" i="19"/>
  <c r="AN415" i="19"/>
  <c r="H313" i="19"/>
  <c r="AC405" i="19"/>
  <c r="Z465" i="19"/>
  <c r="X465" i="19" s="1"/>
  <c r="S74" i="19"/>
  <c r="AK417" i="19"/>
  <c r="AO417" i="19"/>
  <c r="AI447" i="19"/>
  <c r="AN475" i="19"/>
  <c r="AH475" i="19"/>
  <c r="AI475" i="19" s="1"/>
  <c r="AO421" i="19"/>
  <c r="AN425" i="19"/>
  <c r="AN426" i="19"/>
  <c r="AH426" i="19"/>
  <c r="AI423" i="19"/>
  <c r="AN471" i="19"/>
  <c r="AH471" i="19"/>
  <c r="AI471" i="19" s="1"/>
  <c r="AL406" i="19" l="1"/>
  <c r="AJ467" i="19" s="1"/>
  <c r="S313" i="19"/>
  <c r="AH465" i="19"/>
  <c r="S82" i="19"/>
  <c r="S83" i="19" s="1"/>
  <c r="S85" i="19" s="1"/>
  <c r="Q83" i="19"/>
  <c r="Q85" i="19" s="1"/>
  <c r="AL479" i="19"/>
  <c r="AM410" i="19"/>
  <c r="AG410" i="19"/>
  <c r="AM416" i="19"/>
  <c r="AG416" i="19"/>
  <c r="AM413" i="19"/>
  <c r="AG413" i="19"/>
  <c r="R193" i="19"/>
  <c r="M193" i="19"/>
  <c r="S164" i="19"/>
  <c r="N164" i="19"/>
  <c r="AC467" i="19"/>
  <c r="AA418" i="19"/>
  <c r="AM409" i="19"/>
  <c r="AG409" i="19"/>
  <c r="R313" i="19"/>
  <c r="AH480" i="19"/>
  <c r="AI480" i="19" s="1"/>
  <c r="AD480" i="19"/>
  <c r="AL467" i="19"/>
  <c r="S232" i="19"/>
  <c r="N232" i="19"/>
  <c r="AM412" i="19"/>
  <c r="AG412" i="19"/>
  <c r="AA465" i="19"/>
  <c r="AI465" i="19"/>
  <c r="AO432" i="19"/>
  <c r="AG411" i="19"/>
  <c r="AM411" i="19"/>
  <c r="AM414" i="19"/>
  <c r="AG414" i="19"/>
  <c r="AH432" i="19"/>
  <c r="AI432" i="19" s="1"/>
  <c r="AN432" i="19"/>
  <c r="AD432" i="19"/>
  <c r="N352" i="19"/>
  <c r="S352" i="19"/>
  <c r="S314" i="19"/>
  <c r="Q352" i="19"/>
  <c r="P348" i="19"/>
  <c r="P329" i="19"/>
  <c r="P350" i="19"/>
  <c r="M313" i="19"/>
  <c r="K313" i="19"/>
  <c r="AM408" i="19"/>
  <c r="AG408" i="19"/>
  <c r="AG417" i="19"/>
  <c r="AM417" i="19"/>
  <c r="X418" i="19"/>
  <c r="Z467" i="19"/>
  <c r="AH451" i="19"/>
  <c r="AI451" i="19" s="1"/>
  <c r="AF467" i="19"/>
  <c r="AH418" i="19"/>
  <c r="AI418" i="19" s="1"/>
  <c r="AD418" i="19"/>
  <c r="AN418" i="19"/>
  <c r="AO418" i="19" s="1"/>
  <c r="AN451" i="19"/>
  <c r="AO451" i="19" s="1"/>
  <c r="AJ432" i="19" l="1"/>
  <c r="AJ451" i="19"/>
  <c r="AJ418" i="19"/>
  <c r="AJ465" i="19"/>
  <c r="AN406" i="19"/>
  <c r="AO406" i="19" s="1"/>
  <c r="AD467" i="19"/>
  <c r="AH467" i="19"/>
  <c r="AI467" i="19" s="1"/>
  <c r="AN467" i="19"/>
  <c r="AO467" i="19" s="1"/>
  <c r="AF482" i="19"/>
  <c r="AA467" i="19"/>
  <c r="AC482" i="19"/>
  <c r="X467" i="19"/>
  <c r="Z482" i="19"/>
  <c r="AL480" i="19"/>
  <c r="AL482" i="19" s="1"/>
  <c r="AN479" i="19"/>
  <c r="AO479" i="19" s="1"/>
  <c r="AL488" i="19" l="1"/>
  <c r="AK482" i="19"/>
  <c r="Y482" i="19"/>
  <c r="Z488" i="19"/>
  <c r="AC488" i="19"/>
  <c r="AB482" i="19"/>
  <c r="AH482" i="19"/>
  <c r="AI482" i="19" s="1"/>
  <c r="AF488" i="19"/>
  <c r="AN482" i="19"/>
  <c r="AO482" i="19" s="1"/>
  <c r="AE482" i="19"/>
  <c r="AN480" i="19"/>
  <c r="AO480" i="19" s="1"/>
  <c r="Y488" i="19" l="1"/>
  <c r="Z497" i="19"/>
  <c r="AB488" i="19"/>
  <c r="AC497" i="19"/>
  <c r="AL497" i="19"/>
  <c r="AK488" i="19"/>
  <c r="AN488" i="19"/>
  <c r="AO488" i="19" s="1"/>
  <c r="AF497" i="19"/>
  <c r="AE488" i="19"/>
  <c r="AH488" i="19"/>
  <c r="AI488" i="19" s="1"/>
  <c r="Z499" i="19" l="1"/>
  <c r="AC499" i="19" s="1"/>
  <c r="AC500" i="19" s="1"/>
  <c r="Y497" i="19"/>
  <c r="AL500" i="19"/>
  <c r="AK497" i="19"/>
  <c r="AB497" i="19"/>
  <c r="AF499" i="19"/>
  <c r="AF500" i="19" s="1"/>
  <c r="AH497" i="19"/>
  <c r="AI497" i="19" s="1"/>
  <c r="AE497" i="19"/>
  <c r="AN497" i="19"/>
  <c r="AO497" i="19" s="1"/>
  <c r="Z500" i="19" l="1"/>
  <c r="O536" i="17" l="1"/>
  <c r="J532" i="17"/>
  <c r="K532" i="17" s="1"/>
  <c r="P531" i="17"/>
  <c r="K531" i="17"/>
  <c r="O532" i="17"/>
  <c r="P532" i="17" s="1"/>
  <c r="O535" i="17"/>
  <c r="O537" i="17" s="1"/>
  <c r="P537" i="17" s="1"/>
  <c r="J535" i="17"/>
  <c r="O518" i="17"/>
  <c r="P518" i="17" s="1"/>
  <c r="O516" i="17"/>
  <c r="J516" i="17"/>
  <c r="J518" i="17" s="1"/>
  <c r="K518" i="17" s="1"/>
  <c r="J511" i="17"/>
  <c r="K511" i="17" s="1"/>
  <c r="P510" i="17"/>
  <c r="K510" i="17"/>
  <c r="O511" i="17"/>
  <c r="P511" i="17" s="1"/>
  <c r="O520" i="17"/>
  <c r="O504" i="17"/>
  <c r="P504" i="17" s="1"/>
  <c r="J504" i="17"/>
  <c r="K504" i="17" s="1"/>
  <c r="AO493" i="17"/>
  <c r="AN493" i="17"/>
  <c r="AI493" i="17"/>
  <c r="AN492" i="17"/>
  <c r="AO492" i="17" s="1"/>
  <c r="AI491" i="17"/>
  <c r="AO481" i="17"/>
  <c r="AN481" i="17"/>
  <c r="AO466" i="17"/>
  <c r="AN466" i="17"/>
  <c r="AH466" i="17"/>
  <c r="AO460" i="17"/>
  <c r="AN460" i="17"/>
  <c r="AI460" i="17"/>
  <c r="AH460" i="17"/>
  <c r="AN459" i="17"/>
  <c r="AO459" i="17" s="1"/>
  <c r="AH459" i="17"/>
  <c r="AI459" i="17" s="1"/>
  <c r="AN458" i="17"/>
  <c r="AO458" i="17" s="1"/>
  <c r="AH456" i="17"/>
  <c r="AI456" i="17" s="1"/>
  <c r="AO455" i="17"/>
  <c r="AI455" i="17"/>
  <c r="AN454" i="17"/>
  <c r="AO454" i="17" s="1"/>
  <c r="AH419" i="17"/>
  <c r="AI419" i="17" s="1"/>
  <c r="S393" i="17"/>
  <c r="N393" i="17"/>
  <c r="N391" i="17"/>
  <c r="S390" i="17"/>
  <c r="N390" i="17"/>
  <c r="N389" i="17"/>
  <c r="S389" i="17"/>
  <c r="N388" i="17"/>
  <c r="S388" i="17"/>
  <c r="N387" i="17"/>
  <c r="S386" i="17"/>
  <c r="N385" i="17"/>
  <c r="S384" i="17"/>
  <c r="N384" i="17"/>
  <c r="S383" i="17"/>
  <c r="N383" i="17"/>
  <c r="N382" i="17"/>
  <c r="S381" i="17"/>
  <c r="N380" i="17"/>
  <c r="S379" i="17"/>
  <c r="N379" i="17"/>
  <c r="S378" i="17"/>
  <c r="L394" i="17"/>
  <c r="K394" i="17" s="1"/>
  <c r="I394" i="17"/>
  <c r="H394" i="17" s="1"/>
  <c r="F394" i="17"/>
  <c r="E394" i="17" s="1"/>
  <c r="S375" i="17"/>
  <c r="N374" i="17"/>
  <c r="N373" i="17"/>
  <c r="S372" i="17"/>
  <c r="N371" i="17"/>
  <c r="N370" i="17"/>
  <c r="S369" i="17"/>
  <c r="N369" i="17"/>
  <c r="S368" i="17"/>
  <c r="N368" i="17"/>
  <c r="S367" i="17"/>
  <c r="N367" i="17"/>
  <c r="S366" i="17"/>
  <c r="N366" i="17"/>
  <c r="S365" i="17"/>
  <c r="N365" i="17"/>
  <c r="S364" i="17"/>
  <c r="Q376" i="17"/>
  <c r="L376" i="17"/>
  <c r="I376" i="17"/>
  <c r="N362" i="17"/>
  <c r="R359" i="17"/>
  <c r="Q361" i="17"/>
  <c r="P359" i="17"/>
  <c r="O361" i="17"/>
  <c r="N359" i="17"/>
  <c r="K359" i="17"/>
  <c r="I361" i="17"/>
  <c r="H359" i="17"/>
  <c r="G361" i="17"/>
  <c r="F361" i="17"/>
  <c r="E359" i="17"/>
  <c r="N351" i="17"/>
  <c r="S347" i="17"/>
  <c r="N347" i="17"/>
  <c r="S346" i="17"/>
  <c r="N345" i="17"/>
  <c r="Q344" i="17"/>
  <c r="N344" i="17"/>
  <c r="S344" i="17"/>
  <c r="S343" i="17"/>
  <c r="N343" i="17"/>
  <c r="S342" i="17"/>
  <c r="N341" i="17"/>
  <c r="S340" i="17"/>
  <c r="S339" i="17"/>
  <c r="S338" i="17"/>
  <c r="N337" i="17"/>
  <c r="S336" i="17"/>
  <c r="S335" i="17"/>
  <c r="N334" i="17"/>
  <c r="S333" i="17"/>
  <c r="S332" i="17"/>
  <c r="S331" i="17"/>
  <c r="I348" i="17"/>
  <c r="Q348" i="17"/>
  <c r="N330" i="17"/>
  <c r="F348" i="17"/>
  <c r="N328" i="17"/>
  <c r="S327" i="17"/>
  <c r="S326" i="17"/>
  <c r="S325" i="17"/>
  <c r="N324" i="17"/>
  <c r="S323" i="17"/>
  <c r="S322" i="17"/>
  <c r="S321" i="17"/>
  <c r="N320" i="17"/>
  <c r="S319" i="17"/>
  <c r="S318" i="17"/>
  <c r="Q329" i="17"/>
  <c r="L329" i="17"/>
  <c r="I329" i="17"/>
  <c r="F329" i="17"/>
  <c r="P311" i="17"/>
  <c r="N311" i="17"/>
  <c r="S311" i="17"/>
  <c r="R311" i="17" s="1"/>
  <c r="K311" i="17"/>
  <c r="H311" i="17"/>
  <c r="M311" i="17"/>
  <c r="E311" i="17"/>
  <c r="P307" i="17"/>
  <c r="N307" i="17"/>
  <c r="S307" i="17"/>
  <c r="M307" i="17"/>
  <c r="H307" i="17"/>
  <c r="P306" i="17"/>
  <c r="N306" i="17"/>
  <c r="S306" i="17"/>
  <c r="M306" i="17"/>
  <c r="H306" i="17"/>
  <c r="J303" i="17"/>
  <c r="S302" i="17"/>
  <c r="R302" i="17"/>
  <c r="P302" i="17"/>
  <c r="N302" i="17"/>
  <c r="K302" i="17"/>
  <c r="H302" i="17"/>
  <c r="E302" i="17"/>
  <c r="K301" i="17"/>
  <c r="H301" i="17"/>
  <c r="E301" i="17"/>
  <c r="R300" i="17"/>
  <c r="P300" i="17"/>
  <c r="S300" i="17"/>
  <c r="M300" i="17"/>
  <c r="H300" i="17"/>
  <c r="E300" i="17"/>
  <c r="P299" i="17"/>
  <c r="M299" i="17"/>
  <c r="H299" i="17"/>
  <c r="E299" i="17"/>
  <c r="P298" i="17"/>
  <c r="S298" i="17"/>
  <c r="M298" i="17"/>
  <c r="H298" i="17"/>
  <c r="P297" i="17"/>
  <c r="S297" i="17"/>
  <c r="M297" i="17"/>
  <c r="H297" i="17"/>
  <c r="P296" i="17"/>
  <c r="N296" i="17"/>
  <c r="S296" i="17"/>
  <c r="M296" i="17"/>
  <c r="H296" i="17"/>
  <c r="P295" i="17"/>
  <c r="N295" i="17"/>
  <c r="S295" i="17"/>
  <c r="M295" i="17"/>
  <c r="H295" i="17"/>
  <c r="Q303" i="17"/>
  <c r="P294" i="17"/>
  <c r="N294" i="17"/>
  <c r="M294" i="17"/>
  <c r="I303" i="17"/>
  <c r="I308" i="17" s="1"/>
  <c r="I313" i="17" s="1"/>
  <c r="G303" i="17"/>
  <c r="G308" i="17" s="1"/>
  <c r="G313" i="17" s="1"/>
  <c r="F303" i="17"/>
  <c r="F308" i="17" s="1"/>
  <c r="F313" i="17" s="1"/>
  <c r="N287" i="17"/>
  <c r="S283" i="17"/>
  <c r="N283" i="17"/>
  <c r="S282" i="17"/>
  <c r="N282" i="17"/>
  <c r="S281" i="17"/>
  <c r="N281" i="17"/>
  <c r="Q280" i="17"/>
  <c r="S280" i="17"/>
  <c r="S279" i="17"/>
  <c r="N279" i="17"/>
  <c r="S278" i="17"/>
  <c r="N278" i="17"/>
  <c r="S276" i="17"/>
  <c r="S275" i="17"/>
  <c r="N275" i="17"/>
  <c r="S274" i="17"/>
  <c r="N274" i="17"/>
  <c r="S272" i="17"/>
  <c r="S271" i="17"/>
  <c r="N271" i="17"/>
  <c r="S269" i="17"/>
  <c r="F284" i="17"/>
  <c r="E284" i="17" s="1"/>
  <c r="S268" i="17"/>
  <c r="N268" i="17"/>
  <c r="S267" i="17"/>
  <c r="N267" i="17"/>
  <c r="I284" i="17"/>
  <c r="H284" i="17" s="1"/>
  <c r="L265" i="17"/>
  <c r="K265" i="17"/>
  <c r="S264" i="17"/>
  <c r="S263" i="17"/>
  <c r="S262" i="17"/>
  <c r="N262" i="17"/>
  <c r="N261" i="17"/>
  <c r="S260" i="17"/>
  <c r="S259" i="17"/>
  <c r="N259" i="17"/>
  <c r="S258" i="17"/>
  <c r="N258" i="17"/>
  <c r="S257" i="17"/>
  <c r="N257" i="17"/>
  <c r="S256" i="17"/>
  <c r="S255" i="17"/>
  <c r="N255" i="17"/>
  <c r="S254" i="17"/>
  <c r="N254" i="17"/>
  <c r="F265" i="17"/>
  <c r="N253" i="17"/>
  <c r="L249" i="17"/>
  <c r="F249" i="17"/>
  <c r="S247" i="17"/>
  <c r="N247" i="17"/>
  <c r="I247" i="17"/>
  <c r="F247" i="17"/>
  <c r="S246" i="17"/>
  <c r="R246" i="17"/>
  <c r="Q247" i="17"/>
  <c r="N246" i="17"/>
  <c r="M246" i="17"/>
  <c r="L247" i="17"/>
  <c r="Q244" i="17"/>
  <c r="N244" i="17"/>
  <c r="S243" i="17"/>
  <c r="S244" i="17"/>
  <c r="P249" i="17"/>
  <c r="R243" i="17"/>
  <c r="M243" i="17"/>
  <c r="N243" i="17"/>
  <c r="H249" i="17"/>
  <c r="E249" i="17"/>
  <c r="M240" i="17"/>
  <c r="F241" i="17"/>
  <c r="N231" i="17"/>
  <c r="S227" i="17"/>
  <c r="S226" i="17"/>
  <c r="N226" i="17"/>
  <c r="S225" i="17"/>
  <c r="N225" i="17"/>
  <c r="Q224" i="17"/>
  <c r="S223" i="17"/>
  <c r="N222" i="17"/>
  <c r="S222" i="17"/>
  <c r="S221" i="17"/>
  <c r="N221" i="17"/>
  <c r="S219" i="17"/>
  <c r="N218" i="17"/>
  <c r="S218" i="17"/>
  <c r="N215" i="17"/>
  <c r="S215" i="17"/>
  <c r="S212" i="17"/>
  <c r="N211" i="17"/>
  <c r="S211" i="17"/>
  <c r="S210" i="17"/>
  <c r="I228" i="17"/>
  <c r="S206" i="17"/>
  <c r="S205" i="17"/>
  <c r="S201" i="17"/>
  <c r="Q209" i="17"/>
  <c r="Y199" i="17"/>
  <c r="S199" i="17"/>
  <c r="N199" i="17"/>
  <c r="F209" i="17"/>
  <c r="S198" i="17"/>
  <c r="N198" i="17"/>
  <c r="S197" i="17"/>
  <c r="Q193" i="17"/>
  <c r="Q191" i="17"/>
  <c r="L191" i="17"/>
  <c r="I191" i="17"/>
  <c r="F191" i="17"/>
  <c r="R187" i="17"/>
  <c r="Q188" i="17"/>
  <c r="M187" i="17"/>
  <c r="I188" i="17"/>
  <c r="F188" i="17"/>
  <c r="Q184" i="17"/>
  <c r="K184" i="17"/>
  <c r="I184" i="17"/>
  <c r="S183" i="17"/>
  <c r="N183" i="17"/>
  <c r="P181" i="17"/>
  <c r="M181" i="17"/>
  <c r="K181" i="17"/>
  <c r="R180" i="17"/>
  <c r="Q181" i="17"/>
  <c r="N180" i="17"/>
  <c r="M180" i="17"/>
  <c r="L181" i="17"/>
  <c r="I181" i="17"/>
  <c r="F181" i="17"/>
  <c r="K179" i="17"/>
  <c r="E179" i="17"/>
  <c r="R178" i="17"/>
  <c r="F178" i="17"/>
  <c r="R177" i="17"/>
  <c r="Q178" i="17"/>
  <c r="M177" i="17"/>
  <c r="H179" i="17"/>
  <c r="K176" i="17"/>
  <c r="V175" i="17"/>
  <c r="L175" i="17"/>
  <c r="S174" i="17"/>
  <c r="Q175" i="17"/>
  <c r="R174" i="17"/>
  <c r="M174" i="17"/>
  <c r="V174" i="17"/>
  <c r="W175" i="17" s="1"/>
  <c r="I175" i="17"/>
  <c r="E176" i="17"/>
  <c r="Q172" i="17"/>
  <c r="I172" i="17"/>
  <c r="S171" i="17"/>
  <c r="M171" i="17"/>
  <c r="L172" i="17"/>
  <c r="N171" i="17"/>
  <c r="E173" i="17"/>
  <c r="S161" i="17"/>
  <c r="N161" i="17"/>
  <c r="S160" i="17"/>
  <c r="N160" i="17"/>
  <c r="S159" i="17"/>
  <c r="N159" i="17"/>
  <c r="N158" i="17"/>
  <c r="S157" i="17"/>
  <c r="N157" i="17"/>
  <c r="N162" i="17" s="1"/>
  <c r="L162" i="17"/>
  <c r="S155" i="17"/>
  <c r="N155" i="17"/>
  <c r="F162" i="17"/>
  <c r="S149" i="17"/>
  <c r="N149" i="17"/>
  <c r="Q148" i="17"/>
  <c r="N148" i="17"/>
  <c r="S148" i="17"/>
  <c r="S145" i="17"/>
  <c r="N145" i="17"/>
  <c r="N144" i="17"/>
  <c r="N141" i="17"/>
  <c r="N140" i="17"/>
  <c r="S140" i="17"/>
  <c r="N137" i="17"/>
  <c r="S136" i="17"/>
  <c r="Q152" i="17"/>
  <c r="I152" i="17"/>
  <c r="S131" i="17"/>
  <c r="N131" i="17"/>
  <c r="N130" i="17"/>
  <c r="N127" i="17"/>
  <c r="S126" i="17"/>
  <c r="I134" i="17"/>
  <c r="N123" i="17"/>
  <c r="Q134" i="17"/>
  <c r="N120" i="17"/>
  <c r="S119" i="17"/>
  <c r="N119" i="17"/>
  <c r="S118" i="17"/>
  <c r="N118" i="17"/>
  <c r="Q121" i="17"/>
  <c r="N116" i="17"/>
  <c r="S115" i="17"/>
  <c r="N115" i="17"/>
  <c r="S114" i="17"/>
  <c r="N114" i="17"/>
  <c r="N113" i="17"/>
  <c r="N111" i="17"/>
  <c r="V108" i="17"/>
  <c r="Q104" i="17"/>
  <c r="F104" i="17"/>
  <c r="H103" i="17"/>
  <c r="E103" i="17"/>
  <c r="S102" i="17"/>
  <c r="N102" i="17"/>
  <c r="H102" i="17"/>
  <c r="E102" i="17"/>
  <c r="S101" i="17"/>
  <c r="L104" i="17"/>
  <c r="I104" i="17"/>
  <c r="G112" i="17" s="1"/>
  <c r="H101" i="17"/>
  <c r="E101" i="17"/>
  <c r="R99" i="17"/>
  <c r="M99" i="17"/>
  <c r="V99" i="17"/>
  <c r="H99" i="17"/>
  <c r="E99" i="17"/>
  <c r="H97" i="17"/>
  <c r="E97" i="17"/>
  <c r="J96" i="17"/>
  <c r="P95" i="17"/>
  <c r="N95" i="17"/>
  <c r="M95" i="17"/>
  <c r="H95" i="17"/>
  <c r="E95" i="17"/>
  <c r="Q96" i="17"/>
  <c r="P94" i="17"/>
  <c r="N94" i="17"/>
  <c r="M94" i="17"/>
  <c r="I96" i="17"/>
  <c r="H94" i="17"/>
  <c r="F96" i="17"/>
  <c r="E94" i="17"/>
  <c r="N82" i="17"/>
  <c r="S81" i="17"/>
  <c r="N81" i="17"/>
  <c r="S80" i="17"/>
  <c r="N80" i="17"/>
  <c r="S79" i="17"/>
  <c r="S78" i="17"/>
  <c r="S77" i="17"/>
  <c r="I83" i="17"/>
  <c r="S76" i="17"/>
  <c r="N76" i="17"/>
  <c r="L83" i="17"/>
  <c r="F83" i="17"/>
  <c r="S71" i="17"/>
  <c r="N71" i="17"/>
  <c r="S70" i="17"/>
  <c r="S69" i="17"/>
  <c r="N69" i="17"/>
  <c r="S68" i="17"/>
  <c r="Q68" i="17"/>
  <c r="N68" i="17"/>
  <c r="S67" i="17"/>
  <c r="N67" i="17"/>
  <c r="S66" i="17"/>
  <c r="S65" i="17"/>
  <c r="S64" i="17"/>
  <c r="N64" i="17"/>
  <c r="S63" i="17"/>
  <c r="N63" i="17"/>
  <c r="S62" i="17"/>
  <c r="S61" i="17"/>
  <c r="S60" i="17"/>
  <c r="N60" i="17"/>
  <c r="S59" i="17"/>
  <c r="N59" i="17"/>
  <c r="S58" i="17"/>
  <c r="I72" i="17"/>
  <c r="S57" i="17"/>
  <c r="S56" i="17"/>
  <c r="N56" i="17"/>
  <c r="Q72" i="17"/>
  <c r="N55" i="17"/>
  <c r="L72" i="17"/>
  <c r="F72" i="17"/>
  <c r="N53" i="17"/>
  <c r="S53" i="17"/>
  <c r="S52" i="17"/>
  <c r="S51" i="17"/>
  <c r="S50" i="17"/>
  <c r="N50" i="17"/>
  <c r="N49" i="17"/>
  <c r="S49" i="17"/>
  <c r="S48" i="17"/>
  <c r="S47" i="17"/>
  <c r="N46" i="17"/>
  <c r="N45" i="17"/>
  <c r="S45" i="17"/>
  <c r="S44" i="17"/>
  <c r="I54" i="17"/>
  <c r="S43" i="17"/>
  <c r="Q54" i="17"/>
  <c r="N42" i="17"/>
  <c r="F54" i="17"/>
  <c r="E54" i="17" s="1"/>
  <c r="S40" i="17"/>
  <c r="P40" i="17"/>
  <c r="N40" i="17"/>
  <c r="K40" i="17"/>
  <c r="E40" i="17"/>
  <c r="P39" i="17"/>
  <c r="S39" i="17"/>
  <c r="K39" i="17"/>
  <c r="P38" i="17"/>
  <c r="N38" i="17"/>
  <c r="K38" i="17"/>
  <c r="N37" i="17"/>
  <c r="S37" i="17"/>
  <c r="S36" i="17"/>
  <c r="N36" i="17"/>
  <c r="S35" i="17"/>
  <c r="K34" i="17"/>
  <c r="N33" i="17"/>
  <c r="S33" i="17"/>
  <c r="S32" i="17"/>
  <c r="E32" i="17"/>
  <c r="Q41" i="17"/>
  <c r="L41" i="17"/>
  <c r="N31" i="17"/>
  <c r="S23" i="17"/>
  <c r="N23" i="17"/>
  <c r="H23" i="17"/>
  <c r="E23" i="17"/>
  <c r="Q24" i="17"/>
  <c r="N22" i="17"/>
  <c r="H22" i="17"/>
  <c r="F24" i="17"/>
  <c r="E22" i="17"/>
  <c r="S21" i="17"/>
  <c r="I24" i="17"/>
  <c r="H21" i="17"/>
  <c r="E21" i="17"/>
  <c r="R19" i="17"/>
  <c r="N19" i="17"/>
  <c r="H19" i="17"/>
  <c r="E19" i="17"/>
  <c r="P17" i="17"/>
  <c r="N17" i="17"/>
  <c r="S17" i="17"/>
  <c r="K17" i="17"/>
  <c r="H17" i="17"/>
  <c r="E17" i="17"/>
  <c r="P15" i="17"/>
  <c r="N15" i="17"/>
  <c r="S15" i="17"/>
  <c r="H15" i="17"/>
  <c r="D24" i="17"/>
  <c r="D13" i="17"/>
  <c r="P12" i="17"/>
  <c r="N12" i="17"/>
  <c r="M12" i="17"/>
  <c r="H12" i="17"/>
  <c r="E12" i="17"/>
  <c r="P11" i="17"/>
  <c r="S11" i="17"/>
  <c r="K11" i="17"/>
  <c r="H11" i="17"/>
  <c r="E11" i="17"/>
  <c r="P10" i="17"/>
  <c r="N10" i="17"/>
  <c r="R10" i="17"/>
  <c r="H10" i="17"/>
  <c r="E10" i="17"/>
  <c r="P9" i="17"/>
  <c r="N9" i="17"/>
  <c r="S9" i="17"/>
  <c r="M9" i="17"/>
  <c r="H9" i="17"/>
  <c r="F13" i="17"/>
  <c r="F27" i="17" s="1"/>
  <c r="E9" i="17"/>
  <c r="W8" i="17"/>
  <c r="S8" i="17"/>
  <c r="P8" i="17"/>
  <c r="N8" i="17"/>
  <c r="M8" i="17"/>
  <c r="H8" i="17"/>
  <c r="E8" i="17"/>
  <c r="S7" i="17"/>
  <c r="P7" i="17"/>
  <c r="N7" i="17"/>
  <c r="M7" i="17"/>
  <c r="H7" i="17"/>
  <c r="E7" i="17"/>
  <c r="S6" i="17"/>
  <c r="P6" i="17"/>
  <c r="N6" i="17"/>
  <c r="J13" i="17"/>
  <c r="I13" i="17"/>
  <c r="H6" i="17"/>
  <c r="E6" i="17"/>
  <c r="I27" i="17" l="1"/>
  <c r="G31" i="17"/>
  <c r="K41" i="17"/>
  <c r="S41" i="17"/>
  <c r="Q154" i="17"/>
  <c r="P152" i="17"/>
  <c r="K22" i="17"/>
  <c r="R22" i="17" s="1"/>
  <c r="K23" i="17"/>
  <c r="R23" i="17" s="1"/>
  <c r="J27" i="17"/>
  <c r="K21" i="17"/>
  <c r="R21" i="17" s="1"/>
  <c r="Q74" i="17"/>
  <c r="F107" i="17"/>
  <c r="D111" i="17"/>
  <c r="N104" i="17"/>
  <c r="N105" i="17" s="1"/>
  <c r="S104" i="17"/>
  <c r="S105" i="17" s="1"/>
  <c r="J24" i="17"/>
  <c r="K32" i="17" s="1"/>
  <c r="E36" i="17"/>
  <c r="E72" i="17"/>
  <c r="I107" i="17"/>
  <c r="H152" i="17" s="1"/>
  <c r="K82" i="17"/>
  <c r="J82" i="17" s="1"/>
  <c r="E13" i="17"/>
  <c r="E78" i="17"/>
  <c r="E39" i="17"/>
  <c r="E35" i="17"/>
  <c r="E34" i="17"/>
  <c r="E38" i="17"/>
  <c r="E24" i="17"/>
  <c r="E37" i="17"/>
  <c r="E33" i="17"/>
  <c r="E31" i="17"/>
  <c r="K10" i="17"/>
  <c r="S10" i="17"/>
  <c r="S13" i="17" s="1"/>
  <c r="M11" i="17"/>
  <c r="G13" i="17"/>
  <c r="G24" i="17" s="1"/>
  <c r="O13" i="17"/>
  <c r="E15" i="17"/>
  <c r="M15" i="17"/>
  <c r="M17" i="17"/>
  <c r="S42" i="17"/>
  <c r="S54" i="17" s="1"/>
  <c r="S46" i="17"/>
  <c r="L54" i="17"/>
  <c r="L74" i="17" s="1"/>
  <c r="S97" i="17"/>
  <c r="P118" i="17"/>
  <c r="P114" i="17"/>
  <c r="P117" i="17"/>
  <c r="P113" i="17"/>
  <c r="J107" i="17"/>
  <c r="K101" i="17"/>
  <c r="R101" i="17" s="1"/>
  <c r="P119" i="17"/>
  <c r="P115" i="17"/>
  <c r="N224" i="17"/>
  <c r="S224" i="17"/>
  <c r="S240" i="17"/>
  <c r="Q241" i="17"/>
  <c r="N266" i="17"/>
  <c r="L284" i="17"/>
  <c r="S266" i="17"/>
  <c r="R7" i="17"/>
  <c r="N70" i="17"/>
  <c r="N75" i="17"/>
  <c r="R94" i="17"/>
  <c r="R95" i="17"/>
  <c r="P99" i="17"/>
  <c r="K103" i="17"/>
  <c r="R103" i="17" s="1"/>
  <c r="K111" i="17"/>
  <c r="P120" i="17"/>
  <c r="F134" i="17"/>
  <c r="S125" i="17"/>
  <c r="N125" i="17"/>
  <c r="N132" i="17"/>
  <c r="S132" i="17"/>
  <c r="S139" i="17"/>
  <c r="N139" i="17"/>
  <c r="N146" i="17"/>
  <c r="S146" i="17"/>
  <c r="F172" i="17"/>
  <c r="P173" i="17"/>
  <c r="R171" i="17"/>
  <c r="O184" i="17"/>
  <c r="S177" i="17"/>
  <c r="L178" i="17"/>
  <c r="N177" i="17"/>
  <c r="N187" i="17"/>
  <c r="L188" i="17"/>
  <c r="I193" i="17"/>
  <c r="S200" i="17"/>
  <c r="S202" i="17"/>
  <c r="N202" i="17"/>
  <c r="S204" i="17"/>
  <c r="S208" i="17"/>
  <c r="Q249" i="17"/>
  <c r="N277" i="17"/>
  <c r="S277" i="17"/>
  <c r="S299" i="17"/>
  <c r="N299" i="17"/>
  <c r="R9" i="17"/>
  <c r="N11" i="17"/>
  <c r="N13" i="17" s="1"/>
  <c r="S19" i="17"/>
  <c r="N34" i="17"/>
  <c r="K9" i="17"/>
  <c r="M10" i="17"/>
  <c r="Q13" i="17"/>
  <c r="N21" i="17"/>
  <c r="D27" i="17"/>
  <c r="E27" i="17" s="1"/>
  <c r="S31" i="17"/>
  <c r="F41" i="17"/>
  <c r="N44" i="17"/>
  <c r="N48" i="17"/>
  <c r="N52" i="17"/>
  <c r="S55" i="17"/>
  <c r="S72" i="17" s="1"/>
  <c r="N58" i="17"/>
  <c r="N62" i="17"/>
  <c r="N66" i="17"/>
  <c r="N79" i="17"/>
  <c r="K94" i="17"/>
  <c r="S94" i="17"/>
  <c r="S96" i="17" s="1"/>
  <c r="K95" i="17"/>
  <c r="S95" i="17"/>
  <c r="L96" i="17"/>
  <c r="K96" i="17" s="1"/>
  <c r="S103" i="17"/>
  <c r="N103" i="17"/>
  <c r="K112" i="17"/>
  <c r="S123" i="17"/>
  <c r="S137" i="17"/>
  <c r="I162" i="17"/>
  <c r="G184" i="17"/>
  <c r="H173" i="17"/>
  <c r="P176" i="17"/>
  <c r="P209" i="17"/>
  <c r="S217" i="17"/>
  <c r="N240" i="17"/>
  <c r="N241" i="17" s="1"/>
  <c r="I249" i="17"/>
  <c r="N249" i="17" s="1"/>
  <c r="N250" i="17" s="1"/>
  <c r="I241" i="17"/>
  <c r="R6" i="17"/>
  <c r="D32" i="17"/>
  <c r="N35" i="17"/>
  <c r="J104" i="17"/>
  <c r="P111" i="17"/>
  <c r="J112" i="17"/>
  <c r="K113" i="17"/>
  <c r="K114" i="17"/>
  <c r="K115" i="17"/>
  <c r="L134" i="17"/>
  <c r="S122" i="17"/>
  <c r="S129" i="17"/>
  <c r="N129" i="17"/>
  <c r="S143" i="17"/>
  <c r="N143" i="17"/>
  <c r="N150" i="17"/>
  <c r="S150" i="17"/>
  <c r="N156" i="17"/>
  <c r="H176" i="17"/>
  <c r="E184" i="17"/>
  <c r="E193" i="17" s="1"/>
  <c r="N213" i="17"/>
  <c r="S213" i="17"/>
  <c r="P284" i="17"/>
  <c r="I265" i="17"/>
  <c r="N270" i="17"/>
  <c r="S270" i="17"/>
  <c r="R8" i="17"/>
  <c r="K6" i="17"/>
  <c r="K7" i="17"/>
  <c r="K8" i="17"/>
  <c r="L24" i="17"/>
  <c r="M6" i="17"/>
  <c r="M13" i="17" s="1"/>
  <c r="R12" i="17"/>
  <c r="S22" i="17"/>
  <c r="N39" i="17"/>
  <c r="D96" i="17"/>
  <c r="E115" i="17" s="1"/>
  <c r="M96" i="17"/>
  <c r="M97" i="17" s="1"/>
  <c r="V484" i="17"/>
  <c r="V401" i="17"/>
  <c r="AL439" i="17"/>
  <c r="AO439" i="17" s="1"/>
  <c r="AC496" i="17"/>
  <c r="AI496" i="17" s="1"/>
  <c r="AL442" i="17"/>
  <c r="C235" i="17"/>
  <c r="C167" i="17"/>
  <c r="C290" i="17"/>
  <c r="C355" i="17" s="1"/>
  <c r="K12" i="17"/>
  <c r="S12" i="17"/>
  <c r="J31" i="17"/>
  <c r="N32" i="17"/>
  <c r="S34" i="17"/>
  <c r="S38" i="17"/>
  <c r="I41" i="17"/>
  <c r="N41" i="17" s="1"/>
  <c r="N43" i="17"/>
  <c r="N54" i="17" s="1"/>
  <c r="N47" i="17"/>
  <c r="N51" i="17"/>
  <c r="N57" i="17"/>
  <c r="N72" i="17" s="1"/>
  <c r="N61" i="17"/>
  <c r="N65" i="17"/>
  <c r="N77" i="17"/>
  <c r="N78" i="17"/>
  <c r="K99" i="17"/>
  <c r="N101" i="17"/>
  <c r="F121" i="17"/>
  <c r="E111" i="17"/>
  <c r="N112" i="17"/>
  <c r="S113" i="17"/>
  <c r="K116" i="17"/>
  <c r="N122" i="17"/>
  <c r="S127" i="17"/>
  <c r="N136" i="17"/>
  <c r="S141" i="17"/>
  <c r="I185" i="17"/>
  <c r="F228" i="17"/>
  <c r="F230" i="17" s="1"/>
  <c r="Q250" i="17"/>
  <c r="R11" i="17"/>
  <c r="R15" i="17"/>
  <c r="C89" i="17"/>
  <c r="AL496" i="17" s="1"/>
  <c r="AO496" i="17" s="1"/>
  <c r="O96" i="17"/>
  <c r="S99" i="17"/>
  <c r="Q107" i="17"/>
  <c r="G111" i="17"/>
  <c r="S111" i="17"/>
  <c r="P112" i="17"/>
  <c r="S116" i="17"/>
  <c r="K117" i="17"/>
  <c r="K118" i="17"/>
  <c r="K119" i="17"/>
  <c r="N124" i="17"/>
  <c r="S124" i="17"/>
  <c r="S133" i="17"/>
  <c r="N133" i="17"/>
  <c r="F152" i="17"/>
  <c r="E152" i="17" s="1"/>
  <c r="N138" i="17"/>
  <c r="S138" i="17"/>
  <c r="S147" i="17"/>
  <c r="N147" i="17"/>
  <c r="S156" i="17"/>
  <c r="K158" i="17"/>
  <c r="J158" i="17" s="1"/>
  <c r="J184" i="17"/>
  <c r="K185" i="17" s="1"/>
  <c r="F175" i="17"/>
  <c r="L186" i="17"/>
  <c r="K193" i="17"/>
  <c r="N203" i="17"/>
  <c r="S203" i="17"/>
  <c r="N207" i="17"/>
  <c r="S207" i="17"/>
  <c r="L286" i="17"/>
  <c r="AO484" i="17"/>
  <c r="AO401" i="17"/>
  <c r="S290" i="17"/>
  <c r="S355" i="17"/>
  <c r="S235" i="17"/>
  <c r="L13" i="17"/>
  <c r="L27" i="17" s="1"/>
  <c r="K72" i="17" s="1"/>
  <c r="R17" i="17"/>
  <c r="K15" i="17"/>
  <c r="D31" i="17"/>
  <c r="G32" i="17"/>
  <c r="S89" i="17"/>
  <c r="G96" i="17"/>
  <c r="K102" i="17"/>
  <c r="R102" i="17" s="1"/>
  <c r="S117" i="17"/>
  <c r="K120" i="17"/>
  <c r="L121" i="17"/>
  <c r="N126" i="17"/>
  <c r="S167" i="17"/>
  <c r="M184" i="17"/>
  <c r="S187" i="17"/>
  <c r="I209" i="17"/>
  <c r="N197" i="17"/>
  <c r="N216" i="17"/>
  <c r="S216" i="17"/>
  <c r="E265" i="17"/>
  <c r="F286" i="17"/>
  <c r="E286" i="17" s="1"/>
  <c r="N273" i="17"/>
  <c r="S273" i="17"/>
  <c r="N99" i="17"/>
  <c r="I121" i="17"/>
  <c r="D112" i="17"/>
  <c r="P116" i="17"/>
  <c r="N117" i="17"/>
  <c r="S120" i="17"/>
  <c r="N128" i="17"/>
  <c r="S128" i="17"/>
  <c r="S130" i="17"/>
  <c r="S135" i="17"/>
  <c r="L152" i="17"/>
  <c r="N135" i="17"/>
  <c r="N142" i="17"/>
  <c r="S142" i="17"/>
  <c r="S144" i="17"/>
  <c r="S151" i="17"/>
  <c r="N151" i="17"/>
  <c r="D184" i="17"/>
  <c r="E185" i="17" s="1"/>
  <c r="L184" i="17"/>
  <c r="Q185" i="17"/>
  <c r="L209" i="17"/>
  <c r="Q228" i="17"/>
  <c r="P228" i="17" s="1"/>
  <c r="S214" i="17"/>
  <c r="N220" i="17"/>
  <c r="S220" i="17"/>
  <c r="F250" i="17"/>
  <c r="Q284" i="17"/>
  <c r="M303" i="17"/>
  <c r="J308" i="17"/>
  <c r="P361" i="17"/>
  <c r="R361" i="17"/>
  <c r="P376" i="17"/>
  <c r="I178" i="17"/>
  <c r="P179" i="17"/>
  <c r="S180" i="17"/>
  <c r="F184" i="17"/>
  <c r="N206" i="17"/>
  <c r="N212" i="17"/>
  <c r="N219" i="17"/>
  <c r="N223" i="17"/>
  <c r="N227" i="17"/>
  <c r="L228" i="17"/>
  <c r="L241" i="17"/>
  <c r="Q265" i="17"/>
  <c r="N265" i="17"/>
  <c r="N269" i="17"/>
  <c r="N272" i="17"/>
  <c r="N276" i="17"/>
  <c r="N280" i="17"/>
  <c r="E294" i="17"/>
  <c r="D303" i="17"/>
  <c r="O303" i="17"/>
  <c r="N297" i="17"/>
  <c r="E329" i="17"/>
  <c r="F350" i="17"/>
  <c r="E350" i="17" s="1"/>
  <c r="E348" i="17"/>
  <c r="S253" i="17"/>
  <c r="N256" i="17"/>
  <c r="N260" i="17"/>
  <c r="S261" i="17"/>
  <c r="N264" i="17"/>
  <c r="P265" i="17"/>
  <c r="E297" i="17"/>
  <c r="N300" i="17"/>
  <c r="H329" i="17"/>
  <c r="I350" i="17"/>
  <c r="H350" i="17" s="1"/>
  <c r="S362" i="17"/>
  <c r="K173" i="17"/>
  <c r="H184" i="17"/>
  <c r="P184" i="17"/>
  <c r="P193" i="17" s="1"/>
  <c r="Q194" i="17" s="1"/>
  <c r="N201" i="17"/>
  <c r="N205" i="17"/>
  <c r="K286" i="17"/>
  <c r="S265" i="17"/>
  <c r="H313" i="17"/>
  <c r="Q308" i="17"/>
  <c r="H308" i="17"/>
  <c r="N329" i="17"/>
  <c r="L350" i="17"/>
  <c r="S329" i="17"/>
  <c r="H361" i="17"/>
  <c r="M361" i="17"/>
  <c r="R240" i="17"/>
  <c r="K249" i="17"/>
  <c r="L250" i="17" s="1"/>
  <c r="L244" i="17"/>
  <c r="I244" i="17"/>
  <c r="N263" i="17"/>
  <c r="F288" i="17"/>
  <c r="H294" i="17"/>
  <c r="E295" i="17"/>
  <c r="N298" i="17"/>
  <c r="E306" i="17"/>
  <c r="Q350" i="17"/>
  <c r="S112" i="17"/>
  <c r="N200" i="17"/>
  <c r="N204" i="17"/>
  <c r="N208" i="17"/>
  <c r="N210" i="17"/>
  <c r="N214" i="17"/>
  <c r="N217" i="17"/>
  <c r="E298" i="17"/>
  <c r="N301" i="17"/>
  <c r="S301" i="17"/>
  <c r="I398" i="17"/>
  <c r="R301" i="17"/>
  <c r="P301" i="17"/>
  <c r="H348" i="17"/>
  <c r="I396" i="17"/>
  <c r="H396" i="17" s="1"/>
  <c r="H376" i="17"/>
  <c r="N174" i="17"/>
  <c r="F244" i="17"/>
  <c r="K284" i="17"/>
  <c r="S294" i="17"/>
  <c r="L303" i="17"/>
  <c r="E296" i="17"/>
  <c r="H303" i="17"/>
  <c r="E307" i="17"/>
  <c r="S376" i="17"/>
  <c r="L396" i="17"/>
  <c r="N376" i="17"/>
  <c r="K376" i="17"/>
  <c r="N319" i="17"/>
  <c r="S320" i="17"/>
  <c r="N323" i="17"/>
  <c r="S324" i="17"/>
  <c r="N327" i="17"/>
  <c r="S328" i="17"/>
  <c r="S330" i="17"/>
  <c r="S348" i="17" s="1"/>
  <c r="N333" i="17"/>
  <c r="S334" i="17"/>
  <c r="N336" i="17"/>
  <c r="S337" i="17"/>
  <c r="N340" i="17"/>
  <c r="S341" i="17"/>
  <c r="S345" i="17"/>
  <c r="J361" i="17"/>
  <c r="K361" i="17" s="1"/>
  <c r="AO457" i="17"/>
  <c r="S359" i="17"/>
  <c r="S370" i="17"/>
  <c r="S371" i="17"/>
  <c r="N378" i="17"/>
  <c r="N381" i="17"/>
  <c r="S382" i="17"/>
  <c r="S385" i="17"/>
  <c r="N318" i="17"/>
  <c r="N322" i="17"/>
  <c r="N326" i="17"/>
  <c r="N332" i="17"/>
  <c r="N339" i="17"/>
  <c r="L348" i="17"/>
  <c r="D361" i="17"/>
  <c r="E361" i="17" s="1"/>
  <c r="L361" i="17"/>
  <c r="S391" i="17"/>
  <c r="R294" i="17"/>
  <c r="R295" i="17"/>
  <c r="R296" i="17"/>
  <c r="R297" i="17"/>
  <c r="R298" i="17"/>
  <c r="R299" i="17"/>
  <c r="R306" i="17"/>
  <c r="R307" i="17"/>
  <c r="M359" i="17"/>
  <c r="N377" i="17"/>
  <c r="N394" i="17" s="1"/>
  <c r="S380" i="17"/>
  <c r="K294" i="17"/>
  <c r="K295" i="17"/>
  <c r="K296" i="17"/>
  <c r="K297" i="17"/>
  <c r="K298" i="17"/>
  <c r="K299" i="17"/>
  <c r="K300" i="17"/>
  <c r="K306" i="17"/>
  <c r="K307" i="17"/>
  <c r="N317" i="17"/>
  <c r="N321" i="17"/>
  <c r="N325" i="17"/>
  <c r="N331" i="17"/>
  <c r="N348" i="17" s="1"/>
  <c r="N335" i="17"/>
  <c r="N338" i="17"/>
  <c r="N342" i="17"/>
  <c r="N346" i="17"/>
  <c r="F376" i="17"/>
  <c r="S373" i="17"/>
  <c r="Q394" i="17"/>
  <c r="P394" i="17" s="1"/>
  <c r="S387" i="17"/>
  <c r="AI453" i="17"/>
  <c r="N372" i="17"/>
  <c r="N375" i="17"/>
  <c r="S377" i="17"/>
  <c r="N386" i="17"/>
  <c r="S392" i="17"/>
  <c r="N392" i="17"/>
  <c r="S317" i="17"/>
  <c r="AN453" i="17"/>
  <c r="AO453" i="17" s="1"/>
  <c r="AI457" i="17"/>
  <c r="S374" i="17"/>
  <c r="AO419" i="17"/>
  <c r="AH458" i="17"/>
  <c r="AI458" i="17" s="1"/>
  <c r="AI490" i="17"/>
  <c r="J537" i="17"/>
  <c r="K537" i="17" s="1"/>
  <c r="AN452" i="17"/>
  <c r="AH457" i="17"/>
  <c r="AN490" i="17"/>
  <c r="AO490" i="17" s="1"/>
  <c r="AH490" i="17"/>
  <c r="AH468" i="17"/>
  <c r="AI468" i="17" s="1"/>
  <c r="J517" i="17"/>
  <c r="K517" i="17" s="1"/>
  <c r="K503" i="17"/>
  <c r="AH455" i="17"/>
  <c r="AO468" i="17"/>
  <c r="O517" i="17"/>
  <c r="P517" i="17" s="1"/>
  <c r="P503" i="17"/>
  <c r="J527" i="17"/>
  <c r="K527" i="17" s="1"/>
  <c r="K526" i="17"/>
  <c r="AH454" i="17"/>
  <c r="AI454" i="17" s="1"/>
  <c r="AN457" i="17"/>
  <c r="AN468" i="17"/>
  <c r="P526" i="17"/>
  <c r="AN419" i="17"/>
  <c r="AH453" i="17"/>
  <c r="AN456" i="17"/>
  <c r="AO456" i="17" s="1"/>
  <c r="J520" i="17"/>
  <c r="O527" i="17"/>
  <c r="P527" i="17" s="1"/>
  <c r="J536" i="17"/>
  <c r="K536" i="17" s="1"/>
  <c r="AH452" i="17"/>
  <c r="AN455" i="17"/>
  <c r="AN491" i="17"/>
  <c r="AO491" i="17" s="1"/>
  <c r="AH491" i="17"/>
  <c r="P536" i="17"/>
  <c r="AH492" i="17"/>
  <c r="AI492" i="17" s="1"/>
  <c r="AH493" i="17"/>
  <c r="H38" i="17" l="1"/>
  <c r="H34" i="17"/>
  <c r="H24" i="17"/>
  <c r="H33" i="17"/>
  <c r="H37" i="17"/>
  <c r="H36" i="17"/>
  <c r="H40" i="17"/>
  <c r="H35" i="17"/>
  <c r="H32" i="17"/>
  <c r="H39" i="17"/>
  <c r="H31" i="17"/>
  <c r="S74" i="17"/>
  <c r="K74" i="17"/>
  <c r="S228" i="17"/>
  <c r="N228" i="17"/>
  <c r="Z471" i="17"/>
  <c r="AC436" i="17"/>
  <c r="AF424" i="17"/>
  <c r="Z408" i="17"/>
  <c r="AN465" i="17"/>
  <c r="AC415" i="17"/>
  <c r="Z428" i="17"/>
  <c r="L398" i="17"/>
  <c r="N361" i="17"/>
  <c r="S361" i="17"/>
  <c r="G104" i="17"/>
  <c r="H104" i="17" s="1"/>
  <c r="H96" i="17"/>
  <c r="H111" i="17"/>
  <c r="G107" i="17"/>
  <c r="H107" i="17" s="1"/>
  <c r="H120" i="17"/>
  <c r="H119" i="17"/>
  <c r="H118" i="17"/>
  <c r="H117" i="17"/>
  <c r="H116" i="17"/>
  <c r="H115" i="17"/>
  <c r="H114" i="17"/>
  <c r="H113" i="17"/>
  <c r="Z434" i="17"/>
  <c r="N350" i="17"/>
  <c r="S350" i="17"/>
  <c r="Q286" i="17"/>
  <c r="P286" i="17" s="1"/>
  <c r="AF429" i="17"/>
  <c r="AC443" i="17"/>
  <c r="Z479" i="17"/>
  <c r="AF444" i="17"/>
  <c r="AF408" i="17"/>
  <c r="AF413" i="17"/>
  <c r="AL423" i="17"/>
  <c r="AL441" i="17"/>
  <c r="Z476" i="17"/>
  <c r="AL430" i="17"/>
  <c r="AL448" i="17"/>
  <c r="AO448" i="17" s="1"/>
  <c r="AC473" i="17"/>
  <c r="AL428" i="17"/>
  <c r="AL446" i="17"/>
  <c r="AC494" i="17"/>
  <c r="AI494" i="17" s="1"/>
  <c r="AF417" i="17"/>
  <c r="Z440" i="17"/>
  <c r="AF464" i="17"/>
  <c r="AF423" i="17"/>
  <c r="AF441" i="17"/>
  <c r="Z477" i="17"/>
  <c r="AC416" i="17"/>
  <c r="AC439" i="17"/>
  <c r="AI439" i="17" s="1"/>
  <c r="AF472" i="17"/>
  <c r="AF496" i="17"/>
  <c r="AC422" i="17"/>
  <c r="AC430" i="17"/>
  <c r="AL474" i="17"/>
  <c r="AO474" i="17" s="1"/>
  <c r="Z464" i="17"/>
  <c r="S24" i="17"/>
  <c r="S25" i="17" s="1"/>
  <c r="N24" i="17"/>
  <c r="N25" i="17" s="1"/>
  <c r="J32" i="17"/>
  <c r="R13" i="17"/>
  <c r="R14" i="17" s="1"/>
  <c r="K78" i="17"/>
  <c r="F74" i="17"/>
  <c r="E41" i="17"/>
  <c r="F352" i="17"/>
  <c r="H134" i="17"/>
  <c r="P74" i="17"/>
  <c r="AC474" i="17"/>
  <c r="Z478" i="17"/>
  <c r="AF442" i="17"/>
  <c r="AC477" i="17"/>
  <c r="AI477" i="17" s="1"/>
  <c r="H209" i="17"/>
  <c r="I230" i="17"/>
  <c r="H230" i="17" s="1"/>
  <c r="AF426" i="17"/>
  <c r="AL424" i="17"/>
  <c r="AO424" i="17" s="1"/>
  <c r="AF439" i="17"/>
  <c r="AO452" i="17"/>
  <c r="L308" i="17"/>
  <c r="S303" i="17"/>
  <c r="S304" i="17" s="1"/>
  <c r="N303" i="17"/>
  <c r="N304" i="17" s="1"/>
  <c r="O308" i="17"/>
  <c r="R303" i="17"/>
  <c r="P303" i="17"/>
  <c r="F185" i="17"/>
  <c r="F193" i="17"/>
  <c r="K303" i="17"/>
  <c r="F154" i="17"/>
  <c r="E154" i="17" s="1"/>
  <c r="E121" i="17"/>
  <c r="R249" i="17"/>
  <c r="M249" i="17"/>
  <c r="D308" i="17"/>
  <c r="E303" i="17"/>
  <c r="M308" i="17"/>
  <c r="J313" i="17"/>
  <c r="K308" i="17"/>
  <c r="K209" i="17"/>
  <c r="L230" i="17"/>
  <c r="S209" i="17"/>
  <c r="N209" i="17"/>
  <c r="P102" i="17"/>
  <c r="Q158" i="17"/>
  <c r="O104" i="17"/>
  <c r="P104" i="17" s="1"/>
  <c r="P96" i="17"/>
  <c r="P101" i="17"/>
  <c r="O107" i="17"/>
  <c r="P103" i="17"/>
  <c r="AC438" i="17"/>
  <c r="AF477" i="17"/>
  <c r="Z411" i="17"/>
  <c r="Y411" i="17" s="1"/>
  <c r="Z463" i="17"/>
  <c r="AF436" i="17"/>
  <c r="Z442" i="17"/>
  <c r="Z427" i="17"/>
  <c r="Z444" i="17"/>
  <c r="AC479" i="17"/>
  <c r="Z435" i="17"/>
  <c r="AF463" i="17"/>
  <c r="AF476" i="17"/>
  <c r="Z433" i="17"/>
  <c r="Z449" i="17"/>
  <c r="Z409" i="17"/>
  <c r="Y409" i="17" s="1"/>
  <c r="Z423" i="17"/>
  <c r="AC441" i="17"/>
  <c r="AF470" i="17"/>
  <c r="AL426" i="17"/>
  <c r="AO426" i="17" s="1"/>
  <c r="AL444" i="17"/>
  <c r="AC495" i="17"/>
  <c r="AI495" i="17" s="1"/>
  <c r="Z421" i="17"/>
  <c r="AF440" i="17"/>
  <c r="Z474" i="17"/>
  <c r="AC462" i="17"/>
  <c r="AC423" i="17"/>
  <c r="AC431" i="17"/>
  <c r="AI431" i="17" s="1"/>
  <c r="AL475" i="17"/>
  <c r="AO475" i="17" s="1"/>
  <c r="H265" i="17"/>
  <c r="I286" i="17"/>
  <c r="H286" i="17" s="1"/>
  <c r="I194" i="17"/>
  <c r="H228" i="17"/>
  <c r="S284" i="17"/>
  <c r="U32" i="17"/>
  <c r="AL412" i="17"/>
  <c r="AC445" i="17"/>
  <c r="AC450" i="17"/>
  <c r="AI450" i="17" s="1"/>
  <c r="Z447" i="17"/>
  <c r="AC424" i="17"/>
  <c r="AI424" i="17" s="1"/>
  <c r="AL476" i="17"/>
  <c r="AO476" i="17" s="1"/>
  <c r="L185" i="17"/>
  <c r="L193" i="17"/>
  <c r="N184" i="17"/>
  <c r="N185" i="17" s="1"/>
  <c r="S184" i="17"/>
  <c r="S185" i="17" s="1"/>
  <c r="AF447" i="17"/>
  <c r="Z414" i="17"/>
  <c r="Y414" i="17" s="1"/>
  <c r="AC411" i="17"/>
  <c r="AL408" i="17"/>
  <c r="AL431" i="17"/>
  <c r="AF446" i="17"/>
  <c r="Z417" i="17"/>
  <c r="Y417" i="17" s="1"/>
  <c r="AF437" i="17"/>
  <c r="Z473" i="17"/>
  <c r="AL410" i="17"/>
  <c r="AF435" i="17"/>
  <c r="AC464" i="17"/>
  <c r="AI464" i="17" s="1"/>
  <c r="AF411" i="17"/>
  <c r="AL427" i="17"/>
  <c r="AL445" i="17"/>
  <c r="AC475" i="17"/>
  <c r="AF431" i="17"/>
  <c r="AH431" i="17" s="1"/>
  <c r="AC448" i="17"/>
  <c r="AI448" i="17" s="1"/>
  <c r="AC409" i="17"/>
  <c r="AL425" i="17"/>
  <c r="AO425" i="17" s="1"/>
  <c r="Z446" i="17"/>
  <c r="Z494" i="17"/>
  <c r="AF479" i="17"/>
  <c r="AC425" i="17"/>
  <c r="AI425" i="17" s="1"/>
  <c r="AL469" i="17"/>
  <c r="AL477" i="17"/>
  <c r="AO477" i="17" s="1"/>
  <c r="E114" i="17"/>
  <c r="E113" i="17"/>
  <c r="E112" i="17"/>
  <c r="D104" i="17"/>
  <c r="E104" i="17" s="1"/>
  <c r="E96" i="17"/>
  <c r="D107" i="17"/>
  <c r="E107" i="17" s="1"/>
  <c r="E120" i="17"/>
  <c r="E119" i="17"/>
  <c r="E118" i="17"/>
  <c r="E117" i="17"/>
  <c r="E116" i="17"/>
  <c r="H185" i="17"/>
  <c r="S249" i="17"/>
  <c r="S250" i="17" s="1"/>
  <c r="Q288" i="17"/>
  <c r="K54" i="17"/>
  <c r="G27" i="17"/>
  <c r="H27" i="17" s="1"/>
  <c r="H13" i="17"/>
  <c r="P154" i="17"/>
  <c r="AF428" i="17"/>
  <c r="AC434" i="17"/>
  <c r="Z430" i="17"/>
  <c r="AL464" i="17"/>
  <c r="AF462" i="17"/>
  <c r="I288" i="17"/>
  <c r="I250" i="17"/>
  <c r="N96" i="17"/>
  <c r="N97" i="17" s="1"/>
  <c r="L107" i="17"/>
  <c r="J111" i="17"/>
  <c r="N284" i="17"/>
  <c r="O27" i="17"/>
  <c r="R27" i="17" s="1"/>
  <c r="R28" i="17" s="1"/>
  <c r="P23" i="17"/>
  <c r="P21" i="17"/>
  <c r="P13" i="17"/>
  <c r="P22" i="17"/>
  <c r="AI452" i="17"/>
  <c r="N396" i="17"/>
  <c r="K396" i="17"/>
  <c r="S396" i="17"/>
  <c r="S152" i="17"/>
  <c r="N152" i="17"/>
  <c r="K152" i="17"/>
  <c r="L154" i="17"/>
  <c r="S121" i="17"/>
  <c r="N121" i="17"/>
  <c r="K121" i="17"/>
  <c r="I74" i="17"/>
  <c r="H74" i="17" s="1"/>
  <c r="H41" i="17"/>
  <c r="AF409" i="17"/>
  <c r="Q313" i="17"/>
  <c r="P350" i="17" s="1"/>
  <c r="H193" i="17"/>
  <c r="AC405" i="17" s="1"/>
  <c r="I186" i="17"/>
  <c r="Q396" i="17"/>
  <c r="I154" i="17"/>
  <c r="H154" i="17" s="1"/>
  <c r="H121" i="17"/>
  <c r="N286" i="17"/>
  <c r="L288" i="17"/>
  <c r="S286" i="17"/>
  <c r="AC412" i="17"/>
  <c r="AF412" i="17"/>
  <c r="AL421" i="17"/>
  <c r="Z445" i="17"/>
  <c r="Z410" i="17"/>
  <c r="Y410" i="17" s="1"/>
  <c r="Z415" i="17"/>
  <c r="Y415" i="17" s="1"/>
  <c r="AL433" i="17"/>
  <c r="AL449" i="17"/>
  <c r="AO449" i="17" s="1"/>
  <c r="AL417" i="17"/>
  <c r="AL440" i="17"/>
  <c r="AC476" i="17"/>
  <c r="AI476" i="17" s="1"/>
  <c r="AL414" i="17"/>
  <c r="AL438" i="17"/>
  <c r="AC470" i="17"/>
  <c r="Z413" i="17"/>
  <c r="Y413" i="17" s="1"/>
  <c r="Z431" i="17"/>
  <c r="Z448" i="17"/>
  <c r="AF478" i="17"/>
  <c r="AF433" i="17"/>
  <c r="AF449" i="17"/>
  <c r="AF410" i="17"/>
  <c r="Z429" i="17"/>
  <c r="AC447" i="17"/>
  <c r="Z495" i="17"/>
  <c r="Z416" i="17"/>
  <c r="Y416" i="17" s="1"/>
  <c r="AC426" i="17"/>
  <c r="AI426" i="17" s="1"/>
  <c r="AL470" i="17"/>
  <c r="AO470" i="17" s="1"/>
  <c r="AL478" i="17"/>
  <c r="AO478" i="17" s="1"/>
  <c r="Q230" i="17"/>
  <c r="E134" i="17"/>
  <c r="R96" i="17"/>
  <c r="R97" i="17" s="1"/>
  <c r="K27" i="17"/>
  <c r="M27" i="17"/>
  <c r="M28" i="17" s="1"/>
  <c r="P121" i="17"/>
  <c r="AL411" i="17"/>
  <c r="Z472" i="17"/>
  <c r="AL443" i="17"/>
  <c r="Z425" i="17"/>
  <c r="AL450" i="17"/>
  <c r="AO450" i="17" s="1"/>
  <c r="Z436" i="17"/>
  <c r="AL422" i="17"/>
  <c r="Z450" i="17"/>
  <c r="Z441" i="17"/>
  <c r="AF473" i="17"/>
  <c r="AC414" i="17"/>
  <c r="AC433" i="17"/>
  <c r="AC449" i="17"/>
  <c r="AI449" i="17" s="1"/>
  <c r="AL409" i="17"/>
  <c r="AL436" i="17"/>
  <c r="Z469" i="17"/>
  <c r="Z412" i="17"/>
  <c r="Y412" i="17" s="1"/>
  <c r="AF430" i="17"/>
  <c r="AF448" i="17"/>
  <c r="Z496" i="17"/>
  <c r="AC417" i="17"/>
  <c r="AC427" i="17"/>
  <c r="AL471" i="17"/>
  <c r="AO471" i="17" s="1"/>
  <c r="AL494" i="17"/>
  <c r="AO494" i="17" s="1"/>
  <c r="K104" i="17"/>
  <c r="M104" i="17"/>
  <c r="N178" i="17"/>
  <c r="N83" i="17"/>
  <c r="S241" i="17"/>
  <c r="R107" i="17"/>
  <c r="M107" i="17"/>
  <c r="M108" i="17" s="1"/>
  <c r="K107" i="17"/>
  <c r="F164" i="17"/>
  <c r="AC406" i="17"/>
  <c r="AC408" i="17"/>
  <c r="AF471" i="17"/>
  <c r="AC410" i="17"/>
  <c r="AF422" i="17"/>
  <c r="AF421" i="17"/>
  <c r="AL415" i="17"/>
  <c r="AC463" i="17"/>
  <c r="AI463" i="17" s="1"/>
  <c r="Z443" i="17"/>
  <c r="AL420" i="17"/>
  <c r="S394" i="17"/>
  <c r="F396" i="17"/>
  <c r="E376" i="17"/>
  <c r="I352" i="17"/>
  <c r="N27" i="17"/>
  <c r="L85" i="17"/>
  <c r="E228" i="17"/>
  <c r="Z420" i="17"/>
  <c r="AL429" i="17"/>
  <c r="AL434" i="17"/>
  <c r="AC435" i="17"/>
  <c r="AF469" i="17"/>
  <c r="Z437" i="17"/>
  <c r="AF416" i="17"/>
  <c r="AC437" i="17"/>
  <c r="AC471" i="17"/>
  <c r="Z426" i="17"/>
  <c r="AC444" i="17"/>
  <c r="AL463" i="17"/>
  <c r="Z424" i="17"/>
  <c r="AC442" i="17"/>
  <c r="Z475" i="17"/>
  <c r="AF415" i="17"/>
  <c r="AF434" i="17"/>
  <c r="AF450" i="17"/>
  <c r="AL413" i="17"/>
  <c r="Z439" i="17"/>
  <c r="AC472" i="17"/>
  <c r="AC413" i="17"/>
  <c r="AL435" i="17"/>
  <c r="AL462" i="17"/>
  <c r="AL465" i="17" s="1"/>
  <c r="AO465" i="17" s="1"/>
  <c r="AF494" i="17"/>
  <c r="AC420" i="17"/>
  <c r="AC428" i="17"/>
  <c r="AL472" i="17"/>
  <c r="AO472" i="17" s="1"/>
  <c r="AL495" i="17"/>
  <c r="AO495" i="17" s="1"/>
  <c r="Q27" i="17"/>
  <c r="S14" i="17"/>
  <c r="H112" i="17"/>
  <c r="K13" i="17"/>
  <c r="H54" i="17"/>
  <c r="H72" i="17"/>
  <c r="AC446" i="17"/>
  <c r="AF420" i="17"/>
  <c r="AF438" i="17"/>
  <c r="AF474" i="17"/>
  <c r="AF427" i="17"/>
  <c r="AF445" i="17"/>
  <c r="Z470" i="17"/>
  <c r="AF425" i="17"/>
  <c r="AF443" i="17"/>
  <c r="AC478" i="17"/>
  <c r="AI478" i="17" s="1"/>
  <c r="AL416" i="17"/>
  <c r="AL437" i="17"/>
  <c r="Z462" i="17"/>
  <c r="Z465" i="17" s="1"/>
  <c r="Z422" i="17"/>
  <c r="AC440" i="17"/>
  <c r="AF475" i="17"/>
  <c r="AF414" i="17"/>
  <c r="Z438" i="17"/>
  <c r="AC469" i="17"/>
  <c r="AF495" i="17"/>
  <c r="AC421" i="17"/>
  <c r="AC429" i="17"/>
  <c r="AL473" i="17"/>
  <c r="AO473" i="17" s="1"/>
  <c r="S134" i="17"/>
  <c r="N134" i="17"/>
  <c r="K134" i="17"/>
  <c r="R184" i="17"/>
  <c r="P185" i="17"/>
  <c r="P134" i="17"/>
  <c r="O24" i="17"/>
  <c r="K37" i="17"/>
  <c r="K33" i="17"/>
  <c r="K31" i="17"/>
  <c r="K36" i="17"/>
  <c r="M24" i="17"/>
  <c r="K35" i="17"/>
  <c r="K24" i="17"/>
  <c r="AB409" i="17" l="1"/>
  <c r="P32" i="17"/>
  <c r="P24" i="17"/>
  <c r="P33" i="17"/>
  <c r="P31" i="17"/>
  <c r="P34" i="17"/>
  <c r="P37" i="17"/>
  <c r="P36" i="17"/>
  <c r="P35" i="17"/>
  <c r="AI429" i="17"/>
  <c r="AN445" i="17"/>
  <c r="AH445" i="17"/>
  <c r="AN494" i="17"/>
  <c r="AH494" i="17"/>
  <c r="AH434" i="17"/>
  <c r="AN434" i="17"/>
  <c r="Z432" i="17"/>
  <c r="AN422" i="17"/>
  <c r="AO422" i="17" s="1"/>
  <c r="AH422" i="17"/>
  <c r="AO436" i="17"/>
  <c r="AF451" i="17"/>
  <c r="AH433" i="17"/>
  <c r="AN433" i="17"/>
  <c r="P396" i="17"/>
  <c r="Q398" i="17"/>
  <c r="AH462" i="17"/>
  <c r="AF465" i="17"/>
  <c r="AK410" i="17"/>
  <c r="I232" i="17"/>
  <c r="AN440" i="17"/>
  <c r="AH440" i="17"/>
  <c r="AI440" i="17" s="1"/>
  <c r="R108" i="17"/>
  <c r="P107" i="17"/>
  <c r="S230" i="17"/>
  <c r="N230" i="17"/>
  <c r="K230" i="17"/>
  <c r="AN426" i="17"/>
  <c r="AH426" i="17"/>
  <c r="AB416" i="17"/>
  <c r="AI416" i="17"/>
  <c r="AO446" i="17"/>
  <c r="AE413" i="17"/>
  <c r="AN413" i="17"/>
  <c r="AH413" i="17"/>
  <c r="Z418" i="17"/>
  <c r="Y408" i="17"/>
  <c r="N74" i="17"/>
  <c r="AK414" i="17"/>
  <c r="AB411" i="17"/>
  <c r="AN427" i="17"/>
  <c r="AH427" i="17"/>
  <c r="AH415" i="17"/>
  <c r="AE415" i="17"/>
  <c r="AN415" i="17"/>
  <c r="E396" i="17"/>
  <c r="F398" i="17"/>
  <c r="AB410" i="17"/>
  <c r="AI427" i="17"/>
  <c r="AK409" i="17"/>
  <c r="AO409" i="17"/>
  <c r="AN478" i="17"/>
  <c r="AH478" i="17"/>
  <c r="AO440" i="17"/>
  <c r="AH412" i="17"/>
  <c r="AN412" i="17"/>
  <c r="AE412" i="17"/>
  <c r="P27" i="17"/>
  <c r="AN447" i="17"/>
  <c r="AO447" i="17" s="1"/>
  <c r="AH447" i="17"/>
  <c r="R308" i="17"/>
  <c r="O313" i="17"/>
  <c r="P308" i="17"/>
  <c r="AF418" i="17"/>
  <c r="AH408" i="17"/>
  <c r="AI408" i="17" s="1"/>
  <c r="AN408" i="17"/>
  <c r="AE408" i="17"/>
  <c r="AH424" i="17"/>
  <c r="AN424" i="17"/>
  <c r="AN437" i="17"/>
  <c r="AO437" i="17" s="1"/>
  <c r="AH437" i="17"/>
  <c r="AI437" i="17" s="1"/>
  <c r="AI445" i="17"/>
  <c r="Z451" i="17"/>
  <c r="AN436" i="17"/>
  <c r="AH436" i="17"/>
  <c r="AH441" i="17"/>
  <c r="AN441" i="17"/>
  <c r="AN444" i="17"/>
  <c r="AO444" i="17" s="1"/>
  <c r="AH444" i="17"/>
  <c r="AI436" i="17"/>
  <c r="AH450" i="17"/>
  <c r="AN450" i="17"/>
  <c r="AH435" i="17"/>
  <c r="AN435" i="17"/>
  <c r="AI417" i="17"/>
  <c r="AB417" i="17"/>
  <c r="AO417" i="17"/>
  <c r="AK417" i="17"/>
  <c r="AC480" i="17"/>
  <c r="AA480" i="17" s="1"/>
  <c r="AN438" i="17"/>
  <c r="AH438" i="17"/>
  <c r="AL406" i="17"/>
  <c r="P41" i="17"/>
  <c r="P54" i="17"/>
  <c r="P72" i="17"/>
  <c r="AL432" i="17"/>
  <c r="AB408" i="17"/>
  <c r="AC418" i="17"/>
  <c r="AC451" i="17"/>
  <c r="AA451" i="17" s="1"/>
  <c r="AI433" i="17"/>
  <c r="Q352" i="17"/>
  <c r="P348" i="17"/>
  <c r="P329" i="17"/>
  <c r="S154" i="17"/>
  <c r="N154" i="17"/>
  <c r="K154" i="17"/>
  <c r="AI434" i="17"/>
  <c r="AH479" i="17"/>
  <c r="AI479" i="17" s="1"/>
  <c r="AE479" i="17"/>
  <c r="AD479" i="17"/>
  <c r="AO445" i="17"/>
  <c r="AK412" i="17"/>
  <c r="AO412" i="17"/>
  <c r="AN476" i="17"/>
  <c r="AH476" i="17"/>
  <c r="K313" i="17"/>
  <c r="M313" i="17"/>
  <c r="E74" i="17"/>
  <c r="F85" i="17"/>
  <c r="AH423" i="17"/>
  <c r="AN423" i="17"/>
  <c r="AO423" i="17" s="1"/>
  <c r="AC432" i="17"/>
  <c r="AA432" i="17" s="1"/>
  <c r="AH449" i="17"/>
  <c r="AN449" i="17"/>
  <c r="AN495" i="17"/>
  <c r="AH495" i="17"/>
  <c r="AO435" i="17"/>
  <c r="AN471" i="17"/>
  <c r="AH471" i="17"/>
  <c r="AI471" i="17" s="1"/>
  <c r="AI412" i="17"/>
  <c r="AB412" i="17"/>
  <c r="AK416" i="17"/>
  <c r="AO416" i="17"/>
  <c r="AB413" i="17"/>
  <c r="AI413" i="17"/>
  <c r="AF432" i="17"/>
  <c r="AN420" i="17"/>
  <c r="AO420" i="17" s="1"/>
  <c r="AH420" i="17"/>
  <c r="AI420" i="17" s="1"/>
  <c r="AN469" i="17"/>
  <c r="AO469" i="17" s="1"/>
  <c r="AH469" i="17"/>
  <c r="AI469" i="17" s="1"/>
  <c r="AF480" i="17"/>
  <c r="S27" i="17"/>
  <c r="S28" i="17" s="1"/>
  <c r="I85" i="17"/>
  <c r="AN448" i="17"/>
  <c r="AH448" i="17"/>
  <c r="AB414" i="17"/>
  <c r="AI414" i="17"/>
  <c r="AI447" i="17"/>
  <c r="AO433" i="17"/>
  <c r="AL451" i="17"/>
  <c r="N288" i="17"/>
  <c r="S288" i="17"/>
  <c r="I164" i="17"/>
  <c r="L164" i="17"/>
  <c r="N107" i="17"/>
  <c r="N108" i="17" s="1"/>
  <c r="S107" i="17"/>
  <c r="S108" i="17" s="1"/>
  <c r="AN428" i="17"/>
  <c r="AO428" i="17" s="1"/>
  <c r="AH428" i="17"/>
  <c r="AO427" i="17"/>
  <c r="AN446" i="17"/>
  <c r="AH446" i="17"/>
  <c r="N193" i="17"/>
  <c r="N194" i="17" s="1"/>
  <c r="L232" i="17"/>
  <c r="L194" i="17"/>
  <c r="S194" i="17"/>
  <c r="S193" i="17"/>
  <c r="AH463" i="17"/>
  <c r="S158" i="17"/>
  <c r="S162" i="17" s="1"/>
  <c r="Q162" i="17"/>
  <c r="Q164" i="17" s="1"/>
  <c r="L313" i="17"/>
  <c r="S308" i="17"/>
  <c r="S309" i="17" s="1"/>
  <c r="N308" i="17"/>
  <c r="N309" i="17" s="1"/>
  <c r="AH442" i="17"/>
  <c r="AI442" i="17" s="1"/>
  <c r="AN442" i="17"/>
  <c r="AO442" i="17" s="1"/>
  <c r="AI422" i="17"/>
  <c r="AH464" i="17"/>
  <c r="AO430" i="17"/>
  <c r="AI443" i="17"/>
  <c r="S398" i="17"/>
  <c r="N398" i="17"/>
  <c r="K228" i="17"/>
  <c r="AN474" i="17"/>
  <c r="AH474" i="17"/>
  <c r="AI474" i="17" s="1"/>
  <c r="AN416" i="17"/>
  <c r="AH416" i="17"/>
  <c r="AE416" i="17"/>
  <c r="AN414" i="17"/>
  <c r="AO414" i="17" s="1"/>
  <c r="AE414" i="17"/>
  <c r="AH414" i="17"/>
  <c r="AH443" i="17"/>
  <c r="AN443" i="17"/>
  <c r="AO443" i="17" s="1"/>
  <c r="AI446" i="17"/>
  <c r="AI435" i="17"/>
  <c r="N28" i="17"/>
  <c r="N85" i="17"/>
  <c r="AN430" i="17"/>
  <c r="AH430" i="17"/>
  <c r="AI430" i="17" s="1"/>
  <c r="AN473" i="17"/>
  <c r="AH473" i="17"/>
  <c r="AI473" i="17" s="1"/>
  <c r="P230" i="17"/>
  <c r="Q232" i="17"/>
  <c r="AN409" i="17"/>
  <c r="AH409" i="17"/>
  <c r="AI409" i="17" s="1"/>
  <c r="AE409" i="17"/>
  <c r="AH411" i="17"/>
  <c r="AI411" i="17" s="1"/>
  <c r="AN411" i="17"/>
  <c r="AO411" i="17" s="1"/>
  <c r="AE411" i="17"/>
  <c r="AI423" i="17"/>
  <c r="AN470" i="17"/>
  <c r="AH470" i="17"/>
  <c r="AI470" i="17" s="1"/>
  <c r="AN477" i="17"/>
  <c r="AH477" i="17"/>
  <c r="F232" i="17"/>
  <c r="F194" i="17"/>
  <c r="Z406" i="17"/>
  <c r="E209" i="17"/>
  <c r="AN496" i="17"/>
  <c r="AH496" i="17"/>
  <c r="AN429" i="17"/>
  <c r="AO429" i="17" s="1"/>
  <c r="AH429" i="17"/>
  <c r="AF405" i="17"/>
  <c r="AN421" i="17"/>
  <c r="AO421" i="17" s="1"/>
  <c r="AH421" i="17"/>
  <c r="AI421" i="17" s="1"/>
  <c r="Z480" i="17"/>
  <c r="X480" i="17" s="1"/>
  <c r="AH475" i="17"/>
  <c r="AI475" i="17" s="1"/>
  <c r="AN475" i="17"/>
  <c r="AH425" i="17"/>
  <c r="AN425" i="17"/>
  <c r="AI428" i="17"/>
  <c r="AK413" i="17"/>
  <c r="AO413" i="17"/>
  <c r="AI444" i="17"/>
  <c r="AO434" i="17"/>
  <c r="AO415" i="17"/>
  <c r="AK415" i="17"/>
  <c r="AK411" i="17"/>
  <c r="AN410" i="17"/>
  <c r="AO410" i="17" s="1"/>
  <c r="AE410" i="17"/>
  <c r="AH410" i="17"/>
  <c r="AI410" i="17" s="1"/>
  <c r="AO438" i="17"/>
  <c r="AK408" i="17"/>
  <c r="AL418" i="17"/>
  <c r="AO408" i="17"/>
  <c r="AI462" i="17"/>
  <c r="AC465" i="17"/>
  <c r="AI441" i="17"/>
  <c r="AI438" i="17"/>
  <c r="D313" i="17"/>
  <c r="E308" i="17"/>
  <c r="AN439" i="17"/>
  <c r="AH439" i="17"/>
  <c r="AN472" i="17"/>
  <c r="AH472" i="17"/>
  <c r="AI472" i="17" s="1"/>
  <c r="AH417" i="17"/>
  <c r="AE417" i="17"/>
  <c r="AN417" i="17"/>
  <c r="AO441" i="17"/>
  <c r="AI415" i="17"/>
  <c r="AB415" i="17"/>
  <c r="E230" i="17"/>
  <c r="AN418" i="17" l="1"/>
  <c r="AF467" i="17"/>
  <c r="AH418" i="17"/>
  <c r="AI418" i="17" s="1"/>
  <c r="AH465" i="17"/>
  <c r="S82" i="17"/>
  <c r="S83" i="17" s="1"/>
  <c r="S85" i="17" s="1"/>
  <c r="Q83" i="17"/>
  <c r="Q85" i="17" s="1"/>
  <c r="AL479" i="17"/>
  <c r="AG415" i="17"/>
  <c r="AM415" i="17"/>
  <c r="AG412" i="17"/>
  <c r="AM412" i="17"/>
  <c r="AH432" i="17"/>
  <c r="AI432" i="17" s="1"/>
  <c r="AD432" i="17"/>
  <c r="AN432" i="17"/>
  <c r="AO432" i="17" s="1"/>
  <c r="R313" i="17"/>
  <c r="P313" i="17"/>
  <c r="AL405" i="17"/>
  <c r="X432" i="17"/>
  <c r="Z482" i="17"/>
  <c r="AM409" i="17"/>
  <c r="AG409" i="17"/>
  <c r="AO451" i="17"/>
  <c r="Z467" i="17"/>
  <c r="X467" i="17" s="1"/>
  <c r="X418" i="17"/>
  <c r="AN451" i="17"/>
  <c r="AM410" i="17"/>
  <c r="AG410" i="17"/>
  <c r="AG411" i="17"/>
  <c r="AM411" i="17"/>
  <c r="AL467" i="17"/>
  <c r="AO418" i="17"/>
  <c r="AM414" i="17"/>
  <c r="AG414" i="17"/>
  <c r="AG408" i="17"/>
  <c r="AM408" i="17"/>
  <c r="X465" i="17"/>
  <c r="AH451" i="17"/>
  <c r="AI451" i="17" s="1"/>
  <c r="AM417" i="17"/>
  <c r="AG417" i="17"/>
  <c r="S164" i="17"/>
  <c r="N164" i="17"/>
  <c r="AJ465" i="17"/>
  <c r="AJ418" i="17"/>
  <c r="AJ451" i="17"/>
  <c r="AJ432" i="17"/>
  <c r="R193" i="17"/>
  <c r="M193" i="17"/>
  <c r="AH480" i="17"/>
  <c r="AI480" i="17" s="1"/>
  <c r="AD480" i="17"/>
  <c r="AA465" i="17"/>
  <c r="AI465" i="17"/>
  <c r="E313" i="17"/>
  <c r="Z405" i="17"/>
  <c r="AM416" i="17"/>
  <c r="AG416" i="17"/>
  <c r="S313" i="17"/>
  <c r="S314" i="17" s="1"/>
  <c r="L352" i="17"/>
  <c r="N313" i="17"/>
  <c r="N314" i="17" s="1"/>
  <c r="K329" i="17"/>
  <c r="AF406" i="17"/>
  <c r="K348" i="17"/>
  <c r="K350" i="17"/>
  <c r="N232" i="17"/>
  <c r="S232" i="17"/>
  <c r="AC467" i="17"/>
  <c r="AA418" i="17"/>
  <c r="X451" i="17"/>
  <c r="AM413" i="17"/>
  <c r="AG413" i="17"/>
  <c r="AD465" i="17"/>
  <c r="Y482" i="17" l="1"/>
  <c r="Z488" i="17"/>
  <c r="AF482" i="17"/>
  <c r="AN406" i="17"/>
  <c r="AO406" i="17" s="1"/>
  <c r="AH406" i="17"/>
  <c r="AI406" i="17" s="1"/>
  <c r="AD418" i="17"/>
  <c r="AL480" i="17"/>
  <c r="AN479" i="17"/>
  <c r="AO479" i="17" s="1"/>
  <c r="AN467" i="17"/>
  <c r="AO467" i="17" s="1"/>
  <c r="AH467" i="17"/>
  <c r="AI467" i="17" s="1"/>
  <c r="AD467" i="17"/>
  <c r="AJ467" i="17"/>
  <c r="AA467" i="17"/>
  <c r="AC482" i="17"/>
  <c r="S352" i="17"/>
  <c r="N352" i="17"/>
  <c r="AD451" i="17"/>
  <c r="AN480" i="17" l="1"/>
  <c r="AO480" i="17" s="1"/>
  <c r="AL482" i="17"/>
  <c r="AN482" i="17" s="1"/>
  <c r="AC488" i="17"/>
  <c r="AB482" i="17"/>
  <c r="AH482" i="17"/>
  <c r="AI482" i="17" s="1"/>
  <c r="AF488" i="17"/>
  <c r="AE482" i="17"/>
  <c r="Y488" i="17"/>
  <c r="Z497" i="17"/>
  <c r="AN488" i="17" l="1"/>
  <c r="AF497" i="17"/>
  <c r="AH488" i="17"/>
  <c r="AI488" i="17" s="1"/>
  <c r="AE488" i="17"/>
  <c r="AB488" i="17"/>
  <c r="AC497" i="17"/>
  <c r="Z499" i="17"/>
  <c r="AC499" i="17" s="1"/>
  <c r="Y497" i="17"/>
  <c r="Z500" i="17"/>
  <c r="AO482" i="17"/>
  <c r="AL488" i="17"/>
  <c r="AK482" i="17"/>
  <c r="AB497" i="17" l="1"/>
  <c r="AC500" i="17"/>
  <c r="AF499" i="17"/>
  <c r="AH497" i="17"/>
  <c r="AI497" i="17" s="1"/>
  <c r="AE497" i="17"/>
  <c r="AN497" i="17"/>
  <c r="AF500" i="17"/>
  <c r="AO488" i="17"/>
  <c r="AL497" i="17"/>
  <c r="AK488" i="17"/>
  <c r="AO497" i="17" l="1"/>
  <c r="AL500" i="17"/>
  <c r="AK497" i="17"/>
  <c r="J536" i="16" l="1"/>
  <c r="K536" i="16" s="1"/>
  <c r="P531" i="16"/>
  <c r="K531" i="16"/>
  <c r="J532" i="16"/>
  <c r="K532" i="16" s="1"/>
  <c r="O527" i="16"/>
  <c r="P527" i="16" s="1"/>
  <c r="J527" i="16"/>
  <c r="K527" i="16" s="1"/>
  <c r="O535" i="16"/>
  <c r="J535" i="16"/>
  <c r="P510" i="16"/>
  <c r="K510" i="16"/>
  <c r="O511" i="16"/>
  <c r="P511" i="16" s="1"/>
  <c r="J511" i="16"/>
  <c r="K511" i="16" s="1"/>
  <c r="O520" i="16"/>
  <c r="O517" i="16"/>
  <c r="K503" i="16"/>
  <c r="J517" i="16"/>
  <c r="O504" i="16"/>
  <c r="P504" i="16" s="1"/>
  <c r="J504" i="16"/>
  <c r="K504" i="16" s="1"/>
  <c r="AO493" i="16"/>
  <c r="AN493" i="16"/>
  <c r="AI493" i="16"/>
  <c r="AN492" i="16"/>
  <c r="AI491" i="16"/>
  <c r="AO481" i="16"/>
  <c r="AN481" i="16"/>
  <c r="AH468" i="16"/>
  <c r="AI468" i="16" s="1"/>
  <c r="AO466" i="16"/>
  <c r="AN466" i="16"/>
  <c r="AH466" i="16"/>
  <c r="AO460" i="16"/>
  <c r="AN460" i="16"/>
  <c r="AN459" i="16"/>
  <c r="AO459" i="16" s="1"/>
  <c r="AH459" i="16"/>
  <c r="AI459" i="16" s="1"/>
  <c r="AI458" i="16"/>
  <c r="AH458" i="16"/>
  <c r="AH457" i="16"/>
  <c r="AI457" i="16" s="1"/>
  <c r="AO455" i="16"/>
  <c r="AN455" i="16"/>
  <c r="AI455" i="16"/>
  <c r="AO454" i="16"/>
  <c r="AH454" i="16"/>
  <c r="AN454" i="16"/>
  <c r="AI454" i="16"/>
  <c r="AN453" i="16"/>
  <c r="AO453" i="16" s="1"/>
  <c r="S393" i="16"/>
  <c r="S392" i="16"/>
  <c r="N392" i="16"/>
  <c r="S390" i="16"/>
  <c r="N390" i="16"/>
  <c r="S389" i="16"/>
  <c r="N389" i="16"/>
  <c r="S388" i="16"/>
  <c r="N386" i="16"/>
  <c r="S385" i="16"/>
  <c r="N385" i="16"/>
  <c r="S384" i="16"/>
  <c r="N382" i="16"/>
  <c r="S381" i="16"/>
  <c r="N381" i="16"/>
  <c r="S380" i="16"/>
  <c r="N378" i="16"/>
  <c r="S377" i="16"/>
  <c r="L394" i="16"/>
  <c r="K394" i="16" s="1"/>
  <c r="I394" i="16"/>
  <c r="H394" i="16" s="1"/>
  <c r="F394" i="16"/>
  <c r="S375" i="16"/>
  <c r="N374" i="16"/>
  <c r="S372" i="16"/>
  <c r="S371" i="16"/>
  <c r="N371" i="16"/>
  <c r="S370" i="16"/>
  <c r="N369" i="16"/>
  <c r="S368" i="16"/>
  <c r="N368" i="16"/>
  <c r="N367" i="16"/>
  <c r="S367" i="16"/>
  <c r="S366" i="16"/>
  <c r="S365" i="16"/>
  <c r="S364" i="16"/>
  <c r="Q376" i="16"/>
  <c r="L376" i="16"/>
  <c r="I376" i="16"/>
  <c r="N362" i="16"/>
  <c r="R359" i="16"/>
  <c r="Q361" i="16"/>
  <c r="P359" i="16"/>
  <c r="L361" i="16"/>
  <c r="K359" i="16"/>
  <c r="I361" i="16"/>
  <c r="G361" i="16"/>
  <c r="F361" i="16"/>
  <c r="D361" i="16"/>
  <c r="E361" i="16" s="1"/>
  <c r="N351" i="16"/>
  <c r="S347" i="16"/>
  <c r="N347" i="16"/>
  <c r="S346" i="16"/>
  <c r="S345" i="16"/>
  <c r="N345" i="16"/>
  <c r="Q344" i="16"/>
  <c r="N344" i="16"/>
  <c r="S344" i="16"/>
  <c r="S343" i="16"/>
  <c r="S342" i="16"/>
  <c r="S341" i="16"/>
  <c r="N341" i="16"/>
  <c r="S340" i="16"/>
  <c r="S339" i="16"/>
  <c r="S338" i="16"/>
  <c r="S337" i="16"/>
  <c r="N337" i="16"/>
  <c r="S336" i="16"/>
  <c r="S335" i="16"/>
  <c r="N334" i="16"/>
  <c r="S333" i="16"/>
  <c r="S332" i="16"/>
  <c r="I348" i="16"/>
  <c r="S331" i="16"/>
  <c r="Q348" i="16"/>
  <c r="N330" i="16"/>
  <c r="F348" i="16"/>
  <c r="N328" i="16"/>
  <c r="I329" i="16"/>
  <c r="I350" i="16" s="1"/>
  <c r="F329" i="16"/>
  <c r="R311" i="16"/>
  <c r="P311" i="16"/>
  <c r="N311" i="16"/>
  <c r="S311" i="16"/>
  <c r="K311" i="16"/>
  <c r="H311" i="16"/>
  <c r="M311" i="16"/>
  <c r="E311" i="16"/>
  <c r="S307" i="16"/>
  <c r="P307" i="16"/>
  <c r="N307" i="16"/>
  <c r="K307" i="16"/>
  <c r="M307" i="16"/>
  <c r="H307" i="16"/>
  <c r="E307" i="16"/>
  <c r="R306" i="16"/>
  <c r="P306" i="16"/>
  <c r="N306" i="16"/>
  <c r="H306" i="16"/>
  <c r="E306" i="16"/>
  <c r="Q303" i="16"/>
  <c r="F303" i="16"/>
  <c r="F308" i="16" s="1"/>
  <c r="F313" i="16" s="1"/>
  <c r="R302" i="16"/>
  <c r="P302" i="16"/>
  <c r="K302" i="16"/>
  <c r="H302" i="16"/>
  <c r="E302" i="16"/>
  <c r="R301" i="16"/>
  <c r="N301" i="16"/>
  <c r="K301" i="16"/>
  <c r="H301" i="16"/>
  <c r="E301" i="16"/>
  <c r="S300" i="16"/>
  <c r="P300" i="16"/>
  <c r="R300" i="16"/>
  <c r="N300" i="16"/>
  <c r="H300" i="16"/>
  <c r="E300" i="16"/>
  <c r="R299" i="16"/>
  <c r="P299" i="16"/>
  <c r="N299" i="16"/>
  <c r="K299" i="16"/>
  <c r="H299" i="16"/>
  <c r="E299" i="16"/>
  <c r="S298" i="16"/>
  <c r="R298" i="16"/>
  <c r="N298" i="16"/>
  <c r="K298" i="16"/>
  <c r="M298" i="16"/>
  <c r="H298" i="16"/>
  <c r="R297" i="16"/>
  <c r="P297" i="16"/>
  <c r="N297" i="16"/>
  <c r="H297" i="16"/>
  <c r="E297" i="16"/>
  <c r="S296" i="16"/>
  <c r="P296" i="16"/>
  <c r="R296" i="16"/>
  <c r="N296" i="16"/>
  <c r="I303" i="16"/>
  <c r="I308" i="16" s="1"/>
  <c r="I313" i="16" s="1"/>
  <c r="H296" i="16"/>
  <c r="P295" i="16"/>
  <c r="N295" i="16"/>
  <c r="S295" i="16"/>
  <c r="R295" i="16"/>
  <c r="H295" i="16"/>
  <c r="E295" i="16"/>
  <c r="S294" i="16"/>
  <c r="O303" i="16"/>
  <c r="O308" i="16" s="1"/>
  <c r="O313" i="16" s="1"/>
  <c r="N294" i="16"/>
  <c r="K294" i="16"/>
  <c r="M294" i="16"/>
  <c r="H294" i="16"/>
  <c r="N287" i="16"/>
  <c r="S283" i="16"/>
  <c r="N283" i="16"/>
  <c r="S282" i="16"/>
  <c r="N282" i="16"/>
  <c r="Q280" i="16"/>
  <c r="N280" i="16"/>
  <c r="S280" i="16"/>
  <c r="S279" i="16"/>
  <c r="N279" i="16"/>
  <c r="S278" i="16"/>
  <c r="N278" i="16"/>
  <c r="S276" i="16"/>
  <c r="S275" i="16"/>
  <c r="N275" i="16"/>
  <c r="S274" i="16"/>
  <c r="N274" i="16"/>
  <c r="S272" i="16"/>
  <c r="S271" i="16"/>
  <c r="N271" i="16"/>
  <c r="S269" i="16"/>
  <c r="S268" i="16"/>
  <c r="I284" i="16"/>
  <c r="H284" i="16" s="1"/>
  <c r="S267" i="16"/>
  <c r="N267" i="16"/>
  <c r="K265" i="16"/>
  <c r="S264" i="16"/>
  <c r="N264" i="16"/>
  <c r="S262" i="16"/>
  <c r="N262" i="16"/>
  <c r="S261" i="16"/>
  <c r="N261" i="16"/>
  <c r="S260" i="16"/>
  <c r="N260" i="16"/>
  <c r="S259" i="16"/>
  <c r="S258" i="16"/>
  <c r="N258" i="16"/>
  <c r="S257" i="16"/>
  <c r="N257" i="16"/>
  <c r="S256" i="16"/>
  <c r="N256" i="16"/>
  <c r="S255" i="16"/>
  <c r="S254" i="16"/>
  <c r="Q265" i="16"/>
  <c r="N254" i="16"/>
  <c r="S253" i="16"/>
  <c r="N253" i="16"/>
  <c r="L265" i="16"/>
  <c r="F265" i="16"/>
  <c r="L249" i="16"/>
  <c r="K249" i="16"/>
  <c r="N247" i="16"/>
  <c r="L247" i="16"/>
  <c r="I247" i="16"/>
  <c r="F247" i="16"/>
  <c r="S247" i="16"/>
  <c r="R246" i="16"/>
  <c r="N246" i="16"/>
  <c r="S246" i="16"/>
  <c r="M246" i="16"/>
  <c r="L244" i="16"/>
  <c r="Q249" i="16"/>
  <c r="R243" i="16"/>
  <c r="S243" i="16"/>
  <c r="M243" i="16"/>
  <c r="N243" i="16"/>
  <c r="N244" i="16" s="1"/>
  <c r="F244" i="16"/>
  <c r="I241" i="16"/>
  <c r="P249" i="16"/>
  <c r="R240" i="16"/>
  <c r="M240" i="16"/>
  <c r="S240" i="16"/>
  <c r="H249" i="16"/>
  <c r="N231" i="16"/>
  <c r="S227" i="16"/>
  <c r="N227" i="16"/>
  <c r="S224" i="16"/>
  <c r="Q224" i="16"/>
  <c r="N224" i="16"/>
  <c r="S223" i="16"/>
  <c r="N223" i="16"/>
  <c r="S220" i="16"/>
  <c r="S219" i="16"/>
  <c r="N219" i="16"/>
  <c r="S216" i="16"/>
  <c r="S213" i="16"/>
  <c r="S212" i="16"/>
  <c r="N212" i="16"/>
  <c r="S211" i="16"/>
  <c r="N211" i="16"/>
  <c r="I228" i="16"/>
  <c r="S208" i="16"/>
  <c r="N206" i="16"/>
  <c r="S205" i="16"/>
  <c r="N205" i="16"/>
  <c r="N204" i="16"/>
  <c r="N202" i="16"/>
  <c r="S201" i="16"/>
  <c r="N201" i="16"/>
  <c r="Y199" i="16"/>
  <c r="S199" i="16"/>
  <c r="S198" i="16"/>
  <c r="N198" i="16"/>
  <c r="S197" i="16"/>
  <c r="N197" i="16"/>
  <c r="I209" i="16"/>
  <c r="I230" i="16" s="1"/>
  <c r="Q191" i="16"/>
  <c r="L191" i="16"/>
  <c r="I191" i="16"/>
  <c r="F191" i="16"/>
  <c r="R187" i="16"/>
  <c r="Q188" i="16"/>
  <c r="N187" i="16"/>
  <c r="M187" i="16"/>
  <c r="L188" i="16"/>
  <c r="F188" i="16"/>
  <c r="G184" i="16"/>
  <c r="S183" i="16"/>
  <c r="N183" i="16"/>
  <c r="P181" i="16"/>
  <c r="M181" i="16"/>
  <c r="L181" i="16"/>
  <c r="K181" i="16"/>
  <c r="Q181" i="16"/>
  <c r="R180" i="16"/>
  <c r="S180" i="16"/>
  <c r="I181" i="16"/>
  <c r="M180" i="16"/>
  <c r="F181" i="16"/>
  <c r="E179" i="16"/>
  <c r="R178" i="16"/>
  <c r="S177" i="16"/>
  <c r="Q178" i="16"/>
  <c r="P179" i="16"/>
  <c r="N177" i="16"/>
  <c r="M177" i="16"/>
  <c r="H179" i="16"/>
  <c r="F178" i="16"/>
  <c r="P176" i="16"/>
  <c r="K176" i="16"/>
  <c r="H176" i="16"/>
  <c r="V175" i="16"/>
  <c r="I175" i="16"/>
  <c r="Q175" i="16"/>
  <c r="R174" i="16"/>
  <c r="M174" i="16"/>
  <c r="L175" i="16"/>
  <c r="V174" i="16"/>
  <c r="N174" i="16"/>
  <c r="F175" i="16"/>
  <c r="E176" i="16"/>
  <c r="P173" i="16"/>
  <c r="H173" i="16"/>
  <c r="L172" i="16"/>
  <c r="Q172" i="16"/>
  <c r="R171" i="16"/>
  <c r="M171" i="16"/>
  <c r="K173" i="16"/>
  <c r="I184" i="16"/>
  <c r="F172" i="16"/>
  <c r="S161" i="16"/>
  <c r="N161" i="16"/>
  <c r="S159" i="16"/>
  <c r="S157" i="16"/>
  <c r="S156" i="16"/>
  <c r="N156" i="16"/>
  <c r="N155" i="16"/>
  <c r="F162" i="16"/>
  <c r="N151" i="16"/>
  <c r="S151" i="16"/>
  <c r="S150" i="16"/>
  <c r="N150" i="16"/>
  <c r="S149" i="16"/>
  <c r="Q148" i="16"/>
  <c r="S148" i="16" s="1"/>
  <c r="S147" i="16"/>
  <c r="N147" i="16"/>
  <c r="S146" i="16"/>
  <c r="N146" i="16"/>
  <c r="S143" i="16"/>
  <c r="N143" i="16"/>
  <c r="S142" i="16"/>
  <c r="S141" i="16"/>
  <c r="S140" i="16"/>
  <c r="N140" i="16"/>
  <c r="S139" i="16"/>
  <c r="N138" i="16"/>
  <c r="S138" i="16"/>
  <c r="N137" i="16"/>
  <c r="N135" i="16"/>
  <c r="S135" i="16"/>
  <c r="F152" i="16"/>
  <c r="S133" i="16"/>
  <c r="S132" i="16"/>
  <c r="N132" i="16"/>
  <c r="S131" i="16"/>
  <c r="N130" i="16"/>
  <c r="S129" i="16"/>
  <c r="N129" i="16"/>
  <c r="S128" i="16"/>
  <c r="N127" i="16"/>
  <c r="S126" i="16"/>
  <c r="S125" i="16"/>
  <c r="S124" i="16"/>
  <c r="S123" i="16"/>
  <c r="Q134" i="16"/>
  <c r="N122" i="16"/>
  <c r="L134" i="16"/>
  <c r="F134" i="16"/>
  <c r="S120" i="16"/>
  <c r="N120" i="16"/>
  <c r="S119" i="16"/>
  <c r="N119" i="16"/>
  <c r="S118" i="16"/>
  <c r="S117" i="16"/>
  <c r="S116" i="16"/>
  <c r="N116" i="16"/>
  <c r="S115" i="16"/>
  <c r="N115" i="16"/>
  <c r="S114" i="16"/>
  <c r="S113" i="16"/>
  <c r="S112" i="16"/>
  <c r="N112" i="16"/>
  <c r="Q121" i="16"/>
  <c r="I121" i="16"/>
  <c r="F121" i="16"/>
  <c r="I104" i="16"/>
  <c r="G112" i="16" s="1"/>
  <c r="Q104" i="16"/>
  <c r="N103" i="16"/>
  <c r="H103" i="16"/>
  <c r="E103" i="16"/>
  <c r="S102" i="16"/>
  <c r="H102" i="16"/>
  <c r="E102" i="16"/>
  <c r="S101" i="16"/>
  <c r="N101" i="16"/>
  <c r="H101" i="16"/>
  <c r="F104" i="16"/>
  <c r="E101" i="16"/>
  <c r="P99" i="16"/>
  <c r="N99" i="16"/>
  <c r="M99" i="16"/>
  <c r="H99" i="16"/>
  <c r="E99" i="16"/>
  <c r="H97" i="16"/>
  <c r="E97" i="16"/>
  <c r="P95" i="16"/>
  <c r="N95" i="16"/>
  <c r="S95" i="16"/>
  <c r="M95" i="16"/>
  <c r="H95" i="16"/>
  <c r="E95" i="16"/>
  <c r="Q96" i="16"/>
  <c r="P94" i="16"/>
  <c r="N94" i="16"/>
  <c r="L96" i="16"/>
  <c r="I96" i="16"/>
  <c r="H94" i="16"/>
  <c r="F96" i="16"/>
  <c r="E94" i="16"/>
  <c r="N82" i="16"/>
  <c r="S81" i="16"/>
  <c r="S80" i="16"/>
  <c r="S79" i="16"/>
  <c r="S78" i="16"/>
  <c r="N78" i="16"/>
  <c r="N77" i="16"/>
  <c r="S77" i="16"/>
  <c r="S76" i="16"/>
  <c r="L83" i="16"/>
  <c r="S71" i="16"/>
  <c r="N71" i="16"/>
  <c r="S70" i="16"/>
  <c r="S69" i="16"/>
  <c r="N69" i="16"/>
  <c r="Q68" i="16"/>
  <c r="S68" i="16" s="1"/>
  <c r="S66" i="16"/>
  <c r="N66" i="16"/>
  <c r="S65" i="16"/>
  <c r="S62" i="16"/>
  <c r="N62" i="16"/>
  <c r="S61" i="16"/>
  <c r="S58" i="16"/>
  <c r="N58" i="16"/>
  <c r="N57" i="16"/>
  <c r="S57" i="16"/>
  <c r="F72" i="16"/>
  <c r="E72" i="16" s="1"/>
  <c r="N52" i="16"/>
  <c r="N51" i="16"/>
  <c r="N48" i="16"/>
  <c r="S47" i="16"/>
  <c r="S44" i="16"/>
  <c r="N44" i="16"/>
  <c r="N43" i="16"/>
  <c r="Q54" i="16"/>
  <c r="F54" i="16"/>
  <c r="P40" i="16"/>
  <c r="N40" i="16"/>
  <c r="S40" i="16"/>
  <c r="P39" i="16"/>
  <c r="N39" i="16"/>
  <c r="K39" i="16"/>
  <c r="S38" i="16"/>
  <c r="P38" i="16"/>
  <c r="N38" i="16"/>
  <c r="K38" i="16"/>
  <c r="S37" i="16"/>
  <c r="N36" i="16"/>
  <c r="N35" i="16"/>
  <c r="S34" i="16"/>
  <c r="N34" i="16"/>
  <c r="S33" i="16"/>
  <c r="I41" i="16"/>
  <c r="N31" i="16"/>
  <c r="S23" i="16"/>
  <c r="H23" i="16"/>
  <c r="E23" i="16"/>
  <c r="S22" i="16"/>
  <c r="N22" i="16"/>
  <c r="H22" i="16"/>
  <c r="E22" i="16"/>
  <c r="Q24" i="16"/>
  <c r="I24" i="16"/>
  <c r="G32" i="16" s="1"/>
  <c r="H21" i="16"/>
  <c r="F24" i="16"/>
  <c r="D32" i="16" s="1"/>
  <c r="E21" i="16"/>
  <c r="R19" i="16"/>
  <c r="N19" i="16"/>
  <c r="H19" i="16"/>
  <c r="E19" i="16"/>
  <c r="P17" i="16"/>
  <c r="M17" i="16"/>
  <c r="S17" i="16"/>
  <c r="K17" i="16"/>
  <c r="H17" i="16"/>
  <c r="E17" i="16"/>
  <c r="P15" i="16"/>
  <c r="M15" i="16"/>
  <c r="S15" i="16"/>
  <c r="K15" i="16"/>
  <c r="H15" i="16"/>
  <c r="E15" i="16"/>
  <c r="D24" i="16"/>
  <c r="P12" i="16"/>
  <c r="M12" i="16"/>
  <c r="S12" i="16"/>
  <c r="K12" i="16"/>
  <c r="H12" i="16"/>
  <c r="E12" i="16"/>
  <c r="S11" i="16"/>
  <c r="P11" i="16"/>
  <c r="N11" i="16"/>
  <c r="M11" i="16"/>
  <c r="K11" i="16"/>
  <c r="R11" i="16"/>
  <c r="H11" i="16"/>
  <c r="E11" i="16"/>
  <c r="S10" i="16"/>
  <c r="P10" i="16"/>
  <c r="M10" i="16"/>
  <c r="N10" i="16"/>
  <c r="K10" i="16"/>
  <c r="R10" i="16"/>
  <c r="H10" i="16"/>
  <c r="E10" i="16"/>
  <c r="P9" i="16"/>
  <c r="S9" i="16"/>
  <c r="M9" i="16"/>
  <c r="N9" i="16"/>
  <c r="H9" i="16"/>
  <c r="E9" i="16"/>
  <c r="W8" i="16"/>
  <c r="S8" i="16"/>
  <c r="P8" i="16"/>
  <c r="N8" i="16"/>
  <c r="M8" i="16"/>
  <c r="H8" i="16"/>
  <c r="E8" i="16"/>
  <c r="S7" i="16"/>
  <c r="P7" i="16"/>
  <c r="N7" i="16"/>
  <c r="M7" i="16"/>
  <c r="H7" i="16"/>
  <c r="E7" i="16"/>
  <c r="S6" i="16"/>
  <c r="P6" i="16"/>
  <c r="O13" i="16"/>
  <c r="L13" i="16"/>
  <c r="M6" i="16"/>
  <c r="H6" i="16"/>
  <c r="G13" i="16"/>
  <c r="F13" i="16"/>
  <c r="F27" i="16" s="1"/>
  <c r="D13" i="16"/>
  <c r="S89" i="16"/>
  <c r="P22" i="16" l="1"/>
  <c r="O24" i="16"/>
  <c r="P21" i="16"/>
  <c r="O27" i="16"/>
  <c r="P23" i="16"/>
  <c r="D27" i="16"/>
  <c r="E27" i="16" s="1"/>
  <c r="E13" i="16"/>
  <c r="S13" i="16"/>
  <c r="E24" i="16"/>
  <c r="E33" i="16"/>
  <c r="E40" i="16"/>
  <c r="E39" i="16"/>
  <c r="E32" i="16"/>
  <c r="E38" i="16"/>
  <c r="E37" i="16"/>
  <c r="E31" i="16"/>
  <c r="E35" i="16"/>
  <c r="E36" i="16"/>
  <c r="P36" i="16"/>
  <c r="E54" i="16"/>
  <c r="G24" i="16"/>
  <c r="G27" i="16"/>
  <c r="H13" i="16"/>
  <c r="D31" i="16"/>
  <c r="M13" i="16"/>
  <c r="E34" i="16"/>
  <c r="H37" i="16"/>
  <c r="L27" i="16"/>
  <c r="P35" i="16"/>
  <c r="S60" i="16"/>
  <c r="N60" i="16"/>
  <c r="S67" i="16"/>
  <c r="N67" i="16"/>
  <c r="I13" i="16"/>
  <c r="I27" i="16" s="1"/>
  <c r="Q13" i="16"/>
  <c r="N12" i="16"/>
  <c r="N15" i="16"/>
  <c r="N17" i="16"/>
  <c r="S19" i="16"/>
  <c r="N21" i="16"/>
  <c r="N23" i="16"/>
  <c r="H33" i="16"/>
  <c r="H34" i="16"/>
  <c r="S35" i="16"/>
  <c r="N37" i="16"/>
  <c r="S39" i="16"/>
  <c r="K40" i="16"/>
  <c r="S43" i="16"/>
  <c r="S50" i="16"/>
  <c r="N50" i="16"/>
  <c r="F83" i="16"/>
  <c r="G111" i="16"/>
  <c r="I107" i="16"/>
  <c r="F154" i="16"/>
  <c r="E115" i="16"/>
  <c r="R6" i="16"/>
  <c r="P31" i="16"/>
  <c r="P37" i="16"/>
  <c r="Q41" i="16"/>
  <c r="S48" i="16"/>
  <c r="S55" i="16"/>
  <c r="N55" i="16"/>
  <c r="S64" i="16"/>
  <c r="N81" i="16"/>
  <c r="M94" i="16"/>
  <c r="H121" i="16"/>
  <c r="E117" i="16"/>
  <c r="S45" i="16"/>
  <c r="N45" i="16"/>
  <c r="Q72" i="16"/>
  <c r="N96" i="16"/>
  <c r="N97" i="16" s="1"/>
  <c r="J111" i="16"/>
  <c r="S31" i="16"/>
  <c r="L41" i="16"/>
  <c r="R8" i="16"/>
  <c r="K6" i="16"/>
  <c r="K7" i="16"/>
  <c r="K8" i="16"/>
  <c r="L24" i="16"/>
  <c r="J32" i="16" s="1"/>
  <c r="F41" i="16"/>
  <c r="N32" i="16"/>
  <c r="J13" i="16"/>
  <c r="I54" i="16"/>
  <c r="H54" i="16" s="1"/>
  <c r="N47" i="16"/>
  <c r="S52" i="16"/>
  <c r="S59" i="16"/>
  <c r="N59" i="16"/>
  <c r="N68" i="16"/>
  <c r="N70" i="16"/>
  <c r="R15" i="16"/>
  <c r="R17" i="16"/>
  <c r="S21" i="16"/>
  <c r="H31" i="16"/>
  <c r="N33" i="16"/>
  <c r="L54" i="16"/>
  <c r="S42" i="16"/>
  <c r="N42" i="16"/>
  <c r="S49" i="16"/>
  <c r="N49" i="16"/>
  <c r="S51" i="16"/>
  <c r="I72" i="16"/>
  <c r="H72" i="16" s="1"/>
  <c r="N61" i="16"/>
  <c r="S134" i="16"/>
  <c r="I193" i="16"/>
  <c r="R7" i="16"/>
  <c r="R9" i="16"/>
  <c r="K9" i="16"/>
  <c r="E6" i="16"/>
  <c r="R12" i="16"/>
  <c r="V401" i="16"/>
  <c r="AC433" i="16"/>
  <c r="V484" i="16"/>
  <c r="AC410" i="16"/>
  <c r="AF408" i="16"/>
  <c r="AC417" i="16"/>
  <c r="Z417" i="16"/>
  <c r="Y417" i="16" s="1"/>
  <c r="AC415" i="16"/>
  <c r="C235" i="16"/>
  <c r="C167" i="16"/>
  <c r="Z413" i="16" s="1"/>
  <c r="Y413" i="16" s="1"/>
  <c r="C290" i="16"/>
  <c r="C355" i="16" s="1"/>
  <c r="C89" i="16"/>
  <c r="Z477" i="16" s="1"/>
  <c r="N6" i="16"/>
  <c r="N13" i="16" s="1"/>
  <c r="J31" i="16"/>
  <c r="S32" i="16"/>
  <c r="P33" i="16"/>
  <c r="P34" i="16"/>
  <c r="S56" i="16"/>
  <c r="N56" i="16"/>
  <c r="S63" i="16"/>
  <c r="N63" i="16"/>
  <c r="N75" i="16"/>
  <c r="I83" i="16"/>
  <c r="Q107" i="16"/>
  <c r="P134" i="16" s="1"/>
  <c r="H114" i="16"/>
  <c r="AO484" i="16"/>
  <c r="AO401" i="16"/>
  <c r="S355" i="16"/>
  <c r="S235" i="16"/>
  <c r="S290" i="16"/>
  <c r="S167" i="16"/>
  <c r="S36" i="16"/>
  <c r="S46" i="16"/>
  <c r="N46" i="16"/>
  <c r="S53" i="16"/>
  <c r="N53" i="16"/>
  <c r="N65" i="16"/>
  <c r="L72" i="16"/>
  <c r="F107" i="16"/>
  <c r="F164" i="16" s="1"/>
  <c r="D111" i="16"/>
  <c r="H116" i="16"/>
  <c r="H118" i="16"/>
  <c r="L121" i="16"/>
  <c r="S155" i="16"/>
  <c r="H230" i="16"/>
  <c r="L228" i="16"/>
  <c r="S210" i="16"/>
  <c r="S225" i="16"/>
  <c r="N225" i="16"/>
  <c r="F241" i="16"/>
  <c r="E249" i="16"/>
  <c r="I265" i="16"/>
  <c r="I352" i="16"/>
  <c r="H329" i="16"/>
  <c r="G96" i="16"/>
  <c r="H120" i="16" s="1"/>
  <c r="O96" i="16"/>
  <c r="N113" i="16"/>
  <c r="N117" i="16"/>
  <c r="N125" i="16"/>
  <c r="N128" i="16"/>
  <c r="N136" i="16"/>
  <c r="N149" i="16"/>
  <c r="L162" i="16"/>
  <c r="N158" i="16"/>
  <c r="S171" i="16"/>
  <c r="W175" i="16"/>
  <c r="S203" i="16"/>
  <c r="N203" i="16"/>
  <c r="N208" i="16"/>
  <c r="N210" i="16"/>
  <c r="S218" i="16"/>
  <c r="N218" i="16"/>
  <c r="E265" i="16"/>
  <c r="S273" i="16"/>
  <c r="N273" i="16"/>
  <c r="R99" i="16"/>
  <c r="N102" i="16"/>
  <c r="N111" i="16"/>
  <c r="S122" i="16"/>
  <c r="N131" i="16"/>
  <c r="I152" i="16"/>
  <c r="H152" i="16" s="1"/>
  <c r="N139" i="16"/>
  <c r="N142" i="16"/>
  <c r="S145" i="16"/>
  <c r="L152" i="16"/>
  <c r="N157" i="16"/>
  <c r="N162" i="16" s="1"/>
  <c r="S160" i="16"/>
  <c r="H185" i="16"/>
  <c r="I188" i="16"/>
  <c r="S187" i="16"/>
  <c r="S200" i="16"/>
  <c r="Q228" i="16"/>
  <c r="S222" i="16"/>
  <c r="N222" i="16"/>
  <c r="Q250" i="16"/>
  <c r="Q308" i="16"/>
  <c r="E329" i="16"/>
  <c r="F350" i="16"/>
  <c r="E350" i="16" s="1"/>
  <c r="N64" i="16"/>
  <c r="N76" i="16"/>
  <c r="N80" i="16"/>
  <c r="K99" i="16"/>
  <c r="S99" i="16"/>
  <c r="S103" i="16"/>
  <c r="N114" i="16"/>
  <c r="N118" i="16"/>
  <c r="N124" i="16"/>
  <c r="S127" i="16"/>
  <c r="S136" i="16"/>
  <c r="N145" i="16"/>
  <c r="N148" i="16"/>
  <c r="N160" i="16"/>
  <c r="D184" i="16"/>
  <c r="L184" i="16"/>
  <c r="I172" i="16"/>
  <c r="I178" i="16"/>
  <c r="R177" i="16"/>
  <c r="N180" i="16"/>
  <c r="Q209" i="16"/>
  <c r="N200" i="16"/>
  <c r="H209" i="16"/>
  <c r="S214" i="16"/>
  <c r="N214" i="16"/>
  <c r="L286" i="16"/>
  <c r="L288" i="16" s="1"/>
  <c r="S265" i="16"/>
  <c r="N265" i="16"/>
  <c r="P284" i="16"/>
  <c r="S277" i="16"/>
  <c r="N277" i="16"/>
  <c r="R94" i="16"/>
  <c r="R95" i="16"/>
  <c r="J96" i="16"/>
  <c r="K158" i="16" s="1"/>
  <c r="J158" i="16" s="1"/>
  <c r="V99" i="16"/>
  <c r="L104" i="16"/>
  <c r="E173" i="16"/>
  <c r="E184" i="16"/>
  <c r="E193" i="16" s="1"/>
  <c r="J184" i="16"/>
  <c r="S202" i="16"/>
  <c r="S207" i="16"/>
  <c r="N207" i="16"/>
  <c r="H228" i="16"/>
  <c r="S226" i="16"/>
  <c r="N226" i="16"/>
  <c r="S302" i="16"/>
  <c r="N302" i="16"/>
  <c r="N79" i="16"/>
  <c r="K94" i="16"/>
  <c r="S94" i="16"/>
  <c r="S96" i="16" s="1"/>
  <c r="S97" i="16" s="1"/>
  <c r="K95" i="16"/>
  <c r="S111" i="16"/>
  <c r="N133" i="16"/>
  <c r="Q152" i="16"/>
  <c r="Q154" i="16" s="1"/>
  <c r="P154" i="16" s="1"/>
  <c r="N141" i="16"/>
  <c r="N144" i="16"/>
  <c r="N159" i="16"/>
  <c r="F184" i="16"/>
  <c r="N171" i="16"/>
  <c r="S174" i="16"/>
  <c r="K179" i="16"/>
  <c r="L178" i="16"/>
  <c r="K184" i="16"/>
  <c r="N199" i="16"/>
  <c r="S204" i="16"/>
  <c r="L209" i="16"/>
  <c r="S217" i="16"/>
  <c r="N217" i="16"/>
  <c r="L284" i="16"/>
  <c r="S284" i="16" s="1"/>
  <c r="S266" i="16"/>
  <c r="N266" i="16"/>
  <c r="D96" i="16"/>
  <c r="E112" i="16" s="1"/>
  <c r="D112" i="16"/>
  <c r="I134" i="16"/>
  <c r="H134" i="16" s="1"/>
  <c r="N123" i="16"/>
  <c r="N126" i="16"/>
  <c r="S130" i="16"/>
  <c r="S137" i="16"/>
  <c r="I162" i="16"/>
  <c r="O184" i="16"/>
  <c r="F228" i="16"/>
  <c r="S221" i="16"/>
  <c r="N221" i="16"/>
  <c r="L250" i="16"/>
  <c r="Q284" i="16"/>
  <c r="Q286" i="16" s="1"/>
  <c r="S270" i="16"/>
  <c r="N270" i="16"/>
  <c r="S281" i="16"/>
  <c r="N281" i="16"/>
  <c r="L303" i="16"/>
  <c r="S144" i="16"/>
  <c r="H184" i="16"/>
  <c r="P184" i="16"/>
  <c r="P193" i="16" s="1"/>
  <c r="AL405" i="16" s="1"/>
  <c r="Q184" i="16"/>
  <c r="F209" i="16"/>
  <c r="S206" i="16"/>
  <c r="S215" i="16"/>
  <c r="N215" i="16"/>
  <c r="S241" i="16"/>
  <c r="S249" i="16"/>
  <c r="S250" i="16" s="1"/>
  <c r="F284" i="16"/>
  <c r="E284" i="16" s="1"/>
  <c r="S376" i="16"/>
  <c r="N376" i="16"/>
  <c r="L396" i="16"/>
  <c r="K376" i="16"/>
  <c r="N240" i="16"/>
  <c r="N241" i="16" s="1"/>
  <c r="L241" i="16"/>
  <c r="Q244" i="16"/>
  <c r="Q247" i="16"/>
  <c r="M297" i="16"/>
  <c r="S297" i="16"/>
  <c r="R303" i="16"/>
  <c r="M306" i="16"/>
  <c r="S306" i="16"/>
  <c r="N361" i="16"/>
  <c r="S361" i="16"/>
  <c r="P376" i="16"/>
  <c r="S244" i="16"/>
  <c r="E294" i="16"/>
  <c r="K297" i="16"/>
  <c r="E298" i="16"/>
  <c r="K306" i="16"/>
  <c r="L329" i="16"/>
  <c r="S317" i="16"/>
  <c r="N317" i="16"/>
  <c r="S319" i="16"/>
  <c r="N319" i="16"/>
  <c r="S321" i="16"/>
  <c r="N321" i="16"/>
  <c r="S323" i="16"/>
  <c r="N323" i="16"/>
  <c r="S325" i="16"/>
  <c r="N325" i="16"/>
  <c r="S327" i="16"/>
  <c r="N327" i="16"/>
  <c r="E348" i="16"/>
  <c r="Q241" i="16"/>
  <c r="P265" i="16"/>
  <c r="N269" i="16"/>
  <c r="N272" i="16"/>
  <c r="N276" i="16"/>
  <c r="M296" i="16"/>
  <c r="M300" i="16"/>
  <c r="J303" i="16"/>
  <c r="Q329" i="16"/>
  <c r="H348" i="16"/>
  <c r="S362" i="16"/>
  <c r="F249" i="16"/>
  <c r="N255" i="16"/>
  <c r="N259" i="16"/>
  <c r="N263" i="16"/>
  <c r="G303" i="16"/>
  <c r="P294" i="16"/>
  <c r="K296" i="16"/>
  <c r="P298" i="16"/>
  <c r="K300" i="16"/>
  <c r="N213" i="16"/>
  <c r="N216" i="16"/>
  <c r="N220" i="16"/>
  <c r="N268" i="16"/>
  <c r="M295" i="16"/>
  <c r="M299" i="16"/>
  <c r="S299" i="16"/>
  <c r="P301" i="16"/>
  <c r="H350" i="16"/>
  <c r="I244" i="16"/>
  <c r="I249" i="16"/>
  <c r="S263" i="16"/>
  <c r="R294" i="16"/>
  <c r="K295" i="16"/>
  <c r="E296" i="16"/>
  <c r="D303" i="16"/>
  <c r="R307" i="16"/>
  <c r="S318" i="16"/>
  <c r="N318" i="16"/>
  <c r="N320" i="16"/>
  <c r="S320" i="16"/>
  <c r="S322" i="16"/>
  <c r="N324" i="16"/>
  <c r="S324" i="16"/>
  <c r="S326" i="16"/>
  <c r="H361" i="16"/>
  <c r="M361" i="16"/>
  <c r="S301" i="16"/>
  <c r="P303" i="16"/>
  <c r="I396" i="16"/>
  <c r="H396" i="16" s="1"/>
  <c r="H376" i="16"/>
  <c r="S328" i="16"/>
  <c r="S330" i="16"/>
  <c r="N333" i="16"/>
  <c r="S334" i="16"/>
  <c r="N336" i="16"/>
  <c r="N340" i="16"/>
  <c r="J361" i="16"/>
  <c r="K361" i="16" s="1"/>
  <c r="S383" i="16"/>
  <c r="N383" i="16"/>
  <c r="S391" i="16"/>
  <c r="N391" i="16"/>
  <c r="AO458" i="16"/>
  <c r="S359" i="16"/>
  <c r="N370" i="16"/>
  <c r="N373" i="16"/>
  <c r="S378" i="16"/>
  <c r="S394" i="16" s="1"/>
  <c r="N380" i="16"/>
  <c r="S386" i="16"/>
  <c r="N388" i="16"/>
  <c r="N322" i="16"/>
  <c r="N326" i="16"/>
  <c r="N332" i="16"/>
  <c r="N339" i="16"/>
  <c r="N343" i="16"/>
  <c r="L348" i="16"/>
  <c r="N366" i="16"/>
  <c r="N377" i="16"/>
  <c r="N393" i="16"/>
  <c r="E359" i="16"/>
  <c r="M359" i="16"/>
  <c r="S373" i="16"/>
  <c r="Q394" i="16"/>
  <c r="P394" i="16" s="1"/>
  <c r="AI419" i="16"/>
  <c r="N331" i="16"/>
  <c r="N335" i="16"/>
  <c r="N338" i="16"/>
  <c r="N342" i="16"/>
  <c r="N348" i="16" s="1"/>
  <c r="N346" i="16"/>
  <c r="N359" i="16"/>
  <c r="F376" i="16"/>
  <c r="N365" i="16"/>
  <c r="N372" i="16"/>
  <c r="N375" i="16"/>
  <c r="S379" i="16"/>
  <c r="N379" i="16"/>
  <c r="S387" i="16"/>
  <c r="N387" i="16"/>
  <c r="AN419" i="16"/>
  <c r="AH419" i="16"/>
  <c r="AN456" i="16"/>
  <c r="AO456" i="16" s="1"/>
  <c r="AH456" i="16"/>
  <c r="AI456" i="16" s="1"/>
  <c r="O361" i="16"/>
  <c r="S369" i="16"/>
  <c r="S382" i="16"/>
  <c r="N384" i="16"/>
  <c r="AO419" i="16"/>
  <c r="H359" i="16"/>
  <c r="S374" i="16"/>
  <c r="E394" i="16"/>
  <c r="AN490" i="16"/>
  <c r="AO490" i="16" s="1"/>
  <c r="AH490" i="16"/>
  <c r="AI490" i="16" s="1"/>
  <c r="AH455" i="16"/>
  <c r="AO492" i="16"/>
  <c r="J537" i="16"/>
  <c r="K537" i="16" s="1"/>
  <c r="O532" i="16"/>
  <c r="P532" i="16" s="1"/>
  <c r="AN452" i="16"/>
  <c r="AH453" i="16"/>
  <c r="AI453" i="16" s="1"/>
  <c r="AH452" i="16"/>
  <c r="AI452" i="16" s="1"/>
  <c r="AH460" i="16"/>
  <c r="AI460" i="16" s="1"/>
  <c r="AN468" i="16"/>
  <c r="AO468" i="16" s="1"/>
  <c r="AN491" i="16"/>
  <c r="AO491" i="16" s="1"/>
  <c r="J520" i="16"/>
  <c r="AN458" i="16"/>
  <c r="AN457" i="16"/>
  <c r="AO457" i="16" s="1"/>
  <c r="P526" i="16"/>
  <c r="P503" i="16"/>
  <c r="J516" i="16"/>
  <c r="J518" i="16" s="1"/>
  <c r="K518" i="16" s="1"/>
  <c r="O536" i="16"/>
  <c r="P536" i="16" s="1"/>
  <c r="AH491" i="16"/>
  <c r="AH492" i="16"/>
  <c r="AI492" i="16" s="1"/>
  <c r="AH493" i="16"/>
  <c r="O516" i="16"/>
  <c r="O518" i="16" s="1"/>
  <c r="P518" i="16" s="1"/>
  <c r="K526" i="16"/>
  <c r="P286" i="16" l="1"/>
  <c r="Q288" i="16"/>
  <c r="S288" i="16" s="1"/>
  <c r="AC412" i="16"/>
  <c r="F396" i="16"/>
  <c r="E376" i="16"/>
  <c r="AC444" i="16"/>
  <c r="H265" i="16"/>
  <c r="I286" i="16"/>
  <c r="H286" i="16" s="1"/>
  <c r="AF412" i="16"/>
  <c r="Z414" i="16"/>
  <c r="Y414" i="16" s="1"/>
  <c r="AF428" i="16"/>
  <c r="AF416" i="16"/>
  <c r="AL414" i="16"/>
  <c r="AL438" i="16"/>
  <c r="AC424" i="16"/>
  <c r="AI424" i="16" s="1"/>
  <c r="AC442" i="16"/>
  <c r="AC476" i="16"/>
  <c r="AI476" i="16" s="1"/>
  <c r="Z430" i="16"/>
  <c r="AC449" i="16"/>
  <c r="AI449" i="16" s="1"/>
  <c r="AF410" i="16"/>
  <c r="AC422" i="16"/>
  <c r="AC440" i="16"/>
  <c r="Z420" i="16"/>
  <c r="Z438" i="16"/>
  <c r="AF409" i="16"/>
  <c r="AL423" i="16"/>
  <c r="AL441" i="16"/>
  <c r="AC475" i="16"/>
  <c r="AF477" i="16"/>
  <c r="AC462" i="16"/>
  <c r="AL473" i="16"/>
  <c r="AO473" i="16" s="1"/>
  <c r="AL496" i="16"/>
  <c r="AO496" i="16" s="1"/>
  <c r="AF438" i="16"/>
  <c r="AF446" i="16"/>
  <c r="Z470" i="16"/>
  <c r="Z478" i="16"/>
  <c r="I232" i="16"/>
  <c r="F74" i="16"/>
  <c r="E41" i="16"/>
  <c r="S41" i="16"/>
  <c r="L74" i="16"/>
  <c r="K41" i="16"/>
  <c r="N41" i="16"/>
  <c r="N72" i="16"/>
  <c r="R13" i="16"/>
  <c r="R14" i="16" s="1"/>
  <c r="S14" i="16"/>
  <c r="Q27" i="16"/>
  <c r="I74" i="16"/>
  <c r="H74" i="16" s="1"/>
  <c r="AB410" i="16"/>
  <c r="AL409" i="16"/>
  <c r="AC428" i="16"/>
  <c r="Z444" i="16"/>
  <c r="K517" i="16"/>
  <c r="F250" i="16"/>
  <c r="F288" i="16"/>
  <c r="N396" i="16"/>
  <c r="K396" i="16"/>
  <c r="N104" i="16"/>
  <c r="N105" i="16" s="1"/>
  <c r="J112" i="16"/>
  <c r="S104" i="16"/>
  <c r="S105" i="16" s="1"/>
  <c r="Q313" i="16"/>
  <c r="K284" i="16"/>
  <c r="AL448" i="16"/>
  <c r="AO448" i="16" s="1"/>
  <c r="P361" i="16"/>
  <c r="R361" i="16"/>
  <c r="S348" i="16"/>
  <c r="I288" i="16"/>
  <c r="N288" i="16" s="1"/>
  <c r="I250" i="16"/>
  <c r="S303" i="16"/>
  <c r="S304" i="16" s="1"/>
  <c r="N303" i="16"/>
  <c r="N304" i="16" s="1"/>
  <c r="L308" i="16"/>
  <c r="F286" i="16"/>
  <c r="E286" i="16" s="1"/>
  <c r="E152" i="16"/>
  <c r="Z409" i="16"/>
  <c r="Y409" i="16" s="1"/>
  <c r="AF415" i="16"/>
  <c r="AL415" i="16"/>
  <c r="AC437" i="16"/>
  <c r="AF420" i="16"/>
  <c r="AL420" i="16"/>
  <c r="Z442" i="16"/>
  <c r="AF425" i="16"/>
  <c r="AL445" i="16"/>
  <c r="AC478" i="16"/>
  <c r="AI478" i="16" s="1"/>
  <c r="AC431" i="16"/>
  <c r="AI431" i="16" s="1"/>
  <c r="AF470" i="16"/>
  <c r="Z412" i="16"/>
  <c r="Y412" i="16" s="1"/>
  <c r="AF423" i="16"/>
  <c r="AL443" i="16"/>
  <c r="AC421" i="16"/>
  <c r="AC439" i="16"/>
  <c r="AI439" i="16" s="1"/>
  <c r="Z411" i="16"/>
  <c r="Y411" i="16" s="1"/>
  <c r="Z427" i="16"/>
  <c r="Z445" i="16"/>
  <c r="AC477" i="16"/>
  <c r="AI477" i="16" s="1"/>
  <c r="Z494" i="16"/>
  <c r="AL464" i="16"/>
  <c r="AL474" i="16"/>
  <c r="AO474" i="16" s="1"/>
  <c r="Z464" i="16"/>
  <c r="AF439" i="16"/>
  <c r="AF447" i="16"/>
  <c r="Z471" i="16"/>
  <c r="Z479" i="16"/>
  <c r="N24" i="16"/>
  <c r="N25" i="16" s="1"/>
  <c r="S24" i="16"/>
  <c r="S25" i="16" s="1"/>
  <c r="E119" i="16"/>
  <c r="S72" i="16"/>
  <c r="AC406" i="16"/>
  <c r="I85" i="16"/>
  <c r="H41" i="16"/>
  <c r="G31" i="16"/>
  <c r="AI415" i="16"/>
  <c r="AB415" i="16"/>
  <c r="AL427" i="16"/>
  <c r="AF422" i="16"/>
  <c r="AC494" i="16"/>
  <c r="AI494" i="16" s="1"/>
  <c r="AF448" i="16"/>
  <c r="AL421" i="16"/>
  <c r="AF411" i="16"/>
  <c r="Z425" i="16"/>
  <c r="AC425" i="16"/>
  <c r="AI425" i="16" s="1"/>
  <c r="AL446" i="16"/>
  <c r="Z431" i="16"/>
  <c r="AC450" i="16"/>
  <c r="AI450" i="16" s="1"/>
  <c r="AL413" i="16"/>
  <c r="AL436" i="16"/>
  <c r="AF474" i="16"/>
  <c r="AF414" i="16"/>
  <c r="Z429" i="16"/>
  <c r="AC448" i="16"/>
  <c r="AI448" i="16" s="1"/>
  <c r="AL424" i="16"/>
  <c r="AO424" i="16" s="1"/>
  <c r="Z446" i="16"/>
  <c r="AF413" i="16"/>
  <c r="AF429" i="16"/>
  <c r="AL449" i="16"/>
  <c r="AO449" i="16" s="1"/>
  <c r="AL463" i="16"/>
  <c r="AC495" i="16"/>
  <c r="AI495" i="16" s="1"/>
  <c r="AF462" i="16"/>
  <c r="AL476" i="16"/>
  <c r="AO476" i="16" s="1"/>
  <c r="AF433" i="16"/>
  <c r="AF441" i="16"/>
  <c r="AF449" i="16"/>
  <c r="Z473" i="16"/>
  <c r="N134" i="16"/>
  <c r="S54" i="16"/>
  <c r="F352" i="16"/>
  <c r="I154" i="16"/>
  <c r="H154" i="16" s="1"/>
  <c r="P41" i="16"/>
  <c r="Q74" i="16"/>
  <c r="E113" i="16"/>
  <c r="H27" i="16"/>
  <c r="AI417" i="16"/>
  <c r="AB417" i="16"/>
  <c r="AC413" i="16"/>
  <c r="AL442" i="16"/>
  <c r="AL475" i="16"/>
  <c r="AO475" i="16" s="1"/>
  <c r="AL422" i="16"/>
  <c r="E303" i="16"/>
  <c r="D308" i="16"/>
  <c r="G308" i="16"/>
  <c r="H303" i="16"/>
  <c r="K286" i="16"/>
  <c r="N249" i="16"/>
  <c r="N250" i="16" s="1"/>
  <c r="Q185" i="16"/>
  <c r="Q193" i="16"/>
  <c r="R96" i="16"/>
  <c r="R97" i="16" s="1"/>
  <c r="N184" i="16"/>
  <c r="N185" i="16" s="1"/>
  <c r="L193" i="16"/>
  <c r="L185" i="16"/>
  <c r="S184" i="16"/>
  <c r="S185" i="16" s="1"/>
  <c r="P228" i="16"/>
  <c r="S152" i="16"/>
  <c r="N152" i="16"/>
  <c r="G104" i="16"/>
  <c r="H104" i="16" s="1"/>
  <c r="H117" i="16"/>
  <c r="H113" i="16"/>
  <c r="H111" i="16"/>
  <c r="H112" i="16"/>
  <c r="H96" i="16"/>
  <c r="H119" i="16"/>
  <c r="H115" i="16"/>
  <c r="G107" i="16"/>
  <c r="H107" i="16" s="1"/>
  <c r="S121" i="16"/>
  <c r="L154" i="16"/>
  <c r="N121" i="16"/>
  <c r="AC426" i="16"/>
  <c r="AI426" i="16" s="1"/>
  <c r="AC427" i="16"/>
  <c r="AC436" i="16"/>
  <c r="AL417" i="16"/>
  <c r="AL429" i="16"/>
  <c r="AF426" i="16"/>
  <c r="Z450" i="16"/>
  <c r="Z433" i="16"/>
  <c r="Z462" i="16"/>
  <c r="Z465" i="16" s="1"/>
  <c r="Z422" i="16"/>
  <c r="Z440" i="16"/>
  <c r="AF476" i="16"/>
  <c r="Z416" i="16"/>
  <c r="Y416" i="16" s="1"/>
  <c r="AC430" i="16"/>
  <c r="Z463" i="16"/>
  <c r="Z428" i="16"/>
  <c r="AC447" i="16"/>
  <c r="Z415" i="16"/>
  <c r="Y415" i="16" s="1"/>
  <c r="AL431" i="16"/>
  <c r="AF463" i="16"/>
  <c r="AF469" i="16"/>
  <c r="AC496" i="16"/>
  <c r="AI496" i="16" s="1"/>
  <c r="AL469" i="16"/>
  <c r="AL477" i="16"/>
  <c r="AO477" i="16" s="1"/>
  <c r="AF434" i="16"/>
  <c r="AF442" i="16"/>
  <c r="AF450" i="16"/>
  <c r="Z474" i="16"/>
  <c r="K54" i="16"/>
  <c r="P121" i="16"/>
  <c r="E121" i="16"/>
  <c r="H40" i="16"/>
  <c r="H32" i="16"/>
  <c r="H39" i="16"/>
  <c r="H38" i="16"/>
  <c r="H36" i="16"/>
  <c r="H24" i="16"/>
  <c r="H35" i="16"/>
  <c r="P13" i="16"/>
  <c r="AE408" i="16"/>
  <c r="Z449" i="16"/>
  <c r="Z447" i="16"/>
  <c r="AC479" i="16"/>
  <c r="AF440" i="16"/>
  <c r="AF427" i="16"/>
  <c r="O537" i="16"/>
  <c r="P537" i="16" s="1"/>
  <c r="Q350" i="16"/>
  <c r="P350" i="16" s="1"/>
  <c r="P329" i="16"/>
  <c r="I398" i="16"/>
  <c r="K303" i="16"/>
  <c r="M303" i="16"/>
  <c r="J308" i="16"/>
  <c r="L398" i="16"/>
  <c r="N284" i="16"/>
  <c r="K193" i="16"/>
  <c r="M184" i="16"/>
  <c r="L186" i="16"/>
  <c r="K185" i="16"/>
  <c r="E185" i="16"/>
  <c r="Z426" i="16"/>
  <c r="Z435" i="16"/>
  <c r="Z436" i="16"/>
  <c r="AF464" i="16"/>
  <c r="Z410" i="16"/>
  <c r="Y410" i="16" s="1"/>
  <c r="Z443" i="16"/>
  <c r="AL428" i="16"/>
  <c r="AC434" i="16"/>
  <c r="AC470" i="16"/>
  <c r="AC423" i="16"/>
  <c r="AC441" i="16"/>
  <c r="AF478" i="16"/>
  <c r="AL416" i="16"/>
  <c r="AF431" i="16"/>
  <c r="AH431" i="16" s="1"/>
  <c r="AC429" i="16"/>
  <c r="AL450" i="16"/>
  <c r="AO450" i="16" s="1"/>
  <c r="AC416" i="16"/>
  <c r="AL433" i="16"/>
  <c r="AC469" i="16"/>
  <c r="AF471" i="16"/>
  <c r="AF494" i="16"/>
  <c r="AL470" i="16"/>
  <c r="AL478" i="16"/>
  <c r="AO478" i="16" s="1"/>
  <c r="AF435" i="16"/>
  <c r="AF443" i="16"/>
  <c r="AL462" i="16"/>
  <c r="AL465" i="16" s="1"/>
  <c r="Z475" i="16"/>
  <c r="L107" i="16"/>
  <c r="U32" i="16"/>
  <c r="E154" i="16"/>
  <c r="AC443" i="16"/>
  <c r="AL425" i="16"/>
  <c r="AO425" i="16" s="1"/>
  <c r="AF479" i="16"/>
  <c r="Z472" i="16"/>
  <c r="N54" i="16"/>
  <c r="E134" i="16"/>
  <c r="L85" i="16"/>
  <c r="S27" i="16"/>
  <c r="N27" i="16"/>
  <c r="L350" i="16"/>
  <c r="S329" i="16"/>
  <c r="N329" i="16"/>
  <c r="F230" i="16"/>
  <c r="P185" i="16"/>
  <c r="R184" i="16"/>
  <c r="E96" i="16"/>
  <c r="E118" i="16"/>
  <c r="E114" i="16"/>
  <c r="D107" i="16"/>
  <c r="E107" i="16" s="1"/>
  <c r="D104" i="16"/>
  <c r="E104" i="16" s="1"/>
  <c r="E111" i="16"/>
  <c r="E120" i="16"/>
  <c r="E116" i="16"/>
  <c r="Q158" i="16"/>
  <c r="O104" i="16"/>
  <c r="P104" i="16" s="1"/>
  <c r="P101" i="16"/>
  <c r="P102" i="16"/>
  <c r="P96" i="16"/>
  <c r="O107" i="16"/>
  <c r="P103" i="16"/>
  <c r="K72" i="16"/>
  <c r="P308" i="16"/>
  <c r="I186" i="16"/>
  <c r="H193" i="16"/>
  <c r="N178" i="16"/>
  <c r="P152" i="16"/>
  <c r="AL430" i="16"/>
  <c r="AL439" i="16"/>
  <c r="AO439" i="16" s="1"/>
  <c r="AL440" i="16"/>
  <c r="AC411" i="16"/>
  <c r="AL411" i="16"/>
  <c r="Z495" i="16"/>
  <c r="Z434" i="16"/>
  <c r="Z496" i="16"/>
  <c r="AL437" i="16"/>
  <c r="AC472" i="16"/>
  <c r="AF424" i="16"/>
  <c r="AL444" i="16"/>
  <c r="Z408" i="16"/>
  <c r="AF417" i="16"/>
  <c r="AL435" i="16"/>
  <c r="AL408" i="16"/>
  <c r="AF430" i="16"/>
  <c r="AC463" i="16"/>
  <c r="AI463" i="16" s="1"/>
  <c r="AC420" i="16"/>
  <c r="Z437" i="16"/>
  <c r="AC471" i="16"/>
  <c r="AF473" i="16"/>
  <c r="AF495" i="16"/>
  <c r="AL471" i="16"/>
  <c r="AO471" i="16" s="1"/>
  <c r="AL494" i="16"/>
  <c r="AO494" i="16" s="1"/>
  <c r="AF436" i="16"/>
  <c r="AF444" i="16"/>
  <c r="AC464" i="16"/>
  <c r="AI464" i="16" s="1"/>
  <c r="Z476" i="16"/>
  <c r="K23" i="16"/>
  <c r="R23" i="16" s="1"/>
  <c r="J27" i="16"/>
  <c r="K13" i="16"/>
  <c r="K21" i="16"/>
  <c r="R21" i="16" s="1"/>
  <c r="K22" i="16"/>
  <c r="R22" i="16" s="1"/>
  <c r="J24" i="16"/>
  <c r="P72" i="16"/>
  <c r="I164" i="16"/>
  <c r="P24" i="16"/>
  <c r="P32" i="16"/>
  <c r="P517" i="16"/>
  <c r="Q396" i="16"/>
  <c r="S396" i="16" s="1"/>
  <c r="S209" i="16"/>
  <c r="N209" i="16"/>
  <c r="L230" i="16"/>
  <c r="K209" i="16"/>
  <c r="F185" i="16"/>
  <c r="F193" i="16"/>
  <c r="K117" i="16"/>
  <c r="K113" i="16"/>
  <c r="M96" i="16"/>
  <c r="M97" i="16" s="1"/>
  <c r="P119" i="16"/>
  <c r="P115" i="16"/>
  <c r="K120" i="16"/>
  <c r="K116" i="16"/>
  <c r="K112" i="16"/>
  <c r="K103" i="16"/>
  <c r="R103" i="16" s="1"/>
  <c r="K96" i="16"/>
  <c r="P118" i="16"/>
  <c r="P114" i="16"/>
  <c r="K119" i="16"/>
  <c r="K115" i="16"/>
  <c r="P111" i="16"/>
  <c r="J107" i="16"/>
  <c r="K101" i="16"/>
  <c r="R101" i="16" s="1"/>
  <c r="P117" i="16"/>
  <c r="P113" i="16"/>
  <c r="J104" i="16"/>
  <c r="K118" i="16"/>
  <c r="K114" i="16"/>
  <c r="P120" i="16"/>
  <c r="P116" i="16"/>
  <c r="P112" i="16"/>
  <c r="K111" i="16"/>
  <c r="K102" i="16"/>
  <c r="R102" i="16" s="1"/>
  <c r="N286" i="16"/>
  <c r="S286" i="16"/>
  <c r="Z424" i="16"/>
  <c r="AF472" i="16"/>
  <c r="AC446" i="16"/>
  <c r="AN465" i="16"/>
  <c r="AO452" i="16"/>
  <c r="N394" i="16"/>
  <c r="R249" i="16"/>
  <c r="M249" i="16"/>
  <c r="P209" i="16"/>
  <c r="Q230" i="16"/>
  <c r="P230" i="16" s="1"/>
  <c r="K228" i="16"/>
  <c r="S228" i="16"/>
  <c r="N228" i="16"/>
  <c r="N83" i="16"/>
  <c r="AC445" i="16"/>
  <c r="AC414" i="16"/>
  <c r="AL410" i="16"/>
  <c r="AC435" i="16"/>
  <c r="Z423" i="16"/>
  <c r="Z441" i="16"/>
  <c r="AC474" i="16"/>
  <c r="AL426" i="16"/>
  <c r="AO426" i="16" s="1"/>
  <c r="Z448" i="16"/>
  <c r="AC409" i="16"/>
  <c r="Z421" i="16"/>
  <c r="Z439" i="16"/>
  <c r="AL412" i="16"/>
  <c r="AL434" i="16"/>
  <c r="AC408" i="16"/>
  <c r="AF421" i="16"/>
  <c r="AC438" i="16"/>
  <c r="AC473" i="16"/>
  <c r="AF475" i="16"/>
  <c r="AF496" i="16"/>
  <c r="AL472" i="16"/>
  <c r="AO472" i="16" s="1"/>
  <c r="AL495" i="16"/>
  <c r="AO495" i="16" s="1"/>
  <c r="AF437" i="16"/>
  <c r="AF445" i="16"/>
  <c r="Z469" i="16"/>
  <c r="Z480" i="16" s="1"/>
  <c r="I185" i="16"/>
  <c r="AF406" i="16" l="1"/>
  <c r="Z451" i="16"/>
  <c r="AO442" i="16"/>
  <c r="AF451" i="16"/>
  <c r="AH433" i="16"/>
  <c r="AN433" i="16"/>
  <c r="AH439" i="16"/>
  <c r="AN439" i="16"/>
  <c r="AH415" i="16"/>
  <c r="AN415" i="16"/>
  <c r="AE415" i="16"/>
  <c r="AL406" i="16"/>
  <c r="S28" i="16"/>
  <c r="P54" i="16"/>
  <c r="M107" i="16"/>
  <c r="M108" i="16" s="1"/>
  <c r="K107" i="16"/>
  <c r="R107" i="16"/>
  <c r="F232" i="16"/>
  <c r="F194" i="16"/>
  <c r="AB416" i="16"/>
  <c r="AI416" i="16"/>
  <c r="AN496" i="16"/>
  <c r="AH496" i="16"/>
  <c r="AN472" i="16"/>
  <c r="AH472" i="16"/>
  <c r="AI472" i="16" s="1"/>
  <c r="R27" i="16"/>
  <c r="R28" i="16" s="1"/>
  <c r="K27" i="16"/>
  <c r="M27" i="16"/>
  <c r="M28" i="16" s="1"/>
  <c r="K82" i="16"/>
  <c r="J82" i="16" s="1"/>
  <c r="AN495" i="16"/>
  <c r="AH495" i="16"/>
  <c r="AO435" i="16"/>
  <c r="N85" i="16"/>
  <c r="N28" i="16"/>
  <c r="AN435" i="16"/>
  <c r="AH435" i="16"/>
  <c r="AI435" i="16" s="1"/>
  <c r="Z406" i="16"/>
  <c r="X465" i="16" s="1"/>
  <c r="N154" i="16"/>
  <c r="S154" i="16"/>
  <c r="K154" i="16"/>
  <c r="AB413" i="16"/>
  <c r="AH422" i="16"/>
  <c r="AI422" i="16" s="1"/>
  <c r="AN422" i="16"/>
  <c r="AO445" i="16"/>
  <c r="E74" i="16"/>
  <c r="F85" i="16"/>
  <c r="Z432" i="16"/>
  <c r="AK412" i="16"/>
  <c r="AO412" i="16"/>
  <c r="AH479" i="16"/>
  <c r="AI479" i="16" s="1"/>
  <c r="AD479" i="16"/>
  <c r="AE479" i="16"/>
  <c r="AH440" i="16"/>
  <c r="AN440" i="16"/>
  <c r="AN475" i="16"/>
  <c r="AH475" i="16"/>
  <c r="AI475" i="16" s="1"/>
  <c r="AO410" i="16"/>
  <c r="AK410" i="16"/>
  <c r="AN473" i="16"/>
  <c r="AH473" i="16"/>
  <c r="AI473" i="16" s="1"/>
  <c r="AH417" i="16"/>
  <c r="AE417" i="16"/>
  <c r="AN417" i="16"/>
  <c r="R108" i="16"/>
  <c r="P107" i="16"/>
  <c r="E230" i="16"/>
  <c r="AI443" i="16"/>
  <c r="AI430" i="16"/>
  <c r="AN426" i="16"/>
  <c r="AH426" i="16"/>
  <c r="AH462" i="16"/>
  <c r="AH465" i="16" s="1"/>
  <c r="AF465" i="16"/>
  <c r="AD465" i="16" s="1"/>
  <c r="AN425" i="16"/>
  <c r="AH425" i="16"/>
  <c r="I194" i="16"/>
  <c r="AI462" i="16"/>
  <c r="AC465" i="16"/>
  <c r="AI440" i="16"/>
  <c r="AK408" i="16"/>
  <c r="AL418" i="16"/>
  <c r="AB414" i="16"/>
  <c r="AI414" i="16"/>
  <c r="S230" i="16"/>
  <c r="N230" i="16"/>
  <c r="K230" i="16"/>
  <c r="Z418" i="16"/>
  <c r="Y408" i="16"/>
  <c r="AK411" i="16"/>
  <c r="E209" i="16"/>
  <c r="AO470" i="16"/>
  <c r="AN469" i="16"/>
  <c r="AO469" i="16" s="1"/>
  <c r="AH469" i="16"/>
  <c r="AI469" i="16" s="1"/>
  <c r="AF480" i="16"/>
  <c r="AO429" i="16"/>
  <c r="K121" i="16"/>
  <c r="S193" i="16"/>
  <c r="S194" i="16" s="1"/>
  <c r="L232" i="16"/>
  <c r="L194" i="16"/>
  <c r="N193" i="16"/>
  <c r="N194" i="16" s="1"/>
  <c r="G313" i="16"/>
  <c r="H313" i="16" s="1"/>
  <c r="H308" i="16"/>
  <c r="AN477" i="16"/>
  <c r="AH477" i="16"/>
  <c r="AK414" i="16"/>
  <c r="AN443" i="16"/>
  <c r="AO443" i="16" s="1"/>
  <c r="AH443" i="16"/>
  <c r="AB409" i="16"/>
  <c r="X480" i="16"/>
  <c r="M104" i="16"/>
  <c r="K104" i="16"/>
  <c r="AB411" i="16"/>
  <c r="AN494" i="16"/>
  <c r="AH494" i="16"/>
  <c r="AO416" i="16"/>
  <c r="AK416" i="16"/>
  <c r="AF418" i="16"/>
  <c r="AH463" i="16"/>
  <c r="AN476" i="16"/>
  <c r="AH476" i="16"/>
  <c r="AO417" i="16"/>
  <c r="AK417" i="16"/>
  <c r="E308" i="16"/>
  <c r="D313" i="16"/>
  <c r="P27" i="16"/>
  <c r="AH414" i="16"/>
  <c r="AN414" i="16"/>
  <c r="AO414" i="16" s="1"/>
  <c r="AE414" i="16"/>
  <c r="AH423" i="16"/>
  <c r="AN423" i="16"/>
  <c r="AL432" i="16"/>
  <c r="N308" i="16"/>
  <c r="N309" i="16" s="1"/>
  <c r="L313" i="16"/>
  <c r="S308" i="16"/>
  <c r="S309" i="16" s="1"/>
  <c r="AO409" i="16"/>
  <c r="AK409" i="16"/>
  <c r="AH410" i="16"/>
  <c r="AI410" i="16" s="1"/>
  <c r="AN410" i="16"/>
  <c r="AE410" i="16"/>
  <c r="AN416" i="16"/>
  <c r="AE416" i="16"/>
  <c r="AH416" i="16"/>
  <c r="E396" i="16"/>
  <c r="F398" i="16"/>
  <c r="M308" i="16"/>
  <c r="K308" i="16"/>
  <c r="J313" i="16"/>
  <c r="AF405" i="16" s="1"/>
  <c r="R308" i="16"/>
  <c r="AN445" i="16"/>
  <c r="AH445" i="16"/>
  <c r="AI445" i="16" s="1"/>
  <c r="AN421" i="16"/>
  <c r="AH421" i="16"/>
  <c r="AI421" i="16" s="1"/>
  <c r="M24" i="16"/>
  <c r="K24" i="16"/>
  <c r="K37" i="16"/>
  <c r="K35" i="16"/>
  <c r="K34" i="16"/>
  <c r="K33" i="16"/>
  <c r="K31" i="16"/>
  <c r="K32" i="16"/>
  <c r="K36" i="16"/>
  <c r="AN444" i="16"/>
  <c r="AO444" i="16" s="1"/>
  <c r="AH444" i="16"/>
  <c r="AI444" i="16" s="1"/>
  <c r="AC432" i="16"/>
  <c r="AA432" i="16" s="1"/>
  <c r="AN424" i="16"/>
  <c r="AH424" i="16"/>
  <c r="AO440" i="16"/>
  <c r="N107" i="16"/>
  <c r="N108" i="16" s="1"/>
  <c r="S107" i="16"/>
  <c r="S108" i="16" s="1"/>
  <c r="L164" i="16"/>
  <c r="K134" i="16"/>
  <c r="AN471" i="16"/>
  <c r="AH471" i="16"/>
  <c r="AI471" i="16" s="1"/>
  <c r="AN478" i="16"/>
  <c r="AH478" i="16"/>
  <c r="AH464" i="16"/>
  <c r="AM408" i="16"/>
  <c r="AG408" i="16"/>
  <c r="AN450" i="16"/>
  <c r="AH450" i="16"/>
  <c r="AI436" i="16"/>
  <c r="K152" i="16"/>
  <c r="AN474" i="16"/>
  <c r="AH474" i="16"/>
  <c r="AI474" i="16" s="1"/>
  <c r="AH411" i="16"/>
  <c r="AI411" i="16" s="1"/>
  <c r="AN411" i="16"/>
  <c r="AO411" i="16" s="1"/>
  <c r="AE411" i="16"/>
  <c r="AN420" i="16"/>
  <c r="AO420" i="16" s="1"/>
  <c r="AH420" i="16"/>
  <c r="AI420" i="16" s="1"/>
  <c r="AF432" i="16"/>
  <c r="AN428" i="16"/>
  <c r="AO428" i="16" s="1"/>
  <c r="AH428" i="16"/>
  <c r="AI428" i="16" s="1"/>
  <c r="AB412" i="16"/>
  <c r="AN437" i="16"/>
  <c r="AH437" i="16"/>
  <c r="AC418" i="16"/>
  <c r="AB408" i="16"/>
  <c r="E228" i="16"/>
  <c r="AN436" i="16"/>
  <c r="AO436" i="16" s="1"/>
  <c r="AH436" i="16"/>
  <c r="N350" i="16"/>
  <c r="K350" i="16"/>
  <c r="S350" i="16"/>
  <c r="AC480" i="16"/>
  <c r="AA480" i="16" s="1"/>
  <c r="AH408" i="16"/>
  <c r="AI408" i="16" s="1"/>
  <c r="AN442" i="16"/>
  <c r="AH442" i="16"/>
  <c r="AI442" i="16" s="1"/>
  <c r="Q232" i="16"/>
  <c r="Q194" i="16"/>
  <c r="AO422" i="16"/>
  <c r="AH449" i="16"/>
  <c r="AN449" i="16"/>
  <c r="AN429" i="16"/>
  <c r="AH429" i="16"/>
  <c r="AI429" i="16" s="1"/>
  <c r="AO421" i="16"/>
  <c r="AN470" i="16"/>
  <c r="AH470" i="16"/>
  <c r="AI470" i="16" s="1"/>
  <c r="AI437" i="16"/>
  <c r="N74" i="16"/>
  <c r="K74" i="16"/>
  <c r="S74" i="16"/>
  <c r="AN446" i="16"/>
  <c r="AO446" i="16" s="1"/>
  <c r="AH446" i="16"/>
  <c r="AI446" i="16" s="1"/>
  <c r="AO423" i="16"/>
  <c r="AC451" i="16"/>
  <c r="AA451" i="16" s="1"/>
  <c r="AO434" i="16"/>
  <c r="P396" i="16"/>
  <c r="Q398" i="16"/>
  <c r="AH430" i="16"/>
  <c r="AN430" i="16"/>
  <c r="AO430" i="16" s="1"/>
  <c r="AO437" i="16"/>
  <c r="Q162" i="16"/>
  <c r="Q164" i="16" s="1"/>
  <c r="S158" i="16"/>
  <c r="S162" i="16" s="1"/>
  <c r="AO465" i="16"/>
  <c r="AL451" i="16"/>
  <c r="AO433" i="16"/>
  <c r="AI423" i="16"/>
  <c r="S398" i="16"/>
  <c r="N398" i="16"/>
  <c r="AN427" i="16"/>
  <c r="AO427" i="16" s="1"/>
  <c r="AH427" i="16"/>
  <c r="AI427" i="16" s="1"/>
  <c r="AN408" i="16"/>
  <c r="AO408" i="16" s="1"/>
  <c r="AN434" i="16"/>
  <c r="AH434" i="16"/>
  <c r="AI434" i="16" s="1"/>
  <c r="P74" i="16"/>
  <c r="AH441" i="16"/>
  <c r="AI441" i="16" s="1"/>
  <c r="AN441" i="16"/>
  <c r="AO441" i="16" s="1"/>
  <c r="AN413" i="16"/>
  <c r="AE413" i="16"/>
  <c r="AH413" i="16"/>
  <c r="AI413" i="16" s="1"/>
  <c r="AO413" i="16"/>
  <c r="AK413" i="16"/>
  <c r="AH448" i="16"/>
  <c r="AN448" i="16"/>
  <c r="AH447" i="16"/>
  <c r="AI447" i="16" s="1"/>
  <c r="AN447" i="16"/>
  <c r="AO447" i="16" s="1"/>
  <c r="AK415" i="16"/>
  <c r="AO415" i="16"/>
  <c r="Q352" i="16"/>
  <c r="P313" i="16"/>
  <c r="P348" i="16"/>
  <c r="AN438" i="16"/>
  <c r="AO438" i="16" s="1"/>
  <c r="AH438" i="16"/>
  <c r="AI438" i="16" s="1"/>
  <c r="AN409" i="16"/>
  <c r="AE409" i="16"/>
  <c r="AH409" i="16"/>
  <c r="AI409" i="16" s="1"/>
  <c r="AN412" i="16"/>
  <c r="AH412" i="16"/>
  <c r="AI412" i="16" s="1"/>
  <c r="AE412" i="16"/>
  <c r="Q83" i="16" l="1"/>
  <c r="Q85" i="16" s="1"/>
  <c r="AL479" i="16"/>
  <c r="S82" i="16"/>
  <c r="S83" i="16" s="1"/>
  <c r="S85" i="16" s="1"/>
  <c r="AH406" i="16"/>
  <c r="AI406" i="16" s="1"/>
  <c r="AN406" i="16"/>
  <c r="AG417" i="16"/>
  <c r="AM417" i="16"/>
  <c r="X432" i="16"/>
  <c r="AC467" i="16"/>
  <c r="AA418" i="16"/>
  <c r="AH432" i="16"/>
  <c r="AI432" i="16" s="1"/>
  <c r="AD432" i="16"/>
  <c r="AN432" i="16"/>
  <c r="R193" i="16"/>
  <c r="M193" i="16"/>
  <c r="AN451" i="16"/>
  <c r="AO451" i="16" s="1"/>
  <c r="AG414" i="16"/>
  <c r="AM414" i="16"/>
  <c r="S232" i="16"/>
  <c r="N232" i="16"/>
  <c r="AM409" i="16"/>
  <c r="AG409" i="16"/>
  <c r="AA465" i="16"/>
  <c r="AI465" i="16"/>
  <c r="AM413" i="16"/>
  <c r="AG413" i="16"/>
  <c r="AJ418" i="16"/>
  <c r="AJ465" i="16"/>
  <c r="AJ432" i="16"/>
  <c r="AJ451" i="16"/>
  <c r="AO406" i="16"/>
  <c r="AH451" i="16"/>
  <c r="AI451" i="16" s="1"/>
  <c r="AI433" i="16"/>
  <c r="AG411" i="16"/>
  <c r="AM411" i="16"/>
  <c r="AM416" i="16"/>
  <c r="AG416" i="16"/>
  <c r="S313" i="16"/>
  <c r="S314" i="16" s="1"/>
  <c r="L352" i="16"/>
  <c r="N313" i="16"/>
  <c r="N314" i="16" s="1"/>
  <c r="K329" i="16"/>
  <c r="K348" i="16"/>
  <c r="AG415" i="16"/>
  <c r="AM415" i="16"/>
  <c r="AD451" i="16"/>
  <c r="AF467" i="16"/>
  <c r="AN418" i="16"/>
  <c r="AH418" i="16"/>
  <c r="AI418" i="16" s="1"/>
  <c r="AD418" i="16"/>
  <c r="AL467" i="16"/>
  <c r="AJ467" i="16" s="1"/>
  <c r="AO418" i="16"/>
  <c r="AM412" i="16"/>
  <c r="AG412" i="16"/>
  <c r="N164" i="16"/>
  <c r="S164" i="16"/>
  <c r="AO432" i="16"/>
  <c r="AH480" i="16"/>
  <c r="AI480" i="16" s="1"/>
  <c r="AD480" i="16"/>
  <c r="X418" i="16"/>
  <c r="Z467" i="16"/>
  <c r="X467" i="16" s="1"/>
  <c r="AC405" i="16"/>
  <c r="X451" i="16"/>
  <c r="K313" i="16"/>
  <c r="M313" i="16"/>
  <c r="R313" i="16"/>
  <c r="AG410" i="16"/>
  <c r="AM410" i="16"/>
  <c r="E313" i="16"/>
  <c r="Z405" i="16"/>
  <c r="AA467" i="16" l="1"/>
  <c r="AC482" i="16"/>
  <c r="Z482" i="16"/>
  <c r="AD467" i="16"/>
  <c r="AN467" i="16"/>
  <c r="AO467" i="16" s="1"/>
  <c r="AH467" i="16"/>
  <c r="AI467" i="16" s="1"/>
  <c r="AF482" i="16"/>
  <c r="S352" i="16"/>
  <c r="N352" i="16"/>
  <c r="AO479" i="16"/>
  <c r="AN479" i="16"/>
  <c r="AL480" i="16"/>
  <c r="AC488" i="16" l="1"/>
  <c r="AB482" i="16"/>
  <c r="AH482" i="16"/>
  <c r="AI482" i="16" s="1"/>
  <c r="AE482" i="16"/>
  <c r="AF488" i="16"/>
  <c r="Y482" i="16"/>
  <c r="Z488" i="16"/>
  <c r="AL482" i="16"/>
  <c r="AN480" i="16"/>
  <c r="AO480" i="16" s="1"/>
  <c r="AL488" i="16" l="1"/>
  <c r="AO482" i="16"/>
  <c r="AK482" i="16"/>
  <c r="Y488" i="16"/>
  <c r="Z497" i="16"/>
  <c r="AF497" i="16"/>
  <c r="AH488" i="16"/>
  <c r="AI488" i="16" s="1"/>
  <c r="AE488" i="16"/>
  <c r="AN482" i="16"/>
  <c r="AB488" i="16"/>
  <c r="AC497" i="16"/>
  <c r="AB497" i="16" l="1"/>
  <c r="AC500" i="16"/>
  <c r="AO488" i="16"/>
  <c r="AL497" i="16"/>
  <c r="AK488" i="16"/>
  <c r="AF499" i="16"/>
  <c r="AF505" i="16" s="1"/>
  <c r="AH497" i="16"/>
  <c r="AI497" i="16" s="1"/>
  <c r="AE497" i="16"/>
  <c r="AN497" i="16"/>
  <c r="AF500" i="16"/>
  <c r="AN488" i="16"/>
  <c r="Z500" i="16"/>
  <c r="Z499" i="16"/>
  <c r="AC499" i="16" s="1"/>
  <c r="Y497" i="16"/>
  <c r="AO497" i="16" l="1"/>
  <c r="AL500" i="16"/>
  <c r="AK497" i="16"/>
  <c r="Z419" i="1" l="1"/>
  <c r="AC419" i="1"/>
  <c r="Z425" i="1" l="1"/>
  <c r="Z448" i="1"/>
  <c r="Z436" i="1"/>
  <c r="Z429" i="1"/>
  <c r="Z439" i="1"/>
  <c r="Z444" i="1"/>
  <c r="Z447" i="1"/>
  <c r="AC436" i="1"/>
  <c r="Z434" i="1"/>
  <c r="Z441" i="1"/>
  <c r="Z427" i="1"/>
  <c r="Z423" i="1"/>
  <c r="Z435" i="1"/>
  <c r="Z442" i="1"/>
  <c r="Z421" i="1"/>
  <c r="Z445" i="1"/>
  <c r="AF419" i="1"/>
  <c r="Z449" i="1" l="1"/>
  <c r="Z424" i="1"/>
  <c r="AC412" i="1"/>
  <c r="Z426" i="1"/>
  <c r="AC410" i="1"/>
  <c r="Z450" i="1"/>
  <c r="AC430" i="1"/>
  <c r="Z446" i="1"/>
  <c r="Z430" i="1"/>
  <c r="AC445" i="1"/>
  <c r="Z428" i="1"/>
  <c r="Z437" i="1"/>
  <c r="Z440" i="1"/>
  <c r="Z443" i="1"/>
  <c r="AC411" i="1"/>
  <c r="Z433" i="1"/>
  <c r="Z438" i="1"/>
  <c r="Z422" i="1"/>
  <c r="AC449" i="1"/>
  <c r="Z408" i="1"/>
  <c r="AC414" i="1"/>
  <c r="AC446" i="1"/>
  <c r="AC437" i="1"/>
  <c r="AC444" i="1"/>
  <c r="AC450" i="1"/>
  <c r="Z412" i="1"/>
  <c r="AC438" i="1"/>
  <c r="AC413" i="1"/>
  <c r="AC440" i="1"/>
  <c r="AC421" i="1"/>
  <c r="AC426" i="1"/>
  <c r="AC435" i="1"/>
  <c r="AC448" i="1"/>
  <c r="AC434" i="1"/>
  <c r="AC427" i="1"/>
  <c r="AC408" i="1"/>
  <c r="AC423" i="1"/>
  <c r="AC428" i="1"/>
  <c r="Z414" i="1"/>
  <c r="AC443" i="1"/>
  <c r="Z411" i="1"/>
  <c r="AC447" i="1"/>
  <c r="AC433" i="1"/>
  <c r="AC439" i="1"/>
  <c r="AC429" i="1"/>
  <c r="AC44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C425" i="1" l="1"/>
  <c r="AC422" i="1"/>
  <c r="AC424" i="1"/>
  <c r="Z420" i="1"/>
  <c r="AC420" i="1"/>
  <c r="Z409" i="1"/>
  <c r="AC409" i="1"/>
  <c r="Z413" i="1"/>
  <c r="AC442" i="1"/>
  <c r="AC451" i="1"/>
  <c r="AF420" i="1"/>
  <c r="AF435" i="1"/>
  <c r="AF408" i="1"/>
  <c r="AF440" i="1"/>
  <c r="AF422" i="1"/>
  <c r="AF414" i="1"/>
  <c r="G240" i="1" l="1"/>
  <c r="W240" i="1" s="1"/>
  <c r="D240" i="1"/>
  <c r="V240" i="1" s="1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L419" i="1" l="1"/>
  <c r="Q310" i="1"/>
  <c r="O310" i="1"/>
  <c r="L310" i="1"/>
  <c r="J310" i="1"/>
  <c r="I310" i="1"/>
  <c r="G310" i="1"/>
  <c r="F310" i="1"/>
  <c r="D310" i="1"/>
  <c r="E310" i="1" l="1"/>
  <c r="S310" i="1"/>
  <c r="P310" i="1"/>
  <c r="M310" i="1"/>
  <c r="H310" i="1"/>
  <c r="K310" i="1"/>
  <c r="N310" i="1"/>
  <c r="R310" i="1" l="1"/>
  <c r="AL496" i="1" l="1"/>
  <c r="AL495" i="1"/>
  <c r="AL494" i="1"/>
  <c r="AL493" i="1"/>
  <c r="AL492" i="1"/>
  <c r="AL491" i="1"/>
  <c r="AL490" i="1"/>
  <c r="AF496" i="1"/>
  <c r="AF495" i="1"/>
  <c r="AF494" i="1"/>
  <c r="AF493" i="1"/>
  <c r="AF492" i="1"/>
  <c r="AF491" i="1"/>
  <c r="AF490" i="1"/>
  <c r="AF489" i="1"/>
  <c r="AC496" i="1"/>
  <c r="AC495" i="1"/>
  <c r="AC494" i="1"/>
  <c r="AC493" i="1"/>
  <c r="AC492" i="1"/>
  <c r="AC491" i="1"/>
  <c r="AC490" i="1"/>
  <c r="Z496" i="1"/>
  <c r="Z495" i="1"/>
  <c r="Z494" i="1"/>
  <c r="Z493" i="1"/>
  <c r="Z492" i="1"/>
  <c r="Z491" i="1"/>
  <c r="Z490" i="1"/>
  <c r="AL468" i="1"/>
  <c r="AF468" i="1"/>
  <c r="AC468" i="1"/>
  <c r="Z468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Q306" i="1"/>
  <c r="O306" i="1"/>
  <c r="Q302" i="1"/>
  <c r="O302" i="1"/>
  <c r="P302" i="1" s="1"/>
  <c r="Q301" i="1"/>
  <c r="O301" i="1"/>
  <c r="P301" i="1" s="1"/>
  <c r="Q300" i="1"/>
  <c r="O300" i="1"/>
  <c r="P300" i="1" s="1"/>
  <c r="Q299" i="1"/>
  <c r="O299" i="1"/>
  <c r="Q298" i="1"/>
  <c r="O298" i="1"/>
  <c r="Q297" i="1"/>
  <c r="O297" i="1"/>
  <c r="Q296" i="1"/>
  <c r="O296" i="1"/>
  <c r="Q295" i="1"/>
  <c r="O295" i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K300" i="1" s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H300" i="1" s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P246" i="1"/>
  <c r="O246" i="1"/>
  <c r="Y246" i="1" s="1"/>
  <c r="Q243" i="1"/>
  <c r="P243" i="1"/>
  <c r="O243" i="1"/>
  <c r="Y243" i="1" s="1"/>
  <c r="Q240" i="1"/>
  <c r="P240" i="1"/>
  <c r="O240" i="1"/>
  <c r="Y240" i="1" s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X246" i="1" s="1"/>
  <c r="L243" i="1"/>
  <c r="K243" i="1"/>
  <c r="J243" i="1"/>
  <c r="X243" i="1" s="1"/>
  <c r="L240" i="1"/>
  <c r="K240" i="1"/>
  <c r="J240" i="1"/>
  <c r="X240" i="1" s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W246" i="1" s="1"/>
  <c r="I243" i="1"/>
  <c r="H243" i="1"/>
  <c r="G243" i="1"/>
  <c r="W243" i="1" s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V246" i="1" s="1"/>
  <c r="F243" i="1"/>
  <c r="E243" i="1"/>
  <c r="D243" i="1"/>
  <c r="V243" i="1" s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Y180" i="1" s="1"/>
  <c r="Q177" i="1"/>
  <c r="P177" i="1"/>
  <c r="O177" i="1"/>
  <c r="Y177" i="1" s="1"/>
  <c r="Q174" i="1"/>
  <c r="P174" i="1"/>
  <c r="O174" i="1"/>
  <c r="Y174" i="1" s="1"/>
  <c r="Q171" i="1"/>
  <c r="P171" i="1"/>
  <c r="O171" i="1"/>
  <c r="Y171" i="1" s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X180" i="1" s="1"/>
  <c r="L177" i="1"/>
  <c r="K177" i="1"/>
  <c r="J177" i="1"/>
  <c r="X177" i="1" s="1"/>
  <c r="L174" i="1"/>
  <c r="K174" i="1"/>
  <c r="J174" i="1"/>
  <c r="X174" i="1" s="1"/>
  <c r="L171" i="1"/>
  <c r="K171" i="1"/>
  <c r="J171" i="1"/>
  <c r="X171" i="1" s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W180" i="1" s="1"/>
  <c r="I177" i="1"/>
  <c r="H177" i="1"/>
  <c r="G177" i="1"/>
  <c r="W177" i="1" s="1"/>
  <c r="I174" i="1"/>
  <c r="H174" i="1"/>
  <c r="G174" i="1"/>
  <c r="W174" i="1" s="1"/>
  <c r="I171" i="1"/>
  <c r="H171" i="1"/>
  <c r="G171" i="1"/>
  <c r="W171" i="1" s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F180" i="1"/>
  <c r="E180" i="1"/>
  <c r="D180" i="1"/>
  <c r="V180" i="1" s="1"/>
  <c r="F177" i="1"/>
  <c r="E177" i="1"/>
  <c r="D177" i="1"/>
  <c r="V177" i="1" s="1"/>
  <c r="F174" i="1"/>
  <c r="E174" i="1"/>
  <c r="D174" i="1"/>
  <c r="V174" i="1" s="1"/>
  <c r="F171" i="1"/>
  <c r="E171" i="1"/>
  <c r="D171" i="1"/>
  <c r="V171" i="1" s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Q175" i="1" l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93" i="1" s="1"/>
  <c r="L354" i="1" s="1"/>
  <c r="L181" i="1"/>
  <c r="Q265" i="1"/>
  <c r="P265" i="1" s="1"/>
  <c r="L303" i="1"/>
  <c r="L308" i="1" s="1"/>
  <c r="L313" i="1" s="1"/>
  <c r="H359" i="1"/>
  <c r="I394" i="1"/>
  <c r="H394" i="1" s="1"/>
  <c r="K359" i="1"/>
  <c r="Q376" i="1"/>
  <c r="P376" i="1" s="1"/>
  <c r="I184" i="1"/>
  <c r="I193" i="1" s="1"/>
  <c r="I354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K193" i="1" s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Y99" i="1" s="1"/>
  <c r="L99" i="1"/>
  <c r="J99" i="1"/>
  <c r="X99" i="1" s="1"/>
  <c r="I99" i="1"/>
  <c r="G99" i="1"/>
  <c r="W99" i="1" s="1"/>
  <c r="F99" i="1"/>
  <c r="D99" i="1"/>
  <c r="V99" i="1" s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N354" i="1" l="1"/>
  <c r="H98" i="1"/>
  <c r="W98" i="1"/>
  <c r="E98" i="1"/>
  <c r="V98" i="1"/>
  <c r="P98" i="1"/>
  <c r="Y98" i="1"/>
  <c r="K98" i="1"/>
  <c r="X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Q83" i="1"/>
  <c r="J308" i="1"/>
  <c r="J313" i="1" s="1"/>
  <c r="K313" i="1" s="1"/>
  <c r="K94" i="1"/>
  <c r="K329" i="1"/>
  <c r="P284" i="1"/>
  <c r="E99" i="1"/>
  <c r="I194" i="1"/>
  <c r="K376" i="1"/>
  <c r="Q250" i="1"/>
  <c r="P361" i="1"/>
  <c r="O308" i="1"/>
  <c r="O313" i="1" s="1"/>
  <c r="P303" i="1"/>
  <c r="G308" i="1"/>
  <c r="G313" i="1" s="1"/>
  <c r="H303" i="1"/>
  <c r="I250" i="1"/>
  <c r="H284" i="1"/>
  <c r="Q193" i="1"/>
  <c r="Q185" i="1"/>
  <c r="L185" i="1"/>
  <c r="L194" i="1"/>
  <c r="K209" i="1"/>
  <c r="H209" i="1"/>
  <c r="I185" i="1"/>
  <c r="N98" i="1"/>
  <c r="M98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Y17" i="1" s="1"/>
  <c r="L17" i="1"/>
  <c r="J17" i="1"/>
  <c r="X17" i="1" s="1"/>
  <c r="I17" i="1"/>
  <c r="G17" i="1"/>
  <c r="W17" i="1" s="1"/>
  <c r="F17" i="1"/>
  <c r="D17" i="1"/>
  <c r="V17" i="1" s="1"/>
  <c r="Q15" i="1"/>
  <c r="O15" i="1"/>
  <c r="L15" i="1"/>
  <c r="J15" i="1"/>
  <c r="I15" i="1"/>
  <c r="G15" i="1"/>
  <c r="W15" i="1" s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Y15" i="1" l="1"/>
  <c r="V15" i="1"/>
  <c r="X15" i="1"/>
  <c r="L398" i="1"/>
  <c r="I398" i="1"/>
  <c r="H286" i="1"/>
  <c r="P286" i="1"/>
  <c r="K308" i="1"/>
  <c r="Q398" i="1"/>
  <c r="Q352" i="1"/>
  <c r="P313" i="1"/>
  <c r="P308" i="1"/>
  <c r="H313" i="1"/>
  <c r="H308" i="1"/>
  <c r="Q194" i="1"/>
  <c r="P209" i="1"/>
  <c r="AL476" i="1" l="1"/>
  <c r="AF476" i="1"/>
  <c r="AL471" i="1" l="1"/>
  <c r="Z476" i="1"/>
  <c r="AC476" i="1" l="1"/>
  <c r="AF477" i="1" l="1"/>
  <c r="AC479" i="1"/>
  <c r="AL479" i="1"/>
  <c r="AC469" i="1"/>
  <c r="AC475" i="1"/>
  <c r="AL426" i="1" l="1"/>
  <c r="Z470" i="1"/>
  <c r="AL472" i="1"/>
  <c r="AL423" i="1"/>
  <c r="AL430" i="1"/>
  <c r="AL428" i="1"/>
  <c r="AF473" i="1"/>
  <c r="AL431" i="1"/>
  <c r="Z473" i="1"/>
  <c r="AF475" i="1"/>
  <c r="Z471" i="1"/>
  <c r="AL429" i="1"/>
  <c r="AC470" i="1"/>
  <c r="AF469" i="1"/>
  <c r="AF471" i="1"/>
  <c r="Z475" i="1"/>
  <c r="AC473" i="1"/>
  <c r="AF431" i="1"/>
  <c r="AF470" i="1"/>
  <c r="Z474" i="1"/>
  <c r="AL470" i="1"/>
  <c r="AF472" i="1"/>
  <c r="Z479" i="1"/>
  <c r="AL427" i="1"/>
  <c r="AC471" i="1"/>
  <c r="AL469" i="1"/>
  <c r="AC472" i="1"/>
  <c r="AC474" i="1"/>
  <c r="AL420" i="1"/>
  <c r="Z472" i="1"/>
  <c r="AF474" i="1"/>
  <c r="AL421" i="1"/>
  <c r="AL473" i="1"/>
  <c r="AL474" i="1"/>
  <c r="AF478" i="1"/>
  <c r="Z469" i="1"/>
  <c r="AL422" i="1"/>
  <c r="AL475" i="1" l="1"/>
  <c r="AL478" i="1"/>
  <c r="AL425" i="1"/>
  <c r="AL477" i="1"/>
  <c r="AL424" i="1"/>
  <c r="Z478" i="1"/>
  <c r="Z431" i="1"/>
  <c r="AC431" i="1"/>
  <c r="O13" i="2"/>
  <c r="O10" i="2" l="1"/>
  <c r="AC478" i="1"/>
  <c r="Z481" i="1"/>
  <c r="Z477" i="1"/>
  <c r="AC477" i="1"/>
  <c r="N13" i="2"/>
  <c r="J13" i="2"/>
  <c r="J10" i="2" l="1"/>
  <c r="N10" i="2"/>
  <c r="K13" i="2"/>
  <c r="C13" i="2"/>
  <c r="F13" i="2"/>
  <c r="L13" i="2"/>
  <c r="G13" i="2"/>
  <c r="B13" i="2"/>
  <c r="F10" i="2" l="1"/>
  <c r="G10" i="2"/>
  <c r="K10" i="2"/>
  <c r="P13" i="2"/>
  <c r="P10" i="2" l="1"/>
  <c r="D13" i="2"/>
  <c r="Z483" i="1"/>
  <c r="H13" i="2"/>
  <c r="Q13" i="2"/>
  <c r="M13" i="2"/>
  <c r="H10" i="2" l="1"/>
  <c r="Q10" i="2"/>
  <c r="I13" i="2"/>
  <c r="E13" i="2"/>
  <c r="S1" i="1"/>
  <c r="A498" i="1"/>
  <c r="A497" i="1"/>
  <c r="AO496" i="1"/>
  <c r="AN496" i="1"/>
  <c r="A496" i="1"/>
  <c r="AO495" i="1"/>
  <c r="AH495" i="1"/>
  <c r="AI495" i="1"/>
  <c r="A495" i="1"/>
  <c r="AN494" i="1"/>
  <c r="A494" i="1"/>
  <c r="AH493" i="1"/>
  <c r="A493" i="1"/>
  <c r="A492" i="1"/>
  <c r="AH492" i="1" s="1"/>
  <c r="AH491" i="1"/>
  <c r="A491" i="1"/>
  <c r="AN490" i="1"/>
  <c r="AO490" i="1" s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N476" i="1"/>
  <c r="AO476" i="1" s="1"/>
  <c r="A476" i="1"/>
  <c r="A475" i="1"/>
  <c r="A474" i="1"/>
  <c r="A473" i="1"/>
  <c r="A472" i="1"/>
  <c r="A471" i="1"/>
  <c r="AN470" i="1"/>
  <c r="AO470" i="1" s="1"/>
  <c r="A470" i="1"/>
  <c r="A469" i="1"/>
  <c r="AN468" i="1"/>
  <c r="AO468" i="1" s="1"/>
  <c r="A468" i="1"/>
  <c r="A467" i="1"/>
  <c r="AO466" i="1"/>
  <c r="AN466" i="1"/>
  <c r="AH466" i="1"/>
  <c r="A466" i="1"/>
  <c r="A465" i="1"/>
  <c r="A464" i="1"/>
  <c r="A463" i="1"/>
  <c r="A462" i="1"/>
  <c r="A461" i="1"/>
  <c r="AN460" i="1"/>
  <c r="A460" i="1"/>
  <c r="AN459" i="1"/>
  <c r="A459" i="1"/>
  <c r="AN458" i="1"/>
  <c r="AO458" i="1" s="1"/>
  <c r="A458" i="1"/>
  <c r="AH457" i="1"/>
  <c r="A457" i="1"/>
  <c r="AN456" i="1"/>
  <c r="AO456" i="1" s="1"/>
  <c r="A456" i="1"/>
  <c r="A455" i="1"/>
  <c r="AN454" i="1"/>
  <c r="AO454" i="1" s="1"/>
  <c r="A454" i="1"/>
  <c r="AH453" i="1"/>
  <c r="AI453" i="1" s="1"/>
  <c r="AN453" i="1"/>
  <c r="AO453" i="1" s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N419" i="1"/>
  <c r="AO419" i="1" s="1"/>
  <c r="A419" i="1"/>
  <c r="AH419" i="1" s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N351" i="1"/>
  <c r="S347" i="1"/>
  <c r="N347" i="1"/>
  <c r="A347" i="1"/>
  <c r="S346" i="1"/>
  <c r="A346" i="1"/>
  <c r="S345" i="1"/>
  <c r="N345" i="1"/>
  <c r="A345" i="1"/>
  <c r="A344" i="1"/>
  <c r="S343" i="1"/>
  <c r="A343" i="1"/>
  <c r="S342" i="1"/>
  <c r="N342" i="1"/>
  <c r="A342" i="1"/>
  <c r="N341" i="1"/>
  <c r="S341" i="1"/>
  <c r="A341" i="1"/>
  <c r="S340" i="1"/>
  <c r="A340" i="1"/>
  <c r="S339" i="1"/>
  <c r="N339" i="1"/>
  <c r="A339" i="1"/>
  <c r="S338" i="1"/>
  <c r="N338" i="1"/>
  <c r="A338" i="1"/>
  <c r="A337" i="1"/>
  <c r="S336" i="1"/>
  <c r="N336" i="1"/>
  <c r="A336" i="1"/>
  <c r="N335" i="1"/>
  <c r="S335" i="1"/>
  <c r="A335" i="1"/>
  <c r="S334" i="1"/>
  <c r="A334" i="1"/>
  <c r="S333" i="1"/>
  <c r="N333" i="1"/>
  <c r="A333" i="1"/>
  <c r="S332" i="1"/>
  <c r="A332" i="1"/>
  <c r="N332" i="1" s="1"/>
  <c r="A331" i="1"/>
  <c r="S330" i="1"/>
  <c r="N330" i="1"/>
  <c r="A330" i="1"/>
  <c r="A329" i="1"/>
  <c r="S328" i="1"/>
  <c r="A328" i="1"/>
  <c r="N328" i="1" s="1"/>
  <c r="N327" i="1"/>
  <c r="A327" i="1"/>
  <c r="S326" i="1"/>
  <c r="N326" i="1"/>
  <c r="A326" i="1"/>
  <c r="S325" i="1"/>
  <c r="A325" i="1"/>
  <c r="S324" i="1"/>
  <c r="A324" i="1"/>
  <c r="S323" i="1"/>
  <c r="A323" i="1"/>
  <c r="N323" i="1" s="1"/>
  <c r="S322" i="1"/>
  <c r="A322" i="1"/>
  <c r="S321" i="1"/>
  <c r="N321" i="1"/>
  <c r="A321" i="1"/>
  <c r="S320" i="1"/>
  <c r="A320" i="1"/>
  <c r="N320" i="1" s="1"/>
  <c r="N319" i="1"/>
  <c r="A319" i="1"/>
  <c r="S318" i="1"/>
  <c r="N318" i="1"/>
  <c r="A318" i="1"/>
  <c r="A317" i="1"/>
  <c r="A316" i="1"/>
  <c r="A315" i="1"/>
  <c r="A314" i="1"/>
  <c r="A313" i="1"/>
  <c r="A312" i="1"/>
  <c r="S311" i="1"/>
  <c r="R311" i="1" s="1"/>
  <c r="M311" i="1"/>
  <c r="E311" i="1"/>
  <c r="A311" i="1"/>
  <c r="A310" i="1"/>
  <c r="A309" i="1"/>
  <c r="A308" i="1"/>
  <c r="R307" i="1"/>
  <c r="E307" i="1"/>
  <c r="A307" i="1"/>
  <c r="A306" i="1"/>
  <c r="A305" i="1"/>
  <c r="A304" i="1"/>
  <c r="A303" i="1"/>
  <c r="S302" i="1"/>
  <c r="R302" i="1"/>
  <c r="N302" i="1"/>
  <c r="E302" i="1"/>
  <c r="A302" i="1"/>
  <c r="A301" i="1"/>
  <c r="A300" i="1"/>
  <c r="E299" i="1"/>
  <c r="A299" i="1"/>
  <c r="M298" i="1"/>
  <c r="E298" i="1"/>
  <c r="A298" i="1"/>
  <c r="R297" i="1"/>
  <c r="A297" i="1"/>
  <c r="R296" i="1"/>
  <c r="E296" i="1"/>
  <c r="A296" i="1"/>
  <c r="A295" i="1"/>
  <c r="A294" i="1"/>
  <c r="A293" i="1"/>
  <c r="N287" i="1"/>
  <c r="S283" i="1"/>
  <c r="A283" i="1"/>
  <c r="N282" i="1"/>
  <c r="A282" i="1"/>
  <c r="S281" i="1"/>
  <c r="A281" i="1"/>
  <c r="A280" i="1"/>
  <c r="S279" i="1"/>
  <c r="N279" i="1"/>
  <c r="A279" i="1"/>
  <c r="S278" i="1"/>
  <c r="A278" i="1"/>
  <c r="S277" i="1"/>
  <c r="N277" i="1"/>
  <c r="A277" i="1"/>
  <c r="S276" i="1"/>
  <c r="N276" i="1"/>
  <c r="A276" i="1"/>
  <c r="S275" i="1"/>
  <c r="A275" i="1"/>
  <c r="N274" i="1"/>
  <c r="A274" i="1"/>
  <c r="S273" i="1"/>
  <c r="A273" i="1"/>
  <c r="A272" i="1"/>
  <c r="S271" i="1"/>
  <c r="N271" i="1"/>
  <c r="A271" i="1"/>
  <c r="S270" i="1"/>
  <c r="N270" i="1"/>
  <c r="A270" i="1"/>
  <c r="A269" i="1"/>
  <c r="N268" i="1"/>
  <c r="A268" i="1"/>
  <c r="S267" i="1"/>
  <c r="A267" i="1"/>
  <c r="A266" i="1"/>
  <c r="A265" i="1"/>
  <c r="N264" i="1"/>
  <c r="A264" i="1"/>
  <c r="S263" i="1"/>
  <c r="A263" i="1"/>
  <c r="A262" i="1"/>
  <c r="S261" i="1"/>
  <c r="N261" i="1"/>
  <c r="A261" i="1"/>
  <c r="S260" i="1"/>
  <c r="A260" i="1"/>
  <c r="S259" i="1"/>
  <c r="A259" i="1"/>
  <c r="S258" i="1"/>
  <c r="A258" i="1"/>
  <c r="S257" i="1"/>
  <c r="N257" i="1"/>
  <c r="A257" i="1"/>
  <c r="A256" i="1"/>
  <c r="S255" i="1"/>
  <c r="A255" i="1"/>
  <c r="A254" i="1"/>
  <c r="L265" i="1"/>
  <c r="A253" i="1"/>
  <c r="A252" i="1"/>
  <c r="A251" i="1"/>
  <c r="A250" i="1"/>
  <c r="A249" i="1"/>
  <c r="A248" i="1"/>
  <c r="F247" i="1"/>
  <c r="A247" i="1"/>
  <c r="R246" i="1"/>
  <c r="N246" i="1"/>
  <c r="N247" i="1" s="1"/>
  <c r="L247" i="1"/>
  <c r="A246" i="1"/>
  <c r="A245" i="1"/>
  <c r="A244" i="1"/>
  <c r="R243" i="1"/>
  <c r="M243" i="1"/>
  <c r="K249" i="1"/>
  <c r="A243" i="1"/>
  <c r="A242" i="1"/>
  <c r="A241" i="1"/>
  <c r="R240" i="1"/>
  <c r="M240" i="1"/>
  <c r="A240" i="1"/>
  <c r="A239" i="1"/>
  <c r="A238" i="1"/>
  <c r="S227" i="1"/>
  <c r="A227" i="1"/>
  <c r="N227" i="1" s="1"/>
  <c r="S226" i="1"/>
  <c r="S225" i="1"/>
  <c r="A225" i="1"/>
  <c r="A224" i="1"/>
  <c r="S223" i="1"/>
  <c r="A223" i="1"/>
  <c r="S222" i="1"/>
  <c r="N222" i="1"/>
  <c r="A222" i="1"/>
  <c r="N221" i="1"/>
  <c r="A221" i="1"/>
  <c r="S220" i="1"/>
  <c r="A220" i="1"/>
  <c r="N220" i="1" s="1"/>
  <c r="S219" i="1"/>
  <c r="A219" i="1"/>
  <c r="S218" i="1"/>
  <c r="N218" i="1"/>
  <c r="A218" i="1"/>
  <c r="S217" i="1"/>
  <c r="A217" i="1"/>
  <c r="S216" i="1"/>
  <c r="N216" i="1"/>
  <c r="A216" i="1"/>
  <c r="N215" i="1"/>
  <c r="A215" i="1"/>
  <c r="S214" i="1"/>
  <c r="A214" i="1"/>
  <c r="S213" i="1"/>
  <c r="A213" i="1"/>
  <c r="S212" i="1"/>
  <c r="N212" i="1"/>
  <c r="A212" i="1"/>
  <c r="A211" i="1"/>
  <c r="S210" i="1"/>
  <c r="N210" i="1"/>
  <c r="A210" i="1"/>
  <c r="A209" i="1"/>
  <c r="S208" i="1"/>
  <c r="N208" i="1"/>
  <c r="A208" i="1"/>
  <c r="S207" i="1"/>
  <c r="A207" i="1"/>
  <c r="S206" i="1"/>
  <c r="N206" i="1"/>
  <c r="A206" i="1"/>
  <c r="A205" i="1"/>
  <c r="S204" i="1"/>
  <c r="N204" i="1"/>
  <c r="A204" i="1"/>
  <c r="N203" i="1"/>
  <c r="A203" i="1"/>
  <c r="S202" i="1"/>
  <c r="A202" i="1"/>
  <c r="S201" i="1"/>
  <c r="A201" i="1"/>
  <c r="S200" i="1"/>
  <c r="N200" i="1"/>
  <c r="A200" i="1"/>
  <c r="A199" i="1"/>
  <c r="S198" i="1"/>
  <c r="N198" i="1"/>
  <c r="A198" i="1"/>
  <c r="S197" i="1"/>
  <c r="A197" i="1"/>
  <c r="A196" i="1"/>
  <c r="A195" i="1"/>
  <c r="A194" i="1"/>
  <c r="A193" i="1"/>
  <c r="A192" i="1"/>
  <c r="A191" i="1"/>
  <c r="F191" i="1"/>
  <c r="A190" i="1"/>
  <c r="A189" i="1"/>
  <c r="A188" i="1"/>
  <c r="R187" i="1"/>
  <c r="A187" i="1"/>
  <c r="A186" i="1"/>
  <c r="A185" i="1"/>
  <c r="A184" i="1"/>
  <c r="S183" i="1"/>
  <c r="A183" i="1"/>
  <c r="A182" i="1"/>
  <c r="M181" i="1"/>
  <c r="A181" i="1"/>
  <c r="R180" i="1"/>
  <c r="A180" i="1"/>
  <c r="A179" i="1"/>
  <c r="R178" i="1"/>
  <c r="A178" i="1"/>
  <c r="R177" i="1"/>
  <c r="F178" i="1"/>
  <c r="A177" i="1"/>
  <c r="A176" i="1"/>
  <c r="A175" i="1"/>
  <c r="R174" i="1"/>
  <c r="A174" i="1"/>
  <c r="E173" i="1"/>
  <c r="A173" i="1"/>
  <c r="A172" i="1"/>
  <c r="R171" i="1"/>
  <c r="A171" i="1"/>
  <c r="A170" i="1"/>
  <c r="L162" i="1"/>
  <c r="A161" i="1"/>
  <c r="S160" i="1"/>
  <c r="A160" i="1"/>
  <c r="N159" i="1"/>
  <c r="A159" i="1"/>
  <c r="S158" i="1"/>
  <c r="A158" i="1"/>
  <c r="S157" i="1"/>
  <c r="A157" i="1"/>
  <c r="S156" i="1"/>
  <c r="N156" i="1"/>
  <c r="A156" i="1"/>
  <c r="Q162" i="1"/>
  <c r="A155" i="1"/>
  <c r="A154" i="1"/>
  <c r="A153" i="1"/>
  <c r="A152" i="1"/>
  <c r="A151" i="1"/>
  <c r="S150" i="1"/>
  <c r="N150" i="1"/>
  <c r="A150" i="1"/>
  <c r="S149" i="1"/>
  <c r="N149" i="1"/>
  <c r="A149" i="1"/>
  <c r="A148" i="1"/>
  <c r="A147" i="1"/>
  <c r="S146" i="1"/>
  <c r="A146" i="1"/>
  <c r="A145" i="1"/>
  <c r="S144" i="1"/>
  <c r="N144" i="1"/>
  <c r="A144" i="1"/>
  <c r="S143" i="1"/>
  <c r="A143" i="1"/>
  <c r="S142" i="1"/>
  <c r="A142" i="1"/>
  <c r="N141" i="1"/>
  <c r="A141" i="1"/>
  <c r="S140" i="1"/>
  <c r="N140" i="1"/>
  <c r="A140" i="1"/>
  <c r="S139" i="1"/>
  <c r="A139" i="1"/>
  <c r="S138" i="1"/>
  <c r="A138" i="1"/>
  <c r="N137" i="1"/>
  <c r="A137" i="1"/>
  <c r="S136" i="1"/>
  <c r="N136" i="1"/>
  <c r="A136" i="1"/>
  <c r="Q152" i="1"/>
  <c r="A135" i="1"/>
  <c r="A134" i="1"/>
  <c r="S133" i="1"/>
  <c r="A133" i="1"/>
  <c r="S132" i="1"/>
  <c r="N132" i="1"/>
  <c r="A132" i="1"/>
  <c r="A131" i="1"/>
  <c r="A130" i="1"/>
  <c r="S129" i="1"/>
  <c r="A129" i="1"/>
  <c r="S128" i="1"/>
  <c r="N128" i="1"/>
  <c r="A128" i="1"/>
  <c r="A127" i="1"/>
  <c r="A126" i="1"/>
  <c r="S125" i="1"/>
  <c r="A125" i="1"/>
  <c r="S124" i="1"/>
  <c r="N124" i="1"/>
  <c r="A124" i="1"/>
  <c r="S123" i="1"/>
  <c r="A123" i="1"/>
  <c r="A122" i="1"/>
  <c r="A121" i="1"/>
  <c r="A120" i="1"/>
  <c r="A119" i="1"/>
  <c r="S118" i="1"/>
  <c r="A118" i="1"/>
  <c r="S117" i="1"/>
  <c r="A117" i="1"/>
  <c r="N117" i="1" s="1"/>
  <c r="S116" i="1"/>
  <c r="N116" i="1"/>
  <c r="A116" i="1"/>
  <c r="S115" i="1"/>
  <c r="N115" i="1"/>
  <c r="A115" i="1"/>
  <c r="S114" i="1"/>
  <c r="N114" i="1"/>
  <c r="A114" i="1"/>
  <c r="S113" i="1"/>
  <c r="A113" i="1"/>
  <c r="N112" i="1"/>
  <c r="S112" i="1"/>
  <c r="A112" i="1"/>
  <c r="Q121" i="1"/>
  <c r="A111" i="1"/>
  <c r="A110" i="1"/>
  <c r="A109" i="1"/>
  <c r="A108" i="1"/>
  <c r="A107" i="1"/>
  <c r="A106" i="1"/>
  <c r="A105" i="1"/>
  <c r="L104" i="1"/>
  <c r="A104" i="1"/>
  <c r="S103" i="1"/>
  <c r="E103" i="1"/>
  <c r="A103" i="1"/>
  <c r="H103" i="1" s="1"/>
  <c r="S102" i="1"/>
  <c r="A102" i="1"/>
  <c r="S101" i="1"/>
  <c r="H101" i="1"/>
  <c r="F104" i="1"/>
  <c r="E101" i="1"/>
  <c r="A101" i="1"/>
  <c r="A100" i="1"/>
  <c r="S99" i="1"/>
  <c r="R99" i="1"/>
  <c r="M99" i="1"/>
  <c r="A99" i="1"/>
  <c r="A98" i="1"/>
  <c r="H97" i="1"/>
  <c r="E97" i="1"/>
  <c r="A97" i="1"/>
  <c r="O96" i="1"/>
  <c r="O107" i="1" s="1"/>
  <c r="J96" i="1"/>
  <c r="J107" i="1" s="1"/>
  <c r="I96" i="1"/>
  <c r="A96" i="1"/>
  <c r="S95" i="1"/>
  <c r="R95" i="1"/>
  <c r="A95" i="1"/>
  <c r="S94" i="1"/>
  <c r="R94" i="1"/>
  <c r="Q96" i="1"/>
  <c r="L96" i="1"/>
  <c r="G96" i="1"/>
  <c r="W96" i="1" s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N75" i="1"/>
  <c r="B75" i="1"/>
  <c r="A75" i="1" s="1"/>
  <c r="B74" i="1"/>
  <c r="A74" i="1" s="1"/>
  <c r="B73" i="1"/>
  <c r="A73" i="1" s="1"/>
  <c r="B72" i="1"/>
  <c r="A72" i="1"/>
  <c r="N71" i="1"/>
  <c r="B71" i="1"/>
  <c r="A71" i="1" s="1"/>
  <c r="N70" i="1"/>
  <c r="B70" i="1"/>
  <c r="A70" i="1" s="1"/>
  <c r="S69" i="1"/>
  <c r="B69" i="1"/>
  <c r="A69" i="1" s="1"/>
  <c r="B68" i="1"/>
  <c r="A68" i="1" s="1"/>
  <c r="N67" i="1"/>
  <c r="B67" i="1"/>
  <c r="A67" i="1" s="1"/>
  <c r="N66" i="1"/>
  <c r="S66" i="1"/>
  <c r="B66" i="1"/>
  <c r="A66" i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K40" i="1"/>
  <c r="N40" i="1"/>
  <c r="B40" i="1"/>
  <c r="A40" i="1" s="1"/>
  <c r="K39" i="1"/>
  <c r="B39" i="1"/>
  <c r="S38" i="1"/>
  <c r="B38" i="1"/>
  <c r="A38" i="1"/>
  <c r="B37" i="1"/>
  <c r="A37" i="1" s="1"/>
  <c r="N37" i="1" s="1"/>
  <c r="B36" i="1"/>
  <c r="A36" i="1"/>
  <c r="B35" i="1"/>
  <c r="S34" i="1"/>
  <c r="B34" i="1"/>
  <c r="A34" i="1" s="1"/>
  <c r="N33" i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N21" i="1" s="1"/>
  <c r="B20" i="1"/>
  <c r="A20" i="1" s="1"/>
  <c r="R19" i="1"/>
  <c r="B19" i="1"/>
  <c r="B18" i="1"/>
  <c r="A18" i="1" s="1"/>
  <c r="R17" i="1"/>
  <c r="P17" i="1"/>
  <c r="N17" i="1"/>
  <c r="K17" i="1"/>
  <c r="M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 s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R6" i="1"/>
  <c r="K6" i="1"/>
  <c r="B6" i="1"/>
  <c r="A6" i="1" s="1"/>
  <c r="B5" i="1"/>
  <c r="A5" i="1" s="1"/>
  <c r="A7" i="1" l="1"/>
  <c r="I10" i="2"/>
  <c r="L107" i="1"/>
  <c r="A21" i="1"/>
  <c r="J111" i="1"/>
  <c r="Y96" i="1"/>
  <c r="K114" i="1"/>
  <c r="X96" i="1"/>
  <c r="K22" i="1"/>
  <c r="R22" i="1" s="1"/>
  <c r="X13" i="1"/>
  <c r="A23" i="1"/>
  <c r="O24" i="1"/>
  <c r="Y13" i="1"/>
  <c r="A33" i="1"/>
  <c r="A15" i="1"/>
  <c r="S96" i="1"/>
  <c r="S97" i="1" s="1"/>
  <c r="E361" i="1"/>
  <c r="AI491" i="1"/>
  <c r="R96" i="1"/>
  <c r="R97" i="1" s="1"/>
  <c r="K96" i="1"/>
  <c r="K23" i="1"/>
  <c r="R23" i="1" s="1"/>
  <c r="K21" i="1"/>
  <c r="R21" i="1" s="1"/>
  <c r="R13" i="1"/>
  <c r="R14" i="1" s="1"/>
  <c r="P6" i="1"/>
  <c r="N10" i="1"/>
  <c r="S15" i="1"/>
  <c r="N48" i="1"/>
  <c r="H114" i="1"/>
  <c r="G104" i="1"/>
  <c r="W104" i="1" s="1"/>
  <c r="H116" i="1"/>
  <c r="H96" i="1"/>
  <c r="G107" i="1"/>
  <c r="W107" i="1" s="1"/>
  <c r="S7" i="1"/>
  <c r="M6" i="1"/>
  <c r="H6" i="1"/>
  <c r="N8" i="1"/>
  <c r="S8" i="1"/>
  <c r="N15" i="1"/>
  <c r="H22" i="1"/>
  <c r="N23" i="1"/>
  <c r="A32" i="1"/>
  <c r="S37" i="1"/>
  <c r="N38" i="1"/>
  <c r="A44" i="1"/>
  <c r="S45" i="1"/>
  <c r="N45" i="1"/>
  <c r="A52" i="1"/>
  <c r="S53" i="1"/>
  <c r="N53" i="1"/>
  <c r="N58" i="1"/>
  <c r="N62" i="1"/>
  <c r="A76" i="1"/>
  <c r="D96" i="1"/>
  <c r="E95" i="1"/>
  <c r="S130" i="1"/>
  <c r="V484" i="1"/>
  <c r="A484" i="1" s="1"/>
  <c r="V401" i="1"/>
  <c r="C290" i="1"/>
  <c r="C355" i="1" s="1"/>
  <c r="C235" i="1"/>
  <c r="C167" i="1"/>
  <c r="C89" i="1"/>
  <c r="A81" i="1"/>
  <c r="N96" i="1"/>
  <c r="N97" i="1" s="1"/>
  <c r="M96" i="1"/>
  <c r="M97" i="1" s="1"/>
  <c r="K101" i="1"/>
  <c r="R101" i="1" s="1"/>
  <c r="S111" i="1"/>
  <c r="K117" i="1"/>
  <c r="N123" i="1"/>
  <c r="P21" i="1"/>
  <c r="A9" i="1"/>
  <c r="H17" i="1"/>
  <c r="S17" i="1"/>
  <c r="E21" i="1"/>
  <c r="I24" i="1"/>
  <c r="E23" i="1"/>
  <c r="J24" i="1"/>
  <c r="N34" i="1"/>
  <c r="A39" i="1"/>
  <c r="P39" i="1"/>
  <c r="S40" i="1"/>
  <c r="Q54" i="1"/>
  <c r="A46" i="1"/>
  <c r="N57" i="1"/>
  <c r="N61" i="1"/>
  <c r="F72" i="1"/>
  <c r="N65" i="1"/>
  <c r="N69" i="1"/>
  <c r="S78" i="1"/>
  <c r="A78" i="1"/>
  <c r="N94" i="1"/>
  <c r="P102" i="1"/>
  <c r="O104" i="1"/>
  <c r="Y104" i="1" s="1"/>
  <c r="P103" i="1"/>
  <c r="P96" i="1"/>
  <c r="P101" i="1"/>
  <c r="K102" i="1"/>
  <c r="R102" i="1" s="1"/>
  <c r="Y107" i="1"/>
  <c r="I121" i="1"/>
  <c r="G111" i="1"/>
  <c r="N119" i="1"/>
  <c r="H119" i="1"/>
  <c r="E12" i="1"/>
  <c r="N12" i="1"/>
  <c r="S60" i="1"/>
  <c r="S64" i="1"/>
  <c r="N101" i="1"/>
  <c r="K103" i="1"/>
  <c r="R103" i="1" s="1"/>
  <c r="S48" i="1"/>
  <c r="AO484" i="1"/>
  <c r="AO401" i="1"/>
  <c r="S355" i="1"/>
  <c r="S235" i="1"/>
  <c r="S167" i="1"/>
  <c r="S290" i="1"/>
  <c r="S56" i="1"/>
  <c r="A11" i="1"/>
  <c r="A19" i="1"/>
  <c r="F24" i="1"/>
  <c r="S21" i="1"/>
  <c r="H23" i="1"/>
  <c r="J27" i="1"/>
  <c r="X27" i="1" s="1"/>
  <c r="L41" i="1"/>
  <c r="N31" i="1"/>
  <c r="A35" i="1"/>
  <c r="S36" i="1"/>
  <c r="S49" i="1"/>
  <c r="N49" i="1"/>
  <c r="N56" i="1"/>
  <c r="N60" i="1"/>
  <c r="N64" i="1"/>
  <c r="S80" i="1"/>
  <c r="A80" i="1"/>
  <c r="E94" i="1"/>
  <c r="N99" i="1"/>
  <c r="Q104" i="1"/>
  <c r="Q107" i="1" s="1"/>
  <c r="P107" i="1" s="1"/>
  <c r="J104" i="1"/>
  <c r="X104" i="1" s="1"/>
  <c r="H111" i="1"/>
  <c r="H115" i="1"/>
  <c r="S119" i="1"/>
  <c r="S59" i="1"/>
  <c r="S63" i="1"/>
  <c r="S67" i="1"/>
  <c r="S71" i="1"/>
  <c r="A77" i="1"/>
  <c r="F107" i="1"/>
  <c r="H113" i="1"/>
  <c r="Q24" i="1"/>
  <c r="S46" i="1"/>
  <c r="S55" i="1"/>
  <c r="N7" i="1"/>
  <c r="K38" i="1"/>
  <c r="A42" i="1"/>
  <c r="S43" i="1"/>
  <c r="N43" i="1"/>
  <c r="S51" i="1"/>
  <c r="N51" i="1"/>
  <c r="N55" i="1"/>
  <c r="N59" i="1"/>
  <c r="N63" i="1"/>
  <c r="A82" i="1"/>
  <c r="S89" i="1"/>
  <c r="M94" i="1"/>
  <c r="N102" i="1"/>
  <c r="H102" i="1"/>
  <c r="N111" i="1"/>
  <c r="L121" i="1"/>
  <c r="H112" i="1"/>
  <c r="N113" i="1"/>
  <c r="E10" i="1"/>
  <c r="O27" i="1"/>
  <c r="Y27" i="1" s="1"/>
  <c r="P23" i="1"/>
  <c r="S70" i="1"/>
  <c r="S79" i="1"/>
  <c r="A79" i="1"/>
  <c r="K119" i="1"/>
  <c r="P118" i="1"/>
  <c r="P119" i="1"/>
  <c r="K116" i="1"/>
  <c r="P115" i="1"/>
  <c r="K120" i="1"/>
  <c r="K113" i="1"/>
  <c r="P112" i="1"/>
  <c r="K111" i="1"/>
  <c r="X107" i="1"/>
  <c r="K118" i="1"/>
  <c r="P117" i="1"/>
  <c r="K115" i="1"/>
  <c r="P114" i="1"/>
  <c r="P120" i="1"/>
  <c r="P116" i="1"/>
  <c r="E102" i="1"/>
  <c r="P111" i="1"/>
  <c r="K112" i="1"/>
  <c r="P113" i="1"/>
  <c r="H117" i="1"/>
  <c r="N118" i="1"/>
  <c r="H118" i="1"/>
  <c r="N122" i="1"/>
  <c r="L134" i="1"/>
  <c r="S126" i="1"/>
  <c r="S135" i="1"/>
  <c r="N158" i="1"/>
  <c r="S161" i="1"/>
  <c r="N161" i="1"/>
  <c r="S174" i="1"/>
  <c r="E184" i="1"/>
  <c r="E193" i="1" s="1"/>
  <c r="M180" i="1"/>
  <c r="S240" i="1"/>
  <c r="S241" i="1" s="1"/>
  <c r="L241" i="1"/>
  <c r="N240" i="1"/>
  <c r="N241" i="1" s="1"/>
  <c r="N103" i="1"/>
  <c r="J112" i="1"/>
  <c r="Q134" i="1"/>
  <c r="N135" i="1"/>
  <c r="I152" i="1"/>
  <c r="N139" i="1"/>
  <c r="N143" i="1"/>
  <c r="N146" i="1"/>
  <c r="S199" i="1"/>
  <c r="F172" i="1"/>
  <c r="M177" i="1"/>
  <c r="S180" i="1"/>
  <c r="M187" i="1"/>
  <c r="N265" i="1"/>
  <c r="N125" i="1"/>
  <c r="N129" i="1"/>
  <c r="N133" i="1"/>
  <c r="N138" i="1"/>
  <c r="N142" i="1"/>
  <c r="S151" i="1"/>
  <c r="N151" i="1"/>
  <c r="N160" i="1"/>
  <c r="S211" i="1"/>
  <c r="S145" i="1"/>
  <c r="N145" i="1"/>
  <c r="M171" i="1"/>
  <c r="N174" i="1"/>
  <c r="S187" i="1"/>
  <c r="F134" i="1"/>
  <c r="S155" i="1"/>
  <c r="N155" i="1"/>
  <c r="N183" i="1"/>
  <c r="N202" i="1"/>
  <c r="S205" i="1"/>
  <c r="N205" i="1"/>
  <c r="F249" i="1"/>
  <c r="F244" i="1"/>
  <c r="S131" i="1"/>
  <c r="S147" i="1"/>
  <c r="S171" i="1"/>
  <c r="N171" i="1"/>
  <c r="Q228" i="1"/>
  <c r="S127" i="1"/>
  <c r="S120" i="1"/>
  <c r="N126" i="1"/>
  <c r="N127" i="1"/>
  <c r="N130" i="1"/>
  <c r="N131" i="1"/>
  <c r="S137" i="1"/>
  <c r="S141" i="1"/>
  <c r="N147" i="1"/>
  <c r="N214" i="1"/>
  <c r="F228" i="1"/>
  <c r="R184" i="1"/>
  <c r="S185" i="1" s="1"/>
  <c r="S253" i="1"/>
  <c r="N255" i="1"/>
  <c r="S256" i="1"/>
  <c r="N260" i="1"/>
  <c r="S282" i="1"/>
  <c r="M296" i="1"/>
  <c r="N298" i="1"/>
  <c r="S298" i="1"/>
  <c r="R300" i="1"/>
  <c r="N157" i="1"/>
  <c r="S159" i="1"/>
  <c r="N201" i="1"/>
  <c r="S203" i="1"/>
  <c r="N213" i="1"/>
  <c r="S215" i="1"/>
  <c r="N219" i="1"/>
  <c r="S221" i="1"/>
  <c r="N226" i="1"/>
  <c r="S246" i="1"/>
  <c r="S247" i="1" s="1"/>
  <c r="N256" i="1"/>
  <c r="N259" i="1"/>
  <c r="S264" i="1"/>
  <c r="S268" i="1"/>
  <c r="N273" i="1"/>
  <c r="N299" i="1"/>
  <c r="M361" i="1"/>
  <c r="F175" i="1"/>
  <c r="N199" i="1"/>
  <c r="N207" i="1"/>
  <c r="N211" i="1"/>
  <c r="N217" i="1"/>
  <c r="N225" i="1"/>
  <c r="E249" i="1"/>
  <c r="M246" i="1"/>
  <c r="N263" i="1"/>
  <c r="N267" i="1"/>
  <c r="N275" i="1"/>
  <c r="N278" i="1"/>
  <c r="N281" i="1"/>
  <c r="S294" i="1"/>
  <c r="M297" i="1"/>
  <c r="R299" i="1"/>
  <c r="S299" i="1"/>
  <c r="N331" i="1"/>
  <c r="N254" i="1"/>
  <c r="S254" i="1"/>
  <c r="N272" i="1"/>
  <c r="S272" i="1"/>
  <c r="N283" i="1"/>
  <c r="E300" i="1"/>
  <c r="N301" i="1"/>
  <c r="S329" i="1"/>
  <c r="N329" i="1"/>
  <c r="S359" i="1"/>
  <c r="N359" i="1"/>
  <c r="M174" i="1"/>
  <c r="N223" i="1"/>
  <c r="F265" i="1"/>
  <c r="N258" i="1"/>
  <c r="N262" i="1"/>
  <c r="S262" i="1"/>
  <c r="N266" i="1"/>
  <c r="S266" i="1"/>
  <c r="N269" i="1"/>
  <c r="F162" i="1"/>
  <c r="M294" i="1"/>
  <c r="N295" i="1"/>
  <c r="S297" i="1"/>
  <c r="S306" i="1"/>
  <c r="N337" i="1"/>
  <c r="S269" i="1"/>
  <c r="S274" i="1"/>
  <c r="N297" i="1"/>
  <c r="M299" i="1"/>
  <c r="N300" i="1"/>
  <c r="R298" i="1"/>
  <c r="R301" i="1"/>
  <c r="N311" i="1"/>
  <c r="N324" i="1"/>
  <c r="N369" i="1"/>
  <c r="S393" i="1"/>
  <c r="N393" i="1"/>
  <c r="AN452" i="1"/>
  <c r="AF465" i="1"/>
  <c r="AH452" i="1"/>
  <c r="AI452" i="1" s="1"/>
  <c r="E297" i="1"/>
  <c r="S301" i="1"/>
  <c r="E306" i="1"/>
  <c r="M307" i="1"/>
  <c r="N317" i="1"/>
  <c r="S319" i="1"/>
  <c r="N325" i="1"/>
  <c r="S327" i="1"/>
  <c r="S331" i="1"/>
  <c r="F348" i="1"/>
  <c r="S337" i="1"/>
  <c r="N343" i="1"/>
  <c r="E359" i="1"/>
  <c r="S366" i="1"/>
  <c r="N373" i="1"/>
  <c r="S374" i="1"/>
  <c r="N378" i="1"/>
  <c r="N386" i="1"/>
  <c r="AI419" i="1"/>
  <c r="AH456" i="1"/>
  <c r="AI456" i="1" s="1"/>
  <c r="S300" i="1"/>
  <c r="N367" i="1"/>
  <c r="N375" i="1"/>
  <c r="F376" i="1"/>
  <c r="S317" i="1"/>
  <c r="N372" i="1"/>
  <c r="N377" i="1"/>
  <c r="N379" i="1"/>
  <c r="F394" i="1"/>
  <c r="E394" i="1" s="1"/>
  <c r="R294" i="1"/>
  <c r="E301" i="1"/>
  <c r="N306" i="1"/>
  <c r="F329" i="1"/>
  <c r="N322" i="1"/>
  <c r="N334" i="1"/>
  <c r="N340" i="1"/>
  <c r="N346" i="1"/>
  <c r="S382" i="1"/>
  <c r="N382" i="1"/>
  <c r="S385" i="1"/>
  <c r="N385" i="1"/>
  <c r="R295" i="1"/>
  <c r="R306" i="1"/>
  <c r="N371" i="1"/>
  <c r="S377" i="1"/>
  <c r="N370" i="1"/>
  <c r="AC465" i="1"/>
  <c r="N381" i="1"/>
  <c r="AH454" i="1"/>
  <c r="AI454" i="1" s="1"/>
  <c r="AN457" i="1"/>
  <c r="AO457" i="1" s="1"/>
  <c r="N384" i="1"/>
  <c r="N392" i="1"/>
  <c r="AL465" i="1"/>
  <c r="AH490" i="1"/>
  <c r="AI490" i="1" s="1"/>
  <c r="N390" i="1"/>
  <c r="AI457" i="1"/>
  <c r="AH458" i="1"/>
  <c r="AH460" i="1"/>
  <c r="AI460" i="1" s="1"/>
  <c r="AI492" i="1"/>
  <c r="AO494" i="1"/>
  <c r="AH459" i="1"/>
  <c r="AI459" i="1" s="1"/>
  <c r="AO460" i="1"/>
  <c r="AI493" i="1"/>
  <c r="Z465" i="1"/>
  <c r="AN455" i="1"/>
  <c r="AO455" i="1" s="1"/>
  <c r="AH455" i="1"/>
  <c r="AI455" i="1" s="1"/>
  <c r="AO459" i="1"/>
  <c r="AN491" i="1"/>
  <c r="AO491" i="1" s="1"/>
  <c r="AH494" i="1"/>
  <c r="AI494" i="1" s="1"/>
  <c r="AH468" i="1"/>
  <c r="AI468" i="1" s="1"/>
  <c r="AH476" i="1"/>
  <c r="AI476" i="1" s="1"/>
  <c r="AN492" i="1"/>
  <c r="AO492" i="1" s="1"/>
  <c r="AN493" i="1"/>
  <c r="AO493" i="1" s="1"/>
  <c r="AH496" i="1"/>
  <c r="AI496" i="1" s="1"/>
  <c r="AN495" i="1"/>
  <c r="Y24" i="1" l="1"/>
  <c r="Y4" i="1" s="1"/>
  <c r="P38" i="1"/>
  <c r="P40" i="1"/>
  <c r="P32" i="1"/>
  <c r="P35" i="1"/>
  <c r="P33" i="1"/>
  <c r="P36" i="1"/>
  <c r="P34" i="1"/>
  <c r="P31" i="1"/>
  <c r="P37" i="1"/>
  <c r="E113" i="1"/>
  <c r="V96" i="1"/>
  <c r="K31" i="1"/>
  <c r="X24" i="1"/>
  <c r="X4" i="1" s="1"/>
  <c r="E120" i="1"/>
  <c r="K35" i="1"/>
  <c r="AN465" i="1"/>
  <c r="E134" i="1"/>
  <c r="E119" i="1"/>
  <c r="E115" i="1"/>
  <c r="E118" i="1"/>
  <c r="AE410" i="1"/>
  <c r="AL448" i="1"/>
  <c r="AE411" i="1"/>
  <c r="AI439" i="1"/>
  <c r="AO424" i="1"/>
  <c r="AF416" i="1"/>
  <c r="AE416" i="1" s="1"/>
  <c r="AL435" i="1"/>
  <c r="P152" i="1"/>
  <c r="P121" i="1"/>
  <c r="F350" i="1"/>
  <c r="F396" i="1"/>
  <c r="E376" i="1"/>
  <c r="F230" i="1"/>
  <c r="S307" i="1"/>
  <c r="N307" i="1"/>
  <c r="E265" i="1"/>
  <c r="N361" i="1"/>
  <c r="S361" i="1"/>
  <c r="S362" i="1" s="1"/>
  <c r="P134" i="1"/>
  <c r="S35" i="1"/>
  <c r="L244" i="1"/>
  <c r="K265" i="1"/>
  <c r="N243" i="1"/>
  <c r="N244" i="1" s="1"/>
  <c r="L249" i="1"/>
  <c r="S243" i="1"/>
  <c r="S244" i="1" s="1"/>
  <c r="S296" i="1"/>
  <c r="N296" i="1"/>
  <c r="F250" i="1"/>
  <c r="N178" i="1"/>
  <c r="N177" i="1"/>
  <c r="S177" i="1"/>
  <c r="N79" i="1"/>
  <c r="N80" i="1"/>
  <c r="M12" i="1"/>
  <c r="H12" i="1"/>
  <c r="M15" i="1"/>
  <c r="H15" i="1"/>
  <c r="E111" i="1"/>
  <c r="F121" i="1"/>
  <c r="S52" i="1"/>
  <c r="I13" i="1"/>
  <c r="AL442" i="1"/>
  <c r="AL434" i="1"/>
  <c r="AL414" i="1"/>
  <c r="AL433" i="1"/>
  <c r="AL410" i="1"/>
  <c r="S19" i="1"/>
  <c r="N19" i="1"/>
  <c r="N394" i="1"/>
  <c r="F241" i="1"/>
  <c r="N187" i="1"/>
  <c r="R27" i="1"/>
  <c r="R28" i="1" s="1"/>
  <c r="E11" i="1"/>
  <c r="AF415" i="1"/>
  <c r="AL439" i="1"/>
  <c r="E117" i="1"/>
  <c r="M300" i="1"/>
  <c r="Q230" i="1"/>
  <c r="K134" i="1"/>
  <c r="S134" i="1"/>
  <c r="K33" i="1"/>
  <c r="K36" i="1"/>
  <c r="S376" i="1"/>
  <c r="N376" i="1"/>
  <c r="F184" i="1"/>
  <c r="S77" i="1"/>
  <c r="N77" i="1"/>
  <c r="H120" i="1"/>
  <c r="N120" i="1"/>
  <c r="I134" i="1"/>
  <c r="N134" i="1" s="1"/>
  <c r="M7" i="1"/>
  <c r="H7" i="1"/>
  <c r="S44" i="1"/>
  <c r="N44" i="1"/>
  <c r="S50" i="1"/>
  <c r="N50" i="1"/>
  <c r="M8" i="1"/>
  <c r="H8" i="1"/>
  <c r="AL409" i="1"/>
  <c r="AL417" i="1"/>
  <c r="AL416" i="1"/>
  <c r="AL413" i="1"/>
  <c r="AL449" i="1"/>
  <c r="AH473" i="1"/>
  <c r="AI473" i="1" s="1"/>
  <c r="Q154" i="1"/>
  <c r="P154" i="1" s="1"/>
  <c r="S39" i="1"/>
  <c r="K37" i="1"/>
  <c r="M306" i="1"/>
  <c r="M295" i="1"/>
  <c r="E295" i="1"/>
  <c r="F284" i="1"/>
  <c r="E284" i="1" s="1"/>
  <c r="R303" i="1"/>
  <c r="N162" i="1"/>
  <c r="I228" i="1"/>
  <c r="F188" i="1"/>
  <c r="P22" i="1"/>
  <c r="L13" i="1"/>
  <c r="N6" i="1"/>
  <c r="S6" i="1"/>
  <c r="E7" i="1"/>
  <c r="L54" i="1"/>
  <c r="S76" i="1"/>
  <c r="AL450" i="1"/>
  <c r="AL440" i="1"/>
  <c r="AL445" i="1"/>
  <c r="AF417" i="1"/>
  <c r="I104" i="1"/>
  <c r="H104" i="1" s="1"/>
  <c r="K34" i="1"/>
  <c r="E15" i="1"/>
  <c r="P24" i="1"/>
  <c r="S10" i="1"/>
  <c r="E6" i="1"/>
  <c r="N81" i="1"/>
  <c r="F303" i="1"/>
  <c r="F308" i="1" s="1"/>
  <c r="S209" i="1"/>
  <c r="N209" i="1"/>
  <c r="I350" i="1"/>
  <c r="H350" i="1" s="1"/>
  <c r="R308" i="1"/>
  <c r="AL405" i="1"/>
  <c r="M104" i="1"/>
  <c r="K104" i="1"/>
  <c r="S81" i="1"/>
  <c r="N22" i="1"/>
  <c r="S22" i="1"/>
  <c r="N36" i="1"/>
  <c r="AL436" i="1"/>
  <c r="AL412" i="1"/>
  <c r="AL408" i="1"/>
  <c r="AO425" i="1"/>
  <c r="AL446" i="1"/>
  <c r="AL437" i="1"/>
  <c r="AH470" i="1"/>
  <c r="AI470" i="1" s="1"/>
  <c r="AL444" i="1"/>
  <c r="AO477" i="1"/>
  <c r="K32" i="1"/>
  <c r="E9" i="1"/>
  <c r="N9" i="1"/>
  <c r="G13" i="1"/>
  <c r="W13" i="1" s="1"/>
  <c r="E294" i="1"/>
  <c r="D303" i="1"/>
  <c r="AH465" i="1"/>
  <c r="AI465" i="1" s="1"/>
  <c r="M303" i="1"/>
  <c r="F181" i="1"/>
  <c r="E8" i="1"/>
  <c r="S104" i="1"/>
  <c r="S105" i="1" s="1"/>
  <c r="N11" i="1"/>
  <c r="S11" i="1"/>
  <c r="P104" i="1"/>
  <c r="S47" i="1"/>
  <c r="N47" i="1"/>
  <c r="M10" i="1"/>
  <c r="H10" i="1"/>
  <c r="L24" i="1"/>
  <c r="K24" i="1" s="1"/>
  <c r="S107" i="1"/>
  <c r="S108" i="1" s="1"/>
  <c r="AO426" i="1"/>
  <c r="AL447" i="1"/>
  <c r="AL438" i="1"/>
  <c r="D107" i="1"/>
  <c r="E96" i="1"/>
  <c r="E114" i="1"/>
  <c r="E112" i="1"/>
  <c r="E116" i="1"/>
  <c r="D104" i="1"/>
  <c r="F41" i="1"/>
  <c r="Q41" i="1"/>
  <c r="Q13" i="1"/>
  <c r="N303" i="1"/>
  <c r="N304" i="1" s="1"/>
  <c r="S303" i="1"/>
  <c r="N121" i="1"/>
  <c r="S121" i="1"/>
  <c r="K121" i="1"/>
  <c r="AI458" i="1"/>
  <c r="S162" i="1"/>
  <c r="AO452" i="1"/>
  <c r="AO465" i="1"/>
  <c r="S394" i="1"/>
  <c r="N294" i="1"/>
  <c r="F152" i="1"/>
  <c r="E152" i="1" s="1"/>
  <c r="S295" i="1"/>
  <c r="I162" i="1"/>
  <c r="S265" i="1"/>
  <c r="N180" i="1"/>
  <c r="R107" i="1"/>
  <c r="R108" i="1" s="1"/>
  <c r="M107" i="1"/>
  <c r="M108" i="1" s="1"/>
  <c r="K107" i="1"/>
  <c r="F13" i="1"/>
  <c r="N46" i="1"/>
  <c r="AL415" i="1"/>
  <c r="AL443" i="1"/>
  <c r="AL411" i="1"/>
  <c r="AN473" i="1"/>
  <c r="AL441" i="1"/>
  <c r="S32" i="1"/>
  <c r="N9" i="2" l="1"/>
  <c r="N8" i="2" s="1"/>
  <c r="F27" i="1"/>
  <c r="E41" i="1" s="1"/>
  <c r="K13" i="1"/>
  <c r="E107" i="1"/>
  <c r="V107" i="1"/>
  <c r="E104" i="1"/>
  <c r="V104" i="1"/>
  <c r="F313" i="1"/>
  <c r="F352" i="1" s="1"/>
  <c r="S54" i="1"/>
  <c r="AH472" i="1"/>
  <c r="AI472" i="1" s="1"/>
  <c r="AN410" i="1"/>
  <c r="AO410" i="1" s="1"/>
  <c r="AH411" i="1"/>
  <c r="AI411" i="1" s="1"/>
  <c r="AN472" i="1"/>
  <c r="AO472" i="1" s="1"/>
  <c r="AN416" i="1"/>
  <c r="S398" i="1"/>
  <c r="G27" i="1"/>
  <c r="W27" i="1" s="1"/>
  <c r="H13" i="1"/>
  <c r="AB408" i="1"/>
  <c r="G24" i="1"/>
  <c r="W24" i="1" s="1"/>
  <c r="N78" i="1"/>
  <c r="AH469" i="1"/>
  <c r="N308" i="1"/>
  <c r="N309" i="1" s="1"/>
  <c r="AN425" i="1"/>
  <c r="AB414" i="1"/>
  <c r="AN449" i="1"/>
  <c r="AO449" i="1" s="1"/>
  <c r="AN415" i="1"/>
  <c r="AE415" i="1"/>
  <c r="AE409" i="1"/>
  <c r="AN409" i="1"/>
  <c r="AO409" i="1" s="1"/>
  <c r="Q164" i="1"/>
  <c r="AN435" i="1"/>
  <c r="AO435" i="1" s="1"/>
  <c r="AH435" i="1"/>
  <c r="AI435" i="1" s="1"/>
  <c r="AH430" i="1"/>
  <c r="AI430" i="1" s="1"/>
  <c r="AN430" i="1"/>
  <c r="AO430" i="1" s="1"/>
  <c r="AK411" i="1"/>
  <c r="I54" i="1"/>
  <c r="AH420" i="1"/>
  <c r="N42" i="1"/>
  <c r="N104" i="1"/>
  <c r="N105" i="1" s="1"/>
  <c r="G112" i="1"/>
  <c r="I107" i="1"/>
  <c r="H134" i="1" s="1"/>
  <c r="AN424" i="1"/>
  <c r="F193" i="1"/>
  <c r="F185" i="1"/>
  <c r="P230" i="1"/>
  <c r="Z417" i="1"/>
  <c r="AC416" i="1"/>
  <c r="AI424" i="1"/>
  <c r="AC417" i="1"/>
  <c r="AH417" i="1" s="1"/>
  <c r="AC415" i="1"/>
  <c r="AH415" i="1" s="1"/>
  <c r="AI425" i="1"/>
  <c r="AI426" i="1"/>
  <c r="AH478" i="1"/>
  <c r="AI478" i="1" s="1"/>
  <c r="AH477" i="1"/>
  <c r="AI477" i="1" s="1"/>
  <c r="AN427" i="1"/>
  <c r="AO427" i="1" s="1"/>
  <c r="AH427" i="1"/>
  <c r="AI427" i="1" s="1"/>
  <c r="AL451" i="1"/>
  <c r="M308" i="1"/>
  <c r="AN442" i="1"/>
  <c r="AO442" i="1" s="1"/>
  <c r="AH442" i="1"/>
  <c r="AI442" i="1" s="1"/>
  <c r="AH437" i="1"/>
  <c r="AI437" i="1" s="1"/>
  <c r="AN437" i="1"/>
  <c r="AO437" i="1" s="1"/>
  <c r="I27" i="1"/>
  <c r="I166" i="1" s="1"/>
  <c r="F54" i="1"/>
  <c r="N24" i="1"/>
  <c r="N25" i="1" s="1"/>
  <c r="S24" i="1"/>
  <c r="S25" i="1" s="1"/>
  <c r="J32" i="1"/>
  <c r="AN471" i="1"/>
  <c r="AO471" i="1" s="1"/>
  <c r="AH421" i="1"/>
  <c r="AI421" i="1" s="1"/>
  <c r="AN421" i="1"/>
  <c r="AO421" i="1" s="1"/>
  <c r="AK412" i="1"/>
  <c r="D13" i="1"/>
  <c r="AE417" i="1"/>
  <c r="AN417" i="1"/>
  <c r="AO417" i="1" s="1"/>
  <c r="AN434" i="1"/>
  <c r="AO434" i="1" s="1"/>
  <c r="AH434" i="1"/>
  <c r="AI434" i="1" s="1"/>
  <c r="S13" i="1"/>
  <c r="S14" i="1" s="1"/>
  <c r="AK413" i="1"/>
  <c r="AK417" i="1"/>
  <c r="M11" i="1"/>
  <c r="H11" i="1"/>
  <c r="AN443" i="1"/>
  <c r="AO443" i="1" s="1"/>
  <c r="AH443" i="1"/>
  <c r="AI443" i="1" s="1"/>
  <c r="AK414" i="1"/>
  <c r="N52" i="1"/>
  <c r="AB413" i="1"/>
  <c r="AH446" i="1"/>
  <c r="AI446" i="1" s="1"/>
  <c r="AN446" i="1"/>
  <c r="AO446" i="1" s="1"/>
  <c r="AH438" i="1"/>
  <c r="AI438" i="1" s="1"/>
  <c r="AN438" i="1"/>
  <c r="AO438" i="1" s="1"/>
  <c r="AH429" i="1"/>
  <c r="AI429" i="1" s="1"/>
  <c r="AN429" i="1"/>
  <c r="AO429" i="1" s="1"/>
  <c r="AN433" i="1"/>
  <c r="AO433" i="1" s="1"/>
  <c r="AH433" i="1"/>
  <c r="AO473" i="1"/>
  <c r="Q27" i="1"/>
  <c r="P41" i="1" s="1"/>
  <c r="P13" i="1"/>
  <c r="AB410" i="1"/>
  <c r="AG410" i="1" s="1"/>
  <c r="N13" i="1"/>
  <c r="N14" i="1" s="1"/>
  <c r="H228" i="1"/>
  <c r="AE414" i="1"/>
  <c r="AN414" i="1"/>
  <c r="AO414" i="1" s="1"/>
  <c r="AH414" i="1"/>
  <c r="AI414" i="1" s="1"/>
  <c r="AH413" i="1"/>
  <c r="AI413" i="1" s="1"/>
  <c r="AE413" i="1"/>
  <c r="AN413" i="1"/>
  <c r="AO413" i="1" s="1"/>
  <c r="N249" i="1"/>
  <c r="N250" i="1" s="1"/>
  <c r="S249" i="1"/>
  <c r="L250" i="1"/>
  <c r="AN411" i="1"/>
  <c r="AO411" i="1" s="1"/>
  <c r="Q74" i="1"/>
  <c r="AN475" i="1"/>
  <c r="AO475" i="1" s="1"/>
  <c r="AH475" i="1"/>
  <c r="AI475" i="1" s="1"/>
  <c r="AN440" i="1"/>
  <c r="AO440" i="1" s="1"/>
  <c r="AH440" i="1"/>
  <c r="AI440" i="1" s="1"/>
  <c r="R313" i="1"/>
  <c r="AF432" i="1"/>
  <c r="AN420" i="1"/>
  <c r="AO420" i="1" s="1"/>
  <c r="AL432" i="1"/>
  <c r="L27" i="1"/>
  <c r="L166" i="1" s="1"/>
  <c r="J31" i="1"/>
  <c r="Z416" i="1"/>
  <c r="AN426" i="1"/>
  <c r="M184" i="1"/>
  <c r="AK410" i="1"/>
  <c r="F154" i="1"/>
  <c r="E121" i="1"/>
  <c r="AN477" i="1"/>
  <c r="AH410" i="1"/>
  <c r="AI410" i="1" s="1"/>
  <c r="AN445" i="1"/>
  <c r="AO445" i="1" s="1"/>
  <c r="AH445" i="1"/>
  <c r="AI445" i="1" s="1"/>
  <c r="M9" i="1"/>
  <c r="H9" i="1"/>
  <c r="AO415" i="1"/>
  <c r="AK415" i="1"/>
  <c r="I83" i="1"/>
  <c r="AH471" i="1"/>
  <c r="AI471" i="1" s="1"/>
  <c r="AN408" i="1"/>
  <c r="AO408" i="1" s="1"/>
  <c r="AE408" i="1"/>
  <c r="AF418" i="1"/>
  <c r="AH408" i="1"/>
  <c r="AI408" i="1" s="1"/>
  <c r="Z451" i="1"/>
  <c r="AN474" i="1"/>
  <c r="AO474" i="1" s="1"/>
  <c r="AH474" i="1"/>
  <c r="AI474" i="1" s="1"/>
  <c r="Z415" i="1"/>
  <c r="E303" i="1"/>
  <c r="D308" i="1"/>
  <c r="D313" i="1" s="1"/>
  <c r="Z405" i="1" s="1"/>
  <c r="AK408" i="1"/>
  <c r="AL418" i="1"/>
  <c r="N35" i="1"/>
  <c r="AH412" i="1"/>
  <c r="S184" i="1"/>
  <c r="N184" i="1"/>
  <c r="N185" i="1" s="1"/>
  <c r="AO416" i="1"/>
  <c r="AK416" i="1"/>
  <c r="S396" i="1"/>
  <c r="N396" i="1"/>
  <c r="S308" i="1"/>
  <c r="S304" i="1"/>
  <c r="AH436" i="1"/>
  <c r="AI436" i="1" s="1"/>
  <c r="AN436" i="1"/>
  <c r="AO436" i="1" s="1"/>
  <c r="AN448" i="1"/>
  <c r="AO448" i="1" s="1"/>
  <c r="I352" i="1"/>
  <c r="AN444" i="1"/>
  <c r="AO444" i="1" s="1"/>
  <c r="F286" i="1"/>
  <c r="E286" i="1" s="1"/>
  <c r="AN422" i="1"/>
  <c r="AO422" i="1" s="1"/>
  <c r="Z480" i="1"/>
  <c r="F83" i="1"/>
  <c r="AH428" i="1"/>
  <c r="AI428" i="1" s="1"/>
  <c r="AN428" i="1"/>
  <c r="AO428" i="1" s="1"/>
  <c r="AN450" i="1"/>
  <c r="AO450" i="1" s="1"/>
  <c r="N32" i="1"/>
  <c r="I41" i="1"/>
  <c r="AN478" i="1"/>
  <c r="AO478" i="1" s="1"/>
  <c r="AN441" i="1"/>
  <c r="AO441" i="1" s="1"/>
  <c r="AH441" i="1"/>
  <c r="AI441" i="1" s="1"/>
  <c r="AN423" i="1"/>
  <c r="AO423" i="1" s="1"/>
  <c r="AH423" i="1"/>
  <c r="AI423" i="1" s="1"/>
  <c r="AN469" i="1"/>
  <c r="AO469" i="1" s="1"/>
  <c r="N76" i="1"/>
  <c r="S41" i="1"/>
  <c r="AK409" i="1"/>
  <c r="H39" i="1"/>
  <c r="N39" i="1"/>
  <c r="AN439" i="1"/>
  <c r="AO439" i="1" s="1"/>
  <c r="AH439" i="1"/>
  <c r="AE412" i="1"/>
  <c r="AN412" i="1"/>
  <c r="AO412" i="1" s="1"/>
  <c r="I154" i="1"/>
  <c r="AL480" i="1"/>
  <c r="AB411" i="1"/>
  <c r="AG411" i="1" s="1"/>
  <c r="I230" i="1"/>
  <c r="H230" i="1" s="1"/>
  <c r="AH444" i="1"/>
  <c r="AI444" i="1" s="1"/>
  <c r="AH422" i="1"/>
  <c r="AI422" i="1" s="1"/>
  <c r="E396" i="1"/>
  <c r="F398" i="1"/>
  <c r="N166" i="1" l="1"/>
  <c r="G42" i="1"/>
  <c r="G55" i="1"/>
  <c r="AF406" i="1"/>
  <c r="E54" i="1"/>
  <c r="E72" i="1"/>
  <c r="H35" i="1"/>
  <c r="K27" i="1"/>
  <c r="H154" i="1"/>
  <c r="H32" i="1"/>
  <c r="E350" i="1"/>
  <c r="E348" i="1"/>
  <c r="Y408" i="1"/>
  <c r="AM408" i="1" s="1"/>
  <c r="V13" i="1"/>
  <c r="W4" i="1"/>
  <c r="Y412" i="1"/>
  <c r="AM412" i="1" s="1"/>
  <c r="Z406" i="1"/>
  <c r="E329" i="1"/>
  <c r="N41" i="1"/>
  <c r="M13" i="1"/>
  <c r="M14" i="1" s="1"/>
  <c r="E230" i="1"/>
  <c r="AH448" i="1"/>
  <c r="AI448" i="1" s="1"/>
  <c r="P74" i="1"/>
  <c r="H54" i="1"/>
  <c r="Y415" i="1"/>
  <c r="AM415" i="1" s="1"/>
  <c r="K54" i="1"/>
  <c r="Y413" i="1"/>
  <c r="AM413" i="1" s="1"/>
  <c r="AH426" i="1"/>
  <c r="Z432" i="1"/>
  <c r="AH450" i="1"/>
  <c r="AI450" i="1" s="1"/>
  <c r="AL406" i="1"/>
  <c r="S309" i="1"/>
  <c r="AN418" i="1"/>
  <c r="AO418" i="1" s="1"/>
  <c r="Z418" i="1"/>
  <c r="N398" i="1"/>
  <c r="AG408" i="1"/>
  <c r="AN432" i="1"/>
  <c r="AO432" i="1" s="1"/>
  <c r="AG414" i="1"/>
  <c r="Q85" i="1"/>
  <c r="P72" i="1"/>
  <c r="P27" i="1"/>
  <c r="P54" i="1"/>
  <c r="AB417" i="1"/>
  <c r="AG417" i="1" s="1"/>
  <c r="AI417" i="1"/>
  <c r="N313" i="1"/>
  <c r="N314" i="1" s="1"/>
  <c r="I74" i="1"/>
  <c r="I85" i="1" s="1"/>
  <c r="H41" i="1"/>
  <c r="AL467" i="1"/>
  <c r="E154" i="1"/>
  <c r="F164" i="1"/>
  <c r="Y416" i="1"/>
  <c r="AM416" i="1" s="1"/>
  <c r="I232" i="1"/>
  <c r="AC406" i="1"/>
  <c r="G9" i="2" s="1"/>
  <c r="G8" i="2" s="1"/>
  <c r="H72" i="1"/>
  <c r="F232" i="1"/>
  <c r="F194" i="1"/>
  <c r="E228" i="1"/>
  <c r="E209" i="1"/>
  <c r="AG413" i="1"/>
  <c r="AH424" i="1"/>
  <c r="AH425" i="1"/>
  <c r="H33" i="1"/>
  <c r="H40" i="1"/>
  <c r="H24" i="1"/>
  <c r="H37" i="1"/>
  <c r="H38" i="1"/>
  <c r="H34" i="1"/>
  <c r="H31" i="1"/>
  <c r="H36" i="1"/>
  <c r="M24" i="1"/>
  <c r="F74" i="1"/>
  <c r="AB409" i="1"/>
  <c r="AG409" i="1" s="1"/>
  <c r="AC418" i="1"/>
  <c r="S193" i="1"/>
  <c r="S194" i="1" s="1"/>
  <c r="N193" i="1"/>
  <c r="N194" i="1" s="1"/>
  <c r="Y409" i="1"/>
  <c r="AM409" i="1" s="1"/>
  <c r="R249" i="1"/>
  <c r="S250" i="1" s="1"/>
  <c r="M249" i="1"/>
  <c r="AB416" i="1"/>
  <c r="AG416" i="1" s="1"/>
  <c r="AH416" i="1"/>
  <c r="AI416" i="1" s="1"/>
  <c r="Q232" i="1"/>
  <c r="P228" i="1"/>
  <c r="AI433" i="1"/>
  <c r="N27" i="1"/>
  <c r="S27" i="1"/>
  <c r="K41" i="1"/>
  <c r="D27" i="1"/>
  <c r="E13" i="1"/>
  <c r="Y414" i="1"/>
  <c r="AM414" i="1" s="1"/>
  <c r="D24" i="1"/>
  <c r="V24" i="1" s="1"/>
  <c r="Y410" i="1"/>
  <c r="AM410" i="1" s="1"/>
  <c r="Y411" i="1"/>
  <c r="AM411" i="1" s="1"/>
  <c r="AH449" i="1"/>
  <c r="AI449" i="1" s="1"/>
  <c r="AI469" i="1"/>
  <c r="AC480" i="1"/>
  <c r="E308" i="1"/>
  <c r="M313" i="1"/>
  <c r="AF405" i="1"/>
  <c r="I164" i="1"/>
  <c r="H121" i="1"/>
  <c r="H152" i="1"/>
  <c r="H107" i="1"/>
  <c r="N107" i="1"/>
  <c r="N108" i="1" s="1"/>
  <c r="N54" i="1"/>
  <c r="AH409" i="1"/>
  <c r="AI409" i="1" s="1"/>
  <c r="F288" i="1"/>
  <c r="AB412" i="1"/>
  <c r="AG412" i="1" s="1"/>
  <c r="AI412" i="1"/>
  <c r="AI415" i="1"/>
  <c r="AB415" i="1"/>
  <c r="AG415" i="1" s="1"/>
  <c r="Y417" i="1"/>
  <c r="AM417" i="1" s="1"/>
  <c r="AI420" i="1"/>
  <c r="AC432" i="1"/>
  <c r="H27" i="1"/>
  <c r="M27" i="1"/>
  <c r="M28" i="1" s="1"/>
  <c r="AH418" i="1" l="1"/>
  <c r="AI418" i="1" s="1"/>
  <c r="AA419" i="1"/>
  <c r="AA433" i="1"/>
  <c r="C9" i="2"/>
  <c r="J9" i="2"/>
  <c r="J8" i="2" s="1"/>
  <c r="O9" i="2"/>
  <c r="O8" i="2" s="1"/>
  <c r="E27" i="1"/>
  <c r="V27" i="1"/>
  <c r="V4" i="1" s="1"/>
  <c r="X465" i="1"/>
  <c r="X432" i="1"/>
  <c r="X451" i="1"/>
  <c r="X480" i="1"/>
  <c r="AD432" i="1"/>
  <c r="K9" i="2"/>
  <c r="K8" i="2" s="1"/>
  <c r="C10" i="2"/>
  <c r="AA432" i="1"/>
  <c r="AA480" i="1"/>
  <c r="AA451" i="1"/>
  <c r="S28" i="1"/>
  <c r="AJ467" i="1"/>
  <c r="AL482" i="1"/>
  <c r="AJ465" i="1"/>
  <c r="AJ418" i="1"/>
  <c r="AJ432" i="1"/>
  <c r="AJ451" i="1"/>
  <c r="Z467" i="1"/>
  <c r="X418" i="1"/>
  <c r="E74" i="1"/>
  <c r="F85" i="1"/>
  <c r="AH432" i="1"/>
  <c r="AI432" i="1" s="1"/>
  <c r="E313" i="1"/>
  <c r="R193" i="1"/>
  <c r="M193" i="1"/>
  <c r="AD418" i="1"/>
  <c r="AA465" i="1"/>
  <c r="S313" i="1"/>
  <c r="S314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N28" i="1"/>
  <c r="AC467" i="1"/>
  <c r="AA467" i="1" s="1"/>
  <c r="AA418" i="1"/>
  <c r="AN406" i="1"/>
  <c r="AO406" i="1" s="1"/>
  <c r="AH406" i="1"/>
  <c r="AI406" i="1" s="1"/>
  <c r="AD465" i="1"/>
  <c r="C8" i="2" l="1"/>
  <c r="P9" i="2"/>
  <c r="B9" i="2"/>
  <c r="X467" i="1"/>
  <c r="Z482" i="1"/>
  <c r="AC482" i="1"/>
  <c r="AL488" i="1"/>
  <c r="AK482" i="1"/>
  <c r="H9" i="2" l="1"/>
  <c r="H8" i="2" s="1"/>
  <c r="P8" i="2"/>
  <c r="D9" i="2"/>
  <c r="B10" i="2"/>
  <c r="B8" i="2" s="1"/>
  <c r="AL497" i="1"/>
  <c r="AK488" i="1"/>
  <c r="AC488" i="1"/>
  <c r="AB482" i="1"/>
  <c r="Z488" i="1"/>
  <c r="Y482" i="1"/>
  <c r="Q9" i="2" l="1"/>
  <c r="D10" i="2"/>
  <c r="D8" i="2" s="1"/>
  <c r="Y488" i="1"/>
  <c r="Z497" i="1"/>
  <c r="AB488" i="1"/>
  <c r="AC497" i="1"/>
  <c r="AK497" i="1"/>
  <c r="AB497" i="1" l="1"/>
  <c r="I9" i="2"/>
  <c r="I8" i="2" s="1"/>
  <c r="Q8" i="2"/>
  <c r="Y497" i="1"/>
  <c r="E9" i="2"/>
  <c r="E10" i="2" l="1"/>
  <c r="E8" i="2" s="1"/>
  <c r="AF479" i="1"/>
  <c r="AF480" i="1" s="1"/>
  <c r="L82" i="1"/>
  <c r="AD433" i="1" l="1"/>
  <c r="AD419" i="1"/>
  <c r="AH479" i="1"/>
  <c r="AI479" i="1" s="1"/>
  <c r="N82" i="1"/>
  <c r="N83" i="1" s="1"/>
  <c r="S82" i="1"/>
  <c r="S83" i="1" s="1"/>
  <c r="L83" i="1"/>
  <c r="AN480" i="1"/>
  <c r="AO480" i="1" s="1"/>
  <c r="AH480" i="1"/>
  <c r="AI480" i="1" s="1"/>
  <c r="AD480" i="1"/>
  <c r="AN479" i="1"/>
  <c r="AO479" i="1" s="1"/>
  <c r="L224" i="1"/>
  <c r="J42" i="1" l="1"/>
  <c r="J55" i="1"/>
  <c r="L228" i="1"/>
  <c r="S224" i="1"/>
  <c r="N224" i="1"/>
  <c r="L280" i="1"/>
  <c r="L148" i="1"/>
  <c r="L344" i="1"/>
  <c r="L68" i="1"/>
  <c r="L72" i="1" l="1"/>
  <c r="S68" i="1"/>
  <c r="S72" i="1" s="1"/>
  <c r="S85" i="1" s="1"/>
  <c r="N68" i="1"/>
  <c r="N72" i="1" s="1"/>
  <c r="N85" i="1" s="1"/>
  <c r="K228" i="1"/>
  <c r="N228" i="1"/>
  <c r="S228" i="1"/>
  <c r="L230" i="1"/>
  <c r="L348" i="1"/>
  <c r="N344" i="1"/>
  <c r="N348" i="1" s="1"/>
  <c r="S344" i="1"/>
  <c r="S348" i="1" s="1"/>
  <c r="L11" i="2"/>
  <c r="L284" i="1"/>
  <c r="S280" i="1"/>
  <c r="N280" i="1"/>
  <c r="N284" i="1" s="1"/>
  <c r="N148" i="1"/>
  <c r="S148" i="1"/>
  <c r="L152" i="1"/>
  <c r="L10" i="2" l="1"/>
  <c r="L74" i="1"/>
  <c r="K72" i="1"/>
  <c r="L232" i="1"/>
  <c r="S230" i="1"/>
  <c r="K230" i="1"/>
  <c r="N230" i="1"/>
  <c r="K284" i="1"/>
  <c r="S284" i="1"/>
  <c r="L286" i="1"/>
  <c r="L350" i="1"/>
  <c r="K348" i="1"/>
  <c r="S152" i="1"/>
  <c r="L154" i="1"/>
  <c r="K152" i="1"/>
  <c r="N152" i="1"/>
  <c r="AF451" i="1"/>
  <c r="AN447" i="1"/>
  <c r="AH447" i="1"/>
  <c r="AH451" i="1" l="1"/>
  <c r="AI451" i="1" s="1"/>
  <c r="AI447" i="1"/>
  <c r="N154" i="1"/>
  <c r="K154" i="1"/>
  <c r="S154" i="1"/>
  <c r="L164" i="1"/>
  <c r="N232" i="1"/>
  <c r="S232" i="1"/>
  <c r="M11" i="2"/>
  <c r="K286" i="1"/>
  <c r="S286" i="1"/>
  <c r="L288" i="1"/>
  <c r="N286" i="1"/>
  <c r="K350" i="1"/>
  <c r="L352" i="1"/>
  <c r="S350" i="1"/>
  <c r="N350" i="1"/>
  <c r="AN451" i="1"/>
  <c r="AO451" i="1" s="1"/>
  <c r="AO447" i="1"/>
  <c r="AF467" i="1"/>
  <c r="AD451" i="1"/>
  <c r="L85" i="1"/>
  <c r="K74" i="1"/>
  <c r="N74" i="1"/>
  <c r="S74" i="1"/>
  <c r="M10" i="2" l="1"/>
  <c r="N352" i="1"/>
  <c r="S352" i="1"/>
  <c r="S164" i="1"/>
  <c r="N164" i="1"/>
  <c r="AF482" i="1"/>
  <c r="AN467" i="1"/>
  <c r="AO467" i="1" s="1"/>
  <c r="AD467" i="1"/>
  <c r="AH467" i="1"/>
  <c r="AI467" i="1" s="1"/>
  <c r="S288" i="1"/>
  <c r="N288" i="1"/>
  <c r="AN482" i="1" l="1"/>
  <c r="AO482" i="1" s="1"/>
  <c r="AH482" i="1"/>
  <c r="AI482" i="1" s="1"/>
  <c r="AE482" i="1"/>
  <c r="L9" i="2"/>
  <c r="L8" i="2" s="1"/>
  <c r="AF488" i="1"/>
  <c r="AF497" i="1" l="1"/>
  <c r="AH488" i="1"/>
  <c r="AN488" i="1"/>
  <c r="AE488" i="1"/>
  <c r="AO488" i="1" l="1"/>
  <c r="AN497" i="1"/>
  <c r="AO497" i="1" s="1"/>
  <c r="AI488" i="1"/>
  <c r="AH497" i="1"/>
  <c r="AI497" i="1" s="1"/>
  <c r="AE497" i="1"/>
  <c r="M9" i="2"/>
  <c r="M8" i="2" s="1"/>
</calcChain>
</file>

<file path=xl/sharedStrings.xml><?xml version="1.0" encoding="utf-8"?>
<sst xmlns="http://schemas.openxmlformats.org/spreadsheetml/2006/main" count="5896" uniqueCount="511">
  <si>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</si>
  <si>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</si>
  <si>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</si>
  <si>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</si>
  <si>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</si>
  <si>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</si>
  <si>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</si>
  <si>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</si>
  <si>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</si>
  <si>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</si>
  <si>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</si>
  <si>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</si>
  <si>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</si>
  <si>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</si>
  <si>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</si>
  <si>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</si>
  <si>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</si>
  <si>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</si>
  <si>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</si>
  <si>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</si>
  <si>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</si>
  <si>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</si>
  <si>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</si>
  <si>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</si>
  <si>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</si>
  <si>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</si>
  <si>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</si>
  <si>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</si>
  <si>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</si>
  <si>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</si>
  <si>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</si>
  <si>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</si>
  <si>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</si>
  <si>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</si>
  <si>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</si>
  <si>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</si>
  <si>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</si>
  <si>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</si>
  <si>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</si>
  <si>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</si>
  <si>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</si>
  <si>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</si>
  <si>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</si>
  <si>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</si>
  <si>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</si>
  <si>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</si>
  <si>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</si>
  <si>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</si>
  <si>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</si>
  <si>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</si>
  <si>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</si>
  <si>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</si>
  <si>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</si>
  <si>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</si>
  <si>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</si>
  <si>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</si>
  <si>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</si>
  <si>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</si>
  <si>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</si>
  <si>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</si>
  <si>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</si>
  <si>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</si>
  <si>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</si>
  <si>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</si>
  <si>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</si>
  <si>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</si>
  <si>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</si>
  <si>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</si>
  <si>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</si>
  <si>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</si>
  <si>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</si>
  <si>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</si>
  <si>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</si>
  <si>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</si>
  <si>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</si>
  <si>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</si>
  <si>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</si>
  <si>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</si>
  <si>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</si>
  <si>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</si>
  <si>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</si>
  <si>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</si>
  <si>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</si>
  <si>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</si>
  <si>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</si>
  <si>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</si>
  <si>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</si>
  <si>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</si>
  <si>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</si>
  <si>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</si>
  <si>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</si>
  <si>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</si>
  <si>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</si>
  <si>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</si>
  <si>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</si>
  <si>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</si>
  <si>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</si>
  <si>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</si>
  <si>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</si>
  <si>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</si>
  <si>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</si>
  <si>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</si>
  <si>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</si>
  <si>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</si>
  <si>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</si>
  <si>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</si>
  <si>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</si>
  <si>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</si>
  <si>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</si>
  <si>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</si>
  <si>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</si>
  <si>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</si>
  <si>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</si>
  <si>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</si>
  <si>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</si>
  <si>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</si>
  <si>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</si>
  <si>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</si>
  <si>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</si>
  <si>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</si>
  <si>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</si>
  <si>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</si>
  <si>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</si>
  <si>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</si>
  <si>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</si>
  <si>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</si>
  <si>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</si>
  <si>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</si>
  <si>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</si>
  <si>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</si>
  <si>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</si>
  <si>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</si>
  <si>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</si>
  <si>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</si>
  <si>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</si>
  <si>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</si>
  <si>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</si>
  <si>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</si>
  <si>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</si>
  <si>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</si>
  <si>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</si>
  <si>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</si>
  <si>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</si>
  <si>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</si>
  <si>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</si>
  <si>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</si>
  <si>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</si>
  <si>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</si>
  <si>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</si>
  <si>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</si>
  <si>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</si>
  <si>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</si>
  <si>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</si>
  <si>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</si>
  <si>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</si>
  <si>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</si>
  <si>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</si>
  <si>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</si>
  <si>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</si>
  <si>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</si>
  <si>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</si>
  <si>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</si>
  <si>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</si>
  <si>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</si>
  <si>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</si>
  <si>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</si>
  <si>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</si>
  <si>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</si>
  <si>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</si>
  <si>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</si>
  <si>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</si>
  <si>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</si>
  <si>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</si>
  <si>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</si>
  <si>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</si>
  <si>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</si>
  <si>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</si>
  <si>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</si>
  <si>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</si>
  <si>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</si>
  <si>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</si>
  <si>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</si>
  <si>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</si>
  <si>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</si>
  <si>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</si>
  <si>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</si>
  <si>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</si>
  <si>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</si>
  <si>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</si>
  <si>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</si>
  <si>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</si>
  <si>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</si>
  <si>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</si>
  <si>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</si>
  <si>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</si>
  <si>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</si>
  <si>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</si>
  <si>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</si>
  <si>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</si>
  <si>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</si>
  <si>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</si>
  <si>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</si>
  <si>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</si>
  <si>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</si>
  <si>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</si>
  <si>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</si>
  <si>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</si>
  <si>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</si>
  <si>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</si>
  <si>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</si>
  <si>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</si>
  <si>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</si>
  <si>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RÉVISÉ</t>
  </si>
  <si>
    <t>LY</t>
  </si>
  <si>
    <t>$</t>
  </si>
  <si>
    <t>Programme used 1</t>
  </si>
  <si>
    <t>Mitsubishi</t>
  </si>
  <si>
    <t>NB</t>
  </si>
  <si>
    <t>SERVICE</t>
  </si>
  <si>
    <t>AUDI 1</t>
  </si>
  <si>
    <t>AUDI 2</t>
  </si>
  <si>
    <t>AUDI 3</t>
  </si>
  <si>
    <t>NEUF</t>
  </si>
  <si>
    <t>USAGE</t>
  </si>
  <si>
    <t>CARROSSERIE</t>
  </si>
  <si>
    <t>PIECES</t>
  </si>
  <si>
    <t>VOLKS QUARTER</t>
  </si>
  <si>
    <t>Volks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</si>
  <si>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</si>
  <si>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</si>
  <si>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</si>
  <si>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</si>
  <si>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</si>
  <si>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</si>
  <si>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</si>
  <si>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</si>
  <si>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</si>
  <si>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</si>
  <si>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</si>
  <si>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</si>
  <si>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</si>
  <si>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</si>
  <si>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</si>
  <si>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</si>
  <si>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</si>
  <si>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</si>
  <si>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</si>
  <si>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</si>
  <si>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</si>
  <si>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</si>
  <si>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</si>
  <si>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</si>
  <si>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</si>
  <si>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</si>
  <si>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</si>
  <si>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</si>
  <si>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</si>
  <si>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</si>
  <si>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</si>
  <si>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</si>
  <si>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</si>
  <si>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</si>
  <si>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</si>
  <si>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</si>
  <si>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</si>
  <si>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</si>
  <si>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</si>
  <si>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</si>
  <si>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</si>
  <si>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</si>
  <si>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</si>
  <si>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</si>
  <si>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</si>
  <si>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</si>
  <si>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</si>
  <si>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</si>
  <si>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</si>
  <si>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</si>
  <si>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</si>
  <si>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</si>
  <si>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</si>
  <si>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</si>
  <si>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</si>
  <si>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</si>
  <si>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</si>
  <si>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</si>
  <si>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</si>
  <si>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usagésTotal Usagés</t>
  </si>
  <si>
    <t>Véhicules usagésUS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</si>
  <si>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</si>
  <si>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</si>
  <si>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</si>
  <si>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</si>
  <si>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</si>
  <si>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</si>
  <si>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</si>
  <si>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</si>
  <si>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</si>
  <si>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</si>
  <si>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</si>
  <si>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</si>
  <si>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</si>
  <si>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</si>
  <si>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</si>
  <si>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</si>
  <si>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</si>
  <si>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</si>
  <si>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</si>
  <si>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</si>
  <si>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</si>
  <si>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</si>
  <si>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</si>
  <si>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</si>
  <si>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</si>
  <si>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</si>
  <si>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</si>
  <si>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</si>
  <si>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</si>
  <si>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</si>
  <si>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</si>
  <si>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</si>
  <si>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</si>
  <si>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</si>
  <si>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</si>
  <si>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</si>
  <si>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</si>
  <si>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</si>
  <si>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</si>
  <si>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</si>
  <si>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</si>
  <si>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</si>
  <si>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</si>
  <si>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</si>
  <si>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</si>
  <si>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</si>
  <si>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</si>
  <si>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</si>
  <si>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</si>
  <si>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</si>
  <si>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</si>
  <si>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</si>
  <si>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</si>
  <si>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</si>
  <si>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</si>
  <si>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</si>
  <si>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</si>
  <si>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</si>
  <si>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</si>
  <si>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</si>
  <si>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Erreur Budget: Salaire S. Prud'homme manquant (45k+Av.soc.)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</si>
  <si>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</si>
  <si>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</si>
  <si>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</si>
  <si>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</si>
  <si>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</si>
  <si>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</si>
  <si>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</si>
  <si>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</si>
  <si>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</si>
  <si>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</si>
  <si>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</si>
  <si>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</si>
  <si>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</si>
  <si>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</si>
  <si>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</si>
  <si>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</si>
  <si>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</si>
  <si>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</si>
  <si>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</si>
  <si>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</si>
  <si>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</si>
  <si>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</si>
  <si>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</si>
  <si>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</si>
  <si>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</si>
  <si>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</si>
  <si>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</si>
  <si>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</si>
  <si>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</si>
  <si>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</si>
  <si>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</si>
  <si>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</si>
  <si>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</si>
  <si>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</si>
  <si>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</si>
  <si>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</si>
  <si>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</si>
  <si>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</si>
  <si>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</si>
  <si>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</si>
  <si>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</si>
  <si>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</si>
  <si>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</si>
  <si>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</si>
  <si>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</si>
  <si>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</si>
  <si>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</si>
  <si>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</si>
  <si>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</si>
  <si>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</si>
  <si>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</si>
  <si>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</si>
  <si>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</si>
  <si>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</si>
  <si>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</si>
  <si>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</si>
  <si>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</si>
  <si>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</si>
  <si>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</si>
  <si>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</si>
  <si>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</si>
  <si>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</si>
  <si>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</si>
  <si>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</si>
  <si>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</si>
  <si>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</si>
  <si>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</si>
  <si>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</si>
  <si>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</si>
  <si>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</si>
  <si>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</si>
  <si>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</si>
  <si>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</si>
  <si>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</si>
  <si>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</si>
  <si>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</si>
  <si>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</si>
  <si>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</si>
  <si>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</si>
  <si>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</si>
  <si>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</si>
  <si>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</si>
  <si>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</si>
  <si>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</si>
  <si>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</si>
  <si>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</si>
  <si>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</si>
  <si>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</si>
  <si>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</si>
  <si>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</si>
  <si>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</si>
  <si>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</si>
  <si>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</si>
  <si>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</si>
  <si>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</si>
  <si>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</si>
  <si>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</si>
  <si>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</si>
  <si>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</si>
  <si>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</si>
  <si>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</si>
  <si>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</si>
  <si>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</si>
  <si>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</si>
  <si>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</si>
  <si>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</si>
  <si>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</si>
  <si>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</si>
  <si>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</si>
  <si>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</si>
  <si>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</si>
  <si>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</si>
  <si>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</si>
  <si>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</si>
  <si>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</si>
  <si>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</si>
  <si>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</si>
  <si>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</si>
  <si>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</si>
  <si>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</si>
  <si>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</si>
  <si>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N.B. :  INFOS PROGRAMME SPAC - Voir lignes 500 et suivantes</t>
  </si>
  <si>
    <t/>
  </si>
  <si>
    <t xml:space="preserve">VENTES SPAC </t>
  </si>
  <si>
    <t>Courant</t>
  </si>
  <si>
    <t>A.A.J.</t>
  </si>
  <si>
    <t>En Détails</t>
  </si>
  <si>
    <t>Marge Brute M.O. SPAC</t>
  </si>
  <si>
    <t>Marge Brute PIÈCES SPAC</t>
  </si>
  <si>
    <t>Sommaire</t>
  </si>
  <si>
    <t>Total - "Ventes SPAC"</t>
  </si>
  <si>
    <t>Total - "C/V SPAC"</t>
  </si>
  <si>
    <t>Total Profit/Perte SPAC</t>
  </si>
  <si>
    <t>VENTES INTERNE POUR FINS DE COMPARAISON</t>
  </si>
  <si>
    <t>Marge Brute M.O.</t>
  </si>
  <si>
    <t>Marge Brute PIÈCES</t>
  </si>
  <si>
    <t>Total - "Ventes INTERNES"</t>
  </si>
  <si>
    <t>Total - "C/V INTERNES"</t>
  </si>
  <si>
    <t>&lt;&lt;- F&amp;A total Neuf Usagé Rachat</t>
  </si>
  <si>
    <t>Vacances</t>
  </si>
  <si>
    <t>Bonis Spécialistes Mai 17K</t>
  </si>
  <si>
    <t>$Ventes</t>
  </si>
  <si>
    <t>ProgiPieces pas budget</t>
  </si>
  <si>
    <t>Volks T3 2022</t>
  </si>
  <si>
    <t>*** NE PAS EFFACER / Pour An Précédente ***</t>
  </si>
  <si>
    <t>Pneus 3,168 + Accroch Jess 2,000</t>
  </si>
  <si>
    <t>Reclass</t>
  </si>
  <si>
    <t>Changement Méthode 2022-07</t>
  </si>
  <si>
    <t>Fichier Contrôle</t>
  </si>
  <si>
    <t>Garantie (M.O. + Pièces)</t>
  </si>
  <si>
    <t>Marge</t>
  </si>
  <si>
    <t>Avant Corr</t>
  </si>
  <si>
    <t>Varia</t>
  </si>
  <si>
    <t>4 Locate sans retour</t>
  </si>
  <si>
    <t>Réalisé, Juillet 2022</t>
  </si>
  <si>
    <t>M.O. MECANIQUE-VENTE INTERNE</t>
  </si>
  <si>
    <t>C D V VENTES M OINTERNE</t>
  </si>
  <si>
    <t>VTE - PIECE/ACC B.R. INTERNE VW</t>
  </si>
  <si>
    <t>C/V - PIECE/ACC B.R. INTERNE VW</t>
  </si>
  <si>
    <t>Réalisé, Août 2022</t>
  </si>
  <si>
    <t>Réalisé, Septembre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</si>
</sst>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_(* #,##0_);_(* \(#,##0\);_(* &quot;-&quot;??_);_(@_)"/>
    <numFmt numFmtId="171" formatCode="&quot;$&quot;#,##0"/>
    <numFmt numFmtId="172" formatCode="_-* #,##0.00\ _$_-;_-* #,##0.00\ _$\-;_-* &quot;-&quot;??\ _$_-;_-@_-"/>
    <numFmt numFmtId="173" formatCode="_-* #,##0.00\ &quot;$&quot;_-;_-* #,##0.00\ &quot;$&quot;\-;_-* &quot;-&quot;??\ &quot;$&quot;_-;_-@_-"/>
    <numFmt numFmtId="174" formatCode="_ * #,##0.00_)\ _$_ ;_ * \(#,##0.00\)\ _$_ ;_ * &quot;-&quot;??_)\ _$_ ;_ @_ "/>
    <numFmt numFmtId="175" formatCode="0&quot; B.T.&quot;"/>
  </numFmts>
  <fonts count="4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28"/>
      <color rgb="FFFFC000"/>
      <name val="Arial"/>
      <family val="2"/>
    </font>
    <font>
      <b/>
      <sz val="28"/>
      <color rgb="FFFFC000"/>
      <name val="Arial mt"/>
    </font>
    <font>
      <b/>
      <sz val="28"/>
      <color theme="0"/>
      <name val="Arial mt"/>
    </font>
    <font>
      <b/>
      <sz val="11"/>
      <color rgb="FFFFFF00"/>
      <name val="Arial"/>
      <family val="2"/>
    </font>
    <font>
      <sz val="11"/>
      <color theme="2"/>
      <name val="Arial"/>
      <family val="2"/>
    </font>
    <font>
      <sz val="10"/>
      <color theme="2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2060"/>
      <name val="Arial"/>
      <family val="2"/>
    </font>
    <font>
      <b/>
      <sz val="1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rgb="FF92D050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7">
    <xf numFmtId="0" fontId="0" fillId="0" borderId="0"/>
    <xf numFmtId="166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3" fillId="0" borderId="0"/>
    <xf numFmtId="0" fontId="35" fillId="0" borderId="0"/>
    <xf numFmtId="172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0" fontId="13" fillId="0" borderId="0"/>
    <xf numFmtId="0" fontId="2" fillId="0" borderId="0"/>
    <xf numFmtId="0" fontId="35" fillId="0" borderId="0"/>
    <xf numFmtId="166" fontId="37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7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7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8" fontId="10" fillId="0" borderId="9" xfId="0" applyNumberFormat="1" applyFont="1" applyBorder="1"/>
    <xf numFmtId="168" fontId="10" fillId="0" borderId="8" xfId="0" applyNumberFormat="1" applyFont="1" applyBorder="1"/>
    <xf numFmtId="168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9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8" fontId="10" fillId="2" borderId="32" xfId="0" applyNumberFormat="1" applyFont="1" applyFill="1" applyBorder="1"/>
    <xf numFmtId="168" fontId="10" fillId="2" borderId="31" xfId="0" applyNumberFormat="1" applyFont="1" applyFill="1" applyBorder="1"/>
    <xf numFmtId="168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8" fontId="9" fillId="0" borderId="9" xfId="2" applyNumberFormat="1" applyFont="1" applyFill="1" applyBorder="1"/>
    <xf numFmtId="37" fontId="9" fillId="0" borderId="10" xfId="0" applyNumberFormat="1" applyFont="1" applyBorder="1"/>
    <xf numFmtId="3" fontId="8" fillId="0" borderId="0" xfId="0" applyNumberFormat="1" applyFont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168" fontId="9" fillId="0" borderId="14" xfId="2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7" xfId="0" applyFont="1" applyFill="1" applyBorder="1"/>
    <xf numFmtId="0" fontId="10" fillId="2" borderId="38" xfId="0" applyFont="1" applyFill="1" applyBorder="1" applyAlignment="1">
      <alignment horizontal="center"/>
    </xf>
    <xf numFmtId="168" fontId="10" fillId="2" borderId="38" xfId="0" applyNumberFormat="1" applyFont="1" applyFill="1" applyBorder="1"/>
    <xf numFmtId="37" fontId="10" fillId="2" borderId="39" xfId="0" applyNumberFormat="1" applyFont="1" applyFill="1" applyBorder="1"/>
    <xf numFmtId="0" fontId="10" fillId="2" borderId="40" xfId="0" applyFont="1" applyFill="1" applyBorder="1" applyAlignment="1">
      <alignment horizontal="center"/>
    </xf>
    <xf numFmtId="0" fontId="9" fillId="2" borderId="41" xfId="0" applyFont="1" applyFill="1" applyBorder="1"/>
    <xf numFmtId="37" fontId="10" fillId="2" borderId="38" xfId="0" applyNumberFormat="1" applyFont="1" applyFill="1" applyBorder="1"/>
    <xf numFmtId="0" fontId="9" fillId="2" borderId="40" xfId="0" applyFont="1" applyFill="1" applyBorder="1"/>
    <xf numFmtId="37" fontId="10" fillId="2" borderId="42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3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4" xfId="0" applyFont="1" applyFill="1" applyBorder="1"/>
    <xf numFmtId="0" fontId="9" fillId="2" borderId="45" xfId="0" applyFont="1" applyFill="1" applyBorder="1"/>
    <xf numFmtId="0" fontId="10" fillId="2" borderId="45" xfId="0" applyFont="1" applyFill="1" applyBorder="1"/>
    <xf numFmtId="37" fontId="10" fillId="2" borderId="46" xfId="0" applyNumberFormat="1" applyFont="1" applyFill="1" applyBorder="1"/>
    <xf numFmtId="0" fontId="9" fillId="2" borderId="47" xfId="0" applyFont="1" applyFill="1" applyBorder="1"/>
    <xf numFmtId="37" fontId="10" fillId="2" borderId="48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9" fontId="9" fillId="0" borderId="0" xfId="0" applyNumberFormat="1" applyFont="1"/>
    <xf numFmtId="168" fontId="18" fillId="4" borderId="49" xfId="0" applyNumberFormat="1" applyFont="1" applyFill="1" applyBorder="1"/>
    <xf numFmtId="168" fontId="9" fillId="0" borderId="9" xfId="2" applyNumberFormat="1" applyFont="1" applyBorder="1"/>
    <xf numFmtId="37" fontId="9" fillId="0" borderId="13" xfId="0" applyNumberFormat="1" applyFont="1" applyBorder="1"/>
    <xf numFmtId="0" fontId="9" fillId="2" borderId="14" xfId="0" applyFont="1" applyFill="1" applyBorder="1"/>
    <xf numFmtId="168" fontId="9" fillId="0" borderId="0" xfId="0" applyNumberFormat="1" applyFont="1"/>
    <xf numFmtId="0" fontId="10" fillId="0" borderId="0" xfId="0" applyFont="1" applyAlignment="1">
      <alignment horizontal="center"/>
    </xf>
    <xf numFmtId="168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5" xfId="0" applyFont="1" applyFill="1" applyBorder="1" applyAlignment="1">
      <alignment horizontal="right"/>
    </xf>
    <xf numFmtId="0" fontId="9" fillId="2" borderId="47" xfId="0" applyFont="1" applyFill="1" applyBorder="1" applyAlignment="1">
      <alignment horizontal="right"/>
    </xf>
    <xf numFmtId="0" fontId="10" fillId="2" borderId="47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8" fontId="9" fillId="0" borderId="9" xfId="0" applyNumberFormat="1" applyFont="1" applyBorder="1"/>
    <xf numFmtId="168" fontId="9" fillId="0" borderId="8" xfId="0" applyNumberFormat="1" applyFont="1" applyBorder="1"/>
    <xf numFmtId="169" fontId="9" fillId="0" borderId="12" xfId="0" applyNumberFormat="1" applyFont="1" applyBorder="1"/>
    <xf numFmtId="168" fontId="9" fillId="0" borderId="16" xfId="0" applyNumberFormat="1" applyFont="1" applyBorder="1"/>
    <xf numFmtId="37" fontId="9" fillId="0" borderId="14" xfId="0" applyNumberFormat="1" applyFont="1" applyBorder="1"/>
    <xf numFmtId="168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51" xfId="0" applyNumberFormat="1" applyFont="1" applyBorder="1"/>
    <xf numFmtId="168" fontId="10" fillId="0" borderId="14" xfId="0" applyNumberFormat="1" applyFont="1" applyBorder="1"/>
    <xf numFmtId="168" fontId="10" fillId="0" borderId="16" xfId="0" applyNumberFormat="1" applyFont="1" applyBorder="1"/>
    <xf numFmtId="168" fontId="10" fillId="0" borderId="17" xfId="0" applyNumberFormat="1" applyFont="1" applyBorder="1"/>
    <xf numFmtId="169" fontId="9" fillId="0" borderId="15" xfId="0" applyNumberFormat="1" applyFont="1" applyBorder="1"/>
    <xf numFmtId="168" fontId="9" fillId="0" borderId="13" xfId="0" applyNumberFormat="1" applyFont="1" applyBorder="1"/>
    <xf numFmtId="37" fontId="9" fillId="0" borderId="23" xfId="0" applyNumberFormat="1" applyFont="1" applyBorder="1"/>
    <xf numFmtId="168" fontId="9" fillId="0" borderId="20" xfId="0" applyNumberFormat="1" applyFont="1" applyBorder="1"/>
    <xf numFmtId="169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9" fontId="10" fillId="0" borderId="12" xfId="0" applyNumberFormat="1" applyFont="1" applyBorder="1"/>
    <xf numFmtId="0" fontId="10" fillId="0" borderId="14" xfId="0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7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8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8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9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9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8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52" xfId="0" applyFont="1" applyBorder="1"/>
    <xf numFmtId="168" fontId="10" fillId="0" borderId="7" xfId="0" applyNumberFormat="1" applyFont="1" applyBorder="1"/>
    <xf numFmtId="168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8" fontId="9" fillId="0" borderId="15" xfId="0" applyNumberFormat="1" applyFont="1" applyBorder="1"/>
    <xf numFmtId="168" fontId="9" fillId="0" borderId="12" xfId="0" applyNumberFormat="1" applyFont="1" applyBorder="1"/>
    <xf numFmtId="168" fontId="10" fillId="2" borderId="25" xfId="0" applyNumberFormat="1" applyFont="1" applyFill="1" applyBorder="1"/>
    <xf numFmtId="168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10" fillId="2" borderId="56" xfId="0" applyFont="1" applyFill="1" applyBorder="1"/>
    <xf numFmtId="37" fontId="10" fillId="2" borderId="57" xfId="0" applyNumberFormat="1" applyFont="1" applyFill="1" applyBorder="1"/>
    <xf numFmtId="169" fontId="10" fillId="2" borderId="57" xfId="0" applyNumberFormat="1" applyFont="1" applyFill="1" applyBorder="1"/>
    <xf numFmtId="37" fontId="10" fillId="2" borderId="58" xfId="0" applyNumberFormat="1" applyFont="1" applyFill="1" applyBorder="1"/>
    <xf numFmtId="37" fontId="10" fillId="2" borderId="59" xfId="0" applyNumberFormat="1" applyFont="1" applyFill="1" applyBorder="1"/>
    <xf numFmtId="0" fontId="9" fillId="2" borderId="32" xfId="0" applyFont="1" applyFill="1" applyBorder="1"/>
    <xf numFmtId="170" fontId="9" fillId="0" borderId="8" xfId="1" applyNumberFormat="1" applyFont="1" applyFill="1" applyBorder="1"/>
    <xf numFmtId="0" fontId="12" fillId="0" borderId="60" xfId="0" applyFont="1" applyBorder="1"/>
    <xf numFmtId="0" fontId="14" fillId="0" borderId="11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37" fontId="9" fillId="4" borderId="0" xfId="0" applyNumberFormat="1" applyFont="1" applyFill="1"/>
    <xf numFmtId="168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8" fontId="9" fillId="0" borderId="0" xfId="2" applyNumberFormat="1" applyFont="1" applyFill="1" applyBorder="1"/>
    <xf numFmtId="168" fontId="10" fillId="0" borderId="26" xfId="0" applyNumberFormat="1" applyFont="1" applyBorder="1"/>
    <xf numFmtId="0" fontId="12" fillId="0" borderId="0" xfId="0" applyFont="1"/>
    <xf numFmtId="168" fontId="9" fillId="0" borderId="8" xfId="2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40" xfId="0" applyFont="1" applyFill="1" applyBorder="1"/>
    <xf numFmtId="0" fontId="10" fillId="2" borderId="61" xfId="0" applyFont="1" applyFill="1" applyBorder="1"/>
    <xf numFmtId="0" fontId="10" fillId="2" borderId="62" xfId="0" applyFont="1" applyFill="1" applyBorder="1"/>
    <xf numFmtId="37" fontId="10" fillId="2" borderId="63" xfId="0" applyNumberFormat="1" applyFont="1" applyFill="1" applyBorder="1"/>
    <xf numFmtId="0" fontId="10" fillId="2" borderId="64" xfId="0" applyFont="1" applyFill="1" applyBorder="1"/>
    <xf numFmtId="0" fontId="9" fillId="2" borderId="64" xfId="0" applyFont="1" applyFill="1" applyBorder="1"/>
    <xf numFmtId="0" fontId="9" fillId="2" borderId="62" xfId="0" applyFont="1" applyFill="1" applyBorder="1"/>
    <xf numFmtId="37" fontId="10" fillId="2" borderId="65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6" xfId="0" applyFont="1" applyBorder="1" applyAlignment="1">
      <alignment horizontal="left"/>
    </xf>
    <xf numFmtId="0" fontId="10" fillId="0" borderId="6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14" fillId="0" borderId="12" xfId="0" applyFont="1" applyBorder="1"/>
    <xf numFmtId="37" fontId="14" fillId="0" borderId="71" xfId="0" applyNumberFormat="1" applyFont="1" applyBorder="1"/>
    <xf numFmtId="37" fontId="14" fillId="0" borderId="72" xfId="0" applyNumberFormat="1" applyFont="1" applyBorder="1"/>
    <xf numFmtId="37" fontId="14" fillId="0" borderId="12" xfId="0" applyNumberFormat="1" applyFont="1" applyBorder="1"/>
    <xf numFmtId="168" fontId="14" fillId="0" borderId="12" xfId="0" applyNumberFormat="1" applyFont="1" applyBorder="1"/>
    <xf numFmtId="37" fontId="14" fillId="0" borderId="73" xfId="0" applyNumberFormat="1" applyFont="1" applyBorder="1"/>
    <xf numFmtId="168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71" xfId="0" applyNumberFormat="1" applyFont="1" applyFill="1" applyBorder="1"/>
    <xf numFmtId="37" fontId="21" fillId="2" borderId="72" xfId="0" applyNumberFormat="1" applyFont="1" applyFill="1" applyBorder="1"/>
    <xf numFmtId="37" fontId="21" fillId="2" borderId="12" xfId="0" applyNumberFormat="1" applyFont="1" applyFill="1" applyBorder="1"/>
    <xf numFmtId="168" fontId="21" fillId="2" borderId="12" xfId="0" applyNumberFormat="1" applyFont="1" applyFill="1" applyBorder="1"/>
    <xf numFmtId="37" fontId="21" fillId="2" borderId="73" xfId="0" applyNumberFormat="1" applyFont="1" applyFill="1" applyBorder="1"/>
    <xf numFmtId="168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4" xfId="0" applyNumberFormat="1" applyFont="1" applyBorder="1"/>
    <xf numFmtId="37" fontId="14" fillId="0" borderId="75" xfId="0" applyNumberFormat="1" applyFont="1" applyBorder="1"/>
    <xf numFmtId="37" fontId="14" fillId="0" borderId="0" xfId="0" applyNumberFormat="1" applyFont="1"/>
    <xf numFmtId="168" fontId="14" fillId="0" borderId="0" xfId="0" applyNumberFormat="1" applyFont="1"/>
    <xf numFmtId="37" fontId="14" fillId="0" borderId="76" xfId="0" applyNumberFormat="1" applyFont="1" applyBorder="1"/>
    <xf numFmtId="168" fontId="14" fillId="0" borderId="21" xfId="0" applyNumberFormat="1" applyFont="1" applyBorder="1"/>
    <xf numFmtId="0" fontId="14" fillId="0" borderId="0" xfId="0" applyFont="1" applyAlignment="1">
      <alignment horizontal="right"/>
    </xf>
    <xf numFmtId="169" fontId="14" fillId="0" borderId="0" xfId="0" applyNumberFormat="1" applyFont="1"/>
    <xf numFmtId="0" fontId="14" fillId="0" borderId="75" xfId="0" applyFont="1" applyBorder="1"/>
    <xf numFmtId="168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9" fontId="14" fillId="0" borderId="12" xfId="0" applyNumberFormat="1" applyFont="1" applyBorder="1"/>
    <xf numFmtId="0" fontId="14" fillId="0" borderId="72" xfId="0" applyFont="1" applyBorder="1"/>
    <xf numFmtId="168" fontId="14" fillId="0" borderId="71" xfId="0" applyNumberFormat="1" applyFont="1" applyBorder="1"/>
    <xf numFmtId="168" fontId="14" fillId="0" borderId="77" xfId="0" applyNumberFormat="1" applyFont="1" applyBorder="1"/>
    <xf numFmtId="168" fontId="22" fillId="0" borderId="10" xfId="0" applyNumberFormat="1" applyFont="1" applyBorder="1"/>
    <xf numFmtId="0" fontId="21" fillId="2" borderId="37" xfId="0" applyFont="1" applyFill="1" applyBorder="1"/>
    <xf numFmtId="0" fontId="21" fillId="2" borderId="38" xfId="0" applyFont="1" applyFill="1" applyBorder="1"/>
    <xf numFmtId="168" fontId="21" fillId="2" borderId="38" xfId="0" applyNumberFormat="1" applyFont="1" applyFill="1" applyBorder="1"/>
    <xf numFmtId="37" fontId="21" fillId="2" borderId="78" xfId="0" applyNumberFormat="1" applyFont="1" applyFill="1" applyBorder="1"/>
    <xf numFmtId="168" fontId="21" fillId="2" borderId="41" xfId="0" applyNumberFormat="1" applyFont="1" applyFill="1" applyBorder="1"/>
    <xf numFmtId="0" fontId="21" fillId="2" borderId="41" xfId="0" applyFont="1" applyFill="1" applyBorder="1"/>
    <xf numFmtId="37" fontId="21" fillId="2" borderId="38" xfId="0" applyNumberFormat="1" applyFont="1" applyFill="1" applyBorder="1"/>
    <xf numFmtId="0" fontId="21" fillId="2" borderId="79" xfId="0" applyFont="1" applyFill="1" applyBorder="1"/>
    <xf numFmtId="166" fontId="7" fillId="0" borderId="0" xfId="0" applyNumberFormat="1" applyFont="1"/>
    <xf numFmtId="166" fontId="20" fillId="0" borderId="0" xfId="0" applyNumberFormat="1" applyFont="1"/>
    <xf numFmtId="168" fontId="14" fillId="0" borderId="74" xfId="0" applyNumberFormat="1" applyFont="1" applyBorder="1"/>
    <xf numFmtId="169" fontId="21" fillId="2" borderId="38" xfId="0" applyNumberFormat="1" applyFont="1" applyFill="1" applyBorder="1"/>
    <xf numFmtId="37" fontId="21" fillId="2" borderId="41" xfId="0" applyNumberFormat="1" applyFont="1" applyFill="1" applyBorder="1"/>
    <xf numFmtId="37" fontId="21" fillId="2" borderId="79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80" xfId="0" applyNumberFormat="1" applyFont="1" applyBorder="1"/>
    <xf numFmtId="0" fontId="14" fillId="0" borderId="81" xfId="0" applyFont="1" applyBorder="1"/>
    <xf numFmtId="169" fontId="14" fillId="0" borderId="7" xfId="0" applyNumberFormat="1" applyFont="1" applyBorder="1"/>
    <xf numFmtId="37" fontId="14" fillId="0" borderId="7" xfId="0" applyNumberFormat="1" applyFont="1" applyBorder="1"/>
    <xf numFmtId="168" fontId="14" fillId="0" borderId="7" xfId="0" applyNumberFormat="1" applyFont="1" applyBorder="1"/>
    <xf numFmtId="37" fontId="14" fillId="0" borderId="82" xfId="0" applyNumberFormat="1" applyFont="1" applyBorder="1"/>
    <xf numFmtId="0" fontId="14" fillId="0" borderId="51" xfId="0" applyFont="1" applyBorder="1" applyAlignment="1">
      <alignment horizontal="right"/>
    </xf>
    <xf numFmtId="0" fontId="14" fillId="0" borderId="51" xfId="0" applyFont="1" applyBorder="1"/>
    <xf numFmtId="37" fontId="14" fillId="0" borderId="83" xfId="0" applyNumberFormat="1" applyFont="1" applyBorder="1"/>
    <xf numFmtId="0" fontId="14" fillId="0" borderId="84" xfId="0" applyFont="1" applyBorder="1"/>
    <xf numFmtId="169" fontId="14" fillId="0" borderId="51" xfId="0" applyNumberFormat="1" applyFont="1" applyBorder="1"/>
    <xf numFmtId="37" fontId="14" fillId="0" borderId="84" xfId="0" applyNumberFormat="1" applyFont="1" applyBorder="1"/>
    <xf numFmtId="37" fontId="14" fillId="0" borderId="51" xfId="0" applyNumberFormat="1" applyFont="1" applyBorder="1"/>
    <xf numFmtId="168" fontId="14" fillId="0" borderId="51" xfId="0" applyNumberFormat="1" applyFont="1" applyBorder="1"/>
    <xf numFmtId="37" fontId="14" fillId="0" borderId="85" xfId="0" applyNumberFormat="1" applyFont="1" applyBorder="1"/>
    <xf numFmtId="168" fontId="14" fillId="0" borderId="86" xfId="0" applyNumberFormat="1" applyFont="1" applyBorder="1"/>
    <xf numFmtId="170" fontId="20" fillId="0" borderId="0" xfId="0" applyNumberFormat="1" applyFont="1"/>
    <xf numFmtId="0" fontId="14" fillId="2" borderId="38" xfId="0" applyFont="1" applyFill="1" applyBorder="1"/>
    <xf numFmtId="3" fontId="21" fillId="2" borderId="38" xfId="0" applyNumberFormat="1" applyFont="1" applyFill="1" applyBorder="1" applyAlignment="1">
      <alignment horizontal="center"/>
    </xf>
    <xf numFmtId="168" fontId="21" fillId="2" borderId="42" xfId="0" applyNumberFormat="1" applyFont="1" applyFill="1" applyBorder="1"/>
    <xf numFmtId="168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8" fontId="14" fillId="0" borderId="80" xfId="0" applyNumberFormat="1" applyFont="1" applyBorder="1"/>
    <xf numFmtId="37" fontId="21" fillId="5" borderId="38" xfId="0" applyNumberFormat="1" applyFont="1" applyFill="1" applyBorder="1"/>
    <xf numFmtId="0" fontId="14" fillId="0" borderId="74" xfId="0" applyFont="1" applyBorder="1"/>
    <xf numFmtId="0" fontId="14" fillId="0" borderId="76" xfId="0" applyFont="1" applyBorder="1"/>
    <xf numFmtId="168" fontId="14" fillId="0" borderId="87" xfId="0" applyNumberFormat="1" applyFont="1" applyBorder="1"/>
    <xf numFmtId="168" fontId="21" fillId="0" borderId="7" xfId="0" applyNumberFormat="1" applyFont="1" applyBorder="1"/>
    <xf numFmtId="0" fontId="21" fillId="0" borderId="7" xfId="0" applyFont="1" applyBorder="1"/>
    <xf numFmtId="168" fontId="21" fillId="0" borderId="81" xfId="0" applyNumberFormat="1" applyFont="1" applyBorder="1"/>
    <xf numFmtId="37" fontId="21" fillId="0" borderId="81" xfId="0" applyNumberFormat="1" applyFont="1" applyBorder="1"/>
    <xf numFmtId="37" fontId="14" fillId="0" borderId="88" xfId="0" applyNumberFormat="1" applyFont="1" applyBorder="1"/>
    <xf numFmtId="37" fontId="21" fillId="0" borderId="7" xfId="0" applyNumberFormat="1" applyFont="1" applyBorder="1"/>
    <xf numFmtId="168" fontId="21" fillId="0" borderId="75" xfId="0" applyNumberFormat="1" applyFont="1" applyBorder="1"/>
    <xf numFmtId="37" fontId="21" fillId="0" borderId="75" xfId="0" applyNumberFormat="1" applyFont="1" applyBorder="1"/>
    <xf numFmtId="37" fontId="14" fillId="0" borderId="89" xfId="0" applyNumberFormat="1" applyFont="1" applyBorder="1"/>
    <xf numFmtId="37" fontId="21" fillId="0" borderId="0" xfId="0" applyNumberFormat="1" applyFont="1"/>
    <xf numFmtId="168" fontId="14" fillId="2" borderId="41" xfId="0" applyNumberFormat="1" applyFont="1" applyFill="1" applyBorder="1"/>
    <xf numFmtId="168" fontId="14" fillId="2" borderId="38" xfId="0" applyNumberFormat="1" applyFont="1" applyFill="1" applyBorder="1"/>
    <xf numFmtId="37" fontId="14" fillId="2" borderId="79" xfId="0" applyNumberFormat="1" applyFont="1" applyFill="1" applyBorder="1"/>
    <xf numFmtId="9" fontId="20" fillId="0" borderId="0" xfId="0" applyNumberFormat="1" applyFont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80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81" xfId="0" applyNumberFormat="1" applyFont="1" applyFill="1" applyBorder="1"/>
    <xf numFmtId="37" fontId="14" fillId="3" borderId="0" xfId="0" applyNumberFormat="1" applyFont="1" applyFill="1"/>
    <xf numFmtId="168" fontId="14" fillId="3" borderId="0" xfId="0" applyNumberFormat="1" applyFont="1" applyFill="1"/>
    <xf numFmtId="168" fontId="14" fillId="3" borderId="81" xfId="0" applyNumberFormat="1" applyFont="1" applyFill="1" applyBorder="1"/>
    <xf numFmtId="168" fontId="14" fillId="3" borderId="7" xfId="0" applyNumberFormat="1" applyFont="1" applyFill="1" applyBorder="1"/>
    <xf numFmtId="37" fontId="14" fillId="3" borderId="82" xfId="0" applyNumberFormat="1" applyFont="1" applyFill="1" applyBorder="1"/>
    <xf numFmtId="168" fontId="14" fillId="0" borderId="48" xfId="0" applyNumberFormat="1" applyFont="1" applyBorder="1"/>
    <xf numFmtId="0" fontId="21" fillId="2" borderId="61" xfId="0" applyFont="1" applyFill="1" applyBorder="1"/>
    <xf numFmtId="0" fontId="21" fillId="2" borderId="62" xfId="0" applyFont="1" applyFill="1" applyBorder="1"/>
    <xf numFmtId="0" fontId="21" fillId="2" borderId="62" xfId="0" applyFont="1" applyFill="1" applyBorder="1" applyAlignment="1">
      <alignment horizontal="center"/>
    </xf>
    <xf numFmtId="168" fontId="21" fillId="2" borderId="62" xfId="0" applyNumberFormat="1" applyFont="1" applyFill="1" applyBorder="1"/>
    <xf numFmtId="37" fontId="21" fillId="2" borderId="90" xfId="0" applyNumberFormat="1" applyFont="1" applyFill="1" applyBorder="1"/>
    <xf numFmtId="37" fontId="21" fillId="2" borderId="62" xfId="0" applyNumberFormat="1" applyFont="1" applyFill="1" applyBorder="1"/>
    <xf numFmtId="37" fontId="21" fillId="2" borderId="91" xfId="0" applyNumberFormat="1" applyFont="1" applyFill="1" applyBorder="1"/>
    <xf numFmtId="168" fontId="21" fillId="2" borderId="92" xfId="0" applyNumberFormat="1" applyFont="1" applyFill="1" applyBorder="1"/>
    <xf numFmtId="0" fontId="21" fillId="2" borderId="91" xfId="0" applyFont="1" applyFill="1" applyBorder="1" applyAlignment="1">
      <alignment horizontal="center"/>
    </xf>
    <xf numFmtId="37" fontId="21" fillId="2" borderId="93" xfId="0" applyNumberFormat="1" applyFont="1" applyFill="1" applyBorder="1"/>
    <xf numFmtId="168" fontId="21" fillId="2" borderId="49" xfId="0" applyNumberFormat="1" applyFont="1" applyFill="1" applyBorder="1"/>
    <xf numFmtId="39" fontId="14" fillId="0" borderId="0" xfId="0" applyNumberFormat="1" applyFont="1"/>
    <xf numFmtId="0" fontId="21" fillId="2" borderId="94" xfId="0" applyFont="1" applyFill="1" applyBorder="1"/>
    <xf numFmtId="0" fontId="21" fillId="2" borderId="95" xfId="0" applyFont="1" applyFill="1" applyBorder="1"/>
    <xf numFmtId="0" fontId="21" fillId="2" borderId="95" xfId="0" applyFont="1" applyFill="1" applyBorder="1" applyAlignment="1">
      <alignment horizontal="center"/>
    </xf>
    <xf numFmtId="168" fontId="21" fillId="2" borderId="95" xfId="0" applyNumberFormat="1" applyFont="1" applyFill="1" applyBorder="1"/>
    <xf numFmtId="37" fontId="21" fillId="2" borderId="96" xfId="0" applyNumberFormat="1" applyFont="1" applyFill="1" applyBorder="1"/>
    <xf numFmtId="37" fontId="21" fillId="2" borderId="95" xfId="0" applyNumberFormat="1" applyFont="1" applyFill="1" applyBorder="1"/>
    <xf numFmtId="37" fontId="21" fillId="2" borderId="97" xfId="0" applyNumberFormat="1" applyFont="1" applyFill="1" applyBorder="1"/>
    <xf numFmtId="37" fontId="21" fillId="2" borderId="98" xfId="0" applyNumberFormat="1" applyFont="1" applyFill="1" applyBorder="1"/>
    <xf numFmtId="37" fontId="21" fillId="2" borderId="67" xfId="0" applyNumberFormat="1" applyFont="1" applyFill="1" applyBorder="1"/>
    <xf numFmtId="168" fontId="21" fillId="2" borderId="70" xfId="0" applyNumberFormat="1" applyFont="1" applyFill="1" applyBorder="1"/>
    <xf numFmtId="0" fontId="20" fillId="0" borderId="18" xfId="0" applyFont="1" applyBorder="1"/>
    <xf numFmtId="37" fontId="20" fillId="0" borderId="74" xfId="0" applyNumberFormat="1" applyFont="1" applyBorder="1"/>
    <xf numFmtId="0" fontId="20" fillId="0" borderId="74" xfId="0" applyFont="1" applyBorder="1"/>
    <xf numFmtId="0" fontId="20" fillId="0" borderId="89" xfId="0" applyFont="1" applyBorder="1"/>
    <xf numFmtId="0" fontId="20" fillId="0" borderId="76" xfId="0" applyFont="1" applyBorder="1"/>
    <xf numFmtId="0" fontId="20" fillId="0" borderId="10" xfId="0" applyFont="1" applyBorder="1"/>
    <xf numFmtId="0" fontId="7" fillId="0" borderId="76" xfId="0" applyFont="1" applyBorder="1"/>
    <xf numFmtId="168" fontId="21" fillId="2" borderId="65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7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8" fontId="20" fillId="3" borderId="0" xfId="0" applyNumberFormat="1" applyFont="1" applyFill="1"/>
    <xf numFmtId="9" fontId="20" fillId="3" borderId="0" xfId="0" applyNumberFormat="1" applyFont="1" applyFill="1"/>
    <xf numFmtId="168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7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6" fillId="6" borderId="0" xfId="0" applyFont="1" applyFill="1" applyAlignment="1">
      <alignment horizontal="center"/>
    </xf>
    <xf numFmtId="0" fontId="6" fillId="6" borderId="0" xfId="0" quotePrefix="1" applyFont="1" applyFill="1" applyAlignment="1">
      <alignment horizontal="center"/>
    </xf>
    <xf numFmtId="1" fontId="9" fillId="0" borderId="8" xfId="0" applyNumberFormat="1" applyFont="1" applyBorder="1"/>
    <xf numFmtId="3" fontId="9" fillId="0" borderId="86" xfId="0" applyNumberFormat="1" applyFont="1" applyBorder="1"/>
    <xf numFmtId="1" fontId="9" fillId="0" borderId="0" xfId="0" applyNumberFormat="1" applyFont="1"/>
    <xf numFmtId="1" fontId="9" fillId="0" borderId="13" xfId="0" applyNumberFormat="1" applyFont="1" applyBorder="1"/>
    <xf numFmtId="1" fontId="9" fillId="0" borderId="19" xfId="0" applyNumberFormat="1" applyFont="1" applyBorder="1"/>
    <xf numFmtId="168" fontId="10" fillId="3" borderId="12" xfId="0" applyNumberFormat="1" applyFont="1" applyFill="1" applyBorder="1"/>
    <xf numFmtId="168" fontId="10" fillId="2" borderId="30" xfId="0" applyNumberFormat="1" applyFont="1" applyFill="1" applyBorder="1"/>
    <xf numFmtId="1" fontId="9" fillId="0" borderId="15" xfId="0" applyNumberFormat="1" applyFont="1" applyBorder="1"/>
    <xf numFmtId="1" fontId="9" fillId="0" borderId="7" xfId="0" applyNumberFormat="1" applyFont="1" applyBorder="1"/>
    <xf numFmtId="37" fontId="10" fillId="2" borderId="45" xfId="0" applyNumberFormat="1" applyFont="1" applyFill="1" applyBorder="1"/>
    <xf numFmtId="0" fontId="9" fillId="0" borderId="2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" fontId="9" fillId="0" borderId="12" xfId="0" applyNumberFormat="1" applyFont="1" applyBorder="1"/>
    <xf numFmtId="0" fontId="32" fillId="0" borderId="100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100" xfId="0" applyFont="1" applyBorder="1" applyAlignment="1">
      <alignment vertical="center"/>
    </xf>
    <xf numFmtId="0" fontId="33" fillId="0" borderId="101" xfId="0" applyFont="1" applyBorder="1" applyAlignment="1">
      <alignment vertical="center"/>
    </xf>
    <xf numFmtId="37" fontId="33" fillId="0" borderId="102" xfId="0" applyNumberFormat="1" applyFont="1" applyBorder="1" applyAlignment="1">
      <alignment horizontal="center" vertical="center"/>
    </xf>
    <xf numFmtId="3" fontId="0" fillId="0" borderId="102" xfId="0" applyNumberFormat="1" applyBorder="1" applyAlignment="1">
      <alignment horizontal="center" vertical="center"/>
    </xf>
    <xf numFmtId="3" fontId="0" fillId="0" borderId="103" xfId="0" applyNumberFormat="1" applyBorder="1" applyAlignment="1">
      <alignment horizontal="center" vertical="center"/>
    </xf>
    <xf numFmtId="3" fontId="0" fillId="0" borderId="104" xfId="0" applyNumberFormat="1" applyBorder="1" applyAlignment="1">
      <alignment horizontal="center" vertical="center"/>
    </xf>
    <xf numFmtId="0" fontId="33" fillId="10" borderId="99" xfId="0" applyFont="1" applyFill="1" applyBorder="1" applyAlignment="1">
      <alignment horizontal="center"/>
    </xf>
    <xf numFmtId="0" fontId="33" fillId="11" borderId="99" xfId="0" applyFont="1" applyFill="1" applyBorder="1" applyAlignment="1">
      <alignment horizontal="center"/>
    </xf>
    <xf numFmtId="0" fontId="33" fillId="7" borderId="99" xfId="0" applyFont="1" applyFill="1" applyBorder="1" applyAlignment="1">
      <alignment horizontal="center"/>
    </xf>
    <xf numFmtId="3" fontId="32" fillId="0" borderId="102" xfId="0" applyNumberFormat="1" applyFont="1" applyBorder="1" applyAlignment="1">
      <alignment horizontal="center" vertical="center"/>
    </xf>
    <xf numFmtId="171" fontId="20" fillId="0" borderId="0" xfId="0" applyNumberFormat="1" applyFont="1"/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4" xfId="0" applyBorder="1" applyAlignment="1">
      <alignment vertical="center"/>
    </xf>
    <xf numFmtId="0" fontId="34" fillId="0" borderId="0" xfId="0" applyFont="1"/>
    <xf numFmtId="1" fontId="34" fillId="0" borderId="0" xfId="0" applyNumberFormat="1" applyFont="1"/>
    <xf numFmtId="0" fontId="33" fillId="0" borderId="0" xfId="0" applyFont="1" applyAlignment="1">
      <alignment horizontal="center"/>
    </xf>
    <xf numFmtId="37" fontId="33" fillId="0" borderId="104" xfId="0" applyNumberFormat="1" applyFont="1" applyBorder="1" applyAlignment="1">
      <alignment horizontal="center" vertical="center"/>
    </xf>
    <xf numFmtId="3" fontId="32" fillId="8" borderId="102" xfId="0" applyNumberFormat="1" applyFont="1" applyFill="1" applyBorder="1" applyAlignment="1">
      <alignment horizontal="center" vertical="center"/>
    </xf>
    <xf numFmtId="3" fontId="0" fillId="8" borderId="102" xfId="0" applyNumberFormat="1" applyFill="1" applyBorder="1" applyAlignment="1">
      <alignment horizontal="center" vertical="center"/>
    </xf>
    <xf numFmtId="3" fontId="0" fillId="8" borderId="103" xfId="0" applyNumberFormat="1" applyFill="1" applyBorder="1" applyAlignment="1">
      <alignment horizontal="center" vertical="center"/>
    </xf>
    <xf numFmtId="3" fontId="0" fillId="8" borderId="104" xfId="0" applyNumberFormat="1" applyFill="1" applyBorder="1" applyAlignment="1">
      <alignment horizontal="center" vertical="center"/>
    </xf>
    <xf numFmtId="0" fontId="33" fillId="8" borderId="99" xfId="0" applyFont="1" applyFill="1" applyBorder="1" applyAlignment="1">
      <alignment horizontal="center"/>
    </xf>
    <xf numFmtId="0" fontId="13" fillId="0" borderId="0" xfId="0" applyFont="1"/>
    <xf numFmtId="0" fontId="38" fillId="0" borderId="0" xfId="0" applyFont="1" applyAlignment="1">
      <alignment horizontal="center"/>
    </xf>
    <xf numFmtId="3" fontId="38" fillId="0" borderId="0" xfId="0" applyNumberFormat="1" applyFont="1" applyAlignment="1">
      <alignment horizontal="center"/>
    </xf>
    <xf numFmtId="168" fontId="9" fillId="0" borderId="0" xfId="2" applyNumberFormat="1" applyFont="1" applyBorder="1" applyAlignment="1">
      <alignment horizontal="right"/>
    </xf>
    <xf numFmtId="168" fontId="9" fillId="0" borderId="12" xfId="2" applyNumberFormat="1" applyFont="1" applyBorder="1" applyAlignment="1">
      <alignment horizontal="right"/>
    </xf>
    <xf numFmtId="1" fontId="9" fillId="0" borderId="0" xfId="0" applyNumberFormat="1" applyFont="1" applyAlignment="1">
      <alignment horizontal="center"/>
    </xf>
    <xf numFmtId="1" fontId="9" fillId="0" borderId="9" xfId="0" applyNumberFormat="1" applyFont="1" applyBorder="1" applyAlignment="1">
      <alignment horizontal="center"/>
    </xf>
    <xf numFmtId="0" fontId="40" fillId="13" borderId="0" xfId="0" applyFont="1" applyFill="1" applyAlignment="1">
      <alignment horizontal="center" vertical="center"/>
    </xf>
    <xf numFmtId="0" fontId="41" fillId="13" borderId="0" xfId="0" applyFont="1" applyFill="1"/>
    <xf numFmtId="0" fontId="41" fillId="13" borderId="0" xfId="0" applyFont="1" applyFill="1" applyAlignment="1">
      <alignment horizontal="right"/>
    </xf>
    <xf numFmtId="0" fontId="42" fillId="14" borderId="0" xfId="0" applyFont="1" applyFill="1"/>
    <xf numFmtId="0" fontId="7" fillId="0" borderId="0" xfId="0" applyFont="1" applyAlignment="1">
      <alignment horizontal="left" vertical="center"/>
    </xf>
    <xf numFmtId="0" fontId="43" fillId="9" borderId="105" xfId="0" applyFont="1" applyFill="1" applyBorder="1"/>
    <xf numFmtId="0" fontId="44" fillId="9" borderId="106" xfId="0" applyFont="1" applyFill="1" applyBorder="1"/>
    <xf numFmtId="0" fontId="45" fillId="9" borderId="107" xfId="0" applyFont="1" applyFill="1" applyBorder="1"/>
    <xf numFmtId="10" fontId="45" fillId="9" borderId="10" xfId="0" applyNumberFormat="1" applyFont="1" applyFill="1" applyBorder="1"/>
    <xf numFmtId="0" fontId="9" fillId="0" borderId="107" xfId="0" applyFont="1" applyBorder="1"/>
    <xf numFmtId="0" fontId="44" fillId="9" borderId="108" xfId="0" applyFont="1" applyFill="1" applyBorder="1"/>
    <xf numFmtId="10" fontId="45" fillId="9" borderId="49" xfId="0" applyNumberFormat="1" applyFont="1" applyFill="1" applyBorder="1"/>
    <xf numFmtId="0" fontId="10" fillId="0" borderId="107" xfId="0" applyFont="1" applyBorder="1"/>
    <xf numFmtId="166" fontId="8" fillId="0" borderId="0" xfId="1" applyFont="1" applyFill="1"/>
    <xf numFmtId="166" fontId="8" fillId="0" borderId="0" xfId="0" applyNumberFormat="1" applyFont="1"/>
    <xf numFmtId="0" fontId="10" fillId="0" borderId="107" xfId="0" applyFont="1" applyBorder="1" applyAlignment="1">
      <alignment horizontal="left"/>
    </xf>
    <xf numFmtId="168" fontId="9" fillId="0" borderId="14" xfId="2" applyNumberFormat="1" applyFont="1" applyFill="1" applyBorder="1"/>
    <xf numFmtId="10" fontId="46" fillId="0" borderId="0" xfId="2" applyNumberFormat="1" applyFont="1" applyAlignment="1"/>
    <xf numFmtId="0" fontId="13" fillId="15" borderId="0" xfId="0" applyFont="1" applyFill="1"/>
    <xf numFmtId="3" fontId="9" fillId="0" borderId="34" xfId="0" applyNumberFormat="1" applyFont="1" applyBorder="1"/>
    <xf numFmtId="3" fontId="9" fillId="0" borderId="35" xfId="0" applyNumberFormat="1" applyFont="1" applyBorder="1"/>
    <xf numFmtId="3" fontId="9" fillId="0" borderId="36" xfId="0" applyNumberFormat="1" applyFont="1" applyBorder="1"/>
    <xf numFmtId="0" fontId="14" fillId="0" borderId="107" xfId="0" applyFont="1" applyBorder="1"/>
    <xf numFmtId="3" fontId="0" fillId="0" borderId="0" xfId="0" applyNumberFormat="1" applyAlignment="1">
      <alignment horizontal="center"/>
    </xf>
    <xf numFmtId="0" fontId="9" fillId="16" borderId="9" xfId="0" applyFont="1" applyFill="1" applyBorder="1"/>
    <xf numFmtId="0" fontId="9" fillId="16" borderId="0" xfId="0" applyFont="1" applyFill="1"/>
    <xf numFmtId="3" fontId="9" fillId="16" borderId="8" xfId="0" applyNumberFormat="1" applyFont="1" applyFill="1" applyBorder="1"/>
    <xf numFmtId="0" fontId="7" fillId="16" borderId="0" xfId="0" applyFont="1" applyFill="1"/>
    <xf numFmtId="3" fontId="0" fillId="16" borderId="0" xfId="0" applyNumberFormat="1" applyFill="1"/>
    <xf numFmtId="0" fontId="0" fillId="12" borderId="0" xfId="0" applyFill="1"/>
    <xf numFmtId="0" fontId="8" fillId="12" borderId="0" xfId="0" applyFont="1" applyFill="1"/>
    <xf numFmtId="170" fontId="9" fillId="0" borderId="0" xfId="1" applyNumberFormat="1" applyFont="1" applyFill="1" applyBorder="1"/>
    <xf numFmtId="0" fontId="10" fillId="3" borderId="107" xfId="0" applyFont="1" applyFill="1" applyBorder="1"/>
    <xf numFmtId="1" fontId="16" fillId="0" borderId="0" xfId="0" applyNumberFormat="1" applyFont="1"/>
    <xf numFmtId="168" fontId="21" fillId="0" borderId="9" xfId="0" applyNumberFormat="1" applyFont="1" applyBorder="1"/>
    <xf numFmtId="168" fontId="21" fillId="0" borderId="8" xfId="0" applyNumberFormat="1" applyFont="1" applyBorder="1"/>
    <xf numFmtId="168" fontId="21" fillId="0" borderId="10" xfId="0" applyNumberFormat="1" applyFont="1" applyBorder="1"/>
    <xf numFmtId="168" fontId="9" fillId="0" borderId="0" xfId="2" applyNumberFormat="1" applyFont="1" applyBorder="1"/>
    <xf numFmtId="168" fontId="9" fillId="0" borderId="12" xfId="2" applyNumberFormat="1" applyFont="1" applyBorder="1"/>
    <xf numFmtId="39" fontId="12" fillId="0" borderId="50" xfId="0" applyNumberFormat="1" applyFont="1" applyBorder="1" applyAlignment="1">
      <alignment horizontal="center"/>
    </xf>
    <xf numFmtId="10" fontId="9" fillId="0" borderId="0" xfId="2" applyNumberFormat="1" applyFont="1" applyFill="1"/>
    <xf numFmtId="37" fontId="10" fillId="0" borderId="14" xfId="0" applyNumberFormat="1" applyFont="1" applyBorder="1"/>
    <xf numFmtId="39" fontId="10" fillId="3" borderId="12" xfId="0" applyNumberFormat="1" applyFont="1" applyFill="1" applyBorder="1" applyAlignment="1">
      <alignment horizontal="center"/>
    </xf>
    <xf numFmtId="0" fontId="9" fillId="12" borderId="0" xfId="0" applyFont="1" applyFill="1"/>
    <xf numFmtId="10" fontId="10" fillId="2" borderId="27" xfId="0" applyNumberFormat="1" applyFont="1" applyFill="1" applyBorder="1"/>
    <xf numFmtId="168" fontId="10" fillId="2" borderId="33" xfId="2" applyNumberFormat="1" applyFont="1" applyFill="1" applyBorder="1"/>
    <xf numFmtId="164" fontId="9" fillId="0" borderId="0" xfId="0" applyNumberFormat="1" applyFont="1"/>
    <xf numFmtId="0" fontId="47" fillId="17" borderId="0" xfId="0" applyFont="1" applyFill="1"/>
    <xf numFmtId="0" fontId="48" fillId="18" borderId="0" xfId="0" applyFont="1" applyFill="1" applyAlignment="1">
      <alignment horizontal="left" vertical="center" indent="1"/>
    </xf>
    <xf numFmtId="0" fontId="11" fillId="18" borderId="0" xfId="0" applyFont="1" applyFill="1" applyAlignment="1">
      <alignment horizontal="left" vertical="center" indent="1"/>
    </xf>
    <xf numFmtId="0" fontId="42" fillId="14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9" fontId="0" fillId="0" borderId="0" xfId="2" applyFont="1" applyAlignment="1"/>
    <xf numFmtId="0" fontId="14" fillId="16" borderId="75" xfId="0" applyFont="1" applyFill="1" applyBorder="1"/>
    <xf numFmtId="169" fontId="14" fillId="16" borderId="0" xfId="0" applyNumberFormat="1" applyFont="1" applyFill="1"/>
    <xf numFmtId="37" fontId="14" fillId="16" borderId="74" xfId="0" applyNumberFormat="1" applyFont="1" applyFill="1" applyBorder="1"/>
    <xf numFmtId="170" fontId="14" fillId="0" borderId="74" xfId="1" applyNumberFormat="1" applyFont="1" applyFill="1" applyBorder="1"/>
    <xf numFmtId="37" fontId="21" fillId="19" borderId="38" xfId="0" applyNumberFormat="1" applyFont="1" applyFill="1" applyBorder="1"/>
    <xf numFmtId="168" fontId="21" fillId="19" borderId="38" xfId="0" applyNumberFormat="1" applyFont="1" applyFill="1" applyBorder="1"/>
    <xf numFmtId="1" fontId="21" fillId="0" borderId="0" xfId="0" applyNumberFormat="1" applyFont="1"/>
    <xf numFmtId="166" fontId="21" fillId="0" borderId="75" xfId="1" applyFont="1" applyFill="1" applyBorder="1"/>
    <xf numFmtId="168" fontId="21" fillId="0" borderId="0" xfId="2" applyNumberFormat="1" applyFont="1" applyFill="1" applyBorder="1"/>
    <xf numFmtId="0" fontId="20" fillId="0" borderId="107" xfId="0" applyFont="1" applyBorder="1"/>
    <xf numFmtId="166" fontId="20" fillId="0" borderId="0" xfId="1" applyFont="1"/>
    <xf numFmtId="0" fontId="21" fillId="0" borderId="109" xfId="0" applyFont="1" applyBorder="1"/>
    <xf numFmtId="0" fontId="14" fillId="0" borderId="110" xfId="0" applyFont="1" applyBorder="1"/>
    <xf numFmtId="37" fontId="14" fillId="0" borderId="110" xfId="0" applyNumberFormat="1" applyFont="1" applyBorder="1"/>
    <xf numFmtId="0" fontId="14" fillId="0" borderId="111" xfId="0" applyFont="1" applyBorder="1"/>
    <xf numFmtId="0" fontId="14" fillId="0" borderId="99" xfId="0" applyFont="1" applyBorder="1" applyAlignment="1">
      <alignment horizontal="center"/>
    </xf>
    <xf numFmtId="0" fontId="14" fillId="0" borderId="0" xfId="0" applyFont="1" applyAlignment="1">
      <alignment horizontal="center"/>
    </xf>
    <xf numFmtId="39" fontId="24" fillId="0" borderId="0" xfId="0" applyNumberFormat="1" applyFont="1"/>
    <xf numFmtId="166" fontId="14" fillId="0" borderId="0" xfId="1" applyFont="1"/>
    <xf numFmtId="14" fontId="20" fillId="0" borderId="0" xfId="0" applyNumberFormat="1" applyFont="1"/>
    <xf numFmtId="168" fontId="14" fillId="0" borderId="0" xfId="2" applyNumberFormat="1" applyFont="1" applyAlignment="1">
      <alignment horizontal="left" indent="1"/>
    </xf>
    <xf numFmtId="166" fontId="14" fillId="0" borderId="112" xfId="1" applyFont="1" applyBorder="1"/>
    <xf numFmtId="168" fontId="14" fillId="0" borderId="112" xfId="2" applyNumberFormat="1" applyFont="1" applyBorder="1" applyAlignment="1">
      <alignment horizontal="left" indent="1"/>
    </xf>
    <xf numFmtId="174" fontId="20" fillId="0" borderId="0" xfId="0" applyNumberFormat="1" applyFont="1"/>
    <xf numFmtId="0" fontId="14" fillId="0" borderId="0" xfId="0" applyFont="1" applyAlignment="1">
      <alignment horizontal="left" indent="2"/>
    </xf>
    <xf numFmtId="166" fontId="14" fillId="0" borderId="113" xfId="1" applyFont="1" applyBorder="1"/>
    <xf numFmtId="175" fontId="14" fillId="0" borderId="0" xfId="0" applyNumberFormat="1" applyFont="1" applyAlignment="1">
      <alignment horizontal="center"/>
    </xf>
    <xf numFmtId="0" fontId="14" fillId="0" borderId="113" xfId="0" applyFont="1" applyBorder="1" applyAlignment="1">
      <alignment horizontal="center"/>
    </xf>
    <xf numFmtId="10" fontId="46" fillId="20" borderId="0" xfId="2" applyNumberFormat="1" applyFont="1" applyFill="1" applyAlignment="1"/>
    <xf numFmtId="0" fontId="13" fillId="20" borderId="0" xfId="0" applyFont="1" applyFill="1"/>
    <xf numFmtId="166" fontId="9" fillId="0" borderId="0" xfId="1" applyFont="1" applyBorder="1"/>
    <xf numFmtId="166" fontId="9" fillId="0" borderId="0" xfId="1" applyFont="1" applyFill="1" applyBorder="1"/>
    <xf numFmtId="0" fontId="33" fillId="10" borderId="99" xfId="0" applyFont="1" applyFill="1" applyBorder="1" applyAlignment="1">
      <alignment horizontal="center" vertical="center"/>
    </xf>
    <xf numFmtId="0" fontId="33" fillId="11" borderId="99" xfId="0" applyFont="1" applyFill="1" applyBorder="1" applyAlignment="1">
      <alignment horizontal="center" vertical="center"/>
    </xf>
    <xf numFmtId="0" fontId="33" fillId="8" borderId="99" xfId="0" applyFont="1" applyFill="1" applyBorder="1" applyAlignment="1">
      <alignment horizontal="center" vertical="center"/>
    </xf>
    <xf numFmtId="0" fontId="33" fillId="7" borderId="99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1" xfId="0" applyFont="1" applyBorder="1" applyAlignment="1">
      <alignment horizontal="center"/>
    </xf>
    <xf numFmtId="0" fontId="10" fillId="0" borderId="69" xfId="0" applyFont="1" applyBorder="1" applyAlignment="1">
      <alignment horizontal="center" vertical="center"/>
    </xf>
    <xf numFmtId="0" fontId="11" fillId="0" borderId="67" xfId="0" applyFont="1" applyBorder="1"/>
    <xf numFmtId="0" fontId="11" fillId="0" borderId="70" xfId="0" applyFont="1" applyBorder="1"/>
    <xf numFmtId="0" fontId="10" fillId="0" borderId="67" xfId="0" applyFont="1" applyBorder="1" applyAlignment="1">
      <alignment horizontal="center" vertical="center"/>
    </xf>
    <xf numFmtId="0" fontId="11" fillId="0" borderId="68" xfId="0" applyFont="1" applyBorder="1"/>
  </cellXfs>
  <cellStyles count="17">
    <cellStyle name="Milliers" xfId="1" builtinId="3"/>
    <cellStyle name="Milliers 2" xfId="7" xr:uid="{00000000-0005-0000-0000-000001000000}"/>
    <cellStyle name="Milliers 3" xfId="13" xr:uid="{2971D271-07C3-42EA-AF54-CA19A237EB8E}"/>
    <cellStyle name="Monétaire 2" xfId="4" xr:uid="{00000000-0005-0000-0000-000002000000}"/>
    <cellStyle name="Monétaire 3" xfId="9" xr:uid="{00000000-0005-0000-0000-000003000000}"/>
    <cellStyle name="Normal" xfId="0" builtinId="0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Pourcentage" xfId="2" builtinId="5"/>
    <cellStyle name="Pourcentage 2" xfId="8" xr:uid="{00000000-0005-0000-0000-000009000000}"/>
    <cellStyle name="Pourcentage 3" xfId="15" xr:uid="{B09CCB1C-0232-46FA-AAFA-AA26EA7AA4F5}"/>
  </cellStyles>
  <dxfs count="1362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680358</xdr:colOff>
      <xdr:row>28</xdr:row>
      <xdr:rowOff>81643</xdr:rowOff>
    </xdr:from>
    <xdr:to>
      <xdr:col>27</xdr:col>
      <xdr:colOff>525118</xdr:colOff>
      <xdr:row>57</xdr:row>
      <xdr:rowOff>38351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0E156F8-0508-45DB-B427-ACC79F681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87658" y="6434818"/>
          <a:ext cx="7560010" cy="43572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Q13"/>
  <sheetViews>
    <sheetView workbookViewId="0">
      <selection activeCell="B25" sqref="B25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bestFit="1" customWidth="1"/>
    <col min="7" max="7" width="12.625" customWidth="1"/>
    <col min="8" max="9" width="1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2" spans="1:17" ht="15">
      <c r="C2" s="425"/>
    </row>
    <row r="3" spans="1:17" ht="15">
      <c r="B3" s="465" t="s">
        <v>226</v>
      </c>
      <c r="C3" s="426" t="s">
        <v>493</v>
      </c>
      <c r="P3" s="466"/>
      <c r="Q3" s="467"/>
    </row>
    <row r="5" spans="1:17" s="441" customFormat="1" ht="16.5" customHeight="1"/>
    <row r="6" spans="1:17" s="441" customFormat="1" ht="16.5" customHeight="1">
      <c r="B6" s="558" t="s">
        <v>208</v>
      </c>
      <c r="C6" s="558"/>
      <c r="D6" s="558"/>
      <c r="E6" s="558"/>
      <c r="F6" s="559" t="s">
        <v>209</v>
      </c>
      <c r="G6" s="559"/>
      <c r="H6" s="559"/>
      <c r="I6" s="559"/>
      <c r="J6" s="560" t="s">
        <v>210</v>
      </c>
      <c r="K6" s="560"/>
      <c r="L6" s="560"/>
      <c r="M6" s="560"/>
      <c r="N6" s="561" t="s">
        <v>211</v>
      </c>
      <c r="O6" s="561"/>
      <c r="P6" s="561"/>
      <c r="Q6" s="561"/>
    </row>
    <row r="7" spans="1:17" s="441" customFormat="1" ht="16.5" customHeight="1">
      <c r="A7"/>
      <c r="B7" s="448" t="s">
        <v>201</v>
      </c>
      <c r="C7" s="448" t="s">
        <v>202</v>
      </c>
      <c r="D7" s="448" t="s">
        <v>203</v>
      </c>
      <c r="E7" s="448" t="s">
        <v>204</v>
      </c>
      <c r="F7" s="449" t="s">
        <v>201</v>
      </c>
      <c r="G7" s="449" t="s">
        <v>202</v>
      </c>
      <c r="H7" s="449" t="s">
        <v>203</v>
      </c>
      <c r="I7" s="449" t="s">
        <v>204</v>
      </c>
      <c r="J7" s="464" t="s">
        <v>201</v>
      </c>
      <c r="K7" s="464" t="s">
        <v>202</v>
      </c>
      <c r="L7" s="464" t="s">
        <v>203</v>
      </c>
      <c r="M7" s="464" t="s">
        <v>204</v>
      </c>
      <c r="N7" s="450" t="s">
        <v>201</v>
      </c>
      <c r="O7" s="450" t="s">
        <v>202</v>
      </c>
      <c r="P7" s="450" t="s">
        <v>203</v>
      </c>
      <c r="Q7" s="450" t="s">
        <v>204</v>
      </c>
    </row>
    <row r="8" spans="1:17" s="441" customFormat="1" ht="16.5" customHeight="1">
      <c r="A8" s="440" t="s">
        <v>207</v>
      </c>
      <c r="B8" s="451" t="e">
        <f>+B9-B10</f>
        <v>#REF!</v>
      </c>
      <c r="C8" s="451" t="e">
        <f t="shared" ref="C8:F8" si="0">+C9-C10</f>
        <v>#REF!</v>
      </c>
      <c r="D8" s="451" t="e">
        <f t="shared" si="0"/>
        <v>#REF!</v>
      </c>
      <c r="E8" s="451" t="e">
        <f t="shared" si="0"/>
        <v>#REF!</v>
      </c>
      <c r="F8" s="451" t="e">
        <f t="shared" si="0"/>
        <v>#REF!</v>
      </c>
      <c r="G8" s="451" t="e">
        <f t="shared" ref="G8" si="1">+G9-G10</f>
        <v>#REF!</v>
      </c>
      <c r="H8" s="451" t="e">
        <f t="shared" ref="H8" si="2">+H9-H10</f>
        <v>#REF!</v>
      </c>
      <c r="I8" s="451" t="e">
        <f t="shared" ref="I8:J8" si="3">+I9-I10</f>
        <v>#REF!</v>
      </c>
      <c r="J8" s="460" t="e">
        <f t="shared" si="3"/>
        <v>#REF!</v>
      </c>
      <c r="K8" s="460" t="e">
        <f t="shared" ref="K8" si="4">+K9-K10</f>
        <v>#REF!</v>
      </c>
      <c r="L8" s="460" t="e">
        <f t="shared" ref="L8" si="5">+L9-L10</f>
        <v>#REF!</v>
      </c>
      <c r="M8" s="460" t="e">
        <f t="shared" ref="M8:N8" si="6">+M9-M10</f>
        <v>#REF!</v>
      </c>
      <c r="N8" s="451" t="e">
        <f t="shared" si="6"/>
        <v>#REF!</v>
      </c>
      <c r="O8" s="451" t="e">
        <f t="shared" ref="O8" si="7">+O9-O10</f>
        <v>#REF!</v>
      </c>
      <c r="P8" s="451" t="e">
        <f t="shared" ref="P8" si="8">+P9-P10</f>
        <v>#REF!</v>
      </c>
      <c r="Q8" s="451" t="e">
        <f t="shared" ref="Q8" si="9">+Q9-Q10</f>
        <v>#REF!</v>
      </c>
    </row>
    <row r="9" spans="1:17" s="441" customFormat="1" ht="16.5" customHeight="1">
      <c r="A9" s="442" t="s">
        <v>205</v>
      </c>
      <c r="B9" s="444">
        <f>+Conso!$Z$405</f>
        <v>15410875.542542912</v>
      </c>
      <c r="C9" s="444">
        <f>+Conso!$Z$406</f>
        <v>1937855.6384335039</v>
      </c>
      <c r="D9" s="444">
        <f>+Conso!$Z$482</f>
        <v>599108.27722874843</v>
      </c>
      <c r="E9" s="444">
        <f>+Conso!$Z$497</f>
        <v>575436.79722874844</v>
      </c>
      <c r="F9" s="444">
        <f>+Conso!$AC$405</f>
        <v>15410875.542542912</v>
      </c>
      <c r="G9" s="444">
        <f>+Conso!$AC$406</f>
        <v>1937855.6384335039</v>
      </c>
      <c r="H9" s="444">
        <f>+Conso!$AC$482</f>
        <v>599108.27722874866</v>
      </c>
      <c r="I9" s="444">
        <f>+Conso!$AC$497</f>
        <v>575436.79722874868</v>
      </c>
      <c r="J9" s="444">
        <f>+Conso!$AF$405</f>
        <v>16244538.08</v>
      </c>
      <c r="K9" s="444">
        <f>+Conso!$AF$406</f>
        <v>2131721.5399999996</v>
      </c>
      <c r="L9" s="444">
        <f>+Conso!$AF$482</f>
        <v>790555.33999999939</v>
      </c>
      <c r="M9" s="444">
        <f>+Conso!$AF$497</f>
        <v>776331.46999999939</v>
      </c>
      <c r="N9" s="444">
        <f>+Conso!$AL$405</f>
        <v>16217056.989999996</v>
      </c>
      <c r="O9" s="444">
        <f>+Conso!$AL$406</f>
        <v>1882405.73</v>
      </c>
      <c r="P9" s="444">
        <f>+Conso!$AL$482</f>
        <v>621516.25</v>
      </c>
      <c r="Q9" s="444">
        <f>+Conso!$AL$497</f>
        <v>605825.37</v>
      </c>
    </row>
    <row r="10" spans="1:17" s="441" customFormat="1" ht="16.5" customHeight="1">
      <c r="A10" s="443" t="s">
        <v>206</v>
      </c>
      <c r="B10" s="459" t="e">
        <f t="shared" ref="B10:Q10" si="10">+SUM(B11:B13)</f>
        <v>#REF!</v>
      </c>
      <c r="C10" s="459" t="e">
        <f t="shared" si="10"/>
        <v>#REF!</v>
      </c>
      <c r="D10" s="459" t="e">
        <f t="shared" si="10"/>
        <v>#REF!</v>
      </c>
      <c r="E10" s="459" t="e">
        <f t="shared" si="10"/>
        <v>#REF!</v>
      </c>
      <c r="F10" s="459" t="e">
        <f t="shared" si="10"/>
        <v>#REF!</v>
      </c>
      <c r="G10" s="459" t="e">
        <f t="shared" si="10"/>
        <v>#REF!</v>
      </c>
      <c r="H10" s="459" t="e">
        <f t="shared" si="10"/>
        <v>#REF!</v>
      </c>
      <c r="I10" s="459" t="e">
        <f t="shared" si="10"/>
        <v>#REF!</v>
      </c>
      <c r="J10" s="459" t="e">
        <f t="shared" si="10"/>
        <v>#REF!</v>
      </c>
      <c r="K10" s="459" t="e">
        <f t="shared" si="10"/>
        <v>#REF!</v>
      </c>
      <c r="L10" s="459" t="e">
        <f t="shared" si="10"/>
        <v>#REF!</v>
      </c>
      <c r="M10" s="459" t="e">
        <f t="shared" si="10"/>
        <v>#REF!</v>
      </c>
      <c r="N10" s="459" t="e">
        <f t="shared" si="10"/>
        <v>#REF!</v>
      </c>
      <c r="O10" s="459" t="e">
        <f t="shared" si="10"/>
        <v>#REF!</v>
      </c>
      <c r="P10" s="459" t="e">
        <f t="shared" si="10"/>
        <v>#REF!</v>
      </c>
      <c r="Q10" s="459" t="e">
        <f t="shared" si="10"/>
        <v>#REF!</v>
      </c>
    </row>
    <row r="11" spans="1:17" s="441" customFormat="1" ht="16.5" customHeight="1">
      <c r="A11" s="453" t="s">
        <v>219</v>
      </c>
      <c r="B11" s="445" t="e">
        <f>+#REF!</f>
        <v>#REF!</v>
      </c>
      <c r="C11" s="445" t="e">
        <f>+#REF!</f>
        <v>#REF!</v>
      </c>
      <c r="D11" s="445" t="e">
        <f>+#REF!</f>
        <v>#REF!</v>
      </c>
      <c r="E11" s="445" t="e">
        <f>+#REF!</f>
        <v>#REF!</v>
      </c>
      <c r="F11" s="445" t="e">
        <f>+#REF!</f>
        <v>#REF!</v>
      </c>
      <c r="G11" s="445" t="e">
        <f>+#REF!</f>
        <v>#REF!</v>
      </c>
      <c r="H11" s="445" t="e">
        <f>+#REF!</f>
        <v>#REF!</v>
      </c>
      <c r="I11" s="445" t="e">
        <f>+#REF!</f>
        <v>#REF!</v>
      </c>
      <c r="J11" s="461" t="e">
        <f>+#REF!</f>
        <v>#REF!</v>
      </c>
      <c r="K11" s="461" t="e">
        <f>+#REF!</f>
        <v>#REF!</v>
      </c>
      <c r="L11" s="461" t="e">
        <f>+#REF!</f>
        <v>#REF!</v>
      </c>
      <c r="M11" s="461" t="e">
        <f>+#REF!</f>
        <v>#REF!</v>
      </c>
      <c r="N11" s="445" t="e">
        <f>+#REF!</f>
        <v>#REF!</v>
      </c>
      <c r="O11" s="445" t="e">
        <f>+#REF!</f>
        <v>#REF!</v>
      </c>
      <c r="P11" s="445" t="e">
        <f>+#REF!</f>
        <v>#REF!</v>
      </c>
      <c r="Q11" s="445" t="e">
        <f>+#REF!</f>
        <v>#REF!</v>
      </c>
    </row>
    <row r="12" spans="1:17" s="441" customFormat="1" ht="16.5" customHeight="1">
      <c r="A12" s="454" t="s">
        <v>220</v>
      </c>
      <c r="B12" s="446" t="e">
        <f>+#REF!</f>
        <v>#REF!</v>
      </c>
      <c r="C12" s="446" t="e">
        <f>+#REF!</f>
        <v>#REF!</v>
      </c>
      <c r="D12" s="446" t="e">
        <f>+#REF!</f>
        <v>#REF!</v>
      </c>
      <c r="E12" s="446" t="e">
        <f>+#REF!</f>
        <v>#REF!</v>
      </c>
      <c r="F12" s="446" t="e">
        <f>+#REF!</f>
        <v>#REF!</v>
      </c>
      <c r="G12" s="446" t="e">
        <f>+#REF!</f>
        <v>#REF!</v>
      </c>
      <c r="H12" s="446" t="e">
        <f>+#REF!</f>
        <v>#REF!</v>
      </c>
      <c r="I12" s="446" t="e">
        <f>+#REF!</f>
        <v>#REF!</v>
      </c>
      <c r="J12" s="462" t="e">
        <f>+#REF!</f>
        <v>#REF!</v>
      </c>
      <c r="K12" s="462" t="e">
        <f>+#REF!</f>
        <v>#REF!</v>
      </c>
      <c r="L12" s="462" t="e">
        <f>+#REF!</f>
        <v>#REF!</v>
      </c>
      <c r="M12" s="462" t="e">
        <f>+#REF!</f>
        <v>#REF!</v>
      </c>
      <c r="N12" s="446" t="e">
        <f>+#REF!</f>
        <v>#REF!</v>
      </c>
      <c r="O12" s="446" t="e">
        <f>+#REF!</f>
        <v>#REF!</v>
      </c>
      <c r="P12" s="446" t="e">
        <f>+#REF!</f>
        <v>#REF!</v>
      </c>
      <c r="Q12" s="446" t="e">
        <f>+#REF!</f>
        <v>#REF!</v>
      </c>
    </row>
    <row r="13" spans="1:17">
      <c r="A13" s="455" t="s">
        <v>221</v>
      </c>
      <c r="B13" s="447" t="e">
        <f>+#REF!</f>
        <v>#REF!</v>
      </c>
      <c r="C13" s="447" t="e">
        <f>+#REF!</f>
        <v>#REF!</v>
      </c>
      <c r="D13" s="447" t="e">
        <f>+#REF!</f>
        <v>#REF!</v>
      </c>
      <c r="E13" s="447" t="e">
        <f>+#REF!</f>
        <v>#REF!</v>
      </c>
      <c r="F13" s="447" t="e">
        <f>+#REF!</f>
        <v>#REF!</v>
      </c>
      <c r="G13" s="447" t="e">
        <f>+#REF!</f>
        <v>#REF!</v>
      </c>
      <c r="H13" s="447" t="e">
        <f>+#REF!</f>
        <v>#REF!</v>
      </c>
      <c r="I13" s="447" t="e">
        <f>+#REF!</f>
        <v>#REF!</v>
      </c>
      <c r="J13" s="463" t="e">
        <f>+#REF!</f>
        <v>#REF!</v>
      </c>
      <c r="K13" s="463" t="e">
        <f>+#REF!</f>
        <v>#REF!</v>
      </c>
      <c r="L13" s="463" t="e">
        <f>+#REF!</f>
        <v>#REF!</v>
      </c>
      <c r="M13" s="463" t="e">
        <f>+#REF!</f>
        <v>#REF!</v>
      </c>
      <c r="N13" s="447" t="e">
        <f>+#REF!</f>
        <v>#REF!</v>
      </c>
      <c r="O13" s="447" t="e">
        <f>+#REF!</f>
        <v>#REF!</v>
      </c>
      <c r="P13" s="447" t="e">
        <f>+#REF!</f>
        <v>#REF!</v>
      </c>
      <c r="Q13" s="447" t="e">
        <f>+#REF!</f>
        <v>#REF!</v>
      </c>
    </row>
  </sheetData>
  <mergeCells count="4">
    <mergeCell ref="B6:E6"/>
    <mergeCell ref="F6:I6"/>
    <mergeCell ref="J6:M6"/>
    <mergeCell ref="N6:Q6"/>
  </mergeCells>
  <phoneticPr fontId="39" type="noConversion"/>
  <dataValidations count="1">
    <dataValidation type="list" allowBlank="1" showInputMessage="1" showErrorMessage="1" sqref="C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pageSetUpPr fitToPage="1"/>
  </sheetPr>
  <dimension ref="A1:BJ697"/>
  <sheetViews>
    <sheetView tabSelected="1" topLeftCell="C290" zoomScale="70" zoomScaleNormal="70" workbookViewId="0">
      <pane xSplit="1" topLeftCell="D1" activePane="topRight" state="frozen"/>
      <selection activeCell="C1" sqref="C1"/>
      <selection pane="topRight" activeCell="G288" sqref="G288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40" ht="35.25">
      <c r="B1" s="1"/>
      <c r="C1" s="1" t="s">
        <v>195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472"/>
      <c r="Q1" s="473"/>
      <c r="R1" s="472"/>
      <c r="S1" s="474" t="str">
        <f>CONCATENATE("Réalisé"," ",Paramètre!$C$2," ",Paramètre!$C$3)</f>
        <v>Réalisé  Volks T3 2022</v>
      </c>
      <c r="T1" s="2" t="s">
        <v>1</v>
      </c>
      <c r="U1" s="6"/>
      <c r="V1" s="458" t="s">
        <v>208</v>
      </c>
      <c r="W1" s="458" t="s">
        <v>212</v>
      </c>
      <c r="X1" s="458" t="s">
        <v>210</v>
      </c>
      <c r="Y1" s="458" t="s">
        <v>213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" thickTop="1">
      <c r="B3" s="12"/>
      <c r="C3" s="13"/>
      <c r="D3" s="564" t="s">
        <v>5</v>
      </c>
      <c r="E3" s="565"/>
      <c r="F3" s="566"/>
      <c r="G3" s="562" t="s">
        <v>6</v>
      </c>
      <c r="H3" s="565"/>
      <c r="I3" s="566"/>
      <c r="J3" s="562" t="s">
        <v>7</v>
      </c>
      <c r="K3" s="565"/>
      <c r="L3" s="566"/>
      <c r="M3" s="562" t="s">
        <v>8</v>
      </c>
      <c r="N3" s="566"/>
      <c r="O3" s="564" t="s">
        <v>9</v>
      </c>
      <c r="P3" s="565"/>
      <c r="Q3" s="566"/>
      <c r="R3" s="562" t="s">
        <v>10</v>
      </c>
      <c r="S3" s="563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57">
        <f>+SUM(V5:V398)</f>
        <v>0</v>
      </c>
      <c r="W4" s="457">
        <f>+SUM(W5:W398)</f>
        <v>0</v>
      </c>
      <c r="X4" s="456">
        <f t="shared" ref="X4:Y4" si="0">+SUM(X5:X398)</f>
        <v>0</v>
      </c>
      <c r="Y4" s="456">
        <f t="shared" si="0"/>
        <v>0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1">+$K$1</f>
        <v>Véhicules neufs</v>
      </c>
      <c r="C5" s="21" t="s">
        <v>16</v>
      </c>
      <c r="D5" s="22"/>
      <c r="E5" s="22"/>
      <c r="F5" s="23">
        <f>+SUM(START:END!F5)</f>
        <v>9485067.1882679686</v>
      </c>
      <c r="G5" s="24"/>
      <c r="H5" s="22"/>
      <c r="I5" s="23">
        <f>+SUM(START:END!I5)</f>
        <v>9485067.1882679686</v>
      </c>
      <c r="J5" s="24"/>
      <c r="K5" s="26"/>
      <c r="L5" s="23">
        <f>+SUM(START:END!L5)</f>
        <v>8779737.5199999996</v>
      </c>
      <c r="M5" s="27"/>
      <c r="N5" s="28"/>
      <c r="O5" s="24"/>
      <c r="P5" s="26"/>
      <c r="Q5" s="23">
        <f>+SUM(START:END!Q5)</f>
        <v>9633112.6499999985</v>
      </c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2">+B6&amp;C6</f>
        <v>Véhicules neufsAutos détail</v>
      </c>
      <c r="B6" s="12" t="str">
        <f t="shared" si="1"/>
        <v>Véhicules neufs</v>
      </c>
      <c r="C6" s="30" t="s">
        <v>17</v>
      </c>
      <c r="D6" s="31">
        <f>+SUM(START:END!D6)</f>
        <v>48.375903614457833</v>
      </c>
      <c r="E6" s="31">
        <f>IF(D6=0,0,F6/D6)</f>
        <v>1450.6297619047618</v>
      </c>
      <c r="F6" s="31">
        <f>+SUM(START:END!F6)</f>
        <v>70175.525542168674</v>
      </c>
      <c r="G6" s="32">
        <f>+SUM(START:END!G6)</f>
        <v>48.375903614457833</v>
      </c>
      <c r="H6" s="31">
        <f>IF(G6=0,0,I6/G6)</f>
        <v>1450.6297619047618</v>
      </c>
      <c r="I6" s="31">
        <f>+SUM(START:END!I6)</f>
        <v>70175.525542168674</v>
      </c>
      <c r="J6" s="32">
        <f>+SUM(START:END!J6)</f>
        <v>50</v>
      </c>
      <c r="K6" s="31">
        <f>IF(J6=0,0,L6/J6)</f>
        <v>2395.0896000000007</v>
      </c>
      <c r="L6" s="33">
        <f>+SUM(START:END!L6)</f>
        <v>119754.48000000004</v>
      </c>
      <c r="M6" s="32">
        <f t="shared" ref="M6:M12" si="3">J6-G6</f>
        <v>1.6240963855421668</v>
      </c>
      <c r="N6" s="34">
        <f>L6-I6</f>
        <v>49578.954457831365</v>
      </c>
      <c r="O6" s="32">
        <f>+SUM(START:END!O6)</f>
        <v>83</v>
      </c>
      <c r="P6" s="31">
        <f>IF(O6=0,0,Q6/O6)</f>
        <v>1209.0878313253013</v>
      </c>
      <c r="Q6" s="33">
        <f>+SUM(START:END!Q6)</f>
        <v>100354.29000000001</v>
      </c>
      <c r="R6" s="32">
        <f t="shared" ref="R6:R12" si="4">J6-O6</f>
        <v>-33</v>
      </c>
      <c r="S6" s="35">
        <f t="shared" ref="S6:S12" si="5">L6-Q6</f>
        <v>19400.190000000031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2"/>
        <v>Véhicules neufsCamions détail</v>
      </c>
      <c r="B7" s="12" t="str">
        <f t="shared" si="1"/>
        <v>Véhicules neufs</v>
      </c>
      <c r="C7" s="30" t="s">
        <v>18</v>
      </c>
      <c r="D7" s="31">
        <f>+SUM(START:END!D7)</f>
        <v>167.01204819277109</v>
      </c>
      <c r="E7" s="31">
        <f t="shared" ref="E7:E12" si="6">IF(D7=0,0,F7/D7)</f>
        <v>2081.8275862068963</v>
      </c>
      <c r="F7" s="31">
        <f>+SUM(START:END!F7)</f>
        <v>347690.2891566265</v>
      </c>
      <c r="G7" s="32">
        <f>+SUM(START:END!G7)</f>
        <v>167.01204819277109</v>
      </c>
      <c r="H7" s="31">
        <f t="shared" ref="H7:H12" si="7">IF(G7=0,0,I7/G7)</f>
        <v>2081.8275862068963</v>
      </c>
      <c r="I7" s="31">
        <f>+SUM(START:END!I7)</f>
        <v>347690.2891566265</v>
      </c>
      <c r="J7" s="32">
        <f>+SUM(START:END!J7)</f>
        <v>120</v>
      </c>
      <c r="K7" s="31">
        <f t="shared" ref="K7:K12" si="8">IF(J7=0,0,L7/J7)</f>
        <v>2998.470749999995</v>
      </c>
      <c r="L7" s="33">
        <f>+SUM(START:END!L7)</f>
        <v>359816.48999999941</v>
      </c>
      <c r="M7" s="32">
        <f t="shared" si="3"/>
        <v>-47.01204819277109</v>
      </c>
      <c r="N7" s="34">
        <f t="shared" ref="N7:N12" si="9">L7-I7</f>
        <v>12126.200843372906</v>
      </c>
      <c r="O7" s="32">
        <f>+SUM(START:END!O7)</f>
        <v>125</v>
      </c>
      <c r="P7" s="31">
        <f t="shared" ref="P7:P12" si="10">IF(O7=0,0,Q7/O7)</f>
        <v>2271.0883199999985</v>
      </c>
      <c r="Q7" s="33">
        <f>+SUM(START:END!Q7)</f>
        <v>283886.0399999998</v>
      </c>
      <c r="R7" s="32">
        <f t="shared" si="4"/>
        <v>-5</v>
      </c>
      <c r="S7" s="35">
        <f t="shared" si="5"/>
        <v>75930.449999999604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2"/>
        <v>Véhicules neufsSprinter</v>
      </c>
      <c r="B8" s="12" t="str">
        <f t="shared" si="1"/>
        <v>Véhicules neufs</v>
      </c>
      <c r="C8" s="30" t="s">
        <v>19</v>
      </c>
      <c r="D8" s="31">
        <f>+SUM(START:END!D8)</f>
        <v>0</v>
      </c>
      <c r="E8" s="31">
        <f t="shared" si="6"/>
        <v>0</v>
      </c>
      <c r="F8" s="31">
        <f>+SUM(START:END!F8)</f>
        <v>0</v>
      </c>
      <c r="G8" s="32">
        <f>+SUM(START:END!G8)</f>
        <v>0</v>
      </c>
      <c r="H8" s="31">
        <f t="shared" si="7"/>
        <v>0</v>
      </c>
      <c r="I8" s="31">
        <f>+SUM(START:END!I8)</f>
        <v>0</v>
      </c>
      <c r="J8" s="32">
        <f>+SUM(START:END!J8)</f>
        <v>0</v>
      </c>
      <c r="K8" s="31">
        <f t="shared" si="8"/>
        <v>0</v>
      </c>
      <c r="L8" s="33">
        <f>+SUM(START:END!L8)</f>
        <v>0</v>
      </c>
      <c r="M8" s="32">
        <f t="shared" si="3"/>
        <v>0</v>
      </c>
      <c r="N8" s="34">
        <f t="shared" si="9"/>
        <v>0</v>
      </c>
      <c r="O8" s="32">
        <f>+SUM(START:END!O8)</f>
        <v>0</v>
      </c>
      <c r="P8" s="31">
        <f t="shared" si="10"/>
        <v>0</v>
      </c>
      <c r="Q8" s="33">
        <f>+SUM(START:END!Q8)</f>
        <v>0</v>
      </c>
      <c r="R8" s="32">
        <f t="shared" si="4"/>
        <v>0</v>
      </c>
      <c r="S8" s="35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2"/>
        <v>Véhicules neufsMoto détail</v>
      </c>
      <c r="B9" s="12" t="str">
        <f t="shared" si="1"/>
        <v>Véhicules neufs</v>
      </c>
      <c r="C9" s="30" t="s">
        <v>20</v>
      </c>
      <c r="D9" s="31">
        <f>+SUM(START:END!D9)</f>
        <v>0</v>
      </c>
      <c r="E9" s="31">
        <f t="shared" si="6"/>
        <v>0</v>
      </c>
      <c r="F9" s="31">
        <f>+SUM(START:END!F9)</f>
        <v>0</v>
      </c>
      <c r="G9" s="32">
        <f>+SUM(START:END!G9)</f>
        <v>0</v>
      </c>
      <c r="H9" s="31">
        <f t="shared" si="7"/>
        <v>0</v>
      </c>
      <c r="I9" s="31">
        <f>+SUM(START:END!I9)</f>
        <v>0</v>
      </c>
      <c r="J9" s="32">
        <f>+SUM(START:END!J9)</f>
        <v>0</v>
      </c>
      <c r="K9" s="31">
        <f t="shared" si="8"/>
        <v>0</v>
      </c>
      <c r="L9" s="33">
        <f>+SUM(START:END!L9)</f>
        <v>0</v>
      </c>
      <c r="M9" s="32">
        <f t="shared" si="3"/>
        <v>0</v>
      </c>
      <c r="N9" s="34">
        <f t="shared" si="9"/>
        <v>0</v>
      </c>
      <c r="O9" s="32">
        <f>+SUM(START:END!O9)</f>
        <v>0</v>
      </c>
      <c r="P9" s="31">
        <f t="shared" si="10"/>
        <v>0</v>
      </c>
      <c r="Q9" s="33">
        <f>+SUM(START:END!Q9)</f>
        <v>0</v>
      </c>
      <c r="R9" s="32">
        <f t="shared" si="4"/>
        <v>0</v>
      </c>
      <c r="S9" s="35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>
      <c r="A10" t="str">
        <f t="shared" si="2"/>
        <v>Véhicules neufs[...]</v>
      </c>
      <c r="B10" s="12" t="str">
        <f t="shared" si="1"/>
        <v>Véhicules neufs</v>
      </c>
      <c r="C10" s="30" t="s">
        <v>21</v>
      </c>
      <c r="D10" s="31">
        <f>+SUM(START:END!D10)</f>
        <v>0</v>
      </c>
      <c r="E10" s="31">
        <f t="shared" si="6"/>
        <v>0</v>
      </c>
      <c r="F10" s="31">
        <f>+SUM(START:END!F10)</f>
        <v>0</v>
      </c>
      <c r="G10" s="32">
        <f>+SUM(START:END!G10)</f>
        <v>0</v>
      </c>
      <c r="H10" s="31">
        <f t="shared" si="7"/>
        <v>0</v>
      </c>
      <c r="I10" s="31">
        <f>+SUM(START:END!I10)</f>
        <v>0</v>
      </c>
      <c r="J10" s="32">
        <f>+SUM(START:END!J10)</f>
        <v>0</v>
      </c>
      <c r="K10" s="31">
        <f t="shared" si="8"/>
        <v>0</v>
      </c>
      <c r="L10" s="33">
        <f>+SUM(START:END!L10)</f>
        <v>0</v>
      </c>
      <c r="M10" s="32">
        <f t="shared" si="3"/>
        <v>0</v>
      </c>
      <c r="N10" s="34">
        <f t="shared" si="9"/>
        <v>0</v>
      </c>
      <c r="O10" s="32">
        <f>+SUM(START:END!O10)</f>
        <v>0</v>
      </c>
      <c r="P10" s="31">
        <f t="shared" si="10"/>
        <v>0</v>
      </c>
      <c r="Q10" s="33">
        <f>+SUM(START:END!Q10)</f>
        <v>0</v>
      </c>
      <c r="R10" s="32">
        <f t="shared" si="4"/>
        <v>0</v>
      </c>
      <c r="S10" s="35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>
      <c r="A11" t="str">
        <f t="shared" si="2"/>
        <v>Véhicules neufs[...]</v>
      </c>
      <c r="B11" s="12" t="str">
        <f t="shared" si="1"/>
        <v>Véhicules neufs</v>
      </c>
      <c r="C11" s="30" t="s">
        <v>21</v>
      </c>
      <c r="D11" s="31">
        <f>+SUM(START:END!D11)</f>
        <v>0</v>
      </c>
      <c r="E11" s="31">
        <f t="shared" si="6"/>
        <v>0</v>
      </c>
      <c r="F11" s="31">
        <f>+SUM(START:END!F11)</f>
        <v>0</v>
      </c>
      <c r="G11" s="32">
        <f>+SUM(START:END!G11)</f>
        <v>0</v>
      </c>
      <c r="H11" s="31">
        <f t="shared" si="7"/>
        <v>0</v>
      </c>
      <c r="I11" s="31">
        <f>+SUM(START:END!I11)</f>
        <v>0</v>
      </c>
      <c r="J11" s="32">
        <f>+SUM(START:END!J11)</f>
        <v>0</v>
      </c>
      <c r="K11" s="31">
        <f t="shared" si="8"/>
        <v>0</v>
      </c>
      <c r="L11" s="33">
        <f>+SUM(START:END!L11)</f>
        <v>0</v>
      </c>
      <c r="M11" s="32">
        <f t="shared" si="3"/>
        <v>0</v>
      </c>
      <c r="N11" s="34">
        <f t="shared" si="9"/>
        <v>0</v>
      </c>
      <c r="O11" s="32">
        <f>+SUM(START:END!O11)</f>
        <v>0</v>
      </c>
      <c r="P11" s="31">
        <f t="shared" si="10"/>
        <v>0</v>
      </c>
      <c r="Q11" s="33">
        <f>+SUM(START:END!Q11)</f>
        <v>0</v>
      </c>
      <c r="R11" s="32">
        <f t="shared" si="4"/>
        <v>0</v>
      </c>
      <c r="S11" s="35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>
      <c r="A12" t="str">
        <f t="shared" si="2"/>
        <v>Véhicules neufs[...]</v>
      </c>
      <c r="B12" s="12" t="str">
        <f t="shared" si="1"/>
        <v>Véhicules neufs</v>
      </c>
      <c r="C12" s="30" t="s">
        <v>21</v>
      </c>
      <c r="D12" s="31">
        <f>+SUM(START:END!D12)</f>
        <v>0</v>
      </c>
      <c r="E12" s="31">
        <f t="shared" si="6"/>
        <v>0</v>
      </c>
      <c r="F12" s="31">
        <f>+SUM(START:END!F12)</f>
        <v>0</v>
      </c>
      <c r="G12" s="32">
        <f>+SUM(START:END!G12)</f>
        <v>0</v>
      </c>
      <c r="H12" s="31">
        <f t="shared" si="7"/>
        <v>0</v>
      </c>
      <c r="I12" s="31">
        <f>+SUM(START:END!I12)</f>
        <v>0</v>
      </c>
      <c r="J12" s="32">
        <f>+SUM(START:END!J12)</f>
        <v>0</v>
      </c>
      <c r="K12" s="31">
        <f t="shared" si="8"/>
        <v>0</v>
      </c>
      <c r="L12" s="33">
        <f>+SUM(START:END!L12)</f>
        <v>0</v>
      </c>
      <c r="M12" s="32">
        <f t="shared" si="3"/>
        <v>0</v>
      </c>
      <c r="N12" s="34">
        <f t="shared" si="9"/>
        <v>0</v>
      </c>
      <c r="O12" s="32">
        <f>+SUM(START:END!O12)</f>
        <v>0</v>
      </c>
      <c r="P12" s="31">
        <f t="shared" si="10"/>
        <v>0</v>
      </c>
      <c r="Q12" s="33">
        <f>+SUM(START:END!Q12)</f>
        <v>0</v>
      </c>
      <c r="R12" s="32">
        <f t="shared" si="4"/>
        <v>0</v>
      </c>
      <c r="S12" s="35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2"/>
        <v>Véhicules neufsTotal Neufs</v>
      </c>
      <c r="B13" s="12" t="str">
        <f t="shared" si="1"/>
        <v>Véhicules neufs</v>
      </c>
      <c r="C13" s="36" t="s">
        <v>22</v>
      </c>
      <c r="D13" s="37">
        <f>+SUM(D6:D12)</f>
        <v>215.38795180722892</v>
      </c>
      <c r="E13" s="37">
        <f>IF(D13&lt;=0,0,F13/D13)</f>
        <v>1940.0612299465242</v>
      </c>
      <c r="F13" s="38">
        <f>+SUM(F6:F12)</f>
        <v>417865.81469879521</v>
      </c>
      <c r="G13" s="39">
        <f>+SUM(G6:G12)</f>
        <v>215.38795180722892</v>
      </c>
      <c r="H13" s="37">
        <f>IF(G13&lt;=0,0,I13/G13)</f>
        <v>1940.0612299465242</v>
      </c>
      <c r="I13" s="38">
        <f>+SUM(I6:I12)</f>
        <v>417865.81469879521</v>
      </c>
      <c r="J13" s="39">
        <f>+SUM(J6:J12)</f>
        <v>170</v>
      </c>
      <c r="K13" s="37">
        <f>IF(J13&lt;=0,0,L13/J13)</f>
        <v>2821.0057058823495</v>
      </c>
      <c r="L13" s="38">
        <f>+SUM(L6:L12)</f>
        <v>479570.96999999945</v>
      </c>
      <c r="M13" s="39">
        <f>+SUM(M6:M12)</f>
        <v>-45.387951807228923</v>
      </c>
      <c r="N13" s="38">
        <f>+SUM(N6:N12)</f>
        <v>61705.155301204271</v>
      </c>
      <c r="O13" s="39">
        <f>+SUM(O6:O12)</f>
        <v>208</v>
      </c>
      <c r="P13" s="37">
        <f>IF(O13&lt;=0,0,Q13/O13)</f>
        <v>1847.3092788461531</v>
      </c>
      <c r="Q13" s="38">
        <f>+SUM(Q6:Q12)</f>
        <v>384240.32999999984</v>
      </c>
      <c r="R13" s="39">
        <f>+SUM(R6:R12)</f>
        <v>-38</v>
      </c>
      <c r="S13" s="40">
        <f>+SUM(S6:S12)</f>
        <v>95330.639999999636</v>
      </c>
      <c r="T13" s="14"/>
      <c r="U13" s="14"/>
      <c r="V13" s="31">
        <f>+SUM(START:END!D13)-D13</f>
        <v>0</v>
      </c>
      <c r="W13" s="31">
        <f>+SUM(START:END!G13)-G13</f>
        <v>0</v>
      </c>
      <c r="X13" s="31">
        <f>+SUM(START:END!J13)-J13</f>
        <v>0</v>
      </c>
      <c r="Y13" s="31">
        <f>+SUM(START:END!O13)-O13</f>
        <v>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2"/>
        <v>Véhicules neufs</v>
      </c>
      <c r="B14" s="12" t="str">
        <f t="shared" si="1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-0.21072651198174214</v>
      </c>
      <c r="N14" s="44">
        <f>IF(I13=0,0,N13/I13)</f>
        <v>0.14766739257118316</v>
      </c>
      <c r="O14" s="42"/>
      <c r="P14" s="31"/>
      <c r="Q14" s="41"/>
      <c r="R14" s="43">
        <f>R13/O13</f>
        <v>-0.18269230769230768</v>
      </c>
      <c r="S14" s="45">
        <f>IF(Q13=0,0,(S13/Q13))</f>
        <v>0.24810159828875766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2"/>
        <v>Véhicules neufsEx-Démos et courtoisies</v>
      </c>
      <c r="B15" s="12" t="str">
        <f t="shared" si="1"/>
        <v>Véhicules neufs</v>
      </c>
      <c r="C15" s="46" t="s">
        <v>23</v>
      </c>
      <c r="D15" s="26">
        <f>+SUM(START:END!D15)</f>
        <v>20.156626506024097</v>
      </c>
      <c r="E15" s="26">
        <f t="shared" ref="E15" si="11">IF(D15=0,0,F15/D15)</f>
        <v>1386.1016187312014</v>
      </c>
      <c r="F15" s="23">
        <f>+SUM(START:END!F15)</f>
        <v>27939.132628160238</v>
      </c>
      <c r="G15" s="47">
        <f>+SUM(START:END!G15)</f>
        <v>20.156626506024097</v>
      </c>
      <c r="H15" s="48">
        <f t="shared" ref="H15" si="12">IF(G15=0,0,I15/G15)</f>
        <v>1386.1016187312014</v>
      </c>
      <c r="I15" s="49">
        <f>+SUM(START:END!I15)</f>
        <v>27939.132628160238</v>
      </c>
      <c r="J15" s="50">
        <f>+SUM(START:END!J15)</f>
        <v>6</v>
      </c>
      <c r="K15" s="51">
        <f>IF(J15=0,0,L15/J15)</f>
        <v>3041.8483333333338</v>
      </c>
      <c r="L15" s="51">
        <f>+SUM(START:END!L15)</f>
        <v>18251.090000000004</v>
      </c>
      <c r="M15" s="52">
        <f>J15-G15</f>
        <v>-14.156626506024097</v>
      </c>
      <c r="N15" s="49">
        <f>L15-I15</f>
        <v>-9688.042628160234</v>
      </c>
      <c r="O15" s="50">
        <f>+SUM(START:END!O15)</f>
        <v>27</v>
      </c>
      <c r="P15" s="51">
        <f>IF(O15=0,0,Q15/O15)</f>
        <v>1456.8074074074091</v>
      </c>
      <c r="Q15" s="51">
        <f>+SUM(START:END!Q15)</f>
        <v>39333.800000000047</v>
      </c>
      <c r="R15" s="52">
        <f>J15-O15</f>
        <v>-21</v>
      </c>
      <c r="S15" s="53">
        <f>L15-Q15</f>
        <v>-21082.710000000043</v>
      </c>
      <c r="T15" s="14"/>
      <c r="U15" s="14"/>
      <c r="V15" s="31">
        <f>+SUM(START:END!D15)-D15</f>
        <v>0</v>
      </c>
      <c r="W15" s="31">
        <f>+SUM(START:END!G15)-G15</f>
        <v>0</v>
      </c>
      <c r="X15" s="31">
        <f>+SUM(START:END!J15)-J15</f>
        <v>0</v>
      </c>
      <c r="Y15" s="31">
        <f>+SUM(START:END!O15)-O15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2"/>
        <v>Véhicules neufs</v>
      </c>
      <c r="B16" s="12" t="str">
        <f t="shared" si="1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2"/>
        <v>Véhicules neufsFlottes</v>
      </c>
      <c r="B17" s="12" t="str">
        <f t="shared" si="1"/>
        <v>Véhicules neufs</v>
      </c>
      <c r="C17" s="54" t="s">
        <v>24</v>
      </c>
      <c r="D17" s="31">
        <f>+SUM(START:END!D17)</f>
        <v>3.6257901390644749</v>
      </c>
      <c r="E17" s="31">
        <f t="shared" ref="E17" si="13">IF(D17=0,0,F17/D17)</f>
        <v>1938.8731623598242</v>
      </c>
      <c r="F17" s="31">
        <f>+SUM(START:END!F17)</f>
        <v>7029.9471929810052</v>
      </c>
      <c r="G17" s="32">
        <f>+SUM(START:END!G17)</f>
        <v>3.6257901390644749</v>
      </c>
      <c r="H17" s="31">
        <f t="shared" ref="H17" si="14">IF(G17=0,0,I17/G17)</f>
        <v>1938.8731623598242</v>
      </c>
      <c r="I17" s="31">
        <f>+SUM(START:END!I17)</f>
        <v>7029.9471929810052</v>
      </c>
      <c r="J17" s="52">
        <f>+SUM(START:END!J17)</f>
        <v>9</v>
      </c>
      <c r="K17" s="31">
        <f>IF(J17=0,0,L17/J17)</f>
        <v>2185.0777777777757</v>
      </c>
      <c r="L17" s="34">
        <f>+SUM(START:END!L17)</f>
        <v>19665.699999999983</v>
      </c>
      <c r="M17" s="52">
        <f>J17-G17</f>
        <v>5.3742098609355251</v>
      </c>
      <c r="N17" s="34">
        <f>L17-I17</f>
        <v>12635.752807018976</v>
      </c>
      <c r="O17" s="52">
        <f>+SUM(START:END!O17)</f>
        <v>1</v>
      </c>
      <c r="P17" s="31">
        <f>IF(O17=0,0,Q17/O17)</f>
        <v>707.90000000000146</v>
      </c>
      <c r="Q17" s="34">
        <f>+SUM(START:END!Q17)</f>
        <v>707.90000000000146</v>
      </c>
      <c r="R17" s="32">
        <f>J17-O17</f>
        <v>8</v>
      </c>
      <c r="S17" s="35">
        <f>L17-Q17</f>
        <v>18957.799999999981</v>
      </c>
      <c r="T17" s="14"/>
      <c r="U17" s="14"/>
      <c r="V17" s="31">
        <f>+SUM(START:END!D17)-D17</f>
        <v>0</v>
      </c>
      <c r="W17" s="31">
        <f>+SUM(START:END!G17)-G17</f>
        <v>0</v>
      </c>
      <c r="X17" s="31">
        <f>+SUM(START:END!J17)-J17</f>
        <v>0</v>
      </c>
      <c r="Y17" s="31">
        <f>+SUM(START:END!O17)-O17</f>
        <v>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2"/>
        <v>Véhicules neufs</v>
      </c>
      <c r="B18" s="12" t="str">
        <f t="shared" si="1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2"/>
        <v>Véhicules neufsRachat bail</v>
      </c>
      <c r="B19" s="12" t="str">
        <f t="shared" si="1"/>
        <v>Véhicules neufs</v>
      </c>
      <c r="C19" s="46" t="s">
        <v>25</v>
      </c>
      <c r="D19" s="31"/>
      <c r="E19" s="31"/>
      <c r="F19" s="31">
        <f>+SUM(START:END!F19)</f>
        <v>16832.077919999996</v>
      </c>
      <c r="G19" s="32"/>
      <c r="H19" s="31"/>
      <c r="I19" s="31">
        <f>+SUM(START:END!I19)</f>
        <v>16832.077919999996</v>
      </c>
      <c r="J19" s="47"/>
      <c r="K19" s="31"/>
      <c r="L19" s="34">
        <f>+SUM(START:END!L19)</f>
        <v>47656.290000000037</v>
      </c>
      <c r="M19" s="32"/>
      <c r="N19" s="34">
        <f>L19-I19</f>
        <v>30824.212080000041</v>
      </c>
      <c r="O19" s="47"/>
      <c r="P19" s="31"/>
      <c r="Q19" s="34">
        <f>+SUM(START:END!Q19)</f>
        <v>19061.910000000003</v>
      </c>
      <c r="R19" s="32">
        <f>O19-K19</f>
        <v>0</v>
      </c>
      <c r="S19" s="35">
        <f>L19-Q19</f>
        <v>28594.380000000034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2"/>
        <v>Véhicules neufs</v>
      </c>
      <c r="B20" s="12" t="str">
        <f t="shared" si="1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2"/>
        <v>Véhicules neufsRev. Finances</v>
      </c>
      <c r="B21" s="12" t="str">
        <f t="shared" si="1"/>
        <v>Véhicules neufs</v>
      </c>
      <c r="C21" s="30" t="s">
        <v>26</v>
      </c>
      <c r="D21" s="31">
        <v>0</v>
      </c>
      <c r="E21" s="31">
        <f t="shared" ref="E21:E23" si="15">IF(D21=0,0,F21/D21)</f>
        <v>0</v>
      </c>
      <c r="F21" s="31">
        <f>+SUM(START:END!F21)</f>
        <v>7048.3801079622936</v>
      </c>
      <c r="G21" s="42">
        <v>0</v>
      </c>
      <c r="H21" s="31">
        <f t="shared" ref="H21:H23" si="16">IF(G21=0,0,I21/G21)</f>
        <v>0</v>
      </c>
      <c r="I21" s="31">
        <f>+SUM(START:END!I21)</f>
        <v>7048.3801079622936</v>
      </c>
      <c r="J21" s="32"/>
      <c r="K21" s="31">
        <f>IF(J13=0,0,L21/(J13+J15))</f>
        <v>194.3490340909091</v>
      </c>
      <c r="L21" s="34">
        <f>+SUM(START:END!L21)</f>
        <v>34205.43</v>
      </c>
      <c r="M21" s="32"/>
      <c r="N21" s="34">
        <f t="shared" ref="N21:N24" si="17">L21-I21</f>
        <v>27157.049892037707</v>
      </c>
      <c r="O21" s="32"/>
      <c r="P21" s="31">
        <f>IF(O13=0,0,Q21/(O13+O15))</f>
        <v>7.2280425531914894</v>
      </c>
      <c r="Q21" s="34">
        <f>+SUM(START:END!Q21)</f>
        <v>1698.59</v>
      </c>
      <c r="R21" s="32">
        <f t="shared" ref="R21:R23" si="18">O21-K21</f>
        <v>-194.3490340909091</v>
      </c>
      <c r="S21" s="35">
        <f t="shared" ref="S21:S24" si="19">L21-Q21</f>
        <v>32506.84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2"/>
        <v>Véhicules neufsRev. Protections</v>
      </c>
      <c r="B22" s="12" t="str">
        <f t="shared" si="1"/>
        <v>Véhicules neufs</v>
      </c>
      <c r="C22" s="30" t="s">
        <v>27</v>
      </c>
      <c r="D22" s="31">
        <v>0</v>
      </c>
      <c r="E22" s="31">
        <f t="shared" si="15"/>
        <v>0</v>
      </c>
      <c r="F22" s="31">
        <f>+SUM(START:END!F22)</f>
        <v>188499.11551704686</v>
      </c>
      <c r="G22" s="42">
        <v>0</v>
      </c>
      <c r="H22" s="31">
        <f t="shared" si="16"/>
        <v>0</v>
      </c>
      <c r="I22" s="31">
        <f>+SUM(START:END!I22)</f>
        <v>188499.11551704686</v>
      </c>
      <c r="J22" s="32"/>
      <c r="K22" s="31">
        <f>IF(J13=0,0,L22/(J13+J15))</f>
        <v>896.4943750000001</v>
      </c>
      <c r="L22" s="34">
        <f>+SUM(START:END!L22)</f>
        <v>157783.01</v>
      </c>
      <c r="M22" s="32"/>
      <c r="N22" s="34">
        <f t="shared" si="17"/>
        <v>-30716.105517046846</v>
      </c>
      <c r="O22" s="32"/>
      <c r="P22" s="31">
        <f>IF(O13=0,0,Q22/(O13+O15))</f>
        <v>864.27902127659581</v>
      </c>
      <c r="Q22" s="34">
        <f>+SUM(START:END!Q22)</f>
        <v>203105.57</v>
      </c>
      <c r="R22" s="32">
        <f t="shared" si="18"/>
        <v>-896.4943750000001</v>
      </c>
      <c r="S22" s="35">
        <f t="shared" si="19"/>
        <v>-45322.559999999998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2"/>
        <v>Véhicules neufsRev. Autres</v>
      </c>
      <c r="B23" s="12" t="str">
        <f t="shared" si="1"/>
        <v>Véhicules neufs</v>
      </c>
      <c r="C23" s="30" t="s">
        <v>28</v>
      </c>
      <c r="D23" s="31">
        <v>0</v>
      </c>
      <c r="E23" s="31">
        <f t="shared" si="15"/>
        <v>0</v>
      </c>
      <c r="F23" s="31">
        <f>+SUM(START:END!F23)</f>
        <v>4665.3959412558934</v>
      </c>
      <c r="G23" s="42">
        <v>0</v>
      </c>
      <c r="H23" s="31">
        <f t="shared" si="16"/>
        <v>0</v>
      </c>
      <c r="I23" s="31">
        <f>+SUM(START:END!I23)</f>
        <v>4665.3959412558934</v>
      </c>
      <c r="J23" s="32"/>
      <c r="K23" s="31">
        <f>IF(J13=0,0,L23/(J13+J15))</f>
        <v>24.291250000000002</v>
      </c>
      <c r="L23" s="34">
        <f>+SUM(START:END!L23)</f>
        <v>4275.26</v>
      </c>
      <c r="M23" s="52"/>
      <c r="N23" s="34">
        <f t="shared" si="17"/>
        <v>-390.13594125589316</v>
      </c>
      <c r="O23" s="32"/>
      <c r="P23" s="31">
        <f>IF(O13=0,0,Q23/(O13+O15))</f>
        <v>20.335276595744681</v>
      </c>
      <c r="Q23" s="34">
        <f>+SUM(START:END!Q23)</f>
        <v>4778.79</v>
      </c>
      <c r="R23" s="32">
        <f t="shared" si="18"/>
        <v>-24.291250000000002</v>
      </c>
      <c r="S23" s="35">
        <f t="shared" si="19"/>
        <v>-503.52999999999975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2"/>
        <v>Véhicules neufsTotal F&amp;I</v>
      </c>
      <c r="B24" s="12" t="str">
        <f t="shared" si="1"/>
        <v>Véhicules neufs</v>
      </c>
      <c r="C24" s="36" t="s">
        <v>29</v>
      </c>
      <c r="D24" s="37">
        <f>+D15+D13</f>
        <v>235.544578313253</v>
      </c>
      <c r="E24" s="37">
        <f>IF(D24&lt;=0,0,F24/D24)</f>
        <v>850</v>
      </c>
      <c r="F24" s="38">
        <f>F21+F22+F23</f>
        <v>200212.89156626505</v>
      </c>
      <c r="G24" s="39">
        <f>+G15+G13</f>
        <v>235.544578313253</v>
      </c>
      <c r="H24" s="37">
        <f>IF(G24&lt;=0,0,I24/G24)</f>
        <v>850</v>
      </c>
      <c r="I24" s="38">
        <f>I21+I22+I23</f>
        <v>200212.89156626505</v>
      </c>
      <c r="J24" s="39">
        <f>+J15+J13</f>
        <v>176</v>
      </c>
      <c r="K24" s="37">
        <f>IF(J24&lt;=0,0,L24/J24)</f>
        <v>1115.1346590909091</v>
      </c>
      <c r="L24" s="38">
        <f>L21+L22+L23</f>
        <v>196263.7</v>
      </c>
      <c r="M24" s="59">
        <f>J24-G24</f>
        <v>-59.544578313252998</v>
      </c>
      <c r="N24" s="38">
        <f t="shared" si="17"/>
        <v>-3949.1915662650426</v>
      </c>
      <c r="O24" s="39">
        <f>+O15+O13</f>
        <v>235</v>
      </c>
      <c r="P24" s="37">
        <f>IF(O24&lt;=0,0,Q24/O24)</f>
        <v>891.84234042553192</v>
      </c>
      <c r="Q24" s="38">
        <f>Q21+Q22+Q23</f>
        <v>209582.95</v>
      </c>
      <c r="R24" s="57"/>
      <c r="S24" s="40">
        <f t="shared" si="19"/>
        <v>-13319.25</v>
      </c>
      <c r="T24" s="14"/>
      <c r="U24" s="14"/>
      <c r="V24" s="31">
        <f>+SUM(START:END!D24)-D24</f>
        <v>0</v>
      </c>
      <c r="W24" s="31">
        <f>+SUM(START:END!G24)-G24</f>
        <v>0</v>
      </c>
      <c r="X24" s="31">
        <f>+SUM(START:END!J24)-J24</f>
        <v>0</v>
      </c>
      <c r="Y24" s="31">
        <f>+SUM(START:END!O24)-O24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2"/>
        <v>Véhicules neufs</v>
      </c>
      <c r="B25" s="12" t="str">
        <f t="shared" si="1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-1.9724961441646063E-2</v>
      </c>
      <c r="O25" s="42"/>
      <c r="P25" s="14"/>
      <c r="Q25" s="60"/>
      <c r="R25" s="61"/>
      <c r="S25" s="45">
        <f>IF(Q24=0,0,(S24/Q24))</f>
        <v>-6.3551209676168785E-2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2"/>
        <v>Véhicules neufs</v>
      </c>
      <c r="B26" s="12" t="str">
        <f t="shared" si="1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2"/>
        <v>Véhicules neufsTotal Dépt. Neufs</v>
      </c>
      <c r="B27" s="12" t="str">
        <f t="shared" si="1"/>
        <v>Véhicules neufs</v>
      </c>
      <c r="C27" s="63" t="s">
        <v>30</v>
      </c>
      <c r="D27" s="64">
        <f>+D13+D15+D17</f>
        <v>239.17036845231746</v>
      </c>
      <c r="E27" s="65">
        <f>IF(D27&lt;=0,0,F27/D27)</f>
        <v>2800.8480663429386</v>
      </c>
      <c r="F27" s="66">
        <f>F13+F17+F24+F19+F15</f>
        <v>669879.8640062015</v>
      </c>
      <c r="G27" s="67">
        <f>+G13+G15+G17</f>
        <v>239.17036845231746</v>
      </c>
      <c r="H27" s="68">
        <f>IF(G27&lt;=0,0,I27/G27)</f>
        <v>2800.8480663429386</v>
      </c>
      <c r="I27" s="66">
        <f>I13+I17+I24+I19+I15</f>
        <v>669879.8640062015</v>
      </c>
      <c r="J27" s="67">
        <f>+J13+J15+J17</f>
        <v>185</v>
      </c>
      <c r="K27" s="68">
        <f>IF(J27&lt;=0,0,L27/J27)</f>
        <v>4115.7175675675644</v>
      </c>
      <c r="L27" s="66">
        <f>L13+L17+L24+L19+L15</f>
        <v>761407.74999999942</v>
      </c>
      <c r="M27" s="67">
        <f>J27-G27</f>
        <v>-54.170368452317462</v>
      </c>
      <c r="N27" s="66">
        <f>L27-I27</f>
        <v>91527.885993797914</v>
      </c>
      <c r="O27" s="67">
        <f>+O13+O15+O17</f>
        <v>236</v>
      </c>
      <c r="P27" s="68">
        <f>IF(O27&lt;=0,0,Q27/O27)</f>
        <v>2766.6393644067798</v>
      </c>
      <c r="Q27" s="66">
        <f>Q13+Q17+Q24+Q19+Q15</f>
        <v>652926.89</v>
      </c>
      <c r="R27" s="67">
        <f>J27-O27</f>
        <v>-51</v>
      </c>
      <c r="S27" s="69">
        <f>L27-Q27</f>
        <v>108480.8599999994</v>
      </c>
      <c r="T27" s="14"/>
      <c r="U27" s="14"/>
      <c r="V27" s="31">
        <f>+SUM(START:END!D27)-D27</f>
        <v>0</v>
      </c>
      <c r="W27" s="31">
        <f>+SUM(START:END!G27)-G27</f>
        <v>0</v>
      </c>
      <c r="X27" s="31">
        <f>+SUM(START:END!J27)-J27</f>
        <v>0</v>
      </c>
      <c r="Y27" s="31">
        <f>+SUM(START:END!O27)-O27</f>
        <v>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2"/>
        <v>Véhicules neufs</v>
      </c>
      <c r="B28" s="12" t="str">
        <f t="shared" si="1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-0.22649280846476269</v>
      </c>
      <c r="N28" s="75">
        <f>N27/I27</f>
        <v>0.13663328443165532</v>
      </c>
      <c r="O28" s="73"/>
      <c r="P28" s="71"/>
      <c r="Q28" s="72"/>
      <c r="R28" s="74">
        <f>R27/O27</f>
        <v>-0.21610169491525424</v>
      </c>
      <c r="S28" s="76">
        <f>IF(Q27=0,0,S27/Q27)</f>
        <v>0.16614549295097863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2"/>
        <v>Véhicules neufs</v>
      </c>
      <c r="B29" s="12" t="str">
        <f t="shared" si="1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2"/>
        <v>Véhicules neufsDEPENSES</v>
      </c>
      <c r="B30" s="12" t="str">
        <f t="shared" si="1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2"/>
        <v>Véhicules neufsComm. vendeurs</v>
      </c>
      <c r="B31" s="12" t="str">
        <f t="shared" si="1"/>
        <v>Véhicules neufs</v>
      </c>
      <c r="C31" s="30" t="s">
        <v>32</v>
      </c>
      <c r="D31" s="82"/>
      <c r="E31" s="83">
        <f t="shared" ref="E31:E40" si="20">F31/D$24</f>
        <v>611.17523471408811</v>
      </c>
      <c r="F31" s="31">
        <f>+SUM(START:END!F31)</f>
        <v>143959.01293623331</v>
      </c>
      <c r="G31" s="84"/>
      <c r="H31" s="83">
        <f t="shared" ref="H31:H40" si="21">I31/G$24</f>
        <v>611.17523471408811</v>
      </c>
      <c r="I31" s="31">
        <f>+SUM(START:END!I31)</f>
        <v>143959.01293623331</v>
      </c>
      <c r="J31" s="85">
        <f>L31/L13</f>
        <v>0.30107775289234079</v>
      </c>
      <c r="K31" s="83">
        <f t="shared" ref="K31:K40" si="22">IF(L31=0,0,L31/J$24)</f>
        <v>820.38721590909108</v>
      </c>
      <c r="L31" s="31">
        <f>+SUM(START:END!L31)</f>
        <v>144388.15000000002</v>
      </c>
      <c r="M31" s="42"/>
      <c r="N31" s="60">
        <f t="shared" ref="N31:N53" si="23">L31-I31</f>
        <v>429.13706376671325</v>
      </c>
      <c r="O31" s="42"/>
      <c r="P31" s="83">
        <f t="shared" ref="P31:P40" si="24">IF(Q31=0,0,Q31/O$24)</f>
        <v>603.03817021276598</v>
      </c>
      <c r="Q31" s="34">
        <f>+SUM(START:END!Q31)</f>
        <v>141713.97</v>
      </c>
      <c r="R31" s="42"/>
      <c r="S31" s="86">
        <f t="shared" ref="S31:S41" si="25">L31-Q31</f>
        <v>2674.1800000000221</v>
      </c>
      <c r="T31" s="14"/>
      <c r="U31" s="14"/>
      <c r="V31" s="87"/>
      <c r="W31" s="87"/>
      <c r="X31" s="87"/>
      <c r="Y31" s="87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2"/>
        <v>Véhicules neufsComm. F&amp;I</v>
      </c>
      <c r="B32" s="12" t="str">
        <f t="shared" si="1"/>
        <v>Véhicules neufs</v>
      </c>
      <c r="C32" s="88" t="s">
        <v>33</v>
      </c>
      <c r="D32" s="89"/>
      <c r="E32" s="90">
        <f t="shared" si="20"/>
        <v>254.99999999999997</v>
      </c>
      <c r="F32" s="23">
        <f>+SUM(START:END!F32)</f>
        <v>60063.867469879508</v>
      </c>
      <c r="G32" s="91"/>
      <c r="H32" s="92">
        <f t="shared" si="21"/>
        <v>254.99999999999997</v>
      </c>
      <c r="I32" s="23">
        <f>+SUM(START:END!I32)</f>
        <v>60063.867469879508</v>
      </c>
      <c r="J32" s="93">
        <f>L32/L24</f>
        <v>0.35298519288080266</v>
      </c>
      <c r="K32" s="90">
        <f t="shared" si="22"/>
        <v>393.6260227272727</v>
      </c>
      <c r="L32" s="23">
        <f>+SUM(START:END!L32)</f>
        <v>69278.179999999993</v>
      </c>
      <c r="M32" s="24"/>
      <c r="N32" s="94">
        <f t="shared" si="23"/>
        <v>9214.3125301204855</v>
      </c>
      <c r="O32" s="24"/>
      <c r="P32" s="90">
        <f t="shared" si="24"/>
        <v>263.91731914893614</v>
      </c>
      <c r="Q32" s="23">
        <f>+SUM(START:END!Q32)</f>
        <v>62020.569999999992</v>
      </c>
      <c r="R32" s="24"/>
      <c r="S32" s="95">
        <f t="shared" si="25"/>
        <v>7257.6100000000006</v>
      </c>
      <c r="T32" s="14"/>
      <c r="U32" s="14"/>
      <c r="V32" s="87"/>
      <c r="W32" s="87"/>
      <c r="X32" s="87"/>
      <c r="Y32" s="87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2"/>
        <v>Véhicules neufsFrais de livraison</v>
      </c>
      <c r="B33" s="12" t="str">
        <f t="shared" si="1"/>
        <v>Véhicules neufs</v>
      </c>
      <c r="C33" s="30" t="s">
        <v>34</v>
      </c>
      <c r="D33" s="82"/>
      <c r="E33" s="83">
        <f t="shared" si="20"/>
        <v>167.84930226439232</v>
      </c>
      <c r="F33" s="31">
        <f>+SUM(START:END!F33)</f>
        <v>39535.993122040032</v>
      </c>
      <c r="G33" s="84"/>
      <c r="H33" s="83">
        <f t="shared" si="21"/>
        <v>167.84930226439232</v>
      </c>
      <c r="I33" s="31">
        <f>+SUM(START:END!I33)</f>
        <v>39535.993122040032</v>
      </c>
      <c r="J33" s="42"/>
      <c r="K33" s="83">
        <f t="shared" si="22"/>
        <v>47.600852272727273</v>
      </c>
      <c r="L33" s="31">
        <f>+SUM(START:END!L33)</f>
        <v>8377.75</v>
      </c>
      <c r="M33" s="42"/>
      <c r="N33" s="60">
        <f t="shared" si="23"/>
        <v>-31158.243122040032</v>
      </c>
      <c r="O33" s="42"/>
      <c r="P33" s="83">
        <f t="shared" si="24"/>
        <v>157.34408510638298</v>
      </c>
      <c r="Q33" s="34">
        <f>+SUM(START:END!Q33)</f>
        <v>36975.86</v>
      </c>
      <c r="R33" s="42"/>
      <c r="S33" s="86">
        <f t="shared" si="25"/>
        <v>-28598.11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2"/>
        <v>Véhicules neufsService gratuit 1</v>
      </c>
      <c r="B34" s="12" t="str">
        <f t="shared" si="1"/>
        <v>Véhicules neufs</v>
      </c>
      <c r="C34" s="30" t="s">
        <v>35</v>
      </c>
      <c r="D34" s="82"/>
      <c r="E34" s="83">
        <f t="shared" si="20"/>
        <v>7.3548076275245782</v>
      </c>
      <c r="F34" s="31">
        <f>+SUM(START:END!F34)</f>
        <v>1732.3850612003735</v>
      </c>
      <c r="G34" s="84"/>
      <c r="H34" s="83">
        <f t="shared" si="21"/>
        <v>7.3548076275245782</v>
      </c>
      <c r="I34" s="31">
        <f>+SUM(START:END!I34)</f>
        <v>1732.3850612003735</v>
      </c>
      <c r="J34" s="42"/>
      <c r="K34" s="83">
        <f t="shared" si="22"/>
        <v>1.2465340909090907</v>
      </c>
      <c r="L34" s="31">
        <f>+SUM(START:END!L34)</f>
        <v>219.39</v>
      </c>
      <c r="M34" s="42"/>
      <c r="N34" s="60">
        <f t="shared" si="23"/>
        <v>-1512.9950612003736</v>
      </c>
      <c r="O34" s="42"/>
      <c r="P34" s="83">
        <f t="shared" si="24"/>
        <v>11.313191489361701</v>
      </c>
      <c r="Q34" s="34">
        <f>+SUM(START:END!Q34)</f>
        <v>2658.6</v>
      </c>
      <c r="R34" s="42"/>
      <c r="S34" s="86">
        <f t="shared" si="25"/>
        <v>-2439.21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2"/>
        <v>Véhicules neufsEntretien stock</v>
      </c>
      <c r="B35" s="12" t="str">
        <f t="shared" si="1"/>
        <v>Véhicules neufs</v>
      </c>
      <c r="C35" s="88" t="s">
        <v>36</v>
      </c>
      <c r="D35" s="89"/>
      <c r="E35" s="90">
        <f t="shared" si="20"/>
        <v>17.733118212476487</v>
      </c>
      <c r="F35" s="23">
        <f>+SUM(START:END!F35)</f>
        <v>4176.9398515368412</v>
      </c>
      <c r="G35" s="91"/>
      <c r="H35" s="92">
        <f t="shared" si="21"/>
        <v>17.733118212476487</v>
      </c>
      <c r="I35" s="23">
        <f>+SUM(START:END!I35)</f>
        <v>4176.9398515368412</v>
      </c>
      <c r="J35" s="24"/>
      <c r="K35" s="90">
        <f t="shared" si="22"/>
        <v>98.528693181818198</v>
      </c>
      <c r="L35" s="23">
        <f>+SUM(START:END!L35)</f>
        <v>17341.050000000003</v>
      </c>
      <c r="M35" s="24"/>
      <c r="N35" s="94">
        <f t="shared" si="23"/>
        <v>13164.110148463162</v>
      </c>
      <c r="O35" s="24"/>
      <c r="P35" s="90">
        <f t="shared" si="24"/>
        <v>18.307191489361703</v>
      </c>
      <c r="Q35" s="34">
        <f>+SUM(START:END!Q35)</f>
        <v>4302.1900000000005</v>
      </c>
      <c r="R35" s="24"/>
      <c r="S35" s="95">
        <f t="shared" si="25"/>
        <v>13038.860000000002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2"/>
        <v>Véhicules neufsPublicité 1</v>
      </c>
      <c r="B36" s="12" t="str">
        <f t="shared" si="1"/>
        <v>Véhicules neufs</v>
      </c>
      <c r="C36" s="30" t="s">
        <v>37</v>
      </c>
      <c r="D36" s="82"/>
      <c r="E36" s="83">
        <f t="shared" si="20"/>
        <v>195.93765281173594</v>
      </c>
      <c r="F36" s="31">
        <f>+SUM(START:END!F36)</f>
        <v>46152.051807228912</v>
      </c>
      <c r="G36" s="84"/>
      <c r="H36" s="83">
        <f t="shared" si="21"/>
        <v>195.93765281173594</v>
      </c>
      <c r="I36" s="31">
        <f>+SUM(START:END!I36)</f>
        <v>46152.051807228912</v>
      </c>
      <c r="J36" s="42"/>
      <c r="K36" s="83">
        <f t="shared" si="22"/>
        <v>87.593295454545455</v>
      </c>
      <c r="L36" s="428">
        <f>+SUM(START:END!L36)</f>
        <v>15416.42</v>
      </c>
      <c r="M36" s="14"/>
      <c r="N36" s="60">
        <f t="shared" si="23"/>
        <v>-30735.631807228914</v>
      </c>
      <c r="O36" s="42"/>
      <c r="P36" s="83">
        <f t="shared" si="24"/>
        <v>119.74331914893617</v>
      </c>
      <c r="Q36" s="56">
        <f>+SUM(START:END!Q36)</f>
        <v>28139.68</v>
      </c>
      <c r="R36" s="42"/>
      <c r="S36" s="86">
        <f t="shared" si="25"/>
        <v>-12723.26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2"/>
        <v>Véhicules neufsIntérêt de gros</v>
      </c>
      <c r="B37" s="12" t="str">
        <f t="shared" si="1"/>
        <v>Véhicules neufs</v>
      </c>
      <c r="C37" s="30" t="s">
        <v>38</v>
      </c>
      <c r="D37" s="82"/>
      <c r="E37" s="83">
        <f t="shared" si="20"/>
        <v>98.977128130096261</v>
      </c>
      <c r="F37" s="31">
        <f>+SUM(START:END!F37)</f>
        <v>23313.525908060335</v>
      </c>
      <c r="G37" s="84"/>
      <c r="H37" s="83">
        <f t="shared" si="21"/>
        <v>98.977128130096261</v>
      </c>
      <c r="I37" s="31">
        <f>+SUM(START:END!I37)</f>
        <v>23313.525908060335</v>
      </c>
      <c r="J37" s="42"/>
      <c r="K37" s="83">
        <f t="shared" si="22"/>
        <v>57.844545454545454</v>
      </c>
      <c r="L37" s="35">
        <f>+SUM(START:END!L37)</f>
        <v>10180.64</v>
      </c>
      <c r="M37" s="14"/>
      <c r="N37" s="60">
        <f t="shared" si="23"/>
        <v>-13132.885908060336</v>
      </c>
      <c r="O37" s="42"/>
      <c r="P37" s="83">
        <f t="shared" si="24"/>
        <v>151.6536170212766</v>
      </c>
      <c r="Q37" s="34">
        <f>+SUM(START:END!Q37)</f>
        <v>35638.6</v>
      </c>
      <c r="R37" s="42"/>
      <c r="S37" s="86">
        <f t="shared" si="25"/>
        <v>-25457.96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2"/>
        <v>Véhicules neufs[...]</v>
      </c>
      <c r="B38" s="12" t="str">
        <f t="shared" si="1"/>
        <v>Véhicules neufs</v>
      </c>
      <c r="C38" s="30" t="s">
        <v>21</v>
      </c>
      <c r="D38" s="82"/>
      <c r="E38" s="83">
        <f t="shared" si="20"/>
        <v>0</v>
      </c>
      <c r="F38" s="31">
        <f>+SUM(START:END!F38)</f>
        <v>0</v>
      </c>
      <c r="G38" s="84"/>
      <c r="H38" s="83">
        <f t="shared" si="21"/>
        <v>0</v>
      </c>
      <c r="I38" s="31">
        <f>+SUM(START:END!I38)</f>
        <v>0</v>
      </c>
      <c r="J38" s="42"/>
      <c r="K38" s="83">
        <f t="shared" si="22"/>
        <v>0</v>
      </c>
      <c r="L38" s="35">
        <f>+SUM(START:END!L38)</f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f>+SUM(START:END!Q38)</f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2"/>
        <v>Véhicules neufs[...]</v>
      </c>
      <c r="B39" s="12" t="str">
        <f t="shared" si="1"/>
        <v>Véhicules neufs</v>
      </c>
      <c r="C39" s="30" t="s">
        <v>21</v>
      </c>
      <c r="D39" s="82"/>
      <c r="E39" s="83">
        <f t="shared" si="20"/>
        <v>0</v>
      </c>
      <c r="F39" s="31">
        <f>+SUM(START:END!F39)</f>
        <v>0</v>
      </c>
      <c r="G39" s="84"/>
      <c r="H39" s="83">
        <f t="shared" si="21"/>
        <v>0</v>
      </c>
      <c r="I39" s="31">
        <f>+SUM(START:END!I39)</f>
        <v>0</v>
      </c>
      <c r="J39" s="42"/>
      <c r="K39" s="83">
        <f t="shared" si="22"/>
        <v>0</v>
      </c>
      <c r="L39" s="35">
        <f>+SUM(START:END!L39)</f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f>+SUM(START:END!Q39)</f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2"/>
        <v>Véhicules neufs[...]</v>
      </c>
      <c r="B40" s="12" t="str">
        <f t="shared" si="1"/>
        <v>Véhicules neufs</v>
      </c>
      <c r="C40" s="30" t="s">
        <v>21</v>
      </c>
      <c r="D40" s="82"/>
      <c r="E40" s="83">
        <f t="shared" si="20"/>
        <v>0</v>
      </c>
      <c r="F40" s="31">
        <f>+SUM(START:END!F40)</f>
        <v>0</v>
      </c>
      <c r="G40" s="84"/>
      <c r="H40" s="83">
        <f t="shared" si="21"/>
        <v>0</v>
      </c>
      <c r="I40" s="31">
        <f>+SUM(START:END!I40)</f>
        <v>0</v>
      </c>
      <c r="J40" s="42"/>
      <c r="K40" s="83">
        <f t="shared" si="22"/>
        <v>0</v>
      </c>
      <c r="L40" s="53">
        <f>+SUM(START:END!L40)</f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f>+SUM(START:END!Q40)</f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2"/>
        <v>Véhicules neufsTOTAL VARIABLES</v>
      </c>
      <c r="B41" s="12" t="str">
        <f t="shared" si="1"/>
        <v>Véhicules neufs</v>
      </c>
      <c r="C41" s="96" t="s">
        <v>39</v>
      </c>
      <c r="D41" s="97" t="s">
        <v>40</v>
      </c>
      <c r="E41" s="98">
        <f>F41/F$27</f>
        <v>0.4761059307691427</v>
      </c>
      <c r="F41" s="99">
        <f>SUM(F31:F40)</f>
        <v>318933.77615617932</v>
      </c>
      <c r="G41" s="100" t="s">
        <v>40</v>
      </c>
      <c r="H41" s="98">
        <f>I41/I$27</f>
        <v>0.4761059307691427</v>
      </c>
      <c r="I41" s="99">
        <f>SUM(I31:I40)</f>
        <v>318933.77615617932</v>
      </c>
      <c r="J41" s="100" t="s">
        <v>40</v>
      </c>
      <c r="K41" s="98">
        <f>L41/L$27</f>
        <v>0.34830428242948697</v>
      </c>
      <c r="L41" s="99">
        <f>SUM(L31:L40)</f>
        <v>265201.58</v>
      </c>
      <c r="M41" s="101"/>
      <c r="N41" s="99">
        <f>SUM(N31:N40)</f>
        <v>-53732.196156179292</v>
      </c>
      <c r="O41" s="100" t="s">
        <v>40</v>
      </c>
      <c r="P41" s="98">
        <f>Q41/Q$27</f>
        <v>0.47700512074177243</v>
      </c>
      <c r="Q41" s="102">
        <f>SUM(Q31:Q40)</f>
        <v>311449.46999999997</v>
      </c>
      <c r="R41" s="103"/>
      <c r="S41" s="104">
        <f t="shared" si="25"/>
        <v>-46247.889999999956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2"/>
        <v>Véhicules neufsSalaires cadres</v>
      </c>
      <c r="B42" s="12" t="str">
        <f t="shared" si="1"/>
        <v>Véhicules neufs</v>
      </c>
      <c r="C42" s="105" t="s">
        <v>42</v>
      </c>
      <c r="D42" s="14"/>
      <c r="E42" s="14"/>
      <c r="F42" s="31">
        <f>+SUM(START:END!F42)</f>
        <v>47658.782758620684</v>
      </c>
      <c r="G42" s="42">
        <f>I41/(I27+I83)</f>
        <v>0.31118067294842999</v>
      </c>
      <c r="H42" s="14"/>
      <c r="I42" s="31">
        <f>+SUM(START:END!I42)</f>
        <v>47658.782758620684</v>
      </c>
      <c r="J42" s="42">
        <f>L41/(L27+L83)</f>
        <v>0.24932275712247995</v>
      </c>
      <c r="K42" s="14"/>
      <c r="L42" s="34">
        <f>+SUM(START:END!L42)</f>
        <v>56096.979999999996</v>
      </c>
      <c r="M42" s="42"/>
      <c r="N42" s="60">
        <f t="shared" si="23"/>
        <v>8438.1972413793119</v>
      </c>
      <c r="O42" s="42"/>
      <c r="P42" s="14"/>
      <c r="Q42" s="34">
        <f>+SUM(START:END!Q42)</f>
        <v>42398.820000000007</v>
      </c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2"/>
        <v>Véhicules neufsSalaires commis</v>
      </c>
      <c r="B43" s="12" t="str">
        <f t="shared" si="1"/>
        <v>Véhicules neufs</v>
      </c>
      <c r="C43" s="106" t="s">
        <v>43</v>
      </c>
      <c r="D43" s="82"/>
      <c r="E43" s="14"/>
      <c r="F43" s="23">
        <f>+SUM(START:END!F43)</f>
        <v>29466.083331103451</v>
      </c>
      <c r="G43" s="84"/>
      <c r="H43" s="14"/>
      <c r="I43" s="23">
        <f>+SUM(START:END!I43)</f>
        <v>29466.083331103451</v>
      </c>
      <c r="J43" s="42"/>
      <c r="K43" s="14"/>
      <c r="L43" s="34">
        <f>+SUM(START:END!L43)</f>
        <v>21785.59</v>
      </c>
      <c r="M43" s="42"/>
      <c r="N43" s="60">
        <f t="shared" si="23"/>
        <v>-7680.4933311034511</v>
      </c>
      <c r="O43" s="42"/>
      <c r="P43" s="14"/>
      <c r="Q43" s="34">
        <f>+SUM(START:END!Q43)</f>
        <v>27565.74</v>
      </c>
      <c r="R43" s="42"/>
      <c r="S43" s="86">
        <f t="shared" ref="S43:S53" si="26">L43-Q43</f>
        <v>-5780.1500000000015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2"/>
        <v>Véhicules neufsSalaires autres</v>
      </c>
      <c r="B44" s="12" t="str">
        <f t="shared" si="1"/>
        <v>Véhicules neufs</v>
      </c>
      <c r="C44" s="105" t="s">
        <v>44</v>
      </c>
      <c r="D44" s="107"/>
      <c r="E44" s="108"/>
      <c r="F44" s="31">
        <f>+SUM(START:END!F44)</f>
        <v>26764.20650832184</v>
      </c>
      <c r="G44" s="109"/>
      <c r="H44" s="108"/>
      <c r="I44" s="31">
        <f>+SUM(START:END!I44)</f>
        <v>26764.20650832184</v>
      </c>
      <c r="J44" s="110"/>
      <c r="K44" s="108"/>
      <c r="L44" s="111">
        <f>+SUM(START:END!L44)</f>
        <v>12958.3</v>
      </c>
      <c r="M44" s="110"/>
      <c r="N44" s="112">
        <f t="shared" si="23"/>
        <v>-13805.906508321841</v>
      </c>
      <c r="O44" s="110"/>
      <c r="P44" s="108"/>
      <c r="Q44" s="111">
        <f>+SUM(START:END!Q44)</f>
        <v>28632.129999999997</v>
      </c>
      <c r="R44" s="110"/>
      <c r="S44" s="113">
        <f t="shared" si="26"/>
        <v>-15673.829999999998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2"/>
        <v>Véhicules neufsSalaires spécialistes</v>
      </c>
      <c r="B45" s="12" t="str">
        <f t="shared" si="1"/>
        <v>Véhicules neufs</v>
      </c>
      <c r="C45" s="105" t="s">
        <v>45</v>
      </c>
      <c r="D45" s="82"/>
      <c r="E45" s="14"/>
      <c r="F45" s="31">
        <f>+SUM(START:END!F45)</f>
        <v>0</v>
      </c>
      <c r="G45" s="84"/>
      <c r="H45" s="14"/>
      <c r="I45" s="31">
        <f>+SUM(START:END!I45)</f>
        <v>0</v>
      </c>
      <c r="J45" s="42"/>
      <c r="K45" s="14"/>
      <c r="L45" s="34">
        <f>+SUM(START:END!L45)</f>
        <v>0</v>
      </c>
      <c r="M45" s="42"/>
      <c r="N45" s="60">
        <f t="shared" si="23"/>
        <v>0</v>
      </c>
      <c r="O45" s="42"/>
      <c r="P45" s="14"/>
      <c r="Q45" s="34">
        <f>+SUM(START:END!Q45)</f>
        <v>0</v>
      </c>
      <c r="R45" s="42"/>
      <c r="S45" s="86">
        <f t="shared" si="26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2"/>
        <v>Véhicules neufs[...]</v>
      </c>
      <c r="B46" s="12" t="str">
        <f t="shared" si="1"/>
        <v>Véhicules neufs</v>
      </c>
      <c r="C46" s="105" t="s">
        <v>21</v>
      </c>
      <c r="D46" s="82"/>
      <c r="E46" s="14"/>
      <c r="F46" s="31">
        <f>+SUM(START:END!F46)</f>
        <v>0</v>
      </c>
      <c r="G46" s="84"/>
      <c r="H46" s="14"/>
      <c r="I46" s="31">
        <f>+SUM(START:END!I46)</f>
        <v>0</v>
      </c>
      <c r="J46" s="42"/>
      <c r="K46" s="14"/>
      <c r="L46" s="34">
        <f>+SUM(START:END!L46)</f>
        <v>0</v>
      </c>
      <c r="M46" s="42"/>
      <c r="N46" s="60">
        <f t="shared" si="23"/>
        <v>0</v>
      </c>
      <c r="O46" s="42"/>
      <c r="P46" s="14"/>
      <c r="Q46" s="34">
        <f>+SUM(START:END!Q46)</f>
        <v>0</v>
      </c>
      <c r="R46" s="42"/>
      <c r="S46" s="86">
        <f t="shared" si="26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2"/>
        <v>Véhicules neufs[...]</v>
      </c>
      <c r="B47" s="12" t="str">
        <f t="shared" si="1"/>
        <v>Véhicules neufs</v>
      </c>
      <c r="C47" s="105" t="s">
        <v>21</v>
      </c>
      <c r="D47" s="82"/>
      <c r="E47" s="14"/>
      <c r="F47" s="31">
        <f>+SUM(START:END!F47)</f>
        <v>0</v>
      </c>
      <c r="G47" s="84"/>
      <c r="H47" s="14"/>
      <c r="I47" s="31">
        <f>+SUM(START:END!I47)</f>
        <v>0</v>
      </c>
      <c r="J47" s="42"/>
      <c r="K47" s="14"/>
      <c r="L47" s="34">
        <f>+SUM(START:END!L47)</f>
        <v>0</v>
      </c>
      <c r="M47" s="42"/>
      <c r="N47" s="60">
        <f t="shared" si="23"/>
        <v>0</v>
      </c>
      <c r="O47" s="42"/>
      <c r="P47" s="14"/>
      <c r="Q47" s="34">
        <f>+SUM(START:END!Q47)</f>
        <v>0</v>
      </c>
      <c r="R47" s="42"/>
      <c r="S47" s="86">
        <f t="shared" si="26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2"/>
        <v>Véhicules neufs[...]</v>
      </c>
      <c r="B48" s="12" t="str">
        <f t="shared" si="1"/>
        <v>Véhicules neufs</v>
      </c>
      <c r="C48" s="105" t="s">
        <v>21</v>
      </c>
      <c r="D48" s="82"/>
      <c r="E48" s="14"/>
      <c r="F48" s="31">
        <f>+SUM(START:END!F48)</f>
        <v>0</v>
      </c>
      <c r="G48" s="84"/>
      <c r="H48" s="14"/>
      <c r="I48" s="31">
        <f>+SUM(START:END!I48)</f>
        <v>0</v>
      </c>
      <c r="J48" s="42"/>
      <c r="K48" s="14"/>
      <c r="L48" s="34">
        <f>+SUM(START:END!L48)</f>
        <v>0</v>
      </c>
      <c r="M48" s="42"/>
      <c r="N48" s="60">
        <f t="shared" si="23"/>
        <v>0</v>
      </c>
      <c r="O48" s="42"/>
      <c r="P48" s="14"/>
      <c r="Q48" s="34">
        <f>+SUM(START:END!Q48)</f>
        <v>0</v>
      </c>
      <c r="R48" s="42"/>
      <c r="S48" s="86">
        <f t="shared" si="26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2"/>
        <v>Véhicules neufsSalaires en absences</v>
      </c>
      <c r="B49" s="12" t="str">
        <f t="shared" si="1"/>
        <v>Véhicules neufs</v>
      </c>
      <c r="C49" s="106" t="s">
        <v>46</v>
      </c>
      <c r="D49" s="82"/>
      <c r="E49" s="14"/>
      <c r="F49" s="23">
        <f>+SUM(START:END!F49)</f>
        <v>37450.801319823651</v>
      </c>
      <c r="G49" s="84"/>
      <c r="H49" s="14"/>
      <c r="I49" s="23">
        <f>+SUM(START:END!I49)</f>
        <v>37450.801319823651</v>
      </c>
      <c r="J49" s="42"/>
      <c r="K49" s="14"/>
      <c r="L49" s="23">
        <f>+SUM(START:END!L49)</f>
        <v>51999.4</v>
      </c>
      <c r="M49" s="42"/>
      <c r="N49" s="60">
        <f t="shared" si="23"/>
        <v>14548.59868017635</v>
      </c>
      <c r="O49" s="42"/>
      <c r="P49" s="14"/>
      <c r="Q49" s="23">
        <f>+SUM(START:END!Q49)</f>
        <v>48179.92</v>
      </c>
      <c r="R49" s="42"/>
      <c r="S49" s="86">
        <f t="shared" si="26"/>
        <v>3819.4800000000032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2"/>
        <v>Véhicules neufsDéduction à la source</v>
      </c>
      <c r="B50" s="12" t="str">
        <f t="shared" si="1"/>
        <v>Véhicules neufs</v>
      </c>
      <c r="C50" s="105" t="s">
        <v>47</v>
      </c>
      <c r="D50" s="107"/>
      <c r="E50" s="108"/>
      <c r="F50" s="31">
        <f>+SUM(START:END!F50)</f>
        <v>33541.031503600192</v>
      </c>
      <c r="G50" s="109"/>
      <c r="H50" s="108"/>
      <c r="I50" s="31">
        <f>+SUM(START:END!I50)</f>
        <v>33541.031503600192</v>
      </c>
      <c r="J50" s="110"/>
      <c r="K50" s="108"/>
      <c r="L50" s="34">
        <f>+SUM(START:END!L50)</f>
        <v>49227.53</v>
      </c>
      <c r="M50" s="110"/>
      <c r="N50" s="112">
        <f t="shared" si="23"/>
        <v>15686.498496399807</v>
      </c>
      <c r="O50" s="110"/>
      <c r="P50" s="108"/>
      <c r="Q50" s="34">
        <f>+SUM(START:END!Q50)</f>
        <v>34215.71</v>
      </c>
      <c r="R50" s="110"/>
      <c r="S50" s="113">
        <f t="shared" si="26"/>
        <v>15011.82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2"/>
        <v>Véhicules neufsBénéfices marginaux</v>
      </c>
      <c r="B51" s="12" t="str">
        <f t="shared" si="1"/>
        <v>Véhicules neufs</v>
      </c>
      <c r="C51" s="105" t="s">
        <v>48</v>
      </c>
      <c r="D51" s="82"/>
      <c r="E51" s="14"/>
      <c r="F51" s="31">
        <f>+SUM(START:END!F51)</f>
        <v>26635.525017564862</v>
      </c>
      <c r="G51" s="84"/>
      <c r="H51" s="14"/>
      <c r="I51" s="31">
        <f>+SUM(START:END!I51)</f>
        <v>26635.525017564862</v>
      </c>
      <c r="J51" s="42"/>
      <c r="K51" s="14"/>
      <c r="L51" s="34">
        <f>+SUM(START:END!L51)</f>
        <v>18228.37</v>
      </c>
      <c r="M51" s="42"/>
      <c r="N51" s="60">
        <f t="shared" si="23"/>
        <v>-8407.1550175648626</v>
      </c>
      <c r="O51" s="42"/>
      <c r="P51" s="14"/>
      <c r="Q51" s="34">
        <f>+SUM(START:END!Q51)</f>
        <v>24521.25</v>
      </c>
      <c r="R51" s="42"/>
      <c r="S51" s="86">
        <f t="shared" si="26"/>
        <v>-6292.880000000001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2"/>
        <v>Véhicules neufsCsst</v>
      </c>
      <c r="B52" s="12" t="str">
        <f t="shared" si="1"/>
        <v>Véhicules neufs</v>
      </c>
      <c r="C52" s="105" t="s">
        <v>49</v>
      </c>
      <c r="D52" s="82"/>
      <c r="E52" s="14"/>
      <c r="F52" s="31">
        <f>+SUM(START:END!F52)</f>
        <v>10851.51019234124</v>
      </c>
      <c r="G52" s="84"/>
      <c r="H52" s="14"/>
      <c r="I52" s="31">
        <f>+SUM(START:END!I52)</f>
        <v>10851.51019234124</v>
      </c>
      <c r="J52" s="42"/>
      <c r="K52" s="14"/>
      <c r="L52" s="34">
        <f>+SUM(START:END!L52)</f>
        <v>10960.380000000001</v>
      </c>
      <c r="M52" s="42"/>
      <c r="N52" s="60">
        <f t="shared" si="23"/>
        <v>108.86980765876069</v>
      </c>
      <c r="O52" s="42"/>
      <c r="P52" s="14"/>
      <c r="Q52" s="34">
        <f>+SUM(START:END!Q52)</f>
        <v>5702.6200000000008</v>
      </c>
      <c r="R52" s="42"/>
      <c r="S52" s="86">
        <f t="shared" si="26"/>
        <v>5257.76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2"/>
        <v>Véhicules neufs[...]</v>
      </c>
      <c r="B53" s="12" t="str">
        <f t="shared" si="1"/>
        <v>Véhicules neufs</v>
      </c>
      <c r="C53" s="30" t="s">
        <v>21</v>
      </c>
      <c r="D53" s="89"/>
      <c r="E53" s="114"/>
      <c r="F53" s="31">
        <f>+SUM(START:END!F53)</f>
        <v>0</v>
      </c>
      <c r="G53" s="91"/>
      <c r="H53" s="114"/>
      <c r="I53" s="31">
        <f>+SUM(START:END!I53)</f>
        <v>0</v>
      </c>
      <c r="J53" s="24"/>
      <c r="K53" s="114"/>
      <c r="L53" s="34">
        <f>+SUM(START:END!L53)</f>
        <v>0</v>
      </c>
      <c r="M53" s="24"/>
      <c r="N53" s="94">
        <f t="shared" si="23"/>
        <v>0</v>
      </c>
      <c r="O53" s="24"/>
      <c r="P53" s="114"/>
      <c r="Q53" s="34">
        <f>+SUM(START:END!Q53)</f>
        <v>0</v>
      </c>
      <c r="R53" s="24"/>
      <c r="S53" s="95">
        <f t="shared" si="26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2"/>
        <v>Véhicules neufsTOTAL PERSONNEL</v>
      </c>
      <c r="B54" s="12" t="str">
        <f t="shared" si="1"/>
        <v>Véhicules neufs</v>
      </c>
      <c r="C54" s="96" t="s">
        <v>50</v>
      </c>
      <c r="D54" s="97" t="s">
        <v>40</v>
      </c>
      <c r="E54" s="98">
        <f>F54/F$27</f>
        <v>0.31702392032104715</v>
      </c>
      <c r="F54" s="99">
        <f>+SUM(F42:F53)</f>
        <v>212367.94063137591</v>
      </c>
      <c r="G54" s="100" t="s">
        <v>40</v>
      </c>
      <c r="H54" s="98">
        <f>I54/I$27</f>
        <v>0.31702392032104715</v>
      </c>
      <c r="I54" s="99">
        <f>+SUM(I42:I53)</f>
        <v>212367.94063137591</v>
      </c>
      <c r="J54" s="100" t="s">
        <v>40</v>
      </c>
      <c r="K54" s="98">
        <f>L54/L$27</f>
        <v>0.29058878110972752</v>
      </c>
      <c r="L54" s="99">
        <f>+SUM(L42:L53)</f>
        <v>221256.55</v>
      </c>
      <c r="M54" s="103"/>
      <c r="N54" s="99">
        <f>+SUM(N42:N53)</f>
        <v>8888.6093686240747</v>
      </c>
      <c r="O54" s="100" t="s">
        <v>40</v>
      </c>
      <c r="P54" s="98">
        <f>Q54/Q$27</f>
        <v>0.32349133300360777</v>
      </c>
      <c r="Q54" s="99">
        <f>+SUM(Q42:Q53)</f>
        <v>211216.18999999997</v>
      </c>
      <c r="R54" s="103"/>
      <c r="S54" s="104">
        <f>+SUM(S42:S53)</f>
        <v>-3657.7999999999975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2"/>
        <v>Véhicules neufsPublicité 2</v>
      </c>
      <c r="B55" s="12" t="str">
        <f t="shared" si="1"/>
        <v>Véhicules neufs</v>
      </c>
      <c r="C55" s="30" t="s">
        <v>51</v>
      </c>
      <c r="D55" s="82"/>
      <c r="E55" s="14"/>
      <c r="F55" s="31">
        <f>+SUM(START:END!F55)</f>
        <v>0</v>
      </c>
      <c r="G55" s="42">
        <f>I54/(I27+I83)</f>
        <v>0.20720539378050254</v>
      </c>
      <c r="H55" s="14"/>
      <c r="I55" s="31">
        <f>+SUM(START:END!I55)</f>
        <v>0</v>
      </c>
      <c r="J55" s="42">
        <f>L54/(L27+L83)</f>
        <v>0.20800891562338292</v>
      </c>
      <c r="K55" s="14"/>
      <c r="L55" s="34">
        <f>+SUM(START:END!L55)</f>
        <v>0</v>
      </c>
      <c r="M55" s="42"/>
      <c r="N55" s="60">
        <f t="shared" ref="N55:N71" si="27">L55-I55</f>
        <v>0</v>
      </c>
      <c r="O55" s="42"/>
      <c r="P55" s="14"/>
      <c r="Q55" s="34">
        <f>+SUM(START:END!Q55)</f>
        <v>0</v>
      </c>
      <c r="R55" s="42"/>
      <c r="S55" s="86">
        <f t="shared" ref="S55:S71" si="28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2"/>
        <v>Véhicules neufsService gratuit 2</v>
      </c>
      <c r="B56" s="12" t="str">
        <f t="shared" si="1"/>
        <v>Véhicules neufs</v>
      </c>
      <c r="C56" s="30" t="s">
        <v>52</v>
      </c>
      <c r="D56" s="82"/>
      <c r="E56" s="14"/>
      <c r="F56" s="31">
        <f>+SUM(START:END!F56)</f>
        <v>0</v>
      </c>
      <c r="G56" s="84"/>
      <c r="H56" s="14"/>
      <c r="I56" s="31">
        <f>+SUM(START:END!I56)</f>
        <v>0</v>
      </c>
      <c r="J56" s="42"/>
      <c r="K56" s="14"/>
      <c r="L56" s="34">
        <f>+SUM(START:END!L56)</f>
        <v>0</v>
      </c>
      <c r="M56" s="42"/>
      <c r="N56" s="60">
        <f t="shared" si="27"/>
        <v>0</v>
      </c>
      <c r="O56" s="42"/>
      <c r="P56" s="14"/>
      <c r="Q56" s="34">
        <f>+SUM(START:END!Q56)</f>
        <v>0</v>
      </c>
      <c r="R56" s="42"/>
      <c r="S56" s="86">
        <f t="shared" si="28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2"/>
        <v>Véhicules neufsFrais véhicules de cie</v>
      </c>
      <c r="B57" s="12" t="str">
        <f t="shared" si="1"/>
        <v>Véhicules neufs</v>
      </c>
      <c r="C57" s="88" t="s">
        <v>53</v>
      </c>
      <c r="D57" s="89"/>
      <c r="E57" s="114"/>
      <c r="F57" s="23">
        <f>+SUM(START:END!F57)</f>
        <v>21968.82</v>
      </c>
      <c r="G57" s="91"/>
      <c r="H57" s="114"/>
      <c r="I57" s="23">
        <f>+SUM(START:END!I57)</f>
        <v>21968.82</v>
      </c>
      <c r="J57" s="24"/>
      <c r="K57" s="114"/>
      <c r="L57" s="23">
        <f>+SUM(START:END!L57)</f>
        <v>24962.74</v>
      </c>
      <c r="M57" s="24"/>
      <c r="N57" s="94">
        <f t="shared" si="27"/>
        <v>2993.9200000000019</v>
      </c>
      <c r="O57" s="24"/>
      <c r="P57" s="114"/>
      <c r="Q57" s="23">
        <f>+SUM(START:END!Q57)</f>
        <v>25259.949999999997</v>
      </c>
      <c r="R57" s="24"/>
      <c r="S57" s="95">
        <f t="shared" si="28"/>
        <v>-297.20999999999549</v>
      </c>
      <c r="T57" s="115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2"/>
        <v>Véhicules neufsInformatique</v>
      </c>
      <c r="B58" s="12" t="str">
        <f t="shared" si="1"/>
        <v>Véhicules neufs</v>
      </c>
      <c r="C58" s="30" t="s">
        <v>54</v>
      </c>
      <c r="D58" s="82"/>
      <c r="E58" s="14"/>
      <c r="F58" s="31">
        <f>+SUM(START:END!F58)</f>
        <v>20502.596530000003</v>
      </c>
      <c r="G58" s="84"/>
      <c r="H58" s="14"/>
      <c r="I58" s="31">
        <f>+SUM(START:END!I58)</f>
        <v>20502.596530000003</v>
      </c>
      <c r="J58" s="42"/>
      <c r="K58" s="14"/>
      <c r="L58" s="34">
        <f>+SUM(START:END!L58)</f>
        <v>23611.17</v>
      </c>
      <c r="M58" s="42"/>
      <c r="N58" s="60">
        <f t="shared" si="27"/>
        <v>3108.5734699999957</v>
      </c>
      <c r="O58" s="42"/>
      <c r="P58" s="14"/>
      <c r="Q58" s="34">
        <f>+SUM(START:END!Q58)</f>
        <v>16456.89</v>
      </c>
      <c r="R58" s="42"/>
      <c r="S58" s="86">
        <f t="shared" si="28"/>
        <v>7154.2799999999988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2"/>
        <v>Véhicules neufsFrais de déplacement</v>
      </c>
      <c r="B59" s="12" t="str">
        <f t="shared" si="1"/>
        <v>Véhicules neufs</v>
      </c>
      <c r="C59" s="30" t="s">
        <v>55</v>
      </c>
      <c r="D59" s="82"/>
      <c r="E59" s="14"/>
      <c r="F59" s="31">
        <f>+SUM(START:END!F59)</f>
        <v>2376.4254000000001</v>
      </c>
      <c r="G59" s="84"/>
      <c r="H59" s="14"/>
      <c r="I59" s="31">
        <f>+SUM(START:END!I59)</f>
        <v>2376.4254000000001</v>
      </c>
      <c r="J59" s="42"/>
      <c r="K59" s="14"/>
      <c r="L59" s="34">
        <f>+SUM(START:END!L59)</f>
        <v>3663.08</v>
      </c>
      <c r="M59" s="42"/>
      <c r="N59" s="60">
        <f t="shared" si="27"/>
        <v>1286.6545999999998</v>
      </c>
      <c r="O59" s="42"/>
      <c r="P59" s="14"/>
      <c r="Q59" s="34">
        <f>+SUM(START:END!Q59)</f>
        <v>2310.9900000000002</v>
      </c>
      <c r="R59" s="42"/>
      <c r="S59" s="86">
        <f t="shared" si="28"/>
        <v>1352.0899999999997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2"/>
        <v>Véhicules neufsServices extérieurs</v>
      </c>
      <c r="B60" s="12" t="str">
        <f t="shared" si="1"/>
        <v>Véhicules neufs</v>
      </c>
      <c r="C60" s="88" t="s">
        <v>56</v>
      </c>
      <c r="D60" s="89"/>
      <c r="E60" s="114"/>
      <c r="F60" s="23">
        <f>+SUM(START:END!F60)</f>
        <v>19645.696533333336</v>
      </c>
      <c r="G60" s="91"/>
      <c r="H60" s="114"/>
      <c r="I60" s="23">
        <f>+SUM(START:END!I60)</f>
        <v>19645.696533333336</v>
      </c>
      <c r="J60" s="24"/>
      <c r="K60" s="114"/>
      <c r="L60" s="23">
        <f>+SUM(START:END!L60)</f>
        <v>20308.14</v>
      </c>
      <c r="M60" s="24"/>
      <c r="N60" s="94">
        <f t="shared" si="27"/>
        <v>662.44346666666388</v>
      </c>
      <c r="O60" s="24"/>
      <c r="P60" s="114"/>
      <c r="Q60" s="23">
        <f>+SUM(START:END!Q60)</f>
        <v>19319.63</v>
      </c>
      <c r="R60" s="24"/>
      <c r="S60" s="95">
        <f t="shared" si="28"/>
        <v>988.5099999999984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2"/>
        <v>Véhicules neufsFournitures autres</v>
      </c>
      <c r="B61" s="12" t="str">
        <f t="shared" si="1"/>
        <v>Véhicules neufs</v>
      </c>
      <c r="C61" s="30" t="s">
        <v>57</v>
      </c>
      <c r="D61" s="82"/>
      <c r="E61" s="14"/>
      <c r="F61" s="31">
        <f>+SUM(START:END!F61)</f>
        <v>275.46880160637579</v>
      </c>
      <c r="G61" s="84"/>
      <c r="H61" s="14"/>
      <c r="I61" s="31">
        <f>+SUM(START:END!I61)</f>
        <v>275.46880160637579</v>
      </c>
      <c r="J61" s="42"/>
      <c r="K61" s="14"/>
      <c r="L61" s="34">
        <f>+SUM(START:END!L61)</f>
        <v>154.98000000000002</v>
      </c>
      <c r="M61" s="42"/>
      <c r="N61" s="60">
        <f t="shared" si="27"/>
        <v>-120.48880160637577</v>
      </c>
      <c r="O61" s="42"/>
      <c r="P61" s="14"/>
      <c r="Q61" s="34">
        <f>+SUM(START:END!Q61)</f>
        <v>335.91</v>
      </c>
      <c r="R61" s="42"/>
      <c r="S61" s="86">
        <f t="shared" si="28"/>
        <v>-180.93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2"/>
        <v>Véhicules neufsUniformes</v>
      </c>
      <c r="B62" s="12" t="str">
        <f t="shared" si="1"/>
        <v>Véhicules neufs</v>
      </c>
      <c r="C62" s="30" t="s">
        <v>58</v>
      </c>
      <c r="D62" s="82"/>
      <c r="E62" s="14"/>
      <c r="F62" s="31">
        <f>+SUM(START:END!F62)</f>
        <v>146.37687970985664</v>
      </c>
      <c r="G62" s="84"/>
      <c r="H62" s="14"/>
      <c r="I62" s="31">
        <f>+SUM(START:END!I62)</f>
        <v>146.37687970985664</v>
      </c>
      <c r="J62" s="42"/>
      <c r="K62" s="14"/>
      <c r="L62" s="34">
        <f>+SUM(START:END!L62)</f>
        <v>0</v>
      </c>
      <c r="M62" s="42"/>
      <c r="N62" s="60">
        <f t="shared" si="27"/>
        <v>-146.37687970985664</v>
      </c>
      <c r="O62" s="42"/>
      <c r="P62" s="14"/>
      <c r="Q62" s="34">
        <f>+SUM(START:END!Q62)</f>
        <v>0</v>
      </c>
      <c r="R62" s="42"/>
      <c r="S62" s="86">
        <f t="shared" si="28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2"/>
        <v>Véhicules neufsPapeterie</v>
      </c>
      <c r="B63" s="12" t="str">
        <f t="shared" si="1"/>
        <v>Véhicules neufs</v>
      </c>
      <c r="C63" s="30" t="s">
        <v>59</v>
      </c>
      <c r="D63" s="82"/>
      <c r="E63" s="14"/>
      <c r="F63" s="31">
        <f>+SUM(START:END!F63)</f>
        <v>1958.5929599999999</v>
      </c>
      <c r="G63" s="84"/>
      <c r="H63" s="14"/>
      <c r="I63" s="31">
        <f>+SUM(START:END!I63)</f>
        <v>1958.5929599999999</v>
      </c>
      <c r="J63" s="42"/>
      <c r="K63" s="14"/>
      <c r="L63" s="33">
        <f>+SUM(START:END!L63)</f>
        <v>2582.6400000000003</v>
      </c>
      <c r="M63" s="42"/>
      <c r="N63" s="60">
        <f t="shared" si="27"/>
        <v>624.04704000000038</v>
      </c>
      <c r="O63" s="42"/>
      <c r="P63" s="14"/>
      <c r="Q63" s="33">
        <f>+SUM(START:END!Q63)</f>
        <v>1478.21</v>
      </c>
      <c r="R63" s="42"/>
      <c r="S63" s="86">
        <f t="shared" si="28"/>
        <v>1104.4300000000003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2"/>
        <v>Véhicules neufsTéléphone</v>
      </c>
      <c r="B64" s="12" t="str">
        <f t="shared" si="1"/>
        <v>Véhicules neufs</v>
      </c>
      <c r="C64" s="30" t="s">
        <v>60</v>
      </c>
      <c r="D64" s="82"/>
      <c r="E64" s="14"/>
      <c r="F64" s="31">
        <f>+SUM(START:END!F64)</f>
        <v>904.39358000000016</v>
      </c>
      <c r="G64" s="84"/>
      <c r="H64" s="14"/>
      <c r="I64" s="31">
        <f>+SUM(START:END!I64)</f>
        <v>904.39358000000016</v>
      </c>
      <c r="J64" s="42"/>
      <c r="K64" s="14"/>
      <c r="L64" s="34">
        <f>+SUM(START:END!L64)</f>
        <v>761.74</v>
      </c>
      <c r="M64" s="42"/>
      <c r="N64" s="60">
        <f t="shared" si="27"/>
        <v>-142.65358000000015</v>
      </c>
      <c r="O64" s="42"/>
      <c r="P64" s="14"/>
      <c r="Q64" s="34">
        <f>+SUM(START:END!Q64)</f>
        <v>973.44999999999993</v>
      </c>
      <c r="R64" s="42"/>
      <c r="S64" s="86">
        <f t="shared" si="28"/>
        <v>-211.70999999999992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2"/>
        <v>Véhicules neufsFrais postaux</v>
      </c>
      <c r="B65" s="12" t="str">
        <f t="shared" si="1"/>
        <v>Véhicules neufs</v>
      </c>
      <c r="C65" s="30" t="s">
        <v>61</v>
      </c>
      <c r="D65" s="82"/>
      <c r="E65" s="14"/>
      <c r="F65" s="31">
        <f>+SUM(START:END!F65)</f>
        <v>482.75121999999988</v>
      </c>
      <c r="G65" s="84"/>
      <c r="H65" s="14"/>
      <c r="I65" s="31">
        <f>+SUM(START:END!I65)</f>
        <v>482.75121999999988</v>
      </c>
      <c r="J65" s="42"/>
      <c r="K65" s="14"/>
      <c r="L65" s="34">
        <f>+SUM(START:END!L65)</f>
        <v>486.82000000000005</v>
      </c>
      <c r="M65" s="42"/>
      <c r="N65" s="60">
        <f t="shared" si="27"/>
        <v>4.0687800000001744</v>
      </c>
      <c r="O65" s="42"/>
      <c r="P65" s="14"/>
      <c r="Q65" s="34">
        <f>+SUM(START:END!Q65)</f>
        <v>643.79</v>
      </c>
      <c r="R65" s="42"/>
      <c r="S65" s="86">
        <f t="shared" si="28"/>
        <v>-156.96999999999991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2"/>
        <v>Véhicules neufsDivers</v>
      </c>
      <c r="B66" s="12" t="str">
        <f t="shared" si="1"/>
        <v>Véhicules neufs</v>
      </c>
      <c r="C66" s="30" t="s">
        <v>62</v>
      </c>
      <c r="D66" s="82"/>
      <c r="E66" s="14"/>
      <c r="F66" s="31">
        <f>+SUM(START:END!F66)</f>
        <v>2328.7007799999992</v>
      </c>
      <c r="G66" s="84"/>
      <c r="H66" s="14"/>
      <c r="I66" s="31">
        <f>+SUM(START:END!I66)</f>
        <v>2328.7007799999992</v>
      </c>
      <c r="J66" s="42"/>
      <c r="K66" s="14"/>
      <c r="L66" s="34">
        <f>+SUM(START:END!L66)</f>
        <v>354.51</v>
      </c>
      <c r="M66" s="42"/>
      <c r="N66" s="60">
        <f t="shared" si="27"/>
        <v>-1974.1907799999992</v>
      </c>
      <c r="O66" s="42"/>
      <c r="P66" s="14"/>
      <c r="Q66" s="34">
        <f>+SUM(START:END!Q66)</f>
        <v>1971.65</v>
      </c>
      <c r="R66" s="42"/>
      <c r="S66" s="86">
        <f t="shared" si="28"/>
        <v>-1617.14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2"/>
        <v>Véhicules neufsFormation</v>
      </c>
      <c r="B67" s="12" t="str">
        <f t="shared" si="1"/>
        <v>Véhicules neufs</v>
      </c>
      <c r="C67" s="30" t="s">
        <v>63</v>
      </c>
      <c r="D67" s="82"/>
      <c r="E67" s="14"/>
      <c r="F67" s="31">
        <f>+SUM(START:END!F67)</f>
        <v>3459.7688000000003</v>
      </c>
      <c r="G67" s="84"/>
      <c r="H67" s="14"/>
      <c r="I67" s="31">
        <f>+SUM(START:END!I67)</f>
        <v>3459.7688000000003</v>
      </c>
      <c r="J67" s="42"/>
      <c r="K67" s="14"/>
      <c r="L67" s="34">
        <f>+SUM(START:END!L67)</f>
        <v>3451.57</v>
      </c>
      <c r="M67" s="42"/>
      <c r="N67" s="60">
        <f t="shared" si="27"/>
        <v>-8.1988000000001193</v>
      </c>
      <c r="O67" s="42"/>
      <c r="P67" s="14"/>
      <c r="Q67" s="34">
        <f>+SUM(START:END!Q67)</f>
        <v>2410.0499999999997</v>
      </c>
      <c r="R67" s="42"/>
      <c r="S67" s="86">
        <f t="shared" si="28"/>
        <v>1041.5200000000004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2"/>
        <v>Véhicules neufsFrais bancaires</v>
      </c>
      <c r="B68" s="12" t="str">
        <f t="shared" si="1"/>
        <v>Véhicules neufs</v>
      </c>
      <c r="C68" s="30" t="s">
        <v>64</v>
      </c>
      <c r="D68" s="82"/>
      <c r="E68" s="14"/>
      <c r="F68" s="31">
        <f>+SUM(START:END!F68)</f>
        <v>5447.2512797295331</v>
      </c>
      <c r="G68" s="84"/>
      <c r="H68" s="14"/>
      <c r="I68" s="31">
        <f>+SUM(START:END!I68)</f>
        <v>5447.2512797295331</v>
      </c>
      <c r="J68" s="42"/>
      <c r="K68" s="14"/>
      <c r="L68" s="33">
        <f>+SUM(START:END!L68)</f>
        <v>11300.03</v>
      </c>
      <c r="M68" s="42"/>
      <c r="N68" s="60">
        <f t="shared" si="27"/>
        <v>5852.7787202704676</v>
      </c>
      <c r="O68" s="42"/>
      <c r="P68" s="14"/>
      <c r="Q68" s="34">
        <f>+SUM(START:END!Q68)</f>
        <v>8910.4230000000007</v>
      </c>
      <c r="R68" s="42"/>
      <c r="S68" s="86">
        <f t="shared" si="28"/>
        <v>2389.607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2"/>
        <v>Véhicules neufs[...]</v>
      </c>
      <c r="B69" s="12" t="str">
        <f t="shared" si="1"/>
        <v>Véhicules neufs</v>
      </c>
      <c r="C69" s="30" t="s">
        <v>21</v>
      </c>
      <c r="D69" s="82"/>
      <c r="E69" s="14"/>
      <c r="F69" s="31">
        <f>+SUM(START:END!F69)</f>
        <v>0</v>
      </c>
      <c r="G69" s="84"/>
      <c r="H69" s="14"/>
      <c r="I69" s="31">
        <f>+SUM(START:END!I69)</f>
        <v>0</v>
      </c>
      <c r="J69" s="42"/>
      <c r="K69" s="14"/>
      <c r="L69" s="34">
        <f>+SUM(START:END!L69)</f>
        <v>0</v>
      </c>
      <c r="M69" s="42"/>
      <c r="N69" s="60">
        <f t="shared" si="27"/>
        <v>0</v>
      </c>
      <c r="O69" s="42"/>
      <c r="P69" s="14"/>
      <c r="Q69" s="34">
        <f>+SUM(START:END!Q69)</f>
        <v>0</v>
      </c>
      <c r="R69" s="42"/>
      <c r="S69" s="86">
        <f t="shared" si="28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2"/>
        <v>Véhicules neufs[...]</v>
      </c>
      <c r="B70" s="12" t="str">
        <f t="shared" si="1"/>
        <v>Véhicules neufs</v>
      </c>
      <c r="C70" s="30" t="s">
        <v>21</v>
      </c>
      <c r="D70" s="82"/>
      <c r="E70" s="14"/>
      <c r="F70" s="31">
        <f>+SUM(START:END!F70)</f>
        <v>0</v>
      </c>
      <c r="G70" s="84"/>
      <c r="H70" s="14"/>
      <c r="I70" s="31">
        <f>+SUM(START:END!I70)</f>
        <v>0</v>
      </c>
      <c r="J70" s="42"/>
      <c r="K70" s="14"/>
      <c r="L70" s="34">
        <f>+SUM(START:END!L70)</f>
        <v>0</v>
      </c>
      <c r="M70" s="42"/>
      <c r="N70" s="60">
        <f t="shared" si="27"/>
        <v>0</v>
      </c>
      <c r="O70" s="42"/>
      <c r="P70" s="14"/>
      <c r="Q70" s="34">
        <f>+SUM(START:END!Q70)</f>
        <v>0</v>
      </c>
      <c r="R70" s="42"/>
      <c r="S70" s="86">
        <f t="shared" si="28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2"/>
        <v>Véhicules neufs[...]</v>
      </c>
      <c r="B71" s="12" t="str">
        <f t="shared" si="1"/>
        <v>Véhicules neufs</v>
      </c>
      <c r="C71" s="30" t="s">
        <v>21</v>
      </c>
      <c r="D71" s="82"/>
      <c r="E71" s="14"/>
      <c r="F71" s="31">
        <f>+SUM(START:END!F71)</f>
        <v>0</v>
      </c>
      <c r="G71" s="84"/>
      <c r="H71" s="14"/>
      <c r="I71" s="31">
        <f>+SUM(START:END!I71)</f>
        <v>0</v>
      </c>
      <c r="J71" s="42"/>
      <c r="K71" s="14"/>
      <c r="L71" s="34">
        <f>+SUM(START:END!L71)</f>
        <v>0</v>
      </c>
      <c r="M71" s="42"/>
      <c r="N71" s="60">
        <f t="shared" si="27"/>
        <v>0</v>
      </c>
      <c r="O71" s="42"/>
      <c r="P71" s="14"/>
      <c r="Q71" s="34">
        <f>+SUM(START:END!Q71)</f>
        <v>0</v>
      </c>
      <c r="R71" s="42"/>
      <c r="S71" s="86">
        <f t="shared" si="28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2"/>
        <v>Véhicules neufsTOTAL SEMI-FIXES</v>
      </c>
      <c r="B72" s="12" t="str">
        <f t="shared" si="1"/>
        <v>Véhicules neufs</v>
      </c>
      <c r="C72" s="96" t="s">
        <v>65</v>
      </c>
      <c r="D72" s="97" t="s">
        <v>40</v>
      </c>
      <c r="E72" s="98">
        <f>F72/F$27</f>
        <v>0.1186732831301273</v>
      </c>
      <c r="F72" s="99">
        <f>+SUM(F55:F71)</f>
        <v>79496.842764379122</v>
      </c>
      <c r="G72" s="100" t="s">
        <v>40</v>
      </c>
      <c r="H72" s="98">
        <f>I72/I$27</f>
        <v>0.1186732831301273</v>
      </c>
      <c r="I72" s="99">
        <f>+SUM(I55:I71)</f>
        <v>79496.842764379122</v>
      </c>
      <c r="J72" s="100" t="s">
        <v>40</v>
      </c>
      <c r="K72" s="98">
        <f>L72/L$27</f>
        <v>0.12035262315099902</v>
      </c>
      <c r="L72" s="99">
        <f>+SUM(L55:L71)</f>
        <v>91637.420000000013</v>
      </c>
      <c r="M72" s="103"/>
      <c r="N72" s="99">
        <f>+SUM(N55:N71)</f>
        <v>12140.577235620898</v>
      </c>
      <c r="O72" s="100" t="s">
        <v>40</v>
      </c>
      <c r="P72" s="98">
        <f>Q72/Q$27</f>
        <v>0.12263385721485599</v>
      </c>
      <c r="Q72" s="99">
        <f>+SUM(Q55:Q71)</f>
        <v>80070.942999999985</v>
      </c>
      <c r="R72" s="103"/>
      <c r="S72" s="104">
        <f>+SUM(S55:S71)</f>
        <v>11566.477000000003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2"/>
        <v>Véhicules neufs</v>
      </c>
      <c r="B73" s="12" t="str">
        <f t="shared" si="1"/>
        <v>Véhicules neufs</v>
      </c>
      <c r="C73" s="88"/>
      <c r="D73" s="89"/>
      <c r="E73" s="114"/>
      <c r="F73" s="60"/>
      <c r="G73" s="91"/>
      <c r="H73" s="114"/>
      <c r="I73" s="60"/>
      <c r="J73" s="24"/>
      <c r="K73" s="114"/>
      <c r="L73" s="94"/>
      <c r="M73" s="24"/>
      <c r="N73" s="94"/>
      <c r="O73" s="24"/>
      <c r="P73" s="114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2"/>
        <v>Véhicules neufsTOTAL DES DÉPENSES</v>
      </c>
      <c r="B74" s="12" t="str">
        <f t="shared" si="1"/>
        <v>Véhicules neufs</v>
      </c>
      <c r="C74" s="96" t="s">
        <v>66</v>
      </c>
      <c r="D74" s="97" t="s">
        <v>40</v>
      </c>
      <c r="E74" s="98">
        <f>F74/F$27</f>
        <v>0.91180313422031722</v>
      </c>
      <c r="F74" s="99">
        <f>F41+F54+F72</f>
        <v>610798.55955193436</v>
      </c>
      <c r="G74" s="100" t="s">
        <v>40</v>
      </c>
      <c r="H74" s="98">
        <f>I74/I$27</f>
        <v>0.91180313422031722</v>
      </c>
      <c r="I74" s="99">
        <f>I41+I54+I72</f>
        <v>610798.55955193436</v>
      </c>
      <c r="J74" s="100" t="s">
        <v>40</v>
      </c>
      <c r="K74" s="98">
        <f>L74/L$27</f>
        <v>0.75924568669021364</v>
      </c>
      <c r="L74" s="99">
        <f>L41+L54+L72</f>
        <v>578095.55000000005</v>
      </c>
      <c r="M74" s="103"/>
      <c r="N74" s="116">
        <f>L74-I74</f>
        <v>-32703.009551934316</v>
      </c>
      <c r="O74" s="100" t="s">
        <v>40</v>
      </c>
      <c r="P74" s="98">
        <f>Q74/Q$27</f>
        <v>0.92313031096023612</v>
      </c>
      <c r="Q74" s="99">
        <f>Q41+Q54+Q72</f>
        <v>602736.60299999989</v>
      </c>
      <c r="R74" s="103"/>
      <c r="S74" s="117">
        <f>L74-Q74</f>
        <v>-24641.05299999984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2"/>
        <v>Véhicules neufsProgramme neuf 1</v>
      </c>
      <c r="B75" s="12" t="str">
        <f t="shared" si="1"/>
        <v>Véhicules neufs</v>
      </c>
      <c r="C75" s="30" t="s">
        <v>200</v>
      </c>
      <c r="D75" s="82"/>
      <c r="E75" s="14"/>
      <c r="F75" s="31">
        <f>+SUM(START:END!F75)</f>
        <v>19143.900000000001</v>
      </c>
      <c r="G75" s="84"/>
      <c r="H75" s="14"/>
      <c r="I75" s="31">
        <f>+SUM(START:END!I75)</f>
        <v>19143.900000000001</v>
      </c>
      <c r="J75" s="42"/>
      <c r="K75" s="14"/>
      <c r="L75" s="33">
        <f>+SUM(START:END!L75)</f>
        <v>0</v>
      </c>
      <c r="M75" s="42"/>
      <c r="N75" s="60">
        <f t="shared" ref="N75:N82" si="29">L75-I75</f>
        <v>-19143.900000000001</v>
      </c>
      <c r="O75" s="42"/>
      <c r="P75" s="14"/>
      <c r="Q75" s="33">
        <f>+SUM(START:END!Q75)</f>
        <v>28500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2"/>
        <v>Véhicules neufsProgramme neuf 2</v>
      </c>
      <c r="B76" s="12" t="str">
        <f t="shared" si="1"/>
        <v>Véhicules neufs</v>
      </c>
      <c r="C76" s="30" t="s">
        <v>197</v>
      </c>
      <c r="D76" s="82"/>
      <c r="E76" s="14"/>
      <c r="F76" s="31">
        <f>+SUM(START:END!F76)</f>
        <v>0</v>
      </c>
      <c r="G76" s="84"/>
      <c r="H76" s="14"/>
      <c r="I76" s="31">
        <f>+SUM(START:END!I76)</f>
        <v>0</v>
      </c>
      <c r="J76" s="42"/>
      <c r="K76" s="14"/>
      <c r="L76" s="33">
        <f>+SUM(START:END!L76)</f>
        <v>0</v>
      </c>
      <c r="M76" s="42"/>
      <c r="N76" s="60">
        <f>L76-I76</f>
        <v>0</v>
      </c>
      <c r="O76" s="42"/>
      <c r="P76" s="14"/>
      <c r="Q76" s="33">
        <f>+SUM(START:END!Q76)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2"/>
        <v>Véhicules neufsProgramme neuf 3</v>
      </c>
      <c r="B77" s="12" t="str">
        <f t="shared" si="1"/>
        <v>Véhicules neufs</v>
      </c>
      <c r="C77" s="30" t="s">
        <v>69</v>
      </c>
      <c r="D77" s="82"/>
      <c r="E77" s="14"/>
      <c r="F77" s="31">
        <f>+SUM(START:END!F77)</f>
        <v>0</v>
      </c>
      <c r="G77" s="84"/>
      <c r="H77" s="14"/>
      <c r="I77" s="31">
        <f>+SUM(START:END!I77)</f>
        <v>0</v>
      </c>
      <c r="J77" s="42"/>
      <c r="K77" s="14"/>
      <c r="L77" s="33">
        <f>+SUM(START:END!L77)</f>
        <v>0</v>
      </c>
      <c r="M77" s="42"/>
      <c r="N77" s="60">
        <f t="shared" si="29"/>
        <v>0</v>
      </c>
      <c r="O77" s="42"/>
      <c r="P77" s="14"/>
      <c r="Q77" s="33">
        <f>+SUM(START:END!Q77)</f>
        <v>0</v>
      </c>
      <c r="R77" s="42"/>
      <c r="S77" s="86">
        <f t="shared" ref="S77:S82" si="30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2"/>
        <v>Véhicules neufsHoldbacks</v>
      </c>
      <c r="B78" s="12" t="str">
        <f t="shared" si="1"/>
        <v>Véhicules neufs</v>
      </c>
      <c r="C78" s="30" t="s">
        <v>70</v>
      </c>
      <c r="D78" s="82"/>
      <c r="E78" s="14"/>
      <c r="F78" s="31">
        <f>+SUM(START:END!F78)</f>
        <v>250005.27475301197</v>
      </c>
      <c r="G78" s="84"/>
      <c r="H78" s="14"/>
      <c r="I78" s="31">
        <f>+SUM(START:END!I78)</f>
        <v>250005.27475301197</v>
      </c>
      <c r="J78" s="42"/>
      <c r="K78" s="14"/>
      <c r="L78" s="34">
        <f>+SUM(START:END!L78)</f>
        <v>233500.07</v>
      </c>
      <c r="M78" s="42"/>
      <c r="N78" s="60">
        <f t="shared" si="29"/>
        <v>-16505.20475301196</v>
      </c>
      <c r="O78" s="42"/>
      <c r="P78" s="14"/>
      <c r="Q78" s="33">
        <f>+SUM(START:END!Q78)</f>
        <v>214826.84999999998</v>
      </c>
      <c r="R78" s="42"/>
      <c r="S78" s="86">
        <f t="shared" si="30"/>
        <v>18673.22000000003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2"/>
        <v>Véhicules neufs[...]</v>
      </c>
      <c r="B79" s="12" t="str">
        <f t="shared" si="1"/>
        <v>Véhicules neufs</v>
      </c>
      <c r="C79" s="30" t="s">
        <v>21</v>
      </c>
      <c r="D79" s="82"/>
      <c r="E79" s="14"/>
      <c r="F79" s="31">
        <f>+SUM(START:END!F79)</f>
        <v>0</v>
      </c>
      <c r="G79" s="84"/>
      <c r="H79" s="14"/>
      <c r="I79" s="31">
        <f>+SUM(START:END!I79)</f>
        <v>0</v>
      </c>
      <c r="J79" s="42"/>
      <c r="K79" s="14"/>
      <c r="L79" s="34">
        <f>+SUM(START:END!L79)</f>
        <v>0</v>
      </c>
      <c r="M79" s="42"/>
      <c r="N79" s="60">
        <f t="shared" si="29"/>
        <v>0</v>
      </c>
      <c r="O79" s="42"/>
      <c r="P79" s="14"/>
      <c r="Q79" s="33">
        <f>+SUM(START:END!Q79)</f>
        <v>0</v>
      </c>
      <c r="R79" s="42"/>
      <c r="S79" s="86">
        <f t="shared" si="30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2"/>
        <v>Véhicules neufs[...]</v>
      </c>
      <c r="B80" s="12" t="str">
        <f t="shared" si="1"/>
        <v>Véhicules neufs</v>
      </c>
      <c r="C80" s="30" t="s">
        <v>21</v>
      </c>
      <c r="D80" s="82"/>
      <c r="E80" s="14"/>
      <c r="F80" s="31">
        <f>+SUM(START:END!F80)</f>
        <v>0</v>
      </c>
      <c r="G80" s="84"/>
      <c r="H80" s="14"/>
      <c r="I80" s="31">
        <f>+SUM(START:END!I80)</f>
        <v>0</v>
      </c>
      <c r="J80" s="42"/>
      <c r="K80" s="14"/>
      <c r="L80" s="34">
        <f>+SUM(START:END!L80)</f>
        <v>0</v>
      </c>
      <c r="M80" s="42"/>
      <c r="N80" s="60">
        <f t="shared" si="29"/>
        <v>0</v>
      </c>
      <c r="O80" s="42"/>
      <c r="P80" s="14"/>
      <c r="Q80" s="33">
        <f>+SUM(START:END!Q80)</f>
        <v>0</v>
      </c>
      <c r="R80" s="42"/>
      <c r="S80" s="86">
        <f t="shared" si="30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2"/>
        <v>Véhicules neufs[...]</v>
      </c>
      <c r="B81" s="12" t="str">
        <f t="shared" si="1"/>
        <v>Véhicules neufs</v>
      </c>
      <c r="C81" s="30" t="s">
        <v>21</v>
      </c>
      <c r="D81" s="82"/>
      <c r="E81" s="14"/>
      <c r="F81" s="31">
        <f>+SUM(START:END!F81)</f>
        <v>0</v>
      </c>
      <c r="G81" s="84"/>
      <c r="H81" s="14"/>
      <c r="I81" s="31">
        <f>+SUM(START:END!I81)</f>
        <v>0</v>
      </c>
      <c r="J81" s="42"/>
      <c r="K81" s="14"/>
      <c r="L81" s="34">
        <f>+SUM(START:END!L81)</f>
        <v>0</v>
      </c>
      <c r="M81" s="42"/>
      <c r="N81" s="60">
        <f t="shared" si="29"/>
        <v>0</v>
      </c>
      <c r="O81" s="42"/>
      <c r="P81" s="14"/>
      <c r="Q81" s="33">
        <f>+SUM(START:END!Q81)</f>
        <v>0</v>
      </c>
      <c r="R81" s="42"/>
      <c r="S81" s="86">
        <f t="shared" si="30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2"/>
        <v>Véhicules neufsFrais administration</v>
      </c>
      <c r="B82" s="12" t="str">
        <f t="shared" si="1"/>
        <v>Véhicules neufs</v>
      </c>
      <c r="C82" s="30" t="s">
        <v>71</v>
      </c>
      <c r="D82" s="82"/>
      <c r="E82" s="14"/>
      <c r="F82" s="31">
        <f>+SUM(START:END!F82)</f>
        <v>85886.079311227222</v>
      </c>
      <c r="G82" s="84"/>
      <c r="H82" s="14"/>
      <c r="I82" s="31">
        <f>+SUM(START:END!I82)</f>
        <v>85886.079311227222</v>
      </c>
      <c r="J82" s="42"/>
      <c r="K82" s="14"/>
      <c r="L82" s="33">
        <f>+SUM(START:END!L82)</f>
        <v>68780</v>
      </c>
      <c r="M82" s="42"/>
      <c r="N82" s="60">
        <f t="shared" si="29"/>
        <v>-17106.079311227222</v>
      </c>
      <c r="O82" s="42"/>
      <c r="P82" s="14"/>
      <c r="Q82" s="33">
        <f>+SUM(START:END!Q82)</f>
        <v>69093.69</v>
      </c>
      <c r="R82" s="42"/>
      <c r="S82" s="86">
        <f t="shared" si="30"/>
        <v>-313.69000000000233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2"/>
        <v>Véhicules neufsAUTRES REVENUS</v>
      </c>
      <c r="B83" s="12" t="str">
        <f t="shared" si="1"/>
        <v>Véhicules neufs</v>
      </c>
      <c r="C83" s="96" t="s">
        <v>72</v>
      </c>
      <c r="D83" s="97"/>
      <c r="E83" s="98"/>
      <c r="F83" s="99">
        <f>+SUM(F75:F82)</f>
        <v>355035.25406423921</v>
      </c>
      <c r="G83" s="100"/>
      <c r="H83" s="98"/>
      <c r="I83" s="99">
        <f>+SUM(I75:I82)</f>
        <v>355035.25406423921</v>
      </c>
      <c r="J83" s="100"/>
      <c r="K83" s="98"/>
      <c r="L83" s="99">
        <f>+SUM(L75:L82)</f>
        <v>302280.07</v>
      </c>
      <c r="M83" s="103"/>
      <c r="N83" s="99">
        <f>+SUM(N75:N82)</f>
        <v>-52755.184064239183</v>
      </c>
      <c r="O83" s="100"/>
      <c r="P83" s="98"/>
      <c r="Q83" s="99">
        <f>+SUM(Q75:Q82)</f>
        <v>312420.53999999998</v>
      </c>
      <c r="R83" s="103"/>
      <c r="S83" s="104">
        <f>+SUM(S75:S82)</f>
        <v>18359.530000000028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2"/>
        <v>Véhicules neufs</v>
      </c>
      <c r="B84" s="12" t="str">
        <f t="shared" si="1"/>
        <v>Véhicules neufs</v>
      </c>
      <c r="C84" s="118"/>
      <c r="D84" s="119"/>
      <c r="E84" s="120"/>
      <c r="F84" s="121"/>
      <c r="G84" s="122"/>
      <c r="H84" s="120"/>
      <c r="I84" s="121"/>
      <c r="J84" s="123"/>
      <c r="K84" s="124"/>
      <c r="L84" s="121"/>
      <c r="M84" s="123"/>
      <c r="N84" s="125"/>
      <c r="O84" s="123"/>
      <c r="P84" s="124"/>
      <c r="Q84" s="121"/>
      <c r="R84" s="123"/>
      <c r="S84" s="126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2"/>
        <v>Véhicules neufsPROFIT DÉPARTEMENTAL</v>
      </c>
      <c r="B85" s="12" t="str">
        <f t="shared" si="1"/>
        <v>Véhicules neufs</v>
      </c>
      <c r="C85" s="127" t="s">
        <v>73</v>
      </c>
      <c r="D85" s="128"/>
      <c r="E85" s="129"/>
      <c r="F85" s="130">
        <f>F27-F74+F83</f>
        <v>414116.55851850635</v>
      </c>
      <c r="G85" s="131"/>
      <c r="H85" s="129"/>
      <c r="I85" s="130">
        <f>I27-I74+I83</f>
        <v>414116.55851850635</v>
      </c>
      <c r="J85" s="131"/>
      <c r="K85" s="128"/>
      <c r="L85" s="130">
        <f>L27-L74+L83</f>
        <v>485592.26999999938</v>
      </c>
      <c r="M85" s="131"/>
      <c r="N85" s="130">
        <f>N27-N41-N54-N72+N83</f>
        <v>71475.711481493054</v>
      </c>
      <c r="O85" s="131"/>
      <c r="P85" s="128"/>
      <c r="Q85" s="130">
        <f>Q27-Q74+Q83</f>
        <v>362610.82700000011</v>
      </c>
      <c r="R85" s="131"/>
      <c r="S85" s="132">
        <f>S27-S41-S54-S72+S83</f>
        <v>165179.60299999936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3"/>
      <c r="C86" s="134"/>
      <c r="D86" s="134"/>
      <c r="E86" s="134"/>
      <c r="F86" s="134"/>
      <c r="G86" s="134"/>
      <c r="H86" s="134"/>
      <c r="I86" s="134"/>
      <c r="J86" s="134"/>
      <c r="K86" s="134"/>
      <c r="L86" s="135"/>
      <c r="M86" s="134"/>
      <c r="N86" s="134"/>
      <c r="O86" s="134"/>
      <c r="P86" s="134"/>
      <c r="Q86" s="134"/>
      <c r="R86" s="134"/>
      <c r="S86" s="134"/>
      <c r="T86" s="134"/>
      <c r="U86" s="134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</row>
    <row r="87" spans="1:40" ht="40.5" customHeight="1">
      <c r="B87" s="133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  Volks T3 2022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64" t="s">
        <v>5</v>
      </c>
      <c r="E91" s="565"/>
      <c r="F91" s="566"/>
      <c r="G91" s="562" t="s">
        <v>75</v>
      </c>
      <c r="H91" s="565"/>
      <c r="I91" s="566"/>
      <c r="J91" s="562" t="s">
        <v>7</v>
      </c>
      <c r="K91" s="565"/>
      <c r="L91" s="566"/>
      <c r="M91" s="562" t="s">
        <v>8</v>
      </c>
      <c r="N91" s="566"/>
      <c r="O91" s="564" t="s">
        <v>9</v>
      </c>
      <c r="P91" s="565"/>
      <c r="Q91" s="566"/>
      <c r="R91" s="562" t="s">
        <v>10</v>
      </c>
      <c r="S91" s="56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6" t="s">
        <v>11</v>
      </c>
      <c r="E92" s="81" t="s">
        <v>12</v>
      </c>
      <c r="F92" s="137" t="s">
        <v>13</v>
      </c>
      <c r="G92" s="138" t="s">
        <v>11</v>
      </c>
      <c r="H92" s="81" t="s">
        <v>12</v>
      </c>
      <c r="I92" s="137" t="s">
        <v>13</v>
      </c>
      <c r="J92" s="138" t="s">
        <v>11</v>
      </c>
      <c r="K92" s="81" t="s">
        <v>14</v>
      </c>
      <c r="L92" s="137" t="s">
        <v>13</v>
      </c>
      <c r="M92" s="138" t="s">
        <v>15</v>
      </c>
      <c r="N92" s="137" t="s">
        <v>13</v>
      </c>
      <c r="O92" s="81" t="s">
        <v>11</v>
      </c>
      <c r="P92" s="81" t="s">
        <v>14</v>
      </c>
      <c r="Q92" s="137" t="s">
        <v>13</v>
      </c>
      <c r="R92" s="138" t="s">
        <v>11</v>
      </c>
      <c r="S92" s="139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1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+SUM(START:END!F93)</f>
        <v>3821698.7023081416</v>
      </c>
      <c r="G93" s="47"/>
      <c r="H93" s="26"/>
      <c r="I93" s="23">
        <f>+SUM(START:END!I93)</f>
        <v>3821698.7023081416</v>
      </c>
      <c r="J93" s="24"/>
      <c r="K93" s="26"/>
      <c r="L93" s="23">
        <f>+SUM(START:END!L93)</f>
        <v>5180887.5199999996</v>
      </c>
      <c r="M93" s="140"/>
      <c r="N93" s="141"/>
      <c r="O93" s="24"/>
      <c r="P93" s="26"/>
      <c r="Q93" s="23">
        <f>+SUM(START:END!Q93)</f>
        <v>4675670.8600000003</v>
      </c>
      <c r="R93" s="140"/>
      <c r="S93" s="142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1"/>
        <v>Véhicules usagésCertifié</v>
      </c>
      <c r="B94" s="12" t="s">
        <v>74</v>
      </c>
      <c r="C94" s="30" t="s">
        <v>76</v>
      </c>
      <c r="D94" s="31">
        <f>+SUM(START:END!D94)</f>
        <v>116.65048543689321</v>
      </c>
      <c r="E94" s="31">
        <f>IF(D94=0,0,F94/D94)</f>
        <v>1300</v>
      </c>
      <c r="F94" s="428">
        <f>+SUM(START:END!F94)</f>
        <v>151645.63106796116</v>
      </c>
      <c r="G94" s="31">
        <f>+SUM(START:END!G94)</f>
        <v>116.65048543689321</v>
      </c>
      <c r="H94" s="31">
        <f>IF(G94=0,0,I94/G94)</f>
        <v>1300</v>
      </c>
      <c r="I94" s="428">
        <f>+SUM(START:END!I94)</f>
        <v>151645.63106796116</v>
      </c>
      <c r="J94" s="31">
        <f>+SUM(START:END!J94)</f>
        <v>110</v>
      </c>
      <c r="K94" s="31">
        <f>IF(J94=0,0,L94/J94)</f>
        <v>1759.0521818181824</v>
      </c>
      <c r="L94" s="31">
        <f>+SUM(START:END!L94)</f>
        <v>193495.74000000005</v>
      </c>
      <c r="M94" s="32">
        <f>J94-G94</f>
        <v>-6.6504854368932058</v>
      </c>
      <c r="N94" s="34">
        <f>L94-I94</f>
        <v>41850.108932038886</v>
      </c>
      <c r="O94" s="31">
        <f>+SUM(START:END!O94)</f>
        <v>114</v>
      </c>
      <c r="P94" s="31">
        <f>IF(O94=0,0,Q94/O94)</f>
        <v>1370.7450877192987</v>
      </c>
      <c r="Q94" s="31">
        <f>+SUM(START:END!Q94)</f>
        <v>156264.94000000006</v>
      </c>
      <c r="R94" s="32">
        <f t="shared" ref="R94:R95" si="32">J94-O94</f>
        <v>-4</v>
      </c>
      <c r="S94" s="35">
        <f t="shared" ref="S94:S95" si="33">L94-Q94</f>
        <v>37230.799999999988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1"/>
        <v>Véhicules usagésNon Certifié</v>
      </c>
      <c r="B95" s="12" t="s">
        <v>74</v>
      </c>
      <c r="C95" s="30" t="s">
        <v>77</v>
      </c>
      <c r="D95" s="31">
        <f>+SUM(START:END!D95)</f>
        <v>6.5533980582524274</v>
      </c>
      <c r="E95" s="26">
        <f t="shared" ref="E95:E104" si="34">IF(D95=0,0,F95/D95)</f>
        <v>900</v>
      </c>
      <c r="F95" s="53">
        <f>+SUM(START:END!F95)</f>
        <v>5898.0582524271849</v>
      </c>
      <c r="G95" s="31">
        <f>+SUM(START:END!G95)</f>
        <v>6.5533980582524274</v>
      </c>
      <c r="H95" s="26">
        <f t="shared" ref="H95" si="35">IF(G95=0,0,I95/G95)</f>
        <v>900</v>
      </c>
      <c r="I95" s="53">
        <f>+SUM(START:END!I95)</f>
        <v>5898.0582524271849</v>
      </c>
      <c r="J95" s="31">
        <f>+SUM(START:END!J95)</f>
        <v>0</v>
      </c>
      <c r="K95" s="26">
        <f t="shared" ref="K95" si="36">IF(J95=0,0,L95/J95)</f>
        <v>0</v>
      </c>
      <c r="L95" s="31">
        <f>+SUM(START:END!L95)</f>
        <v>0</v>
      </c>
      <c r="M95" s="32"/>
      <c r="N95" s="34"/>
      <c r="O95" s="31">
        <f>+SUM(START:END!O95)</f>
        <v>4</v>
      </c>
      <c r="P95" s="26">
        <f t="shared" ref="P95" si="37">IF(O95=0,0,Q95/O95)</f>
        <v>1709.4600000000014</v>
      </c>
      <c r="Q95" s="31">
        <f>+SUM(START:END!Q95)</f>
        <v>6837.8400000000056</v>
      </c>
      <c r="R95" s="32">
        <f t="shared" si="32"/>
        <v>-4</v>
      </c>
      <c r="S95" s="35">
        <f t="shared" si="33"/>
        <v>-6837.8400000000056</v>
      </c>
      <c r="T95" s="14"/>
      <c r="U95" s="14"/>
      <c r="V95" s="143"/>
      <c r="W95" s="143"/>
      <c r="X95" s="143"/>
      <c r="Y95" s="143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1"/>
        <v>Véhicules usagésTotal Usagés</v>
      </c>
      <c r="B96" s="12" t="s">
        <v>74</v>
      </c>
      <c r="C96" s="36" t="s">
        <v>78</v>
      </c>
      <c r="D96" s="37">
        <f>+D95+D94</f>
        <v>123.20388349514563</v>
      </c>
      <c r="E96" s="31">
        <f t="shared" si="34"/>
        <v>1278.7234042553191</v>
      </c>
      <c r="F96" s="38">
        <f t="shared" ref="F96" si="38">+F94+F95</f>
        <v>157543.68932038834</v>
      </c>
      <c r="G96" s="39">
        <f>+G95+G94</f>
        <v>123.20388349514563</v>
      </c>
      <c r="H96" s="37">
        <f t="shared" ref="H96:H98" si="39">IF(G96=0,0,I96/G96)</f>
        <v>1278.7234042553191</v>
      </c>
      <c r="I96" s="38">
        <f t="shared" ref="I96:J96" si="40">+I94+I95</f>
        <v>157543.68932038834</v>
      </c>
      <c r="J96" s="39">
        <f t="shared" si="40"/>
        <v>110</v>
      </c>
      <c r="K96" s="37">
        <f>IF(J96&lt;=0,0,L96/J96)</f>
        <v>1759.0521818181824</v>
      </c>
      <c r="L96" s="38">
        <f>+L94+L95</f>
        <v>193495.74000000005</v>
      </c>
      <c r="M96" s="39">
        <f>J96-G96</f>
        <v>-13.203883495145632</v>
      </c>
      <c r="N96" s="38">
        <f>L96-I96</f>
        <v>35952.050679611712</v>
      </c>
      <c r="O96" s="39">
        <f t="shared" ref="O96" si="41">+O94+O95</f>
        <v>118</v>
      </c>
      <c r="P96" s="37">
        <f>IF(O96&lt;=0,0,Q96/O96)</f>
        <v>1382.2269491525428</v>
      </c>
      <c r="Q96" s="38">
        <f>+Q94+Q95</f>
        <v>163102.78000000006</v>
      </c>
      <c r="R96" s="39">
        <f t="shared" ref="R96:S96" si="42">R94+R95</f>
        <v>-8</v>
      </c>
      <c r="S96" s="40">
        <f t="shared" si="42"/>
        <v>30392.959999999985</v>
      </c>
      <c r="T96" s="14"/>
      <c r="U96" s="14"/>
      <c r="V96" s="31">
        <f>+SUM(START:END!D96)-D96</f>
        <v>0</v>
      </c>
      <c r="W96" s="31">
        <f>+SUM(START:END!G96)-G96</f>
        <v>0</v>
      </c>
      <c r="X96" s="31">
        <f>+SUM(START:END!J96)-J96</f>
        <v>0</v>
      </c>
      <c r="Y96" s="31">
        <f>+SUM(START:END!O96)-O96</f>
        <v>0</v>
      </c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1"/>
        <v>Véhicules usagés</v>
      </c>
      <c r="B97" s="12" t="s">
        <v>74</v>
      </c>
      <c r="C97" s="30"/>
      <c r="D97" s="14"/>
      <c r="E97" s="31">
        <f t="shared" si="34"/>
        <v>0</v>
      </c>
      <c r="F97" s="41"/>
      <c r="G97" s="42"/>
      <c r="H97" s="14">
        <f t="shared" si="39"/>
        <v>0</v>
      </c>
      <c r="I97" s="41"/>
      <c r="J97" s="42"/>
      <c r="K97" s="14"/>
      <c r="L97" s="41"/>
      <c r="M97" s="43">
        <f>M96/G96</f>
        <v>-0.10717100078802208</v>
      </c>
      <c r="N97" s="44">
        <f>N96/I96</f>
        <v>0.22820368644851213</v>
      </c>
      <c r="O97" s="42"/>
      <c r="P97" s="14"/>
      <c r="Q97" s="41"/>
      <c r="R97" s="43">
        <f>R96/O96</f>
        <v>-6.7796610169491525E-2</v>
      </c>
      <c r="S97" s="45">
        <f>IF(Q96=0,0,(S96/Q96))</f>
        <v>0.1863423787135938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1"/>
        <v>Véhicules usagésUS</v>
      </c>
      <c r="B98" s="12" t="s">
        <v>74</v>
      </c>
      <c r="C98" s="30" t="s">
        <v>196</v>
      </c>
      <c r="D98" s="31">
        <f>+SUM(START:END!D98)</f>
        <v>0</v>
      </c>
      <c r="E98" s="31">
        <f t="shared" si="34"/>
        <v>0</v>
      </c>
      <c r="F98" s="31">
        <f>+SUM(START:END!F98)</f>
        <v>0</v>
      </c>
      <c r="G98" s="160">
        <f>+SUM(START:END!G98)</f>
        <v>0</v>
      </c>
      <c r="H98" s="31">
        <f t="shared" si="39"/>
        <v>0</v>
      </c>
      <c r="I98" s="31">
        <f>+SUM(START:END!I98)</f>
        <v>0</v>
      </c>
      <c r="J98" s="32">
        <f>+SUM(START:END!J98)</f>
        <v>0</v>
      </c>
      <c r="K98" s="31">
        <f t="shared" ref="K98" si="43">IF(J98=0,0,L98/J98)</f>
        <v>0</v>
      </c>
      <c r="L98" s="34">
        <f>+SUM(START:END!L98)</f>
        <v>0</v>
      </c>
      <c r="M98" s="32">
        <f t="shared" ref="M98" si="44">J98-G98</f>
        <v>0</v>
      </c>
      <c r="N98" s="34">
        <f t="shared" ref="N98" si="45">L98-I98</f>
        <v>0</v>
      </c>
      <c r="O98" s="32">
        <f>+SUM(START:END!O98)</f>
        <v>0</v>
      </c>
      <c r="P98" s="31">
        <f t="shared" ref="P98" si="46">IF(O98=0,0,Q98/O98)</f>
        <v>0</v>
      </c>
      <c r="Q98" s="33">
        <f>+SUM(START:END!Q98)</f>
        <v>0</v>
      </c>
      <c r="R98" s="32"/>
      <c r="S98" s="35"/>
      <c r="T98" s="14"/>
      <c r="U98" s="14"/>
      <c r="V98" s="31">
        <f>+SUM(START:END!D98)-D98</f>
        <v>0</v>
      </c>
      <c r="W98" s="31">
        <f>+SUM(START:END!G98)-G98</f>
        <v>0</v>
      </c>
      <c r="X98" s="31">
        <f>+SUM(START:END!J98)-J98</f>
        <v>0</v>
      </c>
      <c r="Y98" s="31">
        <f>+SUM(START:END!O98)-O98</f>
        <v>0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1"/>
        <v>Véhicules usagésVentes au Gros</v>
      </c>
      <c r="B99" s="12" t="s">
        <v>74</v>
      </c>
      <c r="C99" s="30" t="s">
        <v>79</v>
      </c>
      <c r="D99" s="31">
        <f>+SUM(START:END!D99)</f>
        <v>107.21114651663086</v>
      </c>
      <c r="E99" s="31">
        <f t="shared" ref="E99" si="47">IF(D99=0,0,F99/D99)</f>
        <v>211.99999999999997</v>
      </c>
      <c r="F99" s="31">
        <f>+SUM(START:END!F99)</f>
        <v>22728.76306152574</v>
      </c>
      <c r="G99" s="160">
        <f>+SUM(START:END!G99)</f>
        <v>107.21114651663086</v>
      </c>
      <c r="H99" s="31">
        <f t="shared" ref="H99" si="48">IF(G99=0,0,I99/G99)</f>
        <v>211.99999999999997</v>
      </c>
      <c r="I99" s="31">
        <f>+SUM(START:END!I99)</f>
        <v>22728.76306152574</v>
      </c>
      <c r="J99" s="32">
        <f>+SUM(START:END!J99)</f>
        <v>117</v>
      </c>
      <c r="K99" s="31">
        <f t="shared" ref="K99" si="49">IF(J99=0,0,L99/J99)</f>
        <v>382.77606837606879</v>
      </c>
      <c r="L99" s="34">
        <f>+SUM(START:END!L99)</f>
        <v>44784.800000000047</v>
      </c>
      <c r="M99" s="32">
        <f t="shared" ref="M99" si="50">J99-G99</f>
        <v>9.7888534833691381</v>
      </c>
      <c r="N99" s="34">
        <f t="shared" ref="N99" si="51">L99-I99</f>
        <v>22056.036938474306</v>
      </c>
      <c r="O99" s="32">
        <f>+SUM(START:END!O99)</f>
        <v>147</v>
      </c>
      <c r="P99" s="31">
        <f t="shared" ref="P99" si="52">IF(O99=0,0,Q99/O99)</f>
        <v>291.98183673469401</v>
      </c>
      <c r="Q99" s="33">
        <f>+SUM(START:END!Q99)</f>
        <v>42921.330000000016</v>
      </c>
      <c r="R99" s="32">
        <f t="shared" ref="R99" si="53">J99-O99</f>
        <v>-30</v>
      </c>
      <c r="S99" s="35">
        <f t="shared" ref="S99" si="54">L99-Q99</f>
        <v>1863.4700000000303</v>
      </c>
      <c r="T99" s="14"/>
      <c r="U99" s="14"/>
      <c r="V99" s="31">
        <f>+SUM(START:END!D99)-D99</f>
        <v>0</v>
      </c>
      <c r="W99" s="31">
        <f>+SUM(START:END!G99)-G99</f>
        <v>0</v>
      </c>
      <c r="X99" s="31">
        <f>+SUM(START:END!J99)-J99</f>
        <v>0</v>
      </c>
      <c r="Y99" s="31">
        <f>+SUM(START:END!O99)-O99</f>
        <v>0</v>
      </c>
      <c r="Z99" s="14"/>
      <c r="AA99" s="14"/>
      <c r="AB99" s="14"/>
      <c r="AC99" s="83"/>
      <c r="AD99" s="14"/>
      <c r="AE99" s="14"/>
      <c r="AF99" s="144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1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5"/>
      <c r="O100" s="52"/>
      <c r="P100" s="48"/>
      <c r="Q100" s="49"/>
      <c r="R100" s="50"/>
      <c r="S100" s="14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4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1"/>
        <v>Véhicules usagésRev. Finances</v>
      </c>
      <c r="B101" s="12" t="s">
        <v>74</v>
      </c>
      <c r="C101" s="30" t="s">
        <v>26</v>
      </c>
      <c r="D101" s="31">
        <v>0</v>
      </c>
      <c r="E101" s="31">
        <f t="shared" si="34"/>
        <v>0</v>
      </c>
      <c r="F101" s="34">
        <f>+SUM(START:END!F101)</f>
        <v>81186.543440696667</v>
      </c>
      <c r="G101" s="32">
        <v>0</v>
      </c>
      <c r="H101" s="31">
        <f t="shared" ref="H101:H104" si="55">IF(G101=0,0,I101/G101)</f>
        <v>0</v>
      </c>
      <c r="I101" s="31">
        <f>+SUM(START:END!I101)</f>
        <v>81186.543440696667</v>
      </c>
      <c r="J101" s="32"/>
      <c r="K101" s="31">
        <f>IF(J96=0,0,L101/J96)</f>
        <v>717.36390909090903</v>
      </c>
      <c r="L101" s="34">
        <f>+SUM(START:END!L101)</f>
        <v>78910.03</v>
      </c>
      <c r="M101" s="32"/>
      <c r="N101" s="34">
        <f t="shared" ref="N101:N104" si="56">L101-I101</f>
        <v>-2276.5134406966681</v>
      </c>
      <c r="O101" s="32"/>
      <c r="P101" s="31">
        <f>IF(O96=0,0,Q101/O96)</f>
        <v>870.32711864406781</v>
      </c>
      <c r="Q101" s="34">
        <f>+SUM(START:END!Q101)</f>
        <v>102698.6</v>
      </c>
      <c r="R101" s="32">
        <f t="shared" ref="R101:R103" si="57">O101-K101</f>
        <v>-717.36390909090903</v>
      </c>
      <c r="S101" s="35">
        <f t="shared" ref="S101:S104" si="58">L101-Q101</f>
        <v>-23788.570000000007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1"/>
        <v>Véhicules usagésRev. Protections</v>
      </c>
      <c r="B102" s="12" t="s">
        <v>74</v>
      </c>
      <c r="C102" s="30" t="s">
        <v>27</v>
      </c>
      <c r="D102" s="31">
        <v>0</v>
      </c>
      <c r="E102" s="31">
        <f t="shared" si="34"/>
        <v>0</v>
      </c>
      <c r="F102" s="34">
        <f>+SUM(START:END!F102)</f>
        <v>143143.77658502135</v>
      </c>
      <c r="G102" s="32">
        <v>0</v>
      </c>
      <c r="H102" s="31">
        <f t="shared" si="55"/>
        <v>0</v>
      </c>
      <c r="I102" s="31">
        <f>+SUM(START:END!I102)</f>
        <v>143143.77658502135</v>
      </c>
      <c r="J102" s="32"/>
      <c r="K102" s="31">
        <f>IF(J96=0,0,L102/J96)</f>
        <v>1184.6819090909091</v>
      </c>
      <c r="L102" s="34">
        <f>+SUM(START:END!L102)</f>
        <v>130315.01000000001</v>
      </c>
      <c r="M102" s="32"/>
      <c r="N102" s="34">
        <f t="shared" si="56"/>
        <v>-12828.766585021338</v>
      </c>
      <c r="O102" s="32"/>
      <c r="P102" s="31">
        <f>IF(O96=0,0,Q102/O96)</f>
        <v>1237.1114406779661</v>
      </c>
      <c r="Q102" s="34">
        <f>+SUM(START:END!Q102)</f>
        <v>145979.15</v>
      </c>
      <c r="R102" s="32">
        <f t="shared" si="57"/>
        <v>-1184.6819090909091</v>
      </c>
      <c r="S102" s="35">
        <f t="shared" si="58"/>
        <v>-15664.139999999985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1"/>
        <v>Véhicules usagésRev. Autres</v>
      </c>
      <c r="B103" s="12" t="s">
        <v>74</v>
      </c>
      <c r="C103" s="30" t="s">
        <v>28</v>
      </c>
      <c r="D103" s="31">
        <v>0</v>
      </c>
      <c r="E103" s="26">
        <f t="shared" si="34"/>
        <v>0</v>
      </c>
      <c r="F103" s="34">
        <f>+SUM(START:END!F103)</f>
        <v>4059.963143432863</v>
      </c>
      <c r="G103" s="32">
        <v>0</v>
      </c>
      <c r="H103" s="48">
        <f t="shared" si="55"/>
        <v>0</v>
      </c>
      <c r="I103" s="31">
        <f>+SUM(START:END!I103)</f>
        <v>4059.963143432863</v>
      </c>
      <c r="J103" s="32"/>
      <c r="K103" s="48">
        <f>IF(J96=0,0,L103/J96)</f>
        <v>35.74463636363636</v>
      </c>
      <c r="L103" s="34">
        <f>+SUM(START:END!L103)</f>
        <v>3931.91</v>
      </c>
      <c r="M103" s="52"/>
      <c r="N103" s="34">
        <f t="shared" si="56"/>
        <v>-128.05314343286318</v>
      </c>
      <c r="O103" s="32"/>
      <c r="P103" s="48">
        <f>IF(O96=0,0,Q103/O96)</f>
        <v>55.284745762711864</v>
      </c>
      <c r="Q103" s="34">
        <f>+SUM(START:END!Q103)</f>
        <v>6523.6</v>
      </c>
      <c r="R103" s="32">
        <f t="shared" si="57"/>
        <v>-35.74463636363636</v>
      </c>
      <c r="S103" s="35">
        <f t="shared" si="58"/>
        <v>-2591.6900000000005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1"/>
        <v>Véhicules usagésTotal F&amp;I</v>
      </c>
      <c r="B104" s="12" t="s">
        <v>74</v>
      </c>
      <c r="C104" s="36" t="s">
        <v>29</v>
      </c>
      <c r="D104" s="37">
        <f>D96</f>
        <v>123.20388349514563</v>
      </c>
      <c r="E104" s="31">
        <f t="shared" si="34"/>
        <v>1853.7587995604838</v>
      </c>
      <c r="F104" s="38">
        <f>F101+F102+F103</f>
        <v>228390.28316915088</v>
      </c>
      <c r="G104" s="39">
        <f>G96</f>
        <v>123.20388349514563</v>
      </c>
      <c r="H104" s="37">
        <f t="shared" si="55"/>
        <v>1853.7587995604838</v>
      </c>
      <c r="I104" s="38">
        <f>I101+I102+I103</f>
        <v>228390.28316915088</v>
      </c>
      <c r="J104" s="39">
        <f>J96</f>
        <v>110</v>
      </c>
      <c r="K104" s="37">
        <f>IF(J104&lt;=0,0,L104/J104)</f>
        <v>1937.7904545454546</v>
      </c>
      <c r="L104" s="38">
        <f>L101+L102+L103</f>
        <v>213156.95</v>
      </c>
      <c r="M104" s="32">
        <f>J104-G104</f>
        <v>-13.203883495145632</v>
      </c>
      <c r="N104" s="38">
        <f t="shared" si="56"/>
        <v>-15233.333169150865</v>
      </c>
      <c r="O104" s="39">
        <f>O96</f>
        <v>118</v>
      </c>
      <c r="P104" s="37">
        <f>IF(O104&lt;=0,0,Q104/O104)</f>
        <v>2162.7233050847458</v>
      </c>
      <c r="Q104" s="38">
        <f>Q101+Q102+Q103</f>
        <v>255201.35</v>
      </c>
      <c r="R104" s="57"/>
      <c r="S104" s="40">
        <f t="shared" si="58"/>
        <v>-42044.399999999994</v>
      </c>
      <c r="T104" s="14"/>
      <c r="U104" s="14"/>
      <c r="V104" s="31">
        <f>+SUM(START:END!D104)-D104</f>
        <v>0</v>
      </c>
      <c r="W104" s="31">
        <f>+SUM(START:END!G104)-G104</f>
        <v>0</v>
      </c>
      <c r="X104" s="31">
        <f>+SUM(START:END!J104)-J104</f>
        <v>0</v>
      </c>
      <c r="Y104" s="31">
        <f>+SUM(START:END!O104)-O104</f>
        <v>0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1"/>
        <v>Véhicules usagés</v>
      </c>
      <c r="B105" s="12" t="s">
        <v>74</v>
      </c>
      <c r="C105" s="30"/>
      <c r="D105" s="14"/>
      <c r="E105" s="14"/>
      <c r="F105" s="60"/>
      <c r="G105" s="42"/>
      <c r="H105" s="147"/>
      <c r="I105" s="60"/>
      <c r="J105" s="42"/>
      <c r="K105" s="14"/>
      <c r="L105" s="60"/>
      <c r="M105" s="43"/>
      <c r="N105" s="44">
        <f>N104/I104</f>
        <v>-6.6698692071189045E-2</v>
      </c>
      <c r="O105" s="42"/>
      <c r="P105" s="14"/>
      <c r="Q105" s="60"/>
      <c r="R105" s="61"/>
      <c r="S105" s="45">
        <f>IF(Q104=0,0,(S104/Q104))</f>
        <v>-0.16474991217718868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1"/>
        <v>Véhicules usagés</v>
      </c>
      <c r="B106" s="12" t="s">
        <v>74</v>
      </c>
      <c r="C106" s="30"/>
      <c r="D106" s="14"/>
      <c r="E106" s="14"/>
      <c r="F106" s="60"/>
      <c r="G106" s="42"/>
      <c r="H106" s="147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1"/>
        <v>Véhicules usagésTotal Dépt. Usagés</v>
      </c>
      <c r="B107" s="12" t="s">
        <v>74</v>
      </c>
      <c r="C107" s="63" t="s">
        <v>80</v>
      </c>
      <c r="D107" s="64">
        <f>D96+D99</f>
        <v>230.41503001177648</v>
      </c>
      <c r="E107" s="68">
        <f>IF(D107&lt;=0,0,F107/D107)</f>
        <v>1773.5940903255237</v>
      </c>
      <c r="F107" s="66">
        <f>F96+F104+F99</f>
        <v>408662.73555106495</v>
      </c>
      <c r="G107" s="67">
        <f>G96+G99</f>
        <v>230.41503001177648</v>
      </c>
      <c r="H107" s="68">
        <f>IF(G107&lt;=0,0,I107/G107)</f>
        <v>1773.5940903255237</v>
      </c>
      <c r="I107" s="66">
        <f>I96+I104+I99</f>
        <v>408662.73555106495</v>
      </c>
      <c r="J107" s="67">
        <f>J96+J99+J98</f>
        <v>227</v>
      </c>
      <c r="K107" s="68">
        <f>IF(J107&lt;=0,0,L107/J107)</f>
        <v>1988.7114096916305</v>
      </c>
      <c r="L107" s="66">
        <f>L96+L104+L99+L98</f>
        <v>451437.49000000011</v>
      </c>
      <c r="M107" s="67">
        <f>J107-G107</f>
        <v>-3.41503001177648</v>
      </c>
      <c r="N107" s="66">
        <f>L107-I107</f>
        <v>42774.754448935157</v>
      </c>
      <c r="O107" s="67">
        <f>O96+O99+O98</f>
        <v>265</v>
      </c>
      <c r="P107" s="68">
        <f>IF(O107&lt;=0,0,Q107/O107)</f>
        <v>1740.4734339622644</v>
      </c>
      <c r="Q107" s="66">
        <f>Q96+Q104+Q99+Q98</f>
        <v>461225.46000000008</v>
      </c>
      <c r="R107" s="67">
        <f>J107-O107</f>
        <v>-38</v>
      </c>
      <c r="S107" s="69">
        <f>L107-Q107</f>
        <v>-9787.9699999999721</v>
      </c>
      <c r="T107" s="14"/>
      <c r="U107" s="14"/>
      <c r="V107" s="31">
        <f>+SUM(START:END!D107)-D107</f>
        <v>0</v>
      </c>
      <c r="W107" s="31">
        <f>+SUM(START:END!G107)-G107</f>
        <v>0</v>
      </c>
      <c r="X107" s="31">
        <f>+SUM(START:END!J107)-J107</f>
        <v>0</v>
      </c>
      <c r="Y107" s="31">
        <f>+SUM(START:END!O107)-O107</f>
        <v>0</v>
      </c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1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-1.4821212017297388E-2</v>
      </c>
      <c r="N108" s="75">
        <f>N107/I107</f>
        <v>0.10467006342346129</v>
      </c>
      <c r="O108" s="73"/>
      <c r="P108" s="71"/>
      <c r="Q108" s="72"/>
      <c r="R108" s="74">
        <f>O107/R107</f>
        <v>-6.9736842105263159</v>
      </c>
      <c r="S108" s="148">
        <f>IF(Q107=0,0,(S107/Q107))</f>
        <v>-2.1221660226649175E-2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1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1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1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9">F111/D$96</f>
        <v>504.36544523246653</v>
      </c>
      <c r="F111" s="31">
        <f>+SUM(START:END!F111)</f>
        <v>62139.781553398061</v>
      </c>
      <c r="G111" s="149">
        <f>I111/I96</f>
        <v>0.39442888395883408</v>
      </c>
      <c r="H111" s="83">
        <f t="shared" ref="H111:H119" si="60">I111/G$96</f>
        <v>504.36544523246653</v>
      </c>
      <c r="I111" s="31">
        <f>+SUM(START:END!I111)</f>
        <v>62139.781553398061</v>
      </c>
      <c r="J111" s="149">
        <f>L111/L96</f>
        <v>0.41574594872217852</v>
      </c>
      <c r="K111" s="83">
        <f t="shared" ref="K111:K119" si="61">IF($J$96=0,0,L111/(J$94+J$95))</f>
        <v>731.3188181818183</v>
      </c>
      <c r="L111" s="34">
        <f>+SUM(START:END!L111)</f>
        <v>80445.070000000007</v>
      </c>
      <c r="M111" s="42"/>
      <c r="N111" s="60">
        <f t="shared" ref="N111:N152" si="62">L111-I111</f>
        <v>18305.288446601946</v>
      </c>
      <c r="O111" s="42"/>
      <c r="P111" s="83">
        <f t="shared" ref="P111:P119" si="63">IF($J$96=0,0,Q111/(O$94+O$95))</f>
        <v>564.19016949152547</v>
      </c>
      <c r="Q111" s="34">
        <f>+SUM(START:END!Q111)</f>
        <v>66574.44</v>
      </c>
      <c r="R111" s="42"/>
      <c r="S111" s="86">
        <f t="shared" ref="S111:S121" si="64">L111-Q111</f>
        <v>13870.630000000005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1"/>
        <v>Véhicules usagésComm. F&amp;I</v>
      </c>
      <c r="B112" s="12" t="s">
        <v>74</v>
      </c>
      <c r="C112" s="88" t="s">
        <v>33</v>
      </c>
      <c r="D112" s="89"/>
      <c r="E112" s="90">
        <f t="shared" si="59"/>
        <v>556.12763986814514</v>
      </c>
      <c r="F112" s="23">
        <f>+SUM(START:END!F112)</f>
        <v>68517.084950745266</v>
      </c>
      <c r="G112" s="93">
        <f>I112/I104</f>
        <v>0.3</v>
      </c>
      <c r="H112" s="90">
        <f t="shared" si="60"/>
        <v>556.12763986814514</v>
      </c>
      <c r="I112" s="23">
        <f>+SUM(START:END!I112)</f>
        <v>68517.084950745266</v>
      </c>
      <c r="J112" s="93">
        <f>L112/L104</f>
        <v>0.26669250052602084</v>
      </c>
      <c r="K112" s="90">
        <f t="shared" si="61"/>
        <v>516.79418181818187</v>
      </c>
      <c r="L112" s="34">
        <f>+SUM(START:END!L112)</f>
        <v>56847.360000000001</v>
      </c>
      <c r="M112" s="24"/>
      <c r="N112" s="94">
        <f t="shared" si="62"/>
        <v>-11669.724950745265</v>
      </c>
      <c r="O112" s="24"/>
      <c r="P112" s="90">
        <f t="shared" si="63"/>
        <v>649.59618644067803</v>
      </c>
      <c r="Q112" s="34">
        <f>+SUM(START:END!Q112)</f>
        <v>76652.350000000006</v>
      </c>
      <c r="R112" s="24"/>
      <c r="S112" s="95">
        <f t="shared" si="64"/>
        <v>-19804.990000000005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1"/>
        <v>Véhicules usagésFrais de livraison</v>
      </c>
      <c r="B113" s="12" t="s">
        <v>74</v>
      </c>
      <c r="C113" s="30" t="s">
        <v>34</v>
      </c>
      <c r="D113" s="82"/>
      <c r="E113" s="83">
        <f t="shared" si="59"/>
        <v>69.809353301886802</v>
      </c>
      <c r="F113" s="31">
        <f>+SUM(START:END!F113)</f>
        <v>8600.7834310771213</v>
      </c>
      <c r="G113" s="84"/>
      <c r="H113" s="83">
        <f t="shared" si="60"/>
        <v>69.809353301886802</v>
      </c>
      <c r="I113" s="31">
        <f>+SUM(START:END!I113)</f>
        <v>8600.7834310771213</v>
      </c>
      <c r="J113" s="42"/>
      <c r="K113" s="83">
        <f t="shared" si="61"/>
        <v>16.655636363636361</v>
      </c>
      <c r="L113" s="111">
        <f>+SUM(START:END!L113)</f>
        <v>1832.12</v>
      </c>
      <c r="M113" s="42"/>
      <c r="N113" s="60">
        <f t="shared" si="62"/>
        <v>-6768.6634310771215</v>
      </c>
      <c r="O113" s="42"/>
      <c r="P113" s="83">
        <f t="shared" si="63"/>
        <v>85.455677966101703</v>
      </c>
      <c r="Q113" s="111">
        <f>+SUM(START:END!Q113)</f>
        <v>10083.77</v>
      </c>
      <c r="R113" s="42"/>
      <c r="S113" s="86">
        <f t="shared" si="64"/>
        <v>-8251.6500000000015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1"/>
        <v>Véhicules usagésService gratuit 1</v>
      </c>
      <c r="B114" s="12" t="s">
        <v>74</v>
      </c>
      <c r="C114" s="30" t="s">
        <v>35</v>
      </c>
      <c r="D114" s="82"/>
      <c r="E114" s="83">
        <f t="shared" si="59"/>
        <v>33.511014976415098</v>
      </c>
      <c r="F114" s="31">
        <f>+SUM(START:END!F114)</f>
        <v>4128.6871849583258</v>
      </c>
      <c r="G114" s="84"/>
      <c r="H114" s="83">
        <f t="shared" si="60"/>
        <v>33.511014976415098</v>
      </c>
      <c r="I114" s="31">
        <f>+SUM(START:END!I114)</f>
        <v>4128.6871849583258</v>
      </c>
      <c r="J114" s="42"/>
      <c r="K114" s="83">
        <f t="shared" si="61"/>
        <v>1.415</v>
      </c>
      <c r="L114" s="34">
        <f>+SUM(START:END!L114)</f>
        <v>155.65</v>
      </c>
      <c r="M114" s="42"/>
      <c r="N114" s="60">
        <f t="shared" si="62"/>
        <v>-3973.0371849583257</v>
      </c>
      <c r="O114" s="42"/>
      <c r="P114" s="83">
        <f t="shared" si="63"/>
        <v>14.21686440677966</v>
      </c>
      <c r="Q114" s="34">
        <f>+SUM(START:END!Q114)</f>
        <v>1677.59</v>
      </c>
      <c r="R114" s="42"/>
      <c r="S114" s="86">
        <f t="shared" si="64"/>
        <v>-1521.9399999999998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1"/>
        <v>Véhicules usagésEntretien stock</v>
      </c>
      <c r="B115" s="12" t="s">
        <v>74</v>
      </c>
      <c r="C115" s="88" t="s">
        <v>36</v>
      </c>
      <c r="D115" s="89"/>
      <c r="E115" s="90">
        <f t="shared" si="59"/>
        <v>88.549952830188673</v>
      </c>
      <c r="F115" s="23">
        <f>+SUM(START:END!F115)</f>
        <v>10909.698071991206</v>
      </c>
      <c r="G115" s="91"/>
      <c r="H115" s="90">
        <f t="shared" si="60"/>
        <v>88.549952830188673</v>
      </c>
      <c r="I115" s="23">
        <f>+SUM(START:END!I115)</f>
        <v>10909.698071991206</v>
      </c>
      <c r="J115" s="24"/>
      <c r="K115" s="90">
        <f t="shared" si="61"/>
        <v>141.20936363636363</v>
      </c>
      <c r="L115" s="49">
        <f>+SUM(START:END!L115)</f>
        <v>15533.029999999999</v>
      </c>
      <c r="M115" s="24"/>
      <c r="N115" s="94">
        <f t="shared" si="62"/>
        <v>4623.3319280087926</v>
      </c>
      <c r="O115" s="24"/>
      <c r="P115" s="90">
        <f t="shared" si="63"/>
        <v>82.882033898305068</v>
      </c>
      <c r="Q115" s="49">
        <f>+SUM(START:END!Q115)</f>
        <v>9780.0799999999981</v>
      </c>
      <c r="R115" s="24"/>
      <c r="S115" s="95">
        <f t="shared" si="64"/>
        <v>5752.9500000000007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1"/>
        <v>Véhicules usagésPublicité 1</v>
      </c>
      <c r="B116" s="12" t="s">
        <v>74</v>
      </c>
      <c r="C116" s="30" t="s">
        <v>37</v>
      </c>
      <c r="D116" s="82"/>
      <c r="E116" s="83">
        <f t="shared" si="59"/>
        <v>42.755319148936188</v>
      </c>
      <c r="F116" s="31">
        <f>+SUM(START:END!F116)</f>
        <v>5267.6213592233034</v>
      </c>
      <c r="G116" s="84"/>
      <c r="H116" s="83">
        <f t="shared" si="60"/>
        <v>42.755319148936188</v>
      </c>
      <c r="I116" s="31">
        <f>+SUM(START:END!I116)</f>
        <v>5267.6213592233034</v>
      </c>
      <c r="J116" s="42"/>
      <c r="K116" s="83">
        <f t="shared" si="61"/>
        <v>170.43581818181818</v>
      </c>
      <c r="L116" s="34">
        <f>+SUM(START:END!L116)</f>
        <v>18747.939999999999</v>
      </c>
      <c r="M116" s="42"/>
      <c r="N116" s="60">
        <f t="shared" si="62"/>
        <v>13480.318640776695</v>
      </c>
      <c r="O116" s="42"/>
      <c r="P116" s="83">
        <f t="shared" si="63"/>
        <v>57.888389830508473</v>
      </c>
      <c r="Q116" s="34">
        <f>+SUM(START:END!Q116)</f>
        <v>6830.83</v>
      </c>
      <c r="R116" s="42"/>
      <c r="S116" s="86">
        <f t="shared" si="64"/>
        <v>11917.109999999999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1"/>
        <v>Véhicules usagésIntérêt de gros</v>
      </c>
      <c r="B117" s="12" t="s">
        <v>74</v>
      </c>
      <c r="C117" s="30" t="s">
        <v>38</v>
      </c>
      <c r="D117" s="82"/>
      <c r="E117" s="83">
        <f t="shared" si="59"/>
        <v>20.446090351168088</v>
      </c>
      <c r="F117" s="31">
        <f>+SUM(START:END!F117)</f>
        <v>2519.0377335565345</v>
      </c>
      <c r="G117" s="84"/>
      <c r="H117" s="83">
        <f t="shared" si="60"/>
        <v>20.446090351168088</v>
      </c>
      <c r="I117" s="31">
        <f>+SUM(START:END!I117)</f>
        <v>2519.0377335565345</v>
      </c>
      <c r="J117" s="42"/>
      <c r="K117" s="83">
        <f t="shared" si="61"/>
        <v>122.05172727272728</v>
      </c>
      <c r="L117" s="34">
        <f>+SUM(START:END!L117)</f>
        <v>13425.69</v>
      </c>
      <c r="M117" s="42"/>
      <c r="N117" s="60">
        <f t="shared" si="62"/>
        <v>10906.652266443467</v>
      </c>
      <c r="O117" s="42"/>
      <c r="P117" s="83">
        <f t="shared" si="63"/>
        <v>10.085677966101693</v>
      </c>
      <c r="Q117" s="34">
        <f>+SUM(START:END!Q117)</f>
        <v>1190.1099999999999</v>
      </c>
      <c r="R117" s="42"/>
      <c r="S117" s="86">
        <f t="shared" si="64"/>
        <v>12235.58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1"/>
        <v>Véhicules usagés[...]</v>
      </c>
      <c r="B118" s="12" t="s">
        <v>74</v>
      </c>
      <c r="C118" s="30" t="s">
        <v>21</v>
      </c>
      <c r="D118" s="82"/>
      <c r="E118" s="83">
        <f t="shared" si="59"/>
        <v>0</v>
      </c>
      <c r="F118" s="31">
        <f>+SUM(START:END!F118)</f>
        <v>0</v>
      </c>
      <c r="G118" s="84"/>
      <c r="H118" s="83">
        <f t="shared" si="60"/>
        <v>0</v>
      </c>
      <c r="I118" s="31">
        <f>+SUM(START:END!I118)</f>
        <v>0</v>
      </c>
      <c r="J118" s="42"/>
      <c r="K118" s="83">
        <f t="shared" si="61"/>
        <v>0</v>
      </c>
      <c r="L118" s="34">
        <f>+SUM(START:END!L118)</f>
        <v>0</v>
      </c>
      <c r="M118" s="42"/>
      <c r="N118" s="60">
        <f t="shared" si="62"/>
        <v>0</v>
      </c>
      <c r="O118" s="42"/>
      <c r="P118" s="83">
        <f t="shared" si="63"/>
        <v>0</v>
      </c>
      <c r="Q118" s="34">
        <f>+SUM(START:END!Q118)</f>
        <v>0</v>
      </c>
      <c r="R118" s="42"/>
      <c r="S118" s="86">
        <f t="shared" si="64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1"/>
        <v>Véhicules usagés[...]</v>
      </c>
      <c r="B119" s="12" t="s">
        <v>74</v>
      </c>
      <c r="C119" s="30" t="s">
        <v>21</v>
      </c>
      <c r="D119" s="82"/>
      <c r="E119" s="83">
        <f t="shared" si="59"/>
        <v>0</v>
      </c>
      <c r="F119" s="31">
        <f>+SUM(START:END!F119)</f>
        <v>0</v>
      </c>
      <c r="G119" s="84"/>
      <c r="H119" s="83">
        <f t="shared" si="60"/>
        <v>0</v>
      </c>
      <c r="I119" s="31">
        <f>+SUM(START:END!I119)</f>
        <v>0</v>
      </c>
      <c r="J119" s="42"/>
      <c r="K119" s="83">
        <f t="shared" si="61"/>
        <v>0</v>
      </c>
      <c r="L119" s="34">
        <f>+SUM(START:END!L119)</f>
        <v>0</v>
      </c>
      <c r="M119" s="42"/>
      <c r="N119" s="60">
        <f t="shared" si="62"/>
        <v>0</v>
      </c>
      <c r="O119" s="42"/>
      <c r="P119" s="83">
        <f t="shared" si="63"/>
        <v>0</v>
      </c>
      <c r="Q119" s="34">
        <f>+SUM(START:END!Q119)</f>
        <v>0</v>
      </c>
      <c r="R119" s="42"/>
      <c r="S119" s="86">
        <f t="shared" si="64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1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+SUM(START:END!F120)</f>
        <v>0</v>
      </c>
      <c r="G120" s="84"/>
      <c r="H120" s="83">
        <f>I120/G$96</f>
        <v>0</v>
      </c>
      <c r="I120" s="31">
        <f>+SUM(START:END!I120)</f>
        <v>0</v>
      </c>
      <c r="J120" s="42"/>
      <c r="K120" s="83">
        <f>IF($J$96=0,0,L120/(J$94+J$95))</f>
        <v>0</v>
      </c>
      <c r="L120" s="34">
        <f>+SUM(START:END!L120)</f>
        <v>0</v>
      </c>
      <c r="M120" s="42"/>
      <c r="N120" s="60">
        <f t="shared" si="62"/>
        <v>0</v>
      </c>
      <c r="O120" s="42"/>
      <c r="P120" s="83">
        <f>IF($J$96=0,0,Q120/(O$94+O$95))</f>
        <v>0</v>
      </c>
      <c r="Q120" s="34">
        <f>+SUM(START:END!Q120)</f>
        <v>0</v>
      </c>
      <c r="R120" s="42"/>
      <c r="S120" s="86">
        <f t="shared" si="64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1"/>
        <v>Véhicules usagésTOTAL VARIABLES</v>
      </c>
      <c r="B121" s="12" t="s">
        <v>74</v>
      </c>
      <c r="C121" s="96" t="s">
        <v>39</v>
      </c>
      <c r="D121" s="97" t="s">
        <v>40</v>
      </c>
      <c r="E121" s="98">
        <f>F121/F$107</f>
        <v>0.39661725962458494</v>
      </c>
      <c r="F121" s="99">
        <f>SUM(F111:F120)</f>
        <v>162082.69428494983</v>
      </c>
      <c r="G121" s="100" t="s">
        <v>40</v>
      </c>
      <c r="H121" s="98">
        <f>I121/I$107</f>
        <v>0.39661725962458494</v>
      </c>
      <c r="I121" s="99">
        <f>SUM(I111:I120)</f>
        <v>162082.69428494983</v>
      </c>
      <c r="J121" s="100" t="s">
        <v>40</v>
      </c>
      <c r="K121" s="98">
        <f>L121/L$107</f>
        <v>0.41420321559912965</v>
      </c>
      <c r="L121" s="99">
        <f>SUM(L111:L120)</f>
        <v>186986.86</v>
      </c>
      <c r="M121" s="103"/>
      <c r="N121" s="99">
        <f t="shared" si="62"/>
        <v>24904.165715050156</v>
      </c>
      <c r="O121" s="100" t="s">
        <v>40</v>
      </c>
      <c r="P121" s="98">
        <f>Q121/Q$107</f>
        <v>0.37463059823280337</v>
      </c>
      <c r="Q121" s="99">
        <f>SUM(Q111:Q120)</f>
        <v>172789.16999999995</v>
      </c>
      <c r="R121" s="103"/>
      <c r="S121" s="104">
        <f t="shared" si="64"/>
        <v>14197.690000000031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1"/>
        <v>Véhicules usagésSalaires cadres</v>
      </c>
      <c r="B122" s="12" t="s">
        <v>74</v>
      </c>
      <c r="C122" s="105" t="s">
        <v>42</v>
      </c>
      <c r="D122" s="14"/>
      <c r="E122" s="14"/>
      <c r="F122" s="31">
        <f>+SUM(START:END!F122)</f>
        <v>24223.445977011495</v>
      </c>
      <c r="G122" s="42"/>
      <c r="H122" s="14"/>
      <c r="I122" s="31">
        <f>+SUM(START:END!I122)</f>
        <v>24223.445977011495</v>
      </c>
      <c r="J122" s="42"/>
      <c r="K122" s="14"/>
      <c r="L122" s="34">
        <f>+SUM(START:END!L122)</f>
        <v>33457.06</v>
      </c>
      <c r="M122" s="42"/>
      <c r="N122" s="60">
        <f t="shared" si="62"/>
        <v>9233.6140229885023</v>
      </c>
      <c r="O122" s="42"/>
      <c r="P122" s="14"/>
      <c r="Q122" s="34">
        <f>+SUM(START:END!Q122)</f>
        <v>23492.18</v>
      </c>
      <c r="R122" s="42"/>
      <c r="S122" s="62"/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1"/>
        <v>Véhicules usagésSalaires commis</v>
      </c>
      <c r="B123" s="12" t="s">
        <v>74</v>
      </c>
      <c r="C123" s="106" t="s">
        <v>43</v>
      </c>
      <c r="D123" s="82"/>
      <c r="E123" s="14"/>
      <c r="F123" s="23">
        <f>+SUM(START:END!F123)</f>
        <v>6548.0185180229892</v>
      </c>
      <c r="G123" s="84"/>
      <c r="H123" s="14"/>
      <c r="I123" s="23">
        <f>+SUM(START:END!I123)</f>
        <v>6548.0185180229892</v>
      </c>
      <c r="J123" s="42"/>
      <c r="K123" s="14"/>
      <c r="L123" s="23">
        <f>+SUM(START:END!L123)</f>
        <v>4841.2299999999996</v>
      </c>
      <c r="M123" s="42"/>
      <c r="N123" s="60">
        <f t="shared" si="62"/>
        <v>-1706.7885180229896</v>
      </c>
      <c r="O123" s="42"/>
      <c r="P123" s="14"/>
      <c r="Q123" s="23">
        <f>+SUM(START:END!Q123)</f>
        <v>6125.7199999999993</v>
      </c>
      <c r="R123" s="42"/>
      <c r="S123" s="86">
        <f t="shared" ref="S123:S152" si="65">L123-Q123</f>
        <v>-1284.4899999999998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1"/>
        <v>Véhicules usagésSalaires autres</v>
      </c>
      <c r="B124" s="12" t="s">
        <v>74</v>
      </c>
      <c r="C124" s="105" t="s">
        <v>44</v>
      </c>
      <c r="D124" s="107"/>
      <c r="E124" s="108"/>
      <c r="F124" s="31">
        <f>+SUM(START:END!F124)</f>
        <v>24569.385405425288</v>
      </c>
      <c r="G124" s="109"/>
      <c r="H124" s="108"/>
      <c r="I124" s="31">
        <f>+SUM(START:END!I124)</f>
        <v>24569.385405425288</v>
      </c>
      <c r="J124" s="110"/>
      <c r="K124" s="108"/>
      <c r="L124" s="34">
        <f>+SUM(START:END!L124)</f>
        <v>22102.3</v>
      </c>
      <c r="M124" s="110"/>
      <c r="N124" s="112">
        <f t="shared" si="62"/>
        <v>-2467.0854054252886</v>
      </c>
      <c r="O124" s="110"/>
      <c r="P124" s="108"/>
      <c r="Q124" s="34">
        <f>+SUM(START:END!Q124)</f>
        <v>25188.899999999998</v>
      </c>
      <c r="R124" s="110"/>
      <c r="S124" s="113">
        <f t="shared" si="65"/>
        <v>-3086.5999999999985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1"/>
        <v>Véhicules usagésSalaires spécialistes</v>
      </c>
      <c r="B125" s="12" t="s">
        <v>74</v>
      </c>
      <c r="C125" s="105" t="s">
        <v>45</v>
      </c>
      <c r="D125" s="82"/>
      <c r="E125" s="14"/>
      <c r="F125" s="31">
        <f>+SUM(START:END!F125)</f>
        <v>0</v>
      </c>
      <c r="G125" s="84"/>
      <c r="H125" s="14"/>
      <c r="I125" s="31">
        <f>+SUM(START:END!I125)</f>
        <v>0</v>
      </c>
      <c r="J125" s="42"/>
      <c r="K125" s="14"/>
      <c r="L125" s="34">
        <f>+SUM(START:END!L125)</f>
        <v>0</v>
      </c>
      <c r="M125" s="42"/>
      <c r="N125" s="60">
        <f t="shared" si="62"/>
        <v>0</v>
      </c>
      <c r="O125" s="42"/>
      <c r="P125" s="14"/>
      <c r="Q125" s="34">
        <f>+SUM(START:END!Q125)</f>
        <v>0</v>
      </c>
      <c r="R125" s="42"/>
      <c r="S125" s="86">
        <f t="shared" si="65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1"/>
        <v>Véhicules usagés[...]</v>
      </c>
      <c r="B126" s="12" t="s">
        <v>74</v>
      </c>
      <c r="C126" s="105" t="s">
        <v>21</v>
      </c>
      <c r="D126" s="82"/>
      <c r="E126" s="14"/>
      <c r="F126" s="31">
        <f>+SUM(START:END!F126)</f>
        <v>0</v>
      </c>
      <c r="G126" s="84"/>
      <c r="H126" s="14"/>
      <c r="I126" s="31">
        <f>+SUM(START:END!I126)</f>
        <v>0</v>
      </c>
      <c r="J126" s="42"/>
      <c r="K126" s="14"/>
      <c r="L126" s="34">
        <f>+SUM(START:END!L126)</f>
        <v>0</v>
      </c>
      <c r="M126" s="42"/>
      <c r="N126" s="60">
        <f t="shared" si="62"/>
        <v>0</v>
      </c>
      <c r="O126" s="42"/>
      <c r="P126" s="14"/>
      <c r="Q126" s="34">
        <f>+SUM(START:END!Q126)</f>
        <v>0</v>
      </c>
      <c r="R126" s="42"/>
      <c r="S126" s="86">
        <f t="shared" si="65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1"/>
        <v>Véhicules usagés[...]</v>
      </c>
      <c r="B127" s="12" t="s">
        <v>74</v>
      </c>
      <c r="C127" s="105" t="s">
        <v>21</v>
      </c>
      <c r="D127" s="82"/>
      <c r="E127" s="14"/>
      <c r="F127" s="31">
        <f>+SUM(START:END!F127)</f>
        <v>0</v>
      </c>
      <c r="G127" s="84"/>
      <c r="H127" s="14"/>
      <c r="I127" s="31">
        <f>+SUM(START:END!I127)</f>
        <v>0</v>
      </c>
      <c r="J127" s="42"/>
      <c r="K127" s="14"/>
      <c r="L127" s="34">
        <f>+SUM(START:END!L127)</f>
        <v>0</v>
      </c>
      <c r="M127" s="42"/>
      <c r="N127" s="60">
        <f t="shared" si="62"/>
        <v>0</v>
      </c>
      <c r="O127" s="42"/>
      <c r="P127" s="14"/>
      <c r="Q127" s="34">
        <f>+SUM(START:END!Q127)</f>
        <v>0</v>
      </c>
      <c r="R127" s="42"/>
      <c r="S127" s="86">
        <f t="shared" si="65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1"/>
        <v>Véhicules usagés[...]</v>
      </c>
      <c r="B128" s="12" t="s">
        <v>74</v>
      </c>
      <c r="C128" s="105" t="s">
        <v>21</v>
      </c>
      <c r="D128" s="82"/>
      <c r="E128" s="14"/>
      <c r="F128" s="31">
        <f>+SUM(START:END!F128)</f>
        <v>0</v>
      </c>
      <c r="G128" s="84"/>
      <c r="H128" s="14"/>
      <c r="I128" s="31">
        <f>+SUM(START:END!I128)</f>
        <v>0</v>
      </c>
      <c r="J128" s="42"/>
      <c r="K128" s="14"/>
      <c r="L128" s="34">
        <f>+SUM(START:END!L128)</f>
        <v>0</v>
      </c>
      <c r="M128" s="42"/>
      <c r="N128" s="60">
        <f t="shared" si="62"/>
        <v>0</v>
      </c>
      <c r="O128" s="42"/>
      <c r="P128" s="14"/>
      <c r="Q128" s="34">
        <f>+SUM(START:END!Q128)</f>
        <v>0</v>
      </c>
      <c r="R128" s="42"/>
      <c r="S128" s="86">
        <f t="shared" si="65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1"/>
        <v>Véhicules usagésSalaires en absences</v>
      </c>
      <c r="B129" s="12" t="s">
        <v>74</v>
      </c>
      <c r="C129" s="106" t="s">
        <v>46</v>
      </c>
      <c r="D129" s="82"/>
      <c r="E129" s="14"/>
      <c r="F129" s="31">
        <f>+SUM(START:END!F129)</f>
        <v>21712.748572945042</v>
      </c>
      <c r="G129" s="84"/>
      <c r="H129" s="14"/>
      <c r="I129" s="31">
        <f>+SUM(START:END!I129)</f>
        <v>21712.748572945042</v>
      </c>
      <c r="J129" s="42"/>
      <c r="K129" s="14"/>
      <c r="L129" s="34">
        <f>+SUM(START:END!L129)</f>
        <v>11991.81</v>
      </c>
      <c r="M129" s="42"/>
      <c r="N129" s="60">
        <f t="shared" si="62"/>
        <v>-9720.9385729450423</v>
      </c>
      <c r="O129" s="42"/>
      <c r="P129" s="14"/>
      <c r="Q129" s="34">
        <f>+SUM(START:END!Q129)</f>
        <v>12122.720000000001</v>
      </c>
      <c r="R129" s="42"/>
      <c r="S129" s="86">
        <f t="shared" si="65"/>
        <v>-130.91000000000167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1"/>
        <v>Véhicules usagésDéduction à la source</v>
      </c>
      <c r="B130" s="12" t="s">
        <v>74</v>
      </c>
      <c r="C130" s="105" t="s">
        <v>47</v>
      </c>
      <c r="D130" s="107"/>
      <c r="E130" s="108"/>
      <c r="F130" s="55">
        <f>+SUM(START:END!F130)</f>
        <v>19445.992028197517</v>
      </c>
      <c r="G130" s="109"/>
      <c r="H130" s="108"/>
      <c r="I130" s="55">
        <f>+SUM(START:END!I130)</f>
        <v>19445.992028197517</v>
      </c>
      <c r="J130" s="110"/>
      <c r="K130" s="108"/>
      <c r="L130" s="56">
        <f>+SUM(START:END!L130)</f>
        <v>9306.08</v>
      </c>
      <c r="M130" s="110"/>
      <c r="N130" s="112">
        <f t="shared" si="62"/>
        <v>-10139.912028197517</v>
      </c>
      <c r="O130" s="110"/>
      <c r="P130" s="108"/>
      <c r="Q130" s="56">
        <f>+SUM(START:END!Q130)</f>
        <v>22003.4</v>
      </c>
      <c r="R130" s="110"/>
      <c r="S130" s="113">
        <f t="shared" si="65"/>
        <v>-12697.320000000002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1"/>
        <v>Véhicules usagésBénéfices marginaux</v>
      </c>
      <c r="B131" s="12" t="s">
        <v>74</v>
      </c>
      <c r="C131" s="105" t="s">
        <v>48</v>
      </c>
      <c r="D131" s="82"/>
      <c r="E131" s="14"/>
      <c r="F131" s="31">
        <f>+SUM(START:END!F131)</f>
        <v>15442.405434156852</v>
      </c>
      <c r="G131" s="84"/>
      <c r="H131" s="14"/>
      <c r="I131" s="31">
        <f>+SUM(START:END!I131)</f>
        <v>15442.405434156852</v>
      </c>
      <c r="J131" s="42"/>
      <c r="K131" s="14"/>
      <c r="L131" s="34">
        <f>+SUM(START:END!L131)</f>
        <v>6835.6299999999992</v>
      </c>
      <c r="M131" s="42"/>
      <c r="N131" s="60">
        <f t="shared" si="62"/>
        <v>-8606.7754341568525</v>
      </c>
      <c r="O131" s="42"/>
      <c r="P131" s="14"/>
      <c r="Q131" s="34">
        <f>+SUM(START:END!Q131)</f>
        <v>15769.1</v>
      </c>
      <c r="R131" s="42"/>
      <c r="S131" s="86">
        <f t="shared" si="65"/>
        <v>-8933.4700000000012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1"/>
        <v>Véhicules usagésCsst</v>
      </c>
      <c r="B132" s="12" t="s">
        <v>74</v>
      </c>
      <c r="C132" s="105" t="s">
        <v>49</v>
      </c>
      <c r="D132" s="82"/>
      <c r="E132" s="14"/>
      <c r="F132" s="31">
        <f>+SUM(START:END!F132)</f>
        <v>6291.3503620639021</v>
      </c>
      <c r="G132" s="84"/>
      <c r="H132" s="14"/>
      <c r="I132" s="31">
        <f>+SUM(START:END!I132)</f>
        <v>6291.3503620639021</v>
      </c>
      <c r="J132" s="42"/>
      <c r="K132" s="14"/>
      <c r="L132" s="34">
        <f>+SUM(START:END!L132)</f>
        <v>4623.25</v>
      </c>
      <c r="M132" s="42"/>
      <c r="N132" s="60">
        <f t="shared" si="62"/>
        <v>-1668.1003620639021</v>
      </c>
      <c r="O132" s="42"/>
      <c r="P132" s="14"/>
      <c r="Q132" s="34">
        <f>+SUM(START:END!Q132)</f>
        <v>3667.2300000000005</v>
      </c>
      <c r="R132" s="42"/>
      <c r="S132" s="86">
        <f t="shared" si="65"/>
        <v>956.01999999999953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1"/>
        <v>Véhicules usagés[...]</v>
      </c>
      <c r="B133" s="12" t="s">
        <v>74</v>
      </c>
      <c r="C133" s="30" t="s">
        <v>21</v>
      </c>
      <c r="D133" s="89"/>
      <c r="E133" s="114"/>
      <c r="F133" s="31">
        <f>+SUM(START:END!F133)</f>
        <v>0</v>
      </c>
      <c r="G133" s="91"/>
      <c r="H133" s="114"/>
      <c r="I133" s="31">
        <f>+SUM(START:END!I133)</f>
        <v>0</v>
      </c>
      <c r="J133" s="24"/>
      <c r="K133" s="114"/>
      <c r="L133" s="34">
        <f>+SUM(START:END!L133)</f>
        <v>0</v>
      </c>
      <c r="M133" s="24"/>
      <c r="N133" s="150">
        <f t="shared" si="62"/>
        <v>0</v>
      </c>
      <c r="O133" s="24"/>
      <c r="P133" s="114"/>
      <c r="Q133" s="34">
        <f>+SUM(START:END!Q133)</f>
        <v>0</v>
      </c>
      <c r="R133" s="24"/>
      <c r="S133" s="95">
        <f t="shared" si="65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1"/>
        <v>Véhicules usagésTOTAL PERSONNEL</v>
      </c>
      <c r="B134" s="12" t="s">
        <v>74</v>
      </c>
      <c r="C134" s="96" t="s">
        <v>50</v>
      </c>
      <c r="D134" s="97" t="s">
        <v>40</v>
      </c>
      <c r="E134" s="98">
        <f>F134/F$107</f>
        <v>0.28931765980176849</v>
      </c>
      <c r="F134" s="99">
        <f>+SUM(F122:F133)</f>
        <v>118233.3462978231</v>
      </c>
      <c r="G134" s="100" t="s">
        <v>40</v>
      </c>
      <c r="H134" s="98">
        <f>I134/I$107</f>
        <v>0.28931765980176849</v>
      </c>
      <c r="I134" s="99">
        <f>+SUM(I122:I133)</f>
        <v>118233.3462978231</v>
      </c>
      <c r="J134" s="100" t="s">
        <v>40</v>
      </c>
      <c r="K134" s="98">
        <f>L134/L$107</f>
        <v>0.20635716364628906</v>
      </c>
      <c r="L134" s="99">
        <f>SUM(L122:L133)</f>
        <v>93157.36</v>
      </c>
      <c r="M134" s="151"/>
      <c r="N134" s="116">
        <f t="shared" si="62"/>
        <v>-25075.986297823096</v>
      </c>
      <c r="O134" s="100" t="s">
        <v>40</v>
      </c>
      <c r="P134" s="98">
        <f>Q134/Q$107</f>
        <v>0.23495938407216288</v>
      </c>
      <c r="Q134" s="99">
        <f>SUM(Q122:Q133)</f>
        <v>108369.25000000001</v>
      </c>
      <c r="R134" s="151"/>
      <c r="S134" s="117">
        <f t="shared" si="65"/>
        <v>-15211.890000000014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1"/>
        <v>Véhicules usagésPublicité 2</v>
      </c>
      <c r="B135" s="12" t="s">
        <v>74</v>
      </c>
      <c r="C135" s="30" t="s">
        <v>51</v>
      </c>
      <c r="D135" s="82"/>
      <c r="E135" s="14"/>
      <c r="F135" s="31">
        <f>+SUM(START:END!F135)</f>
        <v>0</v>
      </c>
      <c r="G135" s="84"/>
      <c r="H135" s="14"/>
      <c r="I135" s="31">
        <f>+SUM(START:END!I135)</f>
        <v>0</v>
      </c>
      <c r="J135" s="42"/>
      <c r="K135" s="14"/>
      <c r="L135" s="34">
        <f>+SUM(START:END!L135)</f>
        <v>0</v>
      </c>
      <c r="M135" s="42"/>
      <c r="N135" s="60">
        <f t="shared" si="62"/>
        <v>0</v>
      </c>
      <c r="O135" s="42"/>
      <c r="P135" s="14"/>
      <c r="Q135" s="34">
        <f>+SUM(START:END!Q135)</f>
        <v>0</v>
      </c>
      <c r="R135" s="42"/>
      <c r="S135" s="86">
        <f t="shared" si="65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1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+SUM(START:END!F136)</f>
        <v>0</v>
      </c>
      <c r="G136" s="84"/>
      <c r="H136" s="14"/>
      <c r="I136" s="31">
        <f>+SUM(START:END!I136)</f>
        <v>0</v>
      </c>
      <c r="J136" s="42"/>
      <c r="K136" s="14"/>
      <c r="L136" s="34">
        <f>+SUM(START:END!L136)</f>
        <v>0</v>
      </c>
      <c r="M136" s="42"/>
      <c r="N136" s="60">
        <f t="shared" si="62"/>
        <v>0</v>
      </c>
      <c r="O136" s="42"/>
      <c r="P136" s="14"/>
      <c r="Q136" s="34">
        <f>+SUM(START:END!Q136)</f>
        <v>0</v>
      </c>
      <c r="R136" s="42"/>
      <c r="S136" s="86">
        <f t="shared" si="65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1"/>
        <v>Véhicules usagésFrais véhicules de cie</v>
      </c>
      <c r="B137" s="12" t="s">
        <v>74</v>
      </c>
      <c r="C137" s="88" t="s">
        <v>53</v>
      </c>
      <c r="D137" s="89"/>
      <c r="E137" s="114"/>
      <c r="F137" s="23">
        <f>+SUM(START:END!F137)</f>
        <v>375.12</v>
      </c>
      <c r="G137" s="91"/>
      <c r="H137" s="114"/>
      <c r="I137" s="23">
        <f>+SUM(START:END!I137)</f>
        <v>375.12</v>
      </c>
      <c r="J137" s="24"/>
      <c r="K137" s="114"/>
      <c r="L137" s="23">
        <f>+SUM(START:END!L137)</f>
        <v>397.08000000000004</v>
      </c>
      <c r="M137" s="24"/>
      <c r="N137" s="94">
        <f t="shared" si="62"/>
        <v>21.960000000000036</v>
      </c>
      <c r="O137" s="24"/>
      <c r="P137" s="114"/>
      <c r="Q137" s="23">
        <f>+SUM(START:END!Q137)</f>
        <v>-1406.54</v>
      </c>
      <c r="R137" s="24"/>
      <c r="S137" s="95">
        <f t="shared" si="65"/>
        <v>1803.62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1"/>
        <v>Véhicules usagésInformatique</v>
      </c>
      <c r="B138" s="12" t="s">
        <v>74</v>
      </c>
      <c r="C138" s="30" t="s">
        <v>54</v>
      </c>
      <c r="D138" s="82"/>
      <c r="E138" s="14"/>
      <c r="F138" s="31">
        <f>+SUM(START:END!F138)</f>
        <v>7285.1067299999995</v>
      </c>
      <c r="G138" s="84"/>
      <c r="H138" s="14"/>
      <c r="I138" s="31">
        <f>+SUM(START:END!I138)</f>
        <v>7285.1067299999995</v>
      </c>
      <c r="J138" s="42"/>
      <c r="K138" s="14"/>
      <c r="L138" s="34">
        <f>+SUM(START:END!L138)</f>
        <v>9988.130000000001</v>
      </c>
      <c r="M138" s="42"/>
      <c r="N138" s="60">
        <f t="shared" si="62"/>
        <v>2703.0232700000015</v>
      </c>
      <c r="O138" s="42"/>
      <c r="P138" s="14"/>
      <c r="Q138" s="34">
        <f>+SUM(START:END!Q138)</f>
        <v>5668.2</v>
      </c>
      <c r="R138" s="42"/>
      <c r="S138" s="86">
        <f t="shared" si="65"/>
        <v>4319.9300000000012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1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+SUM(START:END!F139)</f>
        <v>891.15952500000003</v>
      </c>
      <c r="G139" s="84"/>
      <c r="H139" s="14"/>
      <c r="I139" s="31">
        <f>+SUM(START:END!I139)</f>
        <v>891.15952500000003</v>
      </c>
      <c r="J139" s="42"/>
      <c r="K139" s="14"/>
      <c r="L139" s="34">
        <f>+SUM(START:END!L139)</f>
        <v>909.6</v>
      </c>
      <c r="M139" s="42"/>
      <c r="N139" s="60">
        <f t="shared" si="62"/>
        <v>18.440474999999992</v>
      </c>
      <c r="O139" s="42"/>
      <c r="P139" s="14"/>
      <c r="Q139" s="34">
        <f>+SUM(START:END!Q139)</f>
        <v>1062.4399999999998</v>
      </c>
      <c r="R139" s="42"/>
      <c r="S139" s="86">
        <f t="shared" si="65"/>
        <v>-152.8399999999998</v>
      </c>
      <c r="T139" s="152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1"/>
        <v>Véhicules usagésServices extérieurs</v>
      </c>
      <c r="B140" s="12" t="s">
        <v>74</v>
      </c>
      <c r="C140" s="88" t="s">
        <v>56</v>
      </c>
      <c r="D140" s="89"/>
      <c r="E140" s="114"/>
      <c r="F140" s="23">
        <f>+SUM(START:END!F140)</f>
        <v>4357.761199999999</v>
      </c>
      <c r="G140" s="91"/>
      <c r="H140" s="114"/>
      <c r="I140" s="23">
        <f>+SUM(START:END!I140)</f>
        <v>4357.761199999999</v>
      </c>
      <c r="J140" s="24"/>
      <c r="K140" s="114"/>
      <c r="L140" s="23">
        <f>+SUM(START:END!L140)</f>
        <v>3340.77</v>
      </c>
      <c r="M140" s="24"/>
      <c r="N140" s="94">
        <f t="shared" si="62"/>
        <v>-1016.991199999999</v>
      </c>
      <c r="O140" s="24"/>
      <c r="P140" s="114"/>
      <c r="Q140" s="23">
        <f>+SUM(START:END!Q140)</f>
        <v>2832.62</v>
      </c>
      <c r="R140" s="24"/>
      <c r="S140" s="95">
        <f t="shared" si="65"/>
        <v>508.15000000000009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1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+SUM(START:END!F141)</f>
        <v>275.46880160637579</v>
      </c>
      <c r="G141" s="84"/>
      <c r="H141" s="14"/>
      <c r="I141" s="31">
        <f>+SUM(START:END!I141)</f>
        <v>275.46880160637579</v>
      </c>
      <c r="J141" s="42"/>
      <c r="K141" s="14"/>
      <c r="L141" s="34">
        <f>+SUM(START:END!L141)</f>
        <v>1251.8899999999999</v>
      </c>
      <c r="M141" s="42"/>
      <c r="N141" s="60">
        <f t="shared" si="62"/>
        <v>976.42119839362408</v>
      </c>
      <c r="O141" s="42"/>
      <c r="P141" s="14"/>
      <c r="Q141" s="34">
        <f>+SUM(START:END!Q141)</f>
        <v>125.97000000000001</v>
      </c>
      <c r="R141" s="42"/>
      <c r="S141" s="86">
        <f t="shared" si="65"/>
        <v>1125.9199999999998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1"/>
        <v>Véhicules usagésUniformes</v>
      </c>
      <c r="B142" s="12" t="s">
        <v>74</v>
      </c>
      <c r="C142" s="30" t="s">
        <v>58</v>
      </c>
      <c r="D142" s="82"/>
      <c r="E142" s="14"/>
      <c r="F142" s="31">
        <f>+SUM(START:END!F142)</f>
        <v>146.37687970985664</v>
      </c>
      <c r="G142" s="84"/>
      <c r="H142" s="14"/>
      <c r="I142" s="31">
        <f>+SUM(START:END!I142)</f>
        <v>146.37687970985664</v>
      </c>
      <c r="J142" s="42"/>
      <c r="K142" s="14"/>
      <c r="L142" s="34">
        <f>+SUM(START:END!L142)</f>
        <v>0</v>
      </c>
      <c r="M142" s="42"/>
      <c r="N142" s="60">
        <f t="shared" si="62"/>
        <v>-146.37687970985664</v>
      </c>
      <c r="O142" s="42"/>
      <c r="P142" s="14"/>
      <c r="Q142" s="34">
        <f>+SUM(START:END!Q142)</f>
        <v>0</v>
      </c>
      <c r="R142" s="42"/>
      <c r="S142" s="86">
        <f t="shared" si="65"/>
        <v>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1"/>
        <v>Véhicules usagésPapeterie</v>
      </c>
      <c r="B143" s="12" t="s">
        <v>74</v>
      </c>
      <c r="C143" s="30" t="s">
        <v>59</v>
      </c>
      <c r="D143" s="82"/>
      <c r="E143" s="14"/>
      <c r="F143" s="31">
        <f>+SUM(START:END!F143)</f>
        <v>734.47235999999998</v>
      </c>
      <c r="G143" s="84"/>
      <c r="H143" s="14"/>
      <c r="I143" s="31">
        <f>+SUM(START:END!I143)</f>
        <v>734.47235999999998</v>
      </c>
      <c r="J143" s="42"/>
      <c r="K143" s="14"/>
      <c r="L143" s="33">
        <f>+SUM(START:END!L143)</f>
        <v>968.49</v>
      </c>
      <c r="M143" s="42"/>
      <c r="N143" s="60">
        <f t="shared" si="62"/>
        <v>234.01764000000003</v>
      </c>
      <c r="O143" s="42"/>
      <c r="P143" s="14"/>
      <c r="Q143" s="33">
        <f>+SUM(START:END!Q143)</f>
        <v>554.31999999999994</v>
      </c>
      <c r="R143" s="42"/>
      <c r="S143" s="86">
        <f t="shared" si="65"/>
        <v>414.17000000000007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1"/>
        <v>Véhicules usagésTéléphone</v>
      </c>
      <c r="B144" s="12" t="s">
        <v>74</v>
      </c>
      <c r="C144" s="30" t="s">
        <v>60</v>
      </c>
      <c r="D144" s="82"/>
      <c r="E144" s="14"/>
      <c r="F144" s="31">
        <f>+SUM(START:END!F144)</f>
        <v>339.14759250000003</v>
      </c>
      <c r="G144" s="84"/>
      <c r="H144" s="14"/>
      <c r="I144" s="31">
        <f>+SUM(START:END!I144)</f>
        <v>339.14759250000003</v>
      </c>
      <c r="J144" s="42"/>
      <c r="K144" s="14"/>
      <c r="L144" s="34">
        <f>+SUM(START:END!L144)</f>
        <v>131.54</v>
      </c>
      <c r="M144" s="42"/>
      <c r="N144" s="60">
        <f t="shared" si="62"/>
        <v>-207.60759250000004</v>
      </c>
      <c r="O144" s="42"/>
      <c r="P144" s="14"/>
      <c r="Q144" s="34">
        <f>+SUM(START:END!Q144)</f>
        <v>221.25</v>
      </c>
      <c r="R144" s="42"/>
      <c r="S144" s="86">
        <f t="shared" si="65"/>
        <v>-89.710000000000008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1"/>
        <v>Véhicules usagésFrais postaux</v>
      </c>
      <c r="B145" s="12" t="s">
        <v>74</v>
      </c>
      <c r="C145" s="30" t="s">
        <v>61</v>
      </c>
      <c r="D145" s="82"/>
      <c r="E145" s="14"/>
      <c r="F145" s="31">
        <f>+SUM(START:END!F145)</f>
        <v>181.03170749999995</v>
      </c>
      <c r="G145" s="84"/>
      <c r="H145" s="14"/>
      <c r="I145" s="31">
        <f>+SUM(START:END!I145)</f>
        <v>181.03170749999995</v>
      </c>
      <c r="J145" s="42"/>
      <c r="K145" s="14"/>
      <c r="L145" s="34">
        <f>+SUM(START:END!L145)</f>
        <v>232.89</v>
      </c>
      <c r="M145" s="42"/>
      <c r="N145" s="60">
        <f t="shared" si="62"/>
        <v>51.858292500000033</v>
      </c>
      <c r="O145" s="42"/>
      <c r="P145" s="14"/>
      <c r="Q145" s="34">
        <f>+SUM(START:END!Q145)</f>
        <v>276.12</v>
      </c>
      <c r="R145" s="42"/>
      <c r="S145" s="86">
        <f t="shared" si="65"/>
        <v>-43.230000000000018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1"/>
        <v>Véhicules usagésDivers</v>
      </c>
      <c r="B146" s="12" t="s">
        <v>74</v>
      </c>
      <c r="C146" s="30" t="s">
        <v>62</v>
      </c>
      <c r="D146" s="82"/>
      <c r="E146" s="14"/>
      <c r="F146" s="31">
        <f>+SUM(START:END!F146)</f>
        <v>873.2627924999997</v>
      </c>
      <c r="G146" s="84"/>
      <c r="H146" s="14"/>
      <c r="I146" s="31">
        <f>+SUM(START:END!I146)</f>
        <v>873.2627924999997</v>
      </c>
      <c r="J146" s="42"/>
      <c r="K146" s="14"/>
      <c r="L146" s="34">
        <f>+SUM(START:END!L146)</f>
        <v>132.94</v>
      </c>
      <c r="M146" s="42"/>
      <c r="N146" s="60">
        <f t="shared" si="62"/>
        <v>-740.32279249999965</v>
      </c>
      <c r="O146" s="42"/>
      <c r="P146" s="14"/>
      <c r="Q146" s="34">
        <f>+SUM(START:END!Q146)</f>
        <v>739.37</v>
      </c>
      <c r="R146" s="42"/>
      <c r="S146" s="86">
        <f t="shared" si="65"/>
        <v>-606.43000000000006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1"/>
        <v>Véhicules usagésFormation</v>
      </c>
      <c r="B147" s="12" t="s">
        <v>74</v>
      </c>
      <c r="C147" s="30" t="s">
        <v>63</v>
      </c>
      <c r="D147" s="82"/>
      <c r="E147" s="14"/>
      <c r="F147" s="31">
        <f>+SUM(START:END!F147)</f>
        <v>1297.4132999999999</v>
      </c>
      <c r="G147" s="84"/>
      <c r="H147" s="14"/>
      <c r="I147" s="31">
        <f>+SUM(START:END!I147)</f>
        <v>1297.4132999999999</v>
      </c>
      <c r="J147" s="42"/>
      <c r="K147" s="14"/>
      <c r="L147" s="34">
        <f>+SUM(START:END!L147)</f>
        <v>794.67</v>
      </c>
      <c r="M147" s="42"/>
      <c r="N147" s="60">
        <f t="shared" si="62"/>
        <v>-502.74329999999998</v>
      </c>
      <c r="O147" s="42"/>
      <c r="P147" s="14"/>
      <c r="Q147" s="34">
        <f>+SUM(START:END!Q147)</f>
        <v>511.86</v>
      </c>
      <c r="R147" s="42"/>
      <c r="S147" s="86">
        <f t="shared" si="65"/>
        <v>282.80999999999995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1"/>
        <v>Véhicules usagésFrais bancaires</v>
      </c>
      <c r="B148" s="12" t="s">
        <v>74</v>
      </c>
      <c r="C148" s="30" t="s">
        <v>64</v>
      </c>
      <c r="D148" s="82"/>
      <c r="E148" s="14"/>
      <c r="F148" s="31">
        <f>+SUM(START:END!F148)</f>
        <v>2042.7192298985749</v>
      </c>
      <c r="G148" s="84"/>
      <c r="H148" s="14"/>
      <c r="I148" s="31">
        <f>+SUM(START:END!I148)</f>
        <v>2042.7192298985749</v>
      </c>
      <c r="J148" s="42"/>
      <c r="K148" s="14"/>
      <c r="L148" s="34">
        <f>+SUM(START:END!L148)</f>
        <v>2522.34</v>
      </c>
      <c r="M148" s="42"/>
      <c r="N148" s="60">
        <f t="shared" si="62"/>
        <v>479.62077010142525</v>
      </c>
      <c r="O148" s="42"/>
      <c r="P148" s="14"/>
      <c r="Q148" s="34">
        <f>+SUM(START:END!Q148)</f>
        <v>1980.0940000000001</v>
      </c>
      <c r="R148" s="42"/>
      <c r="S148" s="86">
        <f t="shared" si="65"/>
        <v>542.24600000000009</v>
      </c>
      <c r="T148" s="83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1"/>
        <v>Véhicules usagés[...]</v>
      </c>
      <c r="B149" s="12" t="s">
        <v>74</v>
      </c>
      <c r="C149" s="30" t="s">
        <v>21</v>
      </c>
      <c r="D149" s="82"/>
      <c r="E149" s="14"/>
      <c r="F149" s="31">
        <f>+SUM(START:END!F149)</f>
        <v>0</v>
      </c>
      <c r="G149" s="84"/>
      <c r="H149" s="14"/>
      <c r="I149" s="31">
        <f>+SUM(START:END!I149)</f>
        <v>0</v>
      </c>
      <c r="J149" s="42"/>
      <c r="K149" s="14"/>
      <c r="L149" s="34">
        <f>+SUM(START:END!L149)</f>
        <v>0</v>
      </c>
      <c r="M149" s="42"/>
      <c r="N149" s="60">
        <f t="shared" si="62"/>
        <v>0</v>
      </c>
      <c r="O149" s="42"/>
      <c r="P149" s="14"/>
      <c r="Q149" s="34">
        <f>+SUM(START:END!Q149)</f>
        <v>0</v>
      </c>
      <c r="R149" s="42"/>
      <c r="S149" s="86">
        <f t="shared" si="65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1"/>
        <v>Véhicules usagés[...]</v>
      </c>
      <c r="B150" s="12" t="s">
        <v>74</v>
      </c>
      <c r="C150" s="30" t="s">
        <v>21</v>
      </c>
      <c r="D150" s="82"/>
      <c r="E150" s="14"/>
      <c r="F150" s="31">
        <f>+SUM(START:END!F150)</f>
        <v>0</v>
      </c>
      <c r="G150" s="84"/>
      <c r="H150" s="14"/>
      <c r="I150" s="31">
        <f>+SUM(START:END!I150)</f>
        <v>0</v>
      </c>
      <c r="J150" s="42"/>
      <c r="K150" s="14"/>
      <c r="L150" s="34">
        <f>+SUM(START:END!L150)</f>
        <v>0</v>
      </c>
      <c r="M150" s="42"/>
      <c r="N150" s="60">
        <f t="shared" si="62"/>
        <v>0</v>
      </c>
      <c r="O150" s="42"/>
      <c r="P150" s="14"/>
      <c r="Q150" s="34">
        <f>+SUM(START:END!Q150)</f>
        <v>0</v>
      </c>
      <c r="R150" s="42"/>
      <c r="S150" s="86">
        <f t="shared" si="65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1"/>
        <v>Véhicules usagés[...]</v>
      </c>
      <c r="B151" s="12" t="s">
        <v>74</v>
      </c>
      <c r="C151" s="30" t="s">
        <v>21</v>
      </c>
      <c r="D151" s="82"/>
      <c r="E151" s="14"/>
      <c r="F151" s="31">
        <f>+SUM(START:END!F151)</f>
        <v>0</v>
      </c>
      <c r="G151" s="84"/>
      <c r="H151" s="14"/>
      <c r="I151" s="31">
        <f>+SUM(START:END!I151)</f>
        <v>0</v>
      </c>
      <c r="J151" s="42"/>
      <c r="K151" s="14"/>
      <c r="L151" s="34">
        <f>+SUM(START:END!L151)</f>
        <v>0</v>
      </c>
      <c r="M151" s="42"/>
      <c r="N151" s="60">
        <f t="shared" si="62"/>
        <v>0</v>
      </c>
      <c r="O151" s="42"/>
      <c r="P151" s="14"/>
      <c r="Q151" s="34">
        <f>+SUM(START:END!Q151)</f>
        <v>0</v>
      </c>
      <c r="R151" s="42"/>
      <c r="S151" s="86">
        <f t="shared" si="65"/>
        <v>0</v>
      </c>
      <c r="T151" s="83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1"/>
        <v>Véhicules usagésTOTAL SEMI-FIXES</v>
      </c>
      <c r="B152" s="12" t="s">
        <v>74</v>
      </c>
      <c r="C152" s="96" t="s">
        <v>65</v>
      </c>
      <c r="D152" s="97" t="s">
        <v>40</v>
      </c>
      <c r="E152" s="98">
        <f>F152/F$107</f>
        <v>4.6001356334496882E-2</v>
      </c>
      <c r="F152" s="99">
        <f>+SUM(F135:F151)</f>
        <v>18799.040118714805</v>
      </c>
      <c r="G152" s="100" t="s">
        <v>40</v>
      </c>
      <c r="H152" s="98">
        <f>I152/I$107</f>
        <v>4.6001356334496882E-2</v>
      </c>
      <c r="I152" s="99">
        <f>+SUM(I135:I151)</f>
        <v>18799.040118714805</v>
      </c>
      <c r="J152" s="100" t="s">
        <v>40</v>
      </c>
      <c r="K152" s="98">
        <f>L152/L$107</f>
        <v>4.5787823248795739E-2</v>
      </c>
      <c r="L152" s="99">
        <f>+SUM(L135:L151)</f>
        <v>20670.34</v>
      </c>
      <c r="M152" s="103"/>
      <c r="N152" s="99">
        <f t="shared" si="62"/>
        <v>1871.2998812851947</v>
      </c>
      <c r="O152" s="100" t="s">
        <v>40</v>
      </c>
      <c r="P152" s="98">
        <f>Q152/Q$107</f>
        <v>2.7244168177532956E-2</v>
      </c>
      <c r="Q152" s="99">
        <f>+SUM(Q135:Q151)</f>
        <v>12565.704000000002</v>
      </c>
      <c r="R152" s="103"/>
      <c r="S152" s="104">
        <f t="shared" si="65"/>
        <v>8104.6359999999986</v>
      </c>
      <c r="T152" s="115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1"/>
        <v>Véhicules usagés</v>
      </c>
      <c r="B153" s="12" t="s">
        <v>74</v>
      </c>
      <c r="C153" s="88"/>
      <c r="D153" s="89"/>
      <c r="E153" s="114"/>
      <c r="F153" s="60"/>
      <c r="G153" s="91"/>
      <c r="H153" s="114"/>
      <c r="I153" s="60"/>
      <c r="J153" s="24"/>
      <c r="K153" s="114"/>
      <c r="L153" s="94"/>
      <c r="M153" s="24"/>
      <c r="N153" s="94"/>
      <c r="O153" s="24"/>
      <c r="P153" s="114"/>
      <c r="Q153" s="94"/>
      <c r="R153" s="24"/>
      <c r="S153" s="95"/>
      <c r="T153" s="115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1"/>
        <v>Véhicules usagésTOTAL DES DÉPENSES</v>
      </c>
      <c r="B154" s="12" t="s">
        <v>74</v>
      </c>
      <c r="C154" s="96" t="s">
        <v>66</v>
      </c>
      <c r="D154" s="97" t="s">
        <v>40</v>
      </c>
      <c r="E154" s="98">
        <f>F154/F$107</f>
        <v>0.7319362757608503</v>
      </c>
      <c r="F154" s="99">
        <f>F121+F134+F152</f>
        <v>299115.08070148772</v>
      </c>
      <c r="G154" s="100" t="s">
        <v>40</v>
      </c>
      <c r="H154" s="98">
        <f>I154/I$107</f>
        <v>0.7319362757608503</v>
      </c>
      <c r="I154" s="99">
        <f>I121+I134+I152</f>
        <v>299115.08070148772</v>
      </c>
      <c r="J154" s="100" t="s">
        <v>40</v>
      </c>
      <c r="K154" s="98">
        <f>L154/L$107</f>
        <v>0.66634820249421445</v>
      </c>
      <c r="L154" s="99">
        <f>L121+L134+L152</f>
        <v>300814.56</v>
      </c>
      <c r="M154" s="103"/>
      <c r="N154" s="116">
        <f>L154-I154</f>
        <v>1699.4792985122767</v>
      </c>
      <c r="O154" s="100" t="s">
        <v>40</v>
      </c>
      <c r="P154" s="98">
        <f>Q154/Q$107</f>
        <v>0.63683415048249925</v>
      </c>
      <c r="Q154" s="99">
        <f>Q121+Q134+Q152</f>
        <v>293724.12400000001</v>
      </c>
      <c r="R154" s="103"/>
      <c r="S154" s="117">
        <f>L154-Q154</f>
        <v>7090.435999999987</v>
      </c>
      <c r="T154" s="115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1"/>
        <v>Véhicules usagésRemarketing Bonus</v>
      </c>
      <c r="B155" s="12" t="s">
        <v>74</v>
      </c>
      <c r="C155" s="30" t="s">
        <v>81</v>
      </c>
      <c r="D155" s="153"/>
      <c r="E155" s="154"/>
      <c r="F155" s="31">
        <f>+SUM(START:END!F155)</f>
        <v>0</v>
      </c>
      <c r="G155" s="155"/>
      <c r="H155" s="154"/>
      <c r="I155" s="31">
        <f>+SUM(START:END!I155)</f>
        <v>0</v>
      </c>
      <c r="J155" s="155"/>
      <c r="K155" s="154"/>
      <c r="L155" s="33">
        <f>+SUM(START:END!L155)</f>
        <v>0</v>
      </c>
      <c r="M155" s="42"/>
      <c r="N155" s="60">
        <f t="shared" ref="N155:N161" si="66">L155-I155</f>
        <v>0</v>
      </c>
      <c r="O155" s="155"/>
      <c r="P155" s="154"/>
      <c r="Q155" s="34">
        <f>+SUM(START:END!Q155)</f>
        <v>0</v>
      </c>
      <c r="R155" s="42"/>
      <c r="S155" s="86">
        <f t="shared" ref="S155:S161" si="67">L155-Q155</f>
        <v>0</v>
      </c>
      <c r="T155" s="115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1"/>
        <v>Véhicules usagésProgramme used 2</v>
      </c>
      <c r="B156" s="12" t="s">
        <v>74</v>
      </c>
      <c r="C156" s="30" t="s">
        <v>82</v>
      </c>
      <c r="D156" s="153"/>
      <c r="E156" s="154"/>
      <c r="F156" s="31">
        <f>+SUM(START:END!F156)</f>
        <v>0</v>
      </c>
      <c r="G156" s="155"/>
      <c r="H156" s="154"/>
      <c r="I156" s="31">
        <f>+SUM(START:END!I156)</f>
        <v>0</v>
      </c>
      <c r="J156" s="155"/>
      <c r="K156" s="154"/>
      <c r="L156" s="34">
        <f>+SUM(START:END!L156)</f>
        <v>0</v>
      </c>
      <c r="M156" s="42"/>
      <c r="N156" s="60">
        <f t="shared" si="66"/>
        <v>0</v>
      </c>
      <c r="O156" s="155"/>
      <c r="P156" s="154"/>
      <c r="Q156" s="34">
        <f>+SUM(START:END!Q156)</f>
        <v>0</v>
      </c>
      <c r="R156" s="42"/>
      <c r="S156" s="86">
        <f t="shared" si="67"/>
        <v>0</v>
      </c>
      <c r="T156" s="115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1"/>
        <v>Véhicules usagésProgramme used 3</v>
      </c>
      <c r="B157" s="12" t="s">
        <v>74</v>
      </c>
      <c r="C157" s="30" t="s">
        <v>83</v>
      </c>
      <c r="D157" s="82"/>
      <c r="E157" s="14"/>
      <c r="F157" s="31">
        <f>+SUM(START:END!F157)</f>
        <v>0</v>
      </c>
      <c r="G157" s="84"/>
      <c r="H157" s="14"/>
      <c r="I157" s="31">
        <f>+SUM(START:END!I157)</f>
        <v>0</v>
      </c>
      <c r="J157" s="42"/>
      <c r="K157" s="14"/>
      <c r="L157" s="34">
        <f>+SUM(START:END!L157)</f>
        <v>0</v>
      </c>
      <c r="M157" s="42"/>
      <c r="N157" s="60">
        <f t="shared" si="66"/>
        <v>0</v>
      </c>
      <c r="O157" s="42"/>
      <c r="P157" s="14"/>
      <c r="Q157" s="34">
        <f>+SUM(START:END!Q157)</f>
        <v>0</v>
      </c>
      <c r="R157" s="42"/>
      <c r="S157" s="86">
        <f t="shared" si="67"/>
        <v>0</v>
      </c>
      <c r="T157" s="115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8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+SUM(START:END!F158)</f>
        <v>44242.514563106801</v>
      </c>
      <c r="G158" s="84"/>
      <c r="H158" s="14"/>
      <c r="I158" s="31">
        <f>+SUM(START:END!I158)</f>
        <v>44242.514563106801</v>
      </c>
      <c r="J158" s="42"/>
      <c r="K158" s="14"/>
      <c r="L158" s="33">
        <f>+SUM(START:END!L158)</f>
        <v>39542</v>
      </c>
      <c r="M158" s="42"/>
      <c r="N158" s="60">
        <f t="shared" si="66"/>
        <v>-4700.5145631068008</v>
      </c>
      <c r="O158" s="42"/>
      <c r="P158" s="14"/>
      <c r="Q158" s="34">
        <f>+SUM(START:END!Q158)</f>
        <v>41182</v>
      </c>
      <c r="R158" s="42"/>
      <c r="S158" s="86">
        <f t="shared" si="67"/>
        <v>-1640</v>
      </c>
      <c r="T158" s="115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8"/>
        <v>Véhicules usagés[...]</v>
      </c>
      <c r="B159" s="12" t="s">
        <v>74</v>
      </c>
      <c r="C159" s="30" t="s">
        <v>21</v>
      </c>
      <c r="D159" s="82"/>
      <c r="E159" s="14"/>
      <c r="F159" s="31">
        <f>+SUM(START:END!F159)</f>
        <v>0</v>
      </c>
      <c r="G159" s="84"/>
      <c r="H159" s="14"/>
      <c r="I159" s="31">
        <f>+SUM(START:END!I159)</f>
        <v>0</v>
      </c>
      <c r="J159" s="42"/>
      <c r="K159" s="14"/>
      <c r="L159" s="33">
        <f>+SUM(START:END!L159)</f>
        <v>0</v>
      </c>
      <c r="M159" s="42"/>
      <c r="N159" s="60">
        <f t="shared" si="66"/>
        <v>0</v>
      </c>
      <c r="O159" s="42"/>
      <c r="P159" s="14"/>
      <c r="Q159" s="34">
        <f>+SUM(START:END!Q159)</f>
        <v>0</v>
      </c>
      <c r="R159" s="42"/>
      <c r="S159" s="86">
        <f t="shared" si="67"/>
        <v>0</v>
      </c>
      <c r="T159" s="115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8"/>
        <v>Véhicules usagés[...]</v>
      </c>
      <c r="B160" s="12" t="s">
        <v>74</v>
      </c>
      <c r="C160" s="30" t="s">
        <v>21</v>
      </c>
      <c r="D160" s="82"/>
      <c r="E160" s="14"/>
      <c r="F160" s="31">
        <f>+SUM(START:END!F160)</f>
        <v>0</v>
      </c>
      <c r="G160" s="84"/>
      <c r="H160" s="14"/>
      <c r="I160" s="31">
        <f>+SUM(START:END!I160)</f>
        <v>0</v>
      </c>
      <c r="J160" s="42"/>
      <c r="K160" s="14"/>
      <c r="L160" s="33">
        <f>+SUM(START:END!L160)</f>
        <v>0</v>
      </c>
      <c r="M160" s="42"/>
      <c r="N160" s="60">
        <f t="shared" si="66"/>
        <v>0</v>
      </c>
      <c r="O160" s="42"/>
      <c r="P160" s="14"/>
      <c r="Q160" s="34">
        <f>+SUM(START:END!Q160)</f>
        <v>0</v>
      </c>
      <c r="R160" s="42"/>
      <c r="S160" s="86">
        <f t="shared" si="67"/>
        <v>0</v>
      </c>
      <c r="T160" s="115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8"/>
        <v>Véhicules usagés[...]</v>
      </c>
      <c r="B161" s="12" t="s">
        <v>74</v>
      </c>
      <c r="C161" s="88" t="s">
        <v>21</v>
      </c>
      <c r="D161" s="89"/>
      <c r="E161" s="114"/>
      <c r="F161" s="31">
        <f>+SUM(START:END!F161)</f>
        <v>0</v>
      </c>
      <c r="G161" s="84"/>
      <c r="H161" s="14"/>
      <c r="I161" s="31">
        <f>+SUM(START:END!I161)</f>
        <v>0</v>
      </c>
      <c r="J161" s="42"/>
      <c r="K161" s="14"/>
      <c r="L161" s="33">
        <f>+SUM(START:END!L161)</f>
        <v>0</v>
      </c>
      <c r="M161" s="42"/>
      <c r="N161" s="60">
        <f t="shared" si="66"/>
        <v>0</v>
      </c>
      <c r="O161" s="42"/>
      <c r="P161" s="14"/>
      <c r="Q161" s="34">
        <f>+SUM(START:END!Q161)</f>
        <v>0</v>
      </c>
      <c r="R161" s="42"/>
      <c r="S161" s="86">
        <f t="shared" si="67"/>
        <v>0</v>
      </c>
      <c r="T161" s="115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6" t="s">
        <v>72</v>
      </c>
      <c r="D162" s="97"/>
      <c r="E162" s="98"/>
      <c r="F162" s="99">
        <f>+SUM(F155:F161)</f>
        <v>44242.514563106801</v>
      </c>
      <c r="G162" s="100"/>
      <c r="H162" s="98"/>
      <c r="I162" s="99">
        <f>+SUM(I155:I161)</f>
        <v>44242.514563106801</v>
      </c>
      <c r="J162" s="100"/>
      <c r="K162" s="98"/>
      <c r="L162" s="99">
        <f>+SUM(L155:L161)</f>
        <v>39542</v>
      </c>
      <c r="M162" s="103"/>
      <c r="N162" s="99">
        <f>+SUM(N155:N161)</f>
        <v>-4700.5145631068008</v>
      </c>
      <c r="O162" s="100"/>
      <c r="P162" s="98"/>
      <c r="Q162" s="99">
        <f>+SUM(Q155:Q161)</f>
        <v>41182</v>
      </c>
      <c r="R162" s="103"/>
      <c r="S162" s="104">
        <f>+SUM(S155:S161)</f>
        <v>-1640</v>
      </c>
      <c r="T162" s="115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4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7" t="s">
        <v>73</v>
      </c>
      <c r="D164" s="156"/>
      <c r="E164" s="128"/>
      <c r="F164" s="130">
        <f>F107-F154+F162</f>
        <v>153790.16941268404</v>
      </c>
      <c r="G164" s="157"/>
      <c r="H164" s="128"/>
      <c r="I164" s="130">
        <f>I107-I154+I162</f>
        <v>153790.16941268404</v>
      </c>
      <c r="J164" s="158"/>
      <c r="K164" s="129"/>
      <c r="L164" s="130">
        <f>L107-L154+L162</f>
        <v>190164.93000000011</v>
      </c>
      <c r="M164" s="158"/>
      <c r="N164" s="130">
        <f>L164-I164</f>
        <v>36374.760587316065</v>
      </c>
      <c r="O164" s="158"/>
      <c r="P164" s="129"/>
      <c r="Q164" s="130">
        <f>Q107-Q154+Q162</f>
        <v>208683.33600000007</v>
      </c>
      <c r="R164" s="158"/>
      <c r="S164" s="132">
        <f>L164-Q164</f>
        <v>-18518.405999999959</v>
      </c>
      <c r="T164" s="83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59"/>
      <c r="M165" s="11"/>
      <c r="N165" s="11"/>
      <c r="O165" s="11"/>
      <c r="P165" s="11"/>
      <c r="Q165" s="11"/>
      <c r="R165" s="11"/>
      <c r="S165" s="11"/>
      <c r="T165" s="159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59">
        <f>+I27</f>
        <v>669879.8640062015</v>
      </c>
      <c r="J166" s="11"/>
      <c r="K166" s="11"/>
      <c r="L166" s="159">
        <f>+L27</f>
        <v>761407.74999999942</v>
      </c>
      <c r="M166" s="11"/>
      <c r="N166" s="159">
        <f>+L166-I166</f>
        <v>91527.885993797914</v>
      </c>
      <c r="O166" s="11"/>
      <c r="P166" s="11"/>
      <c r="Q166" s="11"/>
      <c r="R166" s="11"/>
      <c r="S166" s="11"/>
      <c r="T166" s="159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  Volks T3 2022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64" t="s">
        <v>5</v>
      </c>
      <c r="E169" s="565"/>
      <c r="F169" s="566"/>
      <c r="G169" s="562" t="s">
        <v>75</v>
      </c>
      <c r="H169" s="565"/>
      <c r="I169" s="566"/>
      <c r="J169" s="562" t="s">
        <v>7</v>
      </c>
      <c r="K169" s="565"/>
      <c r="L169" s="566"/>
      <c r="M169" s="562" t="s">
        <v>8</v>
      </c>
      <c r="N169" s="566"/>
      <c r="O169" s="564" t="s">
        <v>9</v>
      </c>
      <c r="P169" s="565"/>
      <c r="Q169" s="566"/>
      <c r="R169" s="562" t="s">
        <v>10</v>
      </c>
      <c r="S169" s="563"/>
      <c r="T169" s="153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9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81" t="s">
        <v>13</v>
      </c>
      <c r="G170" s="437" t="s">
        <v>41</v>
      </c>
      <c r="H170" s="136" t="s">
        <v>85</v>
      </c>
      <c r="I170" s="438" t="s">
        <v>13</v>
      </c>
      <c r="J170" s="81" t="s">
        <v>41</v>
      </c>
      <c r="K170" s="81" t="s">
        <v>85</v>
      </c>
      <c r="L170" s="137" t="s">
        <v>13</v>
      </c>
      <c r="M170" s="138" t="s">
        <v>41</v>
      </c>
      <c r="N170" s="137" t="s">
        <v>13</v>
      </c>
      <c r="O170" s="81" t="s">
        <v>41</v>
      </c>
      <c r="P170" s="81" t="s">
        <v>85</v>
      </c>
      <c r="Q170" s="137" t="s">
        <v>13</v>
      </c>
      <c r="R170" s="138" t="s">
        <v>86</v>
      </c>
      <c r="S170" s="139" t="s">
        <v>13</v>
      </c>
      <c r="T170" s="81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9"/>
        <v>ServiceM/O Client</v>
      </c>
      <c r="B171" s="12" t="s">
        <v>84</v>
      </c>
      <c r="C171" s="30" t="s">
        <v>87</v>
      </c>
      <c r="D171" s="429">
        <f>+SUM(START:END!D171)</f>
        <v>1044.4203553334928</v>
      </c>
      <c r="E171" s="83">
        <f>+SUM(START:END!E171)</f>
        <v>259016.24812270619</v>
      </c>
      <c r="F171" s="83">
        <f>+SUM(START:END!F171)</f>
        <v>194521.20234015235</v>
      </c>
      <c r="G171" s="160">
        <f>+SUM(START:END!G171)</f>
        <v>1044.4203553334928</v>
      </c>
      <c r="H171" s="83">
        <f>+SUM(START:END!H171)</f>
        <v>259016.24812270619</v>
      </c>
      <c r="I171" s="60">
        <f>+SUM(START:END!I171)</f>
        <v>194521.20234015235</v>
      </c>
      <c r="J171" s="429">
        <f>+SUM(START:END!J171)</f>
        <v>1085</v>
      </c>
      <c r="K171" s="83">
        <f>+SUM(START:END!K171)</f>
        <v>338410.37</v>
      </c>
      <c r="L171" s="83">
        <f>+SUM(START:END!L171)</f>
        <v>263479.88</v>
      </c>
      <c r="M171" s="161">
        <f>(K171-H171)/H171</f>
        <v>0.30652178175201455</v>
      </c>
      <c r="N171" s="60">
        <f>L171-I171</f>
        <v>68958.677659847657</v>
      </c>
      <c r="O171" s="429">
        <f>+SUM(START:END!O171)</f>
        <v>937</v>
      </c>
      <c r="P171" s="83">
        <f>+SUM(START:END!P171)</f>
        <v>215161.5</v>
      </c>
      <c r="Q171" s="83">
        <f>+SUM(START:END!Q171)</f>
        <v>165749.89000000001</v>
      </c>
      <c r="R171" s="161">
        <f>IF(O171=0,0,J171/O171)</f>
        <v>1.1579509071504803</v>
      </c>
      <c r="S171" s="86">
        <f>L171-Q171</f>
        <v>97729.989999999991</v>
      </c>
      <c r="T171" s="83"/>
      <c r="U171" s="14"/>
      <c r="V171" s="31">
        <f>+SUM(START:END!D171)-D171</f>
        <v>0</v>
      </c>
      <c r="W171" s="31">
        <f>+SUM(START:END!G171)-G171</f>
        <v>0</v>
      </c>
      <c r="X171" s="31">
        <f>+SUM(START:END!J171)-J171</f>
        <v>0</v>
      </c>
      <c r="Y171" s="31">
        <f>+SUM(START:END!O171)-O171</f>
        <v>0</v>
      </c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9"/>
        <v>Service% profit / ventes</v>
      </c>
      <c r="B172" s="12" t="s">
        <v>84</v>
      </c>
      <c r="C172" s="30" t="s">
        <v>88</v>
      </c>
      <c r="D172" s="14"/>
      <c r="E172" s="147"/>
      <c r="F172" s="152">
        <f>F171/E171</f>
        <v>0.751</v>
      </c>
      <c r="G172" s="42"/>
      <c r="H172" s="147"/>
      <c r="I172" s="162">
        <f>I171/H171</f>
        <v>0.751</v>
      </c>
      <c r="J172" s="14"/>
      <c r="K172" s="147"/>
      <c r="L172" s="162">
        <f>L171/K171</f>
        <v>0.77858098733794712</v>
      </c>
      <c r="M172" s="161"/>
      <c r="N172" s="60"/>
      <c r="O172" s="14"/>
      <c r="P172" s="147"/>
      <c r="Q172" s="162">
        <f>Q171/P171</f>
        <v>0.77035106187677638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9"/>
        <v>Service</v>
      </c>
      <c r="B173" s="12" t="s">
        <v>84</v>
      </c>
      <c r="C173" s="88"/>
      <c r="D173" s="114"/>
      <c r="E173" s="163">
        <f t="shared" ref="E173" si="70">IFERROR(E171/D171,0)</f>
        <v>247.99999999999997</v>
      </c>
      <c r="F173" s="221"/>
      <c r="G173" s="24"/>
      <c r="H173" s="163">
        <f t="shared" ref="H173" si="71">IFERROR(H171/G171,0)</f>
        <v>247.99999999999997</v>
      </c>
      <c r="I173" s="164"/>
      <c r="J173" s="114"/>
      <c r="K173" s="163">
        <f t="shared" ref="K173" si="72">IFERROR(K171/J171,0)</f>
        <v>311.89895852534562</v>
      </c>
      <c r="L173" s="164"/>
      <c r="M173" s="166"/>
      <c r="N173" s="94"/>
      <c r="O173" s="114"/>
      <c r="P173" s="163">
        <f t="shared" ref="P173" si="73">IFERROR(P171/O171,0)</f>
        <v>229.62806830309498</v>
      </c>
      <c r="Q173" s="164"/>
      <c r="R173" s="165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9"/>
        <v>ServiceM/O Garantie</v>
      </c>
      <c r="B174" s="12" t="s">
        <v>84</v>
      </c>
      <c r="C174" s="15" t="s">
        <v>89</v>
      </c>
      <c r="D174" s="167">
        <f>+SUM(START:END!D174)</f>
        <v>987.13672953207083</v>
      </c>
      <c r="E174" s="83">
        <f>+SUM(START:END!E174)</f>
        <v>195549.44434782563</v>
      </c>
      <c r="F174" s="83">
        <f>+SUM(START:END!F174)</f>
        <v>137755.02296142426</v>
      </c>
      <c r="G174" s="168">
        <f>+SUM(START:END!G174)</f>
        <v>987.13672953207083</v>
      </c>
      <c r="H174" s="83">
        <f>+SUM(START:END!H174)</f>
        <v>195549.44434782563</v>
      </c>
      <c r="I174" s="60">
        <f>+SUM(START:END!I174)</f>
        <v>137755.02296142426</v>
      </c>
      <c r="J174" s="167">
        <f>+SUM(START:END!J174)</f>
        <v>568</v>
      </c>
      <c r="K174" s="83">
        <f>+SUM(START:END!K174)</f>
        <v>137356.38</v>
      </c>
      <c r="L174" s="83">
        <f>+SUM(START:END!L174)</f>
        <v>89871.9</v>
      </c>
      <c r="M174" s="161">
        <f>(K174-H174)/H174</f>
        <v>-0.29758746971593064</v>
      </c>
      <c r="N174" s="112">
        <f>L174-I174</f>
        <v>-47883.122961424262</v>
      </c>
      <c r="O174" s="167">
        <f>+SUM(START:END!O174)</f>
        <v>1004</v>
      </c>
      <c r="P174" s="83">
        <f>+SUM(START:END!P174)</f>
        <v>168157.47</v>
      </c>
      <c r="Q174" s="83">
        <f>+SUM(START:END!Q174)</f>
        <v>120534.23999999999</v>
      </c>
      <c r="R174" s="161">
        <f>IF(O174=0,0,J174/O174)</f>
        <v>0.56573705179282874</v>
      </c>
      <c r="S174" s="86">
        <f>L174-Q174</f>
        <v>-30662.339999999997</v>
      </c>
      <c r="T174" s="83"/>
      <c r="U174" s="14"/>
      <c r="V174" s="31">
        <f>+SUM(START:END!D174)-D174</f>
        <v>0</v>
      </c>
      <c r="W174" s="31">
        <f>+SUM(START:END!G174)-G174</f>
        <v>0</v>
      </c>
      <c r="X174" s="31">
        <f>+SUM(START:END!J174)-J174</f>
        <v>0</v>
      </c>
      <c r="Y174" s="31">
        <f>+SUM(START:END!O174)-O174</f>
        <v>0</v>
      </c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9"/>
        <v>Service% profit / ventes</v>
      </c>
      <c r="B175" s="12" t="s">
        <v>84</v>
      </c>
      <c r="C175" s="30" t="s">
        <v>88</v>
      </c>
      <c r="D175" s="14"/>
      <c r="E175" s="14"/>
      <c r="F175" s="152">
        <f>F174/E174</f>
        <v>0.70445110913431241</v>
      </c>
      <c r="G175" s="42"/>
      <c r="H175" s="14"/>
      <c r="I175" s="162">
        <f>I174/H174</f>
        <v>0.70445110913431241</v>
      </c>
      <c r="J175" s="14"/>
      <c r="K175" s="14"/>
      <c r="L175" s="162">
        <f>L174/K174</f>
        <v>0.65429723759464242</v>
      </c>
      <c r="M175" s="43"/>
      <c r="N175" s="44"/>
      <c r="O175" s="14"/>
      <c r="P175" s="14"/>
      <c r="Q175" s="162">
        <f>Q174/P174</f>
        <v>0.71679384805206681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9"/>
        <v>Service</v>
      </c>
      <c r="B176" s="12" t="s">
        <v>84</v>
      </c>
      <c r="C176" s="88"/>
      <c r="D176" s="439"/>
      <c r="E176" s="114"/>
      <c r="F176" s="221"/>
      <c r="G176" s="24"/>
      <c r="H176" s="114"/>
      <c r="I176" s="164"/>
      <c r="J176" s="114"/>
      <c r="K176" s="114"/>
      <c r="L176" s="164"/>
      <c r="M176" s="170"/>
      <c r="N176" s="171"/>
      <c r="O176" s="114"/>
      <c r="P176" s="114"/>
      <c r="Q176" s="164"/>
      <c r="R176" s="170"/>
      <c r="S176" s="172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9"/>
        <v>ServiceM/O Interne</v>
      </c>
      <c r="B177" s="12" t="s">
        <v>84</v>
      </c>
      <c r="C177" s="30" t="s">
        <v>90</v>
      </c>
      <c r="D177" s="429">
        <f>+SUM(START:END!D177)</f>
        <v>899.12857114795634</v>
      </c>
      <c r="E177" s="83">
        <f>+SUM(START:END!E177)</f>
        <v>193660.38837015699</v>
      </c>
      <c r="F177" s="83">
        <f>+SUM(START:END!F177)</f>
        <v>142871.4152710808</v>
      </c>
      <c r="G177" s="160">
        <f>+SUM(START:END!G177)</f>
        <v>899.12857114795634</v>
      </c>
      <c r="H177" s="83">
        <f>+SUM(START:END!H177)</f>
        <v>193660.38837015699</v>
      </c>
      <c r="I177" s="60">
        <f>+SUM(START:END!I177)</f>
        <v>142871.4152710808</v>
      </c>
      <c r="J177" s="14">
        <f>+SUM(START:END!J177)</f>
        <v>707</v>
      </c>
      <c r="K177" s="83">
        <f>+SUM(START:END!K177)</f>
        <v>172408.78</v>
      </c>
      <c r="L177" s="83">
        <f>+SUM(START:END!L177)</f>
        <v>128187.62</v>
      </c>
      <c r="M177" s="161">
        <f>(K177-H177)/H177</f>
        <v>-0.1097364750169625</v>
      </c>
      <c r="N177" s="60">
        <f t="shared" ref="N177:N178" si="74">L177-I177</f>
        <v>-14683.795271080802</v>
      </c>
      <c r="O177" s="14">
        <f>+SUM(START:END!O177)</f>
        <v>791</v>
      </c>
      <c r="P177" s="83">
        <f>+SUM(START:END!P177)</f>
        <v>182355.44</v>
      </c>
      <c r="Q177" s="83">
        <f>+SUM(START:END!Q177)</f>
        <v>138564.28</v>
      </c>
      <c r="R177" s="161">
        <f>IF(O177=0,0,J177/O177)</f>
        <v>0.89380530973451322</v>
      </c>
      <c r="S177" s="86">
        <f>L177-Q177</f>
        <v>-10376.660000000003</v>
      </c>
      <c r="T177" s="83"/>
      <c r="U177" s="14"/>
      <c r="V177" s="31">
        <f>+SUM(START:END!D177)-D177</f>
        <v>0</v>
      </c>
      <c r="W177" s="31">
        <f>+SUM(START:END!G177)-G177</f>
        <v>0</v>
      </c>
      <c r="X177" s="31">
        <f>+SUM(START:END!J177)-J177</f>
        <v>0</v>
      </c>
      <c r="Y177" s="31">
        <f>+SUM(START:END!O177)-O177</f>
        <v>0</v>
      </c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9"/>
        <v>Service% profit / ventes</v>
      </c>
      <c r="B178" s="12" t="s">
        <v>84</v>
      </c>
      <c r="C178" s="30" t="s">
        <v>88</v>
      </c>
      <c r="D178" s="14"/>
      <c r="E178" s="147"/>
      <c r="F178" s="152">
        <f>F177/E177</f>
        <v>0.737742067303926</v>
      </c>
      <c r="G178" s="42"/>
      <c r="H178" s="147"/>
      <c r="I178" s="162">
        <f>I177/H177</f>
        <v>0.737742067303926</v>
      </c>
      <c r="J178" s="14"/>
      <c r="K178" s="147"/>
      <c r="L178" s="162">
        <f>L177/K177</f>
        <v>0.74350981429136032</v>
      </c>
      <c r="M178" s="161"/>
      <c r="N178" s="60">
        <f t="shared" si="74"/>
        <v>5.767746987434319E-3</v>
      </c>
      <c r="O178" s="14"/>
      <c r="P178" s="147"/>
      <c r="Q178" s="162">
        <f>Q177/P177</f>
        <v>0.75985821974929835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9"/>
        <v>Service</v>
      </c>
      <c r="B179" s="12" t="s">
        <v>84</v>
      </c>
      <c r="C179" s="30"/>
      <c r="D179" s="14"/>
      <c r="E179" s="173"/>
      <c r="F179" s="220"/>
      <c r="G179" s="42"/>
      <c r="H179" s="173"/>
      <c r="I179" s="174"/>
      <c r="J179" s="14"/>
      <c r="K179" s="173"/>
      <c r="L179" s="174"/>
      <c r="M179" s="161"/>
      <c r="N179" s="60"/>
      <c r="O179" s="14"/>
      <c r="P179" s="173"/>
      <c r="Q179" s="174"/>
      <c r="R179" s="175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9"/>
        <v>ServiceM/O Esthétique</v>
      </c>
      <c r="B180" s="12" t="s">
        <v>84</v>
      </c>
      <c r="C180" s="15" t="s">
        <v>91</v>
      </c>
      <c r="D180" s="435">
        <f>+SUM(START:END!D180)</f>
        <v>0</v>
      </c>
      <c r="E180" s="83">
        <f>+SUM(START:END!E180)</f>
        <v>660.32388564595954</v>
      </c>
      <c r="F180" s="83">
        <f>+SUM(START:END!F180)</f>
        <v>249.70184966209425</v>
      </c>
      <c r="G180" s="212">
        <f>+SUM(START:END!G180)</f>
        <v>0</v>
      </c>
      <c r="H180" s="83">
        <f>+SUM(START:END!H180)</f>
        <v>660.32388564595954</v>
      </c>
      <c r="I180" s="60">
        <f>+SUM(START:END!I180)</f>
        <v>249.70184966209425</v>
      </c>
      <c r="J180" s="108">
        <f>+SUM(START:END!J180)</f>
        <v>0</v>
      </c>
      <c r="K180" s="83">
        <f>+SUM(START:END!K180)</f>
        <v>1473.49</v>
      </c>
      <c r="L180" s="83">
        <f>+SUM(START:END!L180)</f>
        <v>1034.54</v>
      </c>
      <c r="M180" s="176">
        <f>IF(H180=0,0,(K180-H180)/H180)</f>
        <v>1.2314655459700108</v>
      </c>
      <c r="N180" s="112">
        <f>L180-I180</f>
        <v>784.83815033790574</v>
      </c>
      <c r="O180" s="108">
        <f>+SUM(START:END!O180)</f>
        <v>0</v>
      </c>
      <c r="P180" s="83">
        <f>+SUM(START:END!P180)</f>
        <v>677.13</v>
      </c>
      <c r="Q180" s="83">
        <f>+SUM(START:END!Q180)</f>
        <v>-1651.5699999999997</v>
      </c>
      <c r="R180" s="161">
        <f>IF(O180=0,0,J180/O180)</f>
        <v>0</v>
      </c>
      <c r="S180" s="113">
        <f>L180-Q180</f>
        <v>2686.1099999999997</v>
      </c>
      <c r="T180" s="83"/>
      <c r="U180" s="14"/>
      <c r="V180" s="31">
        <f>+SUM(START:END!D180)-D180</f>
        <v>0</v>
      </c>
      <c r="W180" s="31">
        <f>+SUM(START:END!G180)-G180</f>
        <v>0</v>
      </c>
      <c r="X180" s="31">
        <f>+SUM(START:END!J180)-J180</f>
        <v>0</v>
      </c>
      <c r="Y180" s="31">
        <f>+SUM(START:END!O180)-O180</f>
        <v>0</v>
      </c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9"/>
        <v>Service% profit / ventes</v>
      </c>
      <c r="B181" s="12" t="s">
        <v>84</v>
      </c>
      <c r="C181" s="30" t="s">
        <v>88</v>
      </c>
      <c r="D181" s="77"/>
      <c r="E181" s="177"/>
      <c r="F181" s="152">
        <f>IFERROR(F180/E180,0)</f>
        <v>0.37815056382191037</v>
      </c>
      <c r="G181" s="79"/>
      <c r="H181" s="177"/>
      <c r="I181" s="162">
        <f>IFERROR(I180/H180,0)</f>
        <v>0.37815056382191037</v>
      </c>
      <c r="J181" s="77"/>
      <c r="K181" s="177"/>
      <c r="L181" s="162">
        <f>IFERROR(L180/K180,0)</f>
        <v>0.70210181270317407</v>
      </c>
      <c r="M181" s="61">
        <f>J181-G181</f>
        <v>0</v>
      </c>
      <c r="N181" s="179"/>
      <c r="O181" s="77"/>
      <c r="P181" s="177"/>
      <c r="Q181" s="162">
        <f>IFERROR(Q180/P180,0)</f>
        <v>-2.4390737376870022</v>
      </c>
      <c r="R181" s="42"/>
      <c r="S181" s="180"/>
      <c r="T181" s="115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9"/>
        <v>Service</v>
      </c>
      <c r="B182" s="12" t="s">
        <v>84</v>
      </c>
      <c r="C182" s="88"/>
      <c r="D182" s="181"/>
      <c r="E182" s="182"/>
      <c r="F182" s="221"/>
      <c r="G182" s="183"/>
      <c r="H182" s="182"/>
      <c r="I182" s="164"/>
      <c r="J182" s="181"/>
      <c r="K182" s="182"/>
      <c r="L182" s="164"/>
      <c r="M182" s="165"/>
      <c r="N182" s="184"/>
      <c r="O182" s="181"/>
      <c r="P182" s="182"/>
      <c r="Q182" s="164"/>
      <c r="R182" s="24"/>
      <c r="S182" s="185"/>
      <c r="T182" s="115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9"/>
        <v>ServiceAjustement M/O</v>
      </c>
      <c r="B183" s="12" t="s">
        <v>84</v>
      </c>
      <c r="C183" s="30" t="s">
        <v>92</v>
      </c>
      <c r="D183" s="14"/>
      <c r="E183" s="14"/>
      <c r="F183" s="83">
        <f>+SUM(START:END!F183)</f>
        <v>-10125.621536783152</v>
      </c>
      <c r="G183" s="42"/>
      <c r="H183" s="14"/>
      <c r="I183" s="60">
        <f>+SUM(START:END!I183)</f>
        <v>-10125.621536783152</v>
      </c>
      <c r="J183" s="14"/>
      <c r="K183" s="14"/>
      <c r="L183" s="60">
        <f>+SUM(START:END!L183)</f>
        <v>-1503.51</v>
      </c>
      <c r="M183" s="178"/>
      <c r="N183" s="60">
        <f t="shared" ref="N183:N184" si="75">L183-I183</f>
        <v>8622.1115367831517</v>
      </c>
      <c r="O183" s="14"/>
      <c r="P183" s="14"/>
      <c r="Q183" s="60">
        <f>+SUM(START:END!Q183)</f>
        <v>-8719.2100000000009</v>
      </c>
      <c r="R183" s="186"/>
      <c r="S183" s="86">
        <f t="shared" ref="S183:S184" si="76">L183-Q183</f>
        <v>7215.7000000000007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9"/>
        <v>ServiceSous-total M/O</v>
      </c>
      <c r="B184" s="12" t="s">
        <v>84</v>
      </c>
      <c r="C184" s="187" t="s">
        <v>93</v>
      </c>
      <c r="D184" s="188"/>
      <c r="E184" s="188">
        <f t="shared" ref="E184:F184" si="77">E171+E174+E177+E180+E183</f>
        <v>648886.40472633473</v>
      </c>
      <c r="F184" s="188">
        <f t="shared" si="77"/>
        <v>465271.72088553634</v>
      </c>
      <c r="G184" s="190"/>
      <c r="H184" s="188">
        <f t="shared" ref="H184:I184" si="78">H171+H174+H177+H180+H183</f>
        <v>648886.40472633473</v>
      </c>
      <c r="I184" s="189">
        <f t="shared" si="78"/>
        <v>465271.72088553634</v>
      </c>
      <c r="J184" s="188"/>
      <c r="K184" s="188">
        <f t="shared" ref="K184:L184" si="79">K171+K174+K177+K180+K183</f>
        <v>649649.02</v>
      </c>
      <c r="L184" s="189">
        <f t="shared" si="79"/>
        <v>481070.43</v>
      </c>
      <c r="M184" s="191">
        <f>(K184-H184)/H184</f>
        <v>1.1752677635262177E-3</v>
      </c>
      <c r="N184" s="189">
        <f t="shared" si="75"/>
        <v>15798.709114463651</v>
      </c>
      <c r="O184" s="188"/>
      <c r="P184" s="188">
        <f t="shared" ref="P184:Q184" si="80">P171+P174+P177+P180+P183</f>
        <v>566351.53999999992</v>
      </c>
      <c r="Q184" s="189">
        <f t="shared" si="80"/>
        <v>414477.63</v>
      </c>
      <c r="R184" s="43">
        <f>IF(O184=0,0,J184/O184)</f>
        <v>0</v>
      </c>
      <c r="S184" s="192">
        <f t="shared" si="76"/>
        <v>66592.799999999988</v>
      </c>
      <c r="T184" s="115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9"/>
        <v>Service% protit / ventes</v>
      </c>
      <c r="B185" s="12" t="s">
        <v>84</v>
      </c>
      <c r="C185" s="193" t="s">
        <v>94</v>
      </c>
      <c r="D185" s="194"/>
      <c r="E185" s="194"/>
      <c r="F185" s="432">
        <f>F184/E184</f>
        <v>0.71703108201467536</v>
      </c>
      <c r="G185" s="196"/>
      <c r="H185" s="194"/>
      <c r="I185" s="195">
        <f>I184/H184</f>
        <v>0.71703108201467536</v>
      </c>
      <c r="J185" s="194"/>
      <c r="K185" s="194"/>
      <c r="L185" s="195">
        <f>L184/K184</f>
        <v>0.74050820549225171</v>
      </c>
      <c r="M185" s="196"/>
      <c r="N185" s="195">
        <f>N184/I184</f>
        <v>3.3955876545418422E-2</v>
      </c>
      <c r="O185" s="194"/>
      <c r="P185" s="194"/>
      <c r="Q185" s="195">
        <f>Q184/P184</f>
        <v>0.73183809123217014</v>
      </c>
      <c r="R185" s="196"/>
      <c r="S185" s="45">
        <f>IF(R184=0,0,S184/R184)</f>
        <v>0</v>
      </c>
      <c r="T185" s="115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9"/>
        <v>Service</v>
      </c>
      <c r="B186" s="12" t="s">
        <v>84</v>
      </c>
      <c r="C186" s="36"/>
      <c r="D186" s="197"/>
      <c r="E186" s="198"/>
      <c r="F186" s="197"/>
      <c r="G186" s="200"/>
      <c r="H186" s="198"/>
      <c r="I186" s="199"/>
      <c r="J186" s="197"/>
      <c r="K186" s="198"/>
      <c r="L186" s="199"/>
      <c r="M186" s="200"/>
      <c r="N186" s="199"/>
      <c r="O186" s="197"/>
      <c r="P186" s="198"/>
      <c r="Q186" s="199"/>
      <c r="R186" s="200"/>
      <c r="S186" s="201"/>
      <c r="T186" s="115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9"/>
        <v>ServiceSous-traitement</v>
      </c>
      <c r="B187" s="12" t="s">
        <v>84</v>
      </c>
      <c r="C187" s="30" t="s">
        <v>95</v>
      </c>
      <c r="D187" s="83"/>
      <c r="E187" s="83">
        <f>+SUM(START:END!E187)</f>
        <v>71965.649855656317</v>
      </c>
      <c r="F187" s="83">
        <f>+SUM(START:END!F187)</f>
        <v>15769.52296976604</v>
      </c>
      <c r="G187" s="61"/>
      <c r="H187" s="83">
        <f>+SUM(START:END!H187)</f>
        <v>71965.649855656317</v>
      </c>
      <c r="I187" s="60">
        <f>+SUM(START:END!I187)</f>
        <v>15769.52296976604</v>
      </c>
      <c r="J187" s="83"/>
      <c r="K187" s="83">
        <f>+SUM(START:END!K187)</f>
        <v>72439.42</v>
      </c>
      <c r="L187" s="83">
        <f>+SUM(START:END!L187)</f>
        <v>16378.689999999997</v>
      </c>
      <c r="M187" s="85">
        <f>IF(H187=0,0,(K187-H187)/H187)</f>
        <v>6.5832816808287968E-3</v>
      </c>
      <c r="N187" s="60">
        <f>L187-I187</f>
        <v>609.16703023395712</v>
      </c>
      <c r="O187" s="83"/>
      <c r="P187" s="83">
        <f>+SUM(START:END!P187)</f>
        <v>66831.31</v>
      </c>
      <c r="Q187" s="83">
        <f>+SUM(START:END!Q187)</f>
        <v>15090.09</v>
      </c>
      <c r="R187" s="161">
        <f>IF(O187=0,0,J187/O187)</f>
        <v>0</v>
      </c>
      <c r="S187" s="86">
        <f>L187-Q187</f>
        <v>1288.5999999999967</v>
      </c>
      <c r="T187" s="115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9"/>
        <v>Service% profit / ventes</v>
      </c>
      <c r="B188" s="12" t="s">
        <v>84</v>
      </c>
      <c r="C188" s="30" t="s">
        <v>88</v>
      </c>
      <c r="D188" s="14"/>
      <c r="E188" s="147"/>
      <c r="F188" s="152">
        <f>IFERROR(F187/E187,0)</f>
        <v>0.21912569401367804</v>
      </c>
      <c r="G188" s="42"/>
      <c r="H188" s="147"/>
      <c r="I188" s="162">
        <f>IFERROR(I187/H187,0)</f>
        <v>0.21912569401367804</v>
      </c>
      <c r="J188" s="14"/>
      <c r="K188" s="147"/>
      <c r="L188" s="162">
        <f>IFERROR(L187/K187,0)</f>
        <v>0.22610189314050275</v>
      </c>
      <c r="M188" s="178"/>
      <c r="N188" s="179"/>
      <c r="O188" s="14"/>
      <c r="P188" s="147"/>
      <c r="Q188" s="162">
        <f>IFERROR(Q187/P187,0)</f>
        <v>0.22579371854300029</v>
      </c>
      <c r="R188" s="178"/>
      <c r="S188" s="180"/>
      <c r="T188" s="115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9"/>
        <v>Service</v>
      </c>
      <c r="B189" s="12" t="s">
        <v>84</v>
      </c>
      <c r="C189" s="30"/>
      <c r="D189" s="14"/>
      <c r="E189" s="147"/>
      <c r="F189" s="152"/>
      <c r="G189" s="42"/>
      <c r="H189" s="147"/>
      <c r="I189" s="162"/>
      <c r="J189" s="14"/>
      <c r="K189" s="147"/>
      <c r="L189" s="162"/>
      <c r="M189" s="178"/>
      <c r="N189" s="179"/>
      <c r="O189" s="14"/>
      <c r="P189" s="147"/>
      <c r="Q189" s="162"/>
      <c r="R189" s="178"/>
      <c r="S189" s="180"/>
      <c r="T189" s="115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9"/>
        <v>ServiceM.O. Recond. MCPA</v>
      </c>
      <c r="B190" s="12" t="s">
        <v>84</v>
      </c>
      <c r="C190" s="30" t="s">
        <v>96</v>
      </c>
      <c r="D190" s="14"/>
      <c r="E190" s="83">
        <f>+SUM(START:END!E190)</f>
        <v>0</v>
      </c>
      <c r="F190" s="83">
        <f>+SUM(START:END!F190)</f>
        <v>0</v>
      </c>
      <c r="G190" s="42"/>
      <c r="H190" s="83">
        <f>+SUM(START:END!H190)</f>
        <v>0</v>
      </c>
      <c r="I190" s="60">
        <f>+SUM(START:END!I190)</f>
        <v>0</v>
      </c>
      <c r="J190" s="14"/>
      <c r="K190" s="83">
        <f>+SUM(START:END!K190)</f>
        <v>0</v>
      </c>
      <c r="L190" s="83">
        <f>+SUM(START:END!L190)</f>
        <v>0</v>
      </c>
      <c r="M190" s="178"/>
      <c r="N190" s="179"/>
      <c r="O190" s="14"/>
      <c r="P190" s="83">
        <f>+SUM(START:END!P190)</f>
        <v>0</v>
      </c>
      <c r="Q190" s="83">
        <f>+SUM(START:END!Q190)</f>
        <v>0</v>
      </c>
      <c r="R190" s="178"/>
      <c r="S190" s="180"/>
      <c r="T190" s="115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9"/>
        <v>Service% profit / ventes</v>
      </c>
      <c r="B191" s="12" t="s">
        <v>84</v>
      </c>
      <c r="C191" s="30" t="s">
        <v>88</v>
      </c>
      <c r="D191" s="14"/>
      <c r="E191" s="147"/>
      <c r="F191" s="152">
        <f>IF(F190=0,0,F190/E190)</f>
        <v>0</v>
      </c>
      <c r="G191" s="42"/>
      <c r="H191" s="147"/>
      <c r="I191" s="162">
        <f>IF(I190=0,0,I190/H190)</f>
        <v>0</v>
      </c>
      <c r="J191" s="14"/>
      <c r="K191" s="147"/>
      <c r="L191" s="162">
        <f>IF(L190=0,0,L190/K190)</f>
        <v>0</v>
      </c>
      <c r="M191" s="178"/>
      <c r="N191" s="179"/>
      <c r="O191" s="14"/>
      <c r="P191" s="147"/>
      <c r="Q191" s="162">
        <f>IF(Q190=0,0,Q190/P190)</f>
        <v>0</v>
      </c>
      <c r="R191" s="178"/>
      <c r="S191" s="180"/>
      <c r="T191" s="115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9"/>
        <v>Service</v>
      </c>
      <c r="B192" s="12" t="s">
        <v>84</v>
      </c>
      <c r="C192" s="202"/>
      <c r="D192" s="203"/>
      <c r="E192" s="204"/>
      <c r="F192" s="203"/>
      <c r="G192" s="206"/>
      <c r="H192" s="204"/>
      <c r="I192" s="205"/>
      <c r="J192" s="203"/>
      <c r="K192" s="204"/>
      <c r="L192" s="205"/>
      <c r="M192" s="206"/>
      <c r="N192" s="205"/>
      <c r="O192" s="203"/>
      <c r="P192" s="204"/>
      <c r="Q192" s="205"/>
      <c r="R192" s="206"/>
      <c r="S192" s="207"/>
      <c r="T192" s="115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9"/>
        <v>ServiceTotal Mécanique</v>
      </c>
      <c r="B193" s="12" t="s">
        <v>84</v>
      </c>
      <c r="C193" s="63" t="s">
        <v>97</v>
      </c>
      <c r="D193" s="64"/>
      <c r="E193" s="64">
        <f t="shared" ref="E193:F193" si="81">E184+E187+E190</f>
        <v>720852.05458199105</v>
      </c>
      <c r="F193" s="64">
        <f t="shared" si="81"/>
        <v>481041.2438553024</v>
      </c>
      <c r="G193" s="67"/>
      <c r="H193" s="64">
        <f t="shared" ref="H193:I193" si="82">H184+H187+H190</f>
        <v>720852.05458199105</v>
      </c>
      <c r="I193" s="66">
        <f t="shared" si="82"/>
        <v>481041.2438553024</v>
      </c>
      <c r="J193" s="64"/>
      <c r="K193" s="64">
        <f t="shared" ref="K193:L193" si="83">K184+K187+K190</f>
        <v>722088.44000000006</v>
      </c>
      <c r="L193" s="66">
        <f t="shared" si="83"/>
        <v>497449.12</v>
      </c>
      <c r="M193" s="208">
        <f>L194-I194</f>
        <v>2.158019254131327E-2</v>
      </c>
      <c r="N193" s="66">
        <f>L193-I193</f>
        <v>16407.876144697599</v>
      </c>
      <c r="O193" s="64"/>
      <c r="P193" s="64">
        <f t="shared" ref="P193:Q193" si="84">P184+P187+P190</f>
        <v>633182.84999999986</v>
      </c>
      <c r="Q193" s="66">
        <f t="shared" si="84"/>
        <v>429567.72000000003</v>
      </c>
      <c r="R193" s="208">
        <f>L194-Q194</f>
        <v>1.0477296300417493E-2</v>
      </c>
      <c r="S193" s="69">
        <f>L193-Q193</f>
        <v>67881.399999999965</v>
      </c>
      <c r="T193" s="115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9"/>
        <v>Service</v>
      </c>
      <c r="B194" s="12" t="s">
        <v>84</v>
      </c>
      <c r="C194" s="70"/>
      <c r="D194" s="71"/>
      <c r="E194" s="71"/>
      <c r="F194" s="433">
        <f>F193/E193</f>
        <v>0.66732312240442937</v>
      </c>
      <c r="G194" s="73"/>
      <c r="H194" s="71"/>
      <c r="I194" s="75">
        <f>I193/H193</f>
        <v>0.66732312240442937</v>
      </c>
      <c r="J194" s="71"/>
      <c r="K194" s="71"/>
      <c r="L194" s="75">
        <f>L193/K193</f>
        <v>0.68890331494574264</v>
      </c>
      <c r="M194" s="74"/>
      <c r="N194" s="75">
        <f>N193/I193</f>
        <v>3.4109083897249155E-2</v>
      </c>
      <c r="O194" s="71"/>
      <c r="P194" s="71"/>
      <c r="Q194" s="75">
        <f>Q193/P193</f>
        <v>0.67842601864532515</v>
      </c>
      <c r="R194" s="74"/>
      <c r="S194" s="76">
        <f>L193/S193</f>
        <v>7.3282094947953382</v>
      </c>
      <c r="T194" s="77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9"/>
        <v>Service</v>
      </c>
      <c r="B195" s="12" t="s">
        <v>84</v>
      </c>
      <c r="C195" s="54"/>
      <c r="D195" s="77"/>
      <c r="E195" s="77"/>
      <c r="F195" s="154"/>
      <c r="G195" s="79"/>
      <c r="H195" s="77"/>
      <c r="I195" s="44"/>
      <c r="J195" s="77"/>
      <c r="K195" s="77"/>
      <c r="L195" s="44"/>
      <c r="M195" s="43"/>
      <c r="N195" s="44"/>
      <c r="O195" s="77"/>
      <c r="P195" s="77"/>
      <c r="Q195" s="44"/>
      <c r="R195" s="43"/>
      <c r="S195" s="45"/>
      <c r="T195" s="77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9"/>
        <v>ServiceDEPENSES</v>
      </c>
      <c r="B196" s="12" t="s">
        <v>84</v>
      </c>
      <c r="C196" s="80" t="s">
        <v>31</v>
      </c>
      <c r="D196" s="14"/>
      <c r="E196" s="14"/>
      <c r="F196" s="83"/>
      <c r="G196" s="42"/>
      <c r="H196" s="14"/>
      <c r="I196" s="60"/>
      <c r="J196" s="14"/>
      <c r="K196" s="14"/>
      <c r="L196" s="60"/>
      <c r="M196" s="42"/>
      <c r="N196" s="41"/>
      <c r="O196" s="14"/>
      <c r="P196" s="14"/>
      <c r="Q196" s="60"/>
      <c r="R196" s="42"/>
      <c r="S196" s="62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9"/>
        <v>ServiceSalaires cadres</v>
      </c>
      <c r="B197" s="12" t="s">
        <v>84</v>
      </c>
      <c r="C197" s="105" t="s">
        <v>42</v>
      </c>
      <c r="D197" s="14"/>
      <c r="E197" s="14"/>
      <c r="F197" s="429">
        <f>+SUM(START:END!F197)</f>
        <v>34724.305172413791</v>
      </c>
      <c r="G197" s="42"/>
      <c r="H197" s="14"/>
      <c r="I197" s="427">
        <f>+SUM(START:END!I197)</f>
        <v>34724.305172413791</v>
      </c>
      <c r="J197" s="14"/>
      <c r="K197" s="14"/>
      <c r="L197" s="429">
        <f>+SUM(START:END!L197)</f>
        <v>35003.589999999997</v>
      </c>
      <c r="M197" s="42"/>
      <c r="N197" s="41"/>
      <c r="O197" s="14"/>
      <c r="P197" s="14"/>
      <c r="Q197" s="429">
        <f>+SUM(START:END!Q197)</f>
        <v>34844.54</v>
      </c>
      <c r="R197" s="42"/>
      <c r="S197" s="35">
        <f>L197-Q197</f>
        <v>159.04999999999563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9"/>
        <v>ServiceSalaires commis</v>
      </c>
      <c r="B198" s="12" t="s">
        <v>84</v>
      </c>
      <c r="C198" s="106" t="s">
        <v>43</v>
      </c>
      <c r="D198" s="82"/>
      <c r="E198" s="14"/>
      <c r="F198" s="434">
        <f>+SUM(START:END!F198)</f>
        <v>29449.704323022994</v>
      </c>
      <c r="G198" s="84"/>
      <c r="H198" s="14"/>
      <c r="I198" s="430">
        <f>+SUM(START:END!I198)</f>
        <v>29449.704323022994</v>
      </c>
      <c r="J198" s="82"/>
      <c r="K198" s="14"/>
      <c r="L198" s="430">
        <f>+SUM(START:END!L198)</f>
        <v>21813.260000000002</v>
      </c>
      <c r="M198" s="42"/>
      <c r="N198" s="60">
        <f t="shared" ref="N198:N228" si="85">L198-I198</f>
        <v>-7636.4443230229917</v>
      </c>
      <c r="O198" s="82"/>
      <c r="P198" s="14"/>
      <c r="Q198" s="430">
        <f>+SUM(START:END!Q198)</f>
        <v>27035.84</v>
      </c>
      <c r="R198" s="42"/>
      <c r="S198" s="86">
        <f t="shared" ref="S198:S228" si="86">L198-Q198</f>
        <v>-5222.5799999999981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9"/>
        <v>ServiceSalaires autres</v>
      </c>
      <c r="B199" s="12" t="s">
        <v>84</v>
      </c>
      <c r="C199" s="105" t="s">
        <v>44</v>
      </c>
      <c r="D199" s="107"/>
      <c r="E199" s="108"/>
      <c r="F199" s="429">
        <f>+SUM(START:END!F199)</f>
        <v>44339.84549783908</v>
      </c>
      <c r="G199" s="109"/>
      <c r="H199" s="108"/>
      <c r="I199" s="427">
        <f>+SUM(START:END!I199)</f>
        <v>44339.84549783908</v>
      </c>
      <c r="J199" s="107"/>
      <c r="K199" s="108"/>
      <c r="L199" s="429">
        <f>+SUM(START:END!L199)</f>
        <v>57018.99</v>
      </c>
      <c r="M199" s="110"/>
      <c r="N199" s="112">
        <f t="shared" si="85"/>
        <v>12679.144502160918</v>
      </c>
      <c r="O199" s="107"/>
      <c r="P199" s="108"/>
      <c r="Q199" s="429">
        <f>+SUM(START:END!Q199)</f>
        <v>29451.629999999997</v>
      </c>
      <c r="R199" s="110"/>
      <c r="S199" s="113">
        <f t="shared" si="86"/>
        <v>27567.360000000001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9"/>
        <v>ServiceSalaires spécialistes</v>
      </c>
      <c r="B200" s="12" t="s">
        <v>84</v>
      </c>
      <c r="C200" s="105" t="s">
        <v>45</v>
      </c>
      <c r="D200" s="82"/>
      <c r="E200" s="14"/>
      <c r="F200" s="429">
        <f>+SUM(START:END!F200)</f>
        <v>79973.736692212435</v>
      </c>
      <c r="G200" s="84"/>
      <c r="H200" s="14"/>
      <c r="I200" s="427">
        <f>+SUM(START:END!I200)</f>
        <v>79973.736692212435</v>
      </c>
      <c r="J200" s="82"/>
      <c r="K200" s="14"/>
      <c r="L200" s="429">
        <f>+SUM(START:END!L200)</f>
        <v>75892.479999999996</v>
      </c>
      <c r="M200" s="42"/>
      <c r="N200" s="60">
        <f t="shared" si="85"/>
        <v>-4081.2566922124388</v>
      </c>
      <c r="O200" s="82"/>
      <c r="P200" s="14"/>
      <c r="Q200" s="429">
        <f>+SUM(START:END!Q200)</f>
        <v>55599.869999999995</v>
      </c>
      <c r="R200" s="42"/>
      <c r="S200" s="86">
        <f t="shared" si="86"/>
        <v>20292.61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9"/>
        <v>Service[...]</v>
      </c>
      <c r="B201" s="12" t="s">
        <v>84</v>
      </c>
      <c r="C201" s="30" t="s">
        <v>21</v>
      </c>
      <c r="D201" s="82"/>
      <c r="E201" s="14"/>
      <c r="F201" s="429">
        <f>+SUM(START:END!F201)</f>
        <v>0</v>
      </c>
      <c r="G201" s="84"/>
      <c r="H201" s="14"/>
      <c r="I201" s="427">
        <f>+SUM(START:END!I201)</f>
        <v>0</v>
      </c>
      <c r="J201" s="82"/>
      <c r="K201" s="14"/>
      <c r="L201" s="429">
        <f>+SUM(START:END!L201)</f>
        <v>0</v>
      </c>
      <c r="M201" s="42"/>
      <c r="N201" s="60">
        <f t="shared" si="85"/>
        <v>0</v>
      </c>
      <c r="O201" s="82"/>
      <c r="P201" s="14"/>
      <c r="Q201" s="429">
        <f>+SUM(START:END!Q201)</f>
        <v>0</v>
      </c>
      <c r="R201" s="42"/>
      <c r="S201" s="86">
        <f t="shared" si="86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9"/>
        <v>Service[...]</v>
      </c>
      <c r="B202" s="12" t="s">
        <v>84</v>
      </c>
      <c r="C202" s="30" t="s">
        <v>21</v>
      </c>
      <c r="D202" s="82"/>
      <c r="E202" s="14"/>
      <c r="F202" s="429">
        <f>+SUM(START:END!F202)</f>
        <v>0</v>
      </c>
      <c r="G202" s="84"/>
      <c r="H202" s="14"/>
      <c r="I202" s="427">
        <f>+SUM(START:END!I202)</f>
        <v>0</v>
      </c>
      <c r="J202" s="82"/>
      <c r="K202" s="14"/>
      <c r="L202" s="429">
        <f>+SUM(START:END!L202)</f>
        <v>0</v>
      </c>
      <c r="M202" s="42"/>
      <c r="N202" s="60">
        <f t="shared" si="85"/>
        <v>0</v>
      </c>
      <c r="O202" s="82"/>
      <c r="P202" s="14"/>
      <c r="Q202" s="429">
        <f>+SUM(START:END!Q202)</f>
        <v>0</v>
      </c>
      <c r="R202" s="42"/>
      <c r="S202" s="86">
        <f t="shared" si="86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9"/>
        <v>Service[...]</v>
      </c>
      <c r="B203" s="12" t="s">
        <v>84</v>
      </c>
      <c r="C203" s="30" t="s">
        <v>21</v>
      </c>
      <c r="D203" s="82"/>
      <c r="E203" s="14"/>
      <c r="F203" s="429">
        <f>+SUM(START:END!F203)</f>
        <v>0</v>
      </c>
      <c r="G203" s="84"/>
      <c r="H203" s="14"/>
      <c r="I203" s="427">
        <f>+SUM(START:END!I203)</f>
        <v>0</v>
      </c>
      <c r="J203" s="82"/>
      <c r="K203" s="14"/>
      <c r="L203" s="429">
        <f>+SUM(START:END!L203)</f>
        <v>0</v>
      </c>
      <c r="M203" s="42"/>
      <c r="N203" s="60">
        <f t="shared" si="85"/>
        <v>0</v>
      </c>
      <c r="O203" s="82"/>
      <c r="P203" s="14"/>
      <c r="Q203" s="429">
        <f>+SUM(START:END!Q203)</f>
        <v>0</v>
      </c>
      <c r="R203" s="42"/>
      <c r="S203" s="86">
        <f t="shared" si="86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9"/>
        <v>ServiceSalaires en absences</v>
      </c>
      <c r="B204" s="12" t="s">
        <v>84</v>
      </c>
      <c r="C204" s="106" t="s">
        <v>46</v>
      </c>
      <c r="D204" s="82"/>
      <c r="E204" s="14"/>
      <c r="F204" s="429">
        <f>+SUM(START:END!F204)</f>
        <v>48674.845599069085</v>
      </c>
      <c r="G204" s="84"/>
      <c r="H204" s="14"/>
      <c r="I204" s="427">
        <f>+SUM(START:END!I204)</f>
        <v>48674.845599069085</v>
      </c>
      <c r="J204" s="82"/>
      <c r="K204" s="14"/>
      <c r="L204" s="429">
        <f>+SUM(START:END!L204)</f>
        <v>47894.6</v>
      </c>
      <c r="M204" s="42"/>
      <c r="N204" s="60">
        <f t="shared" si="85"/>
        <v>-780.24559906908689</v>
      </c>
      <c r="O204" s="82"/>
      <c r="P204" s="14"/>
      <c r="Q204" s="429">
        <f>+SUM(START:END!Q204)</f>
        <v>44900.86</v>
      </c>
      <c r="R204" s="42"/>
      <c r="S204" s="86">
        <f t="shared" si="86"/>
        <v>2993.739999999998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9"/>
        <v>ServiceDéduction à la source</v>
      </c>
      <c r="B205" s="12" t="s">
        <v>84</v>
      </c>
      <c r="C205" s="105" t="s">
        <v>47</v>
      </c>
      <c r="D205" s="107"/>
      <c r="E205" s="108"/>
      <c r="F205" s="435">
        <f>+SUM(START:END!F205)</f>
        <v>43593.313684507812</v>
      </c>
      <c r="G205" s="109"/>
      <c r="H205" s="108"/>
      <c r="I205" s="431">
        <f>+SUM(START:END!I205)</f>
        <v>43593.313684507812</v>
      </c>
      <c r="J205" s="107"/>
      <c r="K205" s="108"/>
      <c r="L205" s="431">
        <f>+SUM(START:END!L205)</f>
        <v>45952.83</v>
      </c>
      <c r="M205" s="110"/>
      <c r="N205" s="112">
        <f t="shared" si="85"/>
        <v>2359.5163154921902</v>
      </c>
      <c r="O205" s="107"/>
      <c r="P205" s="108"/>
      <c r="Q205" s="431">
        <f>+SUM(START:END!Q205)</f>
        <v>38656.15</v>
      </c>
      <c r="R205" s="110"/>
      <c r="S205" s="113">
        <f t="shared" si="86"/>
        <v>7296.68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9"/>
        <v>ServiceBénéfices marginaux</v>
      </c>
      <c r="B206" s="12" t="s">
        <v>84</v>
      </c>
      <c r="C206" s="105" t="s">
        <v>48</v>
      </c>
      <c r="D206" s="82"/>
      <c r="E206" s="14"/>
      <c r="F206" s="429">
        <f>+SUM(START:END!F206)</f>
        <v>34618.219690638558</v>
      </c>
      <c r="G206" s="84"/>
      <c r="H206" s="14"/>
      <c r="I206" s="427">
        <f>+SUM(START:END!I206)</f>
        <v>34618.219690638558</v>
      </c>
      <c r="J206" s="82"/>
      <c r="K206" s="14"/>
      <c r="L206" s="429">
        <f>+SUM(START:END!L206)</f>
        <v>14556.240000000002</v>
      </c>
      <c r="M206" s="42"/>
      <c r="N206" s="60">
        <f t="shared" si="85"/>
        <v>-20061.979690638556</v>
      </c>
      <c r="O206" s="82"/>
      <c r="P206" s="14"/>
      <c r="Q206" s="429">
        <f>+SUM(START:END!Q206)</f>
        <v>27703.58</v>
      </c>
      <c r="R206" s="42"/>
      <c r="S206" s="86">
        <f t="shared" si="86"/>
        <v>-13147.34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9"/>
        <v>ServiceCsst</v>
      </c>
      <c r="B207" s="12" t="s">
        <v>84</v>
      </c>
      <c r="C207" s="105" t="s">
        <v>49</v>
      </c>
      <c r="D207" s="82"/>
      <c r="E207" s="14"/>
      <c r="F207" s="429">
        <f>+SUM(START:END!F207)</f>
        <v>14103.719133223116</v>
      </c>
      <c r="G207" s="84"/>
      <c r="H207" s="14"/>
      <c r="I207" s="427">
        <f>+SUM(START:END!I207)</f>
        <v>14103.719133223116</v>
      </c>
      <c r="J207" s="82"/>
      <c r="K207" s="14"/>
      <c r="L207" s="429">
        <f>+SUM(START:END!L207)</f>
        <v>15640.93</v>
      </c>
      <c r="M207" s="42"/>
      <c r="N207" s="60">
        <f t="shared" si="85"/>
        <v>1537.2108667768844</v>
      </c>
      <c r="O207" s="82"/>
      <c r="P207" s="14"/>
      <c r="Q207" s="429">
        <f>+SUM(START:END!Q207)</f>
        <v>6442.7</v>
      </c>
      <c r="R207" s="42"/>
      <c r="S207" s="86">
        <f t="shared" si="86"/>
        <v>9198.23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9"/>
        <v>Service[...]</v>
      </c>
      <c r="B208" s="12" t="s">
        <v>84</v>
      </c>
      <c r="C208" s="30" t="s">
        <v>21</v>
      </c>
      <c r="D208" s="89"/>
      <c r="E208" s="114"/>
      <c r="F208" s="429">
        <f>+SUM(START:END!F208)</f>
        <v>0</v>
      </c>
      <c r="G208" s="91"/>
      <c r="H208" s="114"/>
      <c r="I208" s="427">
        <f>+SUM(START:END!I208)</f>
        <v>0</v>
      </c>
      <c r="J208" s="89"/>
      <c r="K208" s="114"/>
      <c r="L208" s="429">
        <f>+SUM(START:END!L208)</f>
        <v>0</v>
      </c>
      <c r="M208" s="24"/>
      <c r="N208" s="94">
        <f t="shared" si="85"/>
        <v>0</v>
      </c>
      <c r="O208" s="89"/>
      <c r="P208" s="114"/>
      <c r="Q208" s="429">
        <f>+SUM(START:END!Q208)</f>
        <v>0</v>
      </c>
      <c r="R208" s="24"/>
      <c r="S208" s="95">
        <f t="shared" si="86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9"/>
        <v>ServiceTOTAL PERSONNEL</v>
      </c>
      <c r="B209" s="12" t="s">
        <v>84</v>
      </c>
      <c r="C209" s="96" t="s">
        <v>50</v>
      </c>
      <c r="D209" s="97" t="s">
        <v>98</v>
      </c>
      <c r="E209" s="98">
        <f>F209/F$193</f>
        <v>0.68492607235157155</v>
      </c>
      <c r="F209" s="102">
        <f>+SUM(F197:F208)</f>
        <v>329477.68979292683</v>
      </c>
      <c r="G209" s="100" t="s">
        <v>98</v>
      </c>
      <c r="H209" s="98">
        <f>I209/I$193</f>
        <v>0.68492607235157155</v>
      </c>
      <c r="I209" s="99">
        <f>+SUM(I197:I208)</f>
        <v>329477.68979292683</v>
      </c>
      <c r="J209" s="97" t="s">
        <v>98</v>
      </c>
      <c r="K209" s="98">
        <f>L209/L$193</f>
        <v>0.63076384575773292</v>
      </c>
      <c r="L209" s="99">
        <f>+SUM(L197:L208)</f>
        <v>313772.92</v>
      </c>
      <c r="M209" s="151"/>
      <c r="N209" s="116">
        <f t="shared" si="85"/>
        <v>-15704.769792926847</v>
      </c>
      <c r="O209" s="97" t="s">
        <v>98</v>
      </c>
      <c r="P209" s="98">
        <f>Q209/Q$193</f>
        <v>0.61604994434870475</v>
      </c>
      <c r="Q209" s="99">
        <f>+SUM(Q197:Q208)</f>
        <v>264635.17</v>
      </c>
      <c r="R209" s="151"/>
      <c r="S209" s="117">
        <f t="shared" si="86"/>
        <v>49137.75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9"/>
        <v>ServicePublicité 2</v>
      </c>
      <c r="B210" s="12" t="s">
        <v>84</v>
      </c>
      <c r="C210" s="30" t="s">
        <v>51</v>
      </c>
      <c r="D210" s="82"/>
      <c r="E210" s="14"/>
      <c r="F210" s="31">
        <f>+SUM(START:END!F210)</f>
        <v>20756.287500000002</v>
      </c>
      <c r="G210" s="84"/>
      <c r="H210" s="14"/>
      <c r="I210" s="34">
        <f>+SUM(START:END!I210)</f>
        <v>20756.287500000002</v>
      </c>
      <c r="J210" s="82"/>
      <c r="K210" s="14"/>
      <c r="L210" s="31">
        <f>+SUM(START:END!L210)</f>
        <v>32310.800000000003</v>
      </c>
      <c r="M210" s="42"/>
      <c r="N210" s="60">
        <f t="shared" si="85"/>
        <v>11554.512500000001</v>
      </c>
      <c r="O210" s="82"/>
      <c r="P210" s="14"/>
      <c r="Q210" s="31">
        <f>+SUM(START:END!Q210)</f>
        <v>21721.870000000003</v>
      </c>
      <c r="R210" s="42"/>
      <c r="S210" s="86">
        <f t="shared" si="86"/>
        <v>10588.93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9"/>
        <v>ServiceService gratuit 2</v>
      </c>
      <c r="B211" s="12" t="s">
        <v>84</v>
      </c>
      <c r="C211" s="30" t="s">
        <v>52</v>
      </c>
      <c r="D211" s="82"/>
      <c r="E211" s="14"/>
      <c r="F211" s="31">
        <f>+SUM(START:END!F211)</f>
        <v>6458.7417853877796</v>
      </c>
      <c r="G211" s="84"/>
      <c r="H211" s="14"/>
      <c r="I211" s="34">
        <f>+SUM(START:END!I211)</f>
        <v>6458.7417853877796</v>
      </c>
      <c r="J211" s="82"/>
      <c r="K211" s="14"/>
      <c r="L211" s="31">
        <f>+SUM(START:END!L211)</f>
        <v>9860.74</v>
      </c>
      <c r="M211" s="42"/>
      <c r="N211" s="60">
        <f t="shared" si="85"/>
        <v>3401.9982146122202</v>
      </c>
      <c r="O211" s="82"/>
      <c r="P211" s="14"/>
      <c r="Q211" s="31">
        <f>+SUM(START:END!Q211)</f>
        <v>7968.46</v>
      </c>
      <c r="R211" s="42"/>
      <c r="S211" s="86">
        <f t="shared" si="86"/>
        <v>1892.2799999999997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9"/>
        <v>ServiceFrais véhicules de cie</v>
      </c>
      <c r="B212" s="12" t="s">
        <v>84</v>
      </c>
      <c r="C212" s="88" t="s">
        <v>53</v>
      </c>
      <c r="D212" s="89"/>
      <c r="E212" s="114"/>
      <c r="F212" s="26">
        <f>+SUM(START:END!F212)</f>
        <v>34874.893333333333</v>
      </c>
      <c r="G212" s="91"/>
      <c r="H212" s="114"/>
      <c r="I212" s="23">
        <f>+SUM(START:END!I212)</f>
        <v>34874.893333333333</v>
      </c>
      <c r="J212" s="89"/>
      <c r="K212" s="114"/>
      <c r="L212" s="23">
        <f>+SUM(START:END!L212)</f>
        <v>47727.040000000001</v>
      </c>
      <c r="M212" s="24"/>
      <c r="N212" s="94">
        <f t="shared" si="85"/>
        <v>12852.146666666667</v>
      </c>
      <c r="O212" s="89"/>
      <c r="P212" s="114"/>
      <c r="Q212" s="23">
        <f>+SUM(START:END!Q212)</f>
        <v>47528.95</v>
      </c>
      <c r="R212" s="24"/>
      <c r="S212" s="95">
        <f t="shared" si="86"/>
        <v>198.09000000000378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9"/>
        <v>ServiceInformatique</v>
      </c>
      <c r="B213" s="12" t="s">
        <v>84</v>
      </c>
      <c r="C213" s="30" t="s">
        <v>54</v>
      </c>
      <c r="D213" s="82"/>
      <c r="E213" s="14"/>
      <c r="F213" s="31">
        <f>+SUM(START:END!F213)</f>
        <v>17906.219459999997</v>
      </c>
      <c r="G213" s="84"/>
      <c r="H213" s="14"/>
      <c r="I213" s="34">
        <f>+SUM(START:END!I213)</f>
        <v>17906.219459999997</v>
      </c>
      <c r="J213" s="82"/>
      <c r="K213" s="14"/>
      <c r="L213" s="31">
        <f>+SUM(START:END!L213)</f>
        <v>12028.93</v>
      </c>
      <c r="M213" s="42"/>
      <c r="N213" s="60">
        <f t="shared" si="85"/>
        <v>-5877.2894599999963</v>
      </c>
      <c r="O213" s="82"/>
      <c r="P213" s="14"/>
      <c r="Q213" s="31">
        <f>+SUM(START:END!Q213)</f>
        <v>11789.359999999999</v>
      </c>
      <c r="R213" s="42"/>
      <c r="S213" s="86">
        <f t="shared" si="86"/>
        <v>239.57000000000153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9"/>
        <v>ServiceFrais de déplacement</v>
      </c>
      <c r="B214" s="12" t="s">
        <v>84</v>
      </c>
      <c r="C214" s="30" t="s">
        <v>55</v>
      </c>
      <c r="D214" s="82"/>
      <c r="E214" s="14"/>
      <c r="F214" s="31">
        <f>+SUM(START:END!F214)</f>
        <v>1782.3190500000001</v>
      </c>
      <c r="G214" s="84"/>
      <c r="H214" s="14"/>
      <c r="I214" s="34">
        <f>+SUM(START:END!I214)</f>
        <v>1782.3190500000001</v>
      </c>
      <c r="J214" s="82"/>
      <c r="K214" s="14"/>
      <c r="L214" s="31">
        <f>+SUM(START:END!L214)</f>
        <v>3298.7799999999997</v>
      </c>
      <c r="M214" s="42"/>
      <c r="N214" s="60">
        <f t="shared" si="85"/>
        <v>1516.4609499999997</v>
      </c>
      <c r="O214" s="82"/>
      <c r="P214" s="14"/>
      <c r="Q214" s="31">
        <f>+SUM(START:END!Q214)</f>
        <v>1229.7</v>
      </c>
      <c r="R214" s="42"/>
      <c r="S214" s="86">
        <f t="shared" si="86"/>
        <v>2069.08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9"/>
        <v>ServiceServices extérieurs</v>
      </c>
      <c r="B215" s="12" t="s">
        <v>84</v>
      </c>
      <c r="C215" s="88" t="s">
        <v>56</v>
      </c>
      <c r="D215" s="89"/>
      <c r="E215" s="114"/>
      <c r="F215" s="26">
        <f>+SUM(START:END!F215)</f>
        <v>8715.522399999998</v>
      </c>
      <c r="G215" s="91"/>
      <c r="H215" s="114"/>
      <c r="I215" s="23">
        <f>+SUM(START:END!I215)</f>
        <v>8715.522399999998</v>
      </c>
      <c r="J215" s="89"/>
      <c r="K215" s="114"/>
      <c r="L215" s="23">
        <f>+SUM(START:END!L215)</f>
        <v>6567.72</v>
      </c>
      <c r="M215" s="24"/>
      <c r="N215" s="94">
        <f t="shared" si="85"/>
        <v>-2147.8023999999978</v>
      </c>
      <c r="O215" s="89"/>
      <c r="P215" s="114"/>
      <c r="Q215" s="23">
        <f>+SUM(START:END!Q215)</f>
        <v>6457.79</v>
      </c>
      <c r="R215" s="24"/>
      <c r="S215" s="95">
        <f t="shared" si="86"/>
        <v>109.93000000000029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9"/>
        <v>ServiceFournitures d'atelier</v>
      </c>
      <c r="B216" s="12" t="s">
        <v>84</v>
      </c>
      <c r="C216" s="30" t="s">
        <v>99</v>
      </c>
      <c r="D216" s="82"/>
      <c r="E216" s="14"/>
      <c r="F216" s="31">
        <f>+SUM(START:END!F216)</f>
        <v>0</v>
      </c>
      <c r="G216" s="84"/>
      <c r="H216" s="14"/>
      <c r="I216" s="34">
        <f>+SUM(START:END!I216)</f>
        <v>0</v>
      </c>
      <c r="J216" s="82"/>
      <c r="K216" s="14"/>
      <c r="L216" s="31">
        <f>+SUM(START:END!L216)</f>
        <v>0</v>
      </c>
      <c r="M216" s="42"/>
      <c r="N216" s="60">
        <f t="shared" si="85"/>
        <v>0</v>
      </c>
      <c r="O216" s="82"/>
      <c r="P216" s="14"/>
      <c r="Q216" s="31">
        <f>+SUM(START:END!Q216)</f>
        <v>0</v>
      </c>
      <c r="R216" s="42"/>
      <c r="S216" s="86">
        <f t="shared" si="86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9"/>
        <v>ServiceFournitures autres</v>
      </c>
      <c r="B217" s="12" t="s">
        <v>84</v>
      </c>
      <c r="C217" s="30" t="s">
        <v>57</v>
      </c>
      <c r="D217" s="82"/>
      <c r="E217" s="14"/>
      <c r="F217" s="31">
        <f>+SUM(START:END!F217)</f>
        <v>3688.8865606419026</v>
      </c>
      <c r="G217" s="84"/>
      <c r="H217" s="14"/>
      <c r="I217" s="34">
        <f>+SUM(START:END!I217)</f>
        <v>3688.8865606419026</v>
      </c>
      <c r="J217" s="82"/>
      <c r="K217" s="14"/>
      <c r="L217" s="31">
        <f>+SUM(START:END!L217)</f>
        <v>4225.88</v>
      </c>
      <c r="M217" s="42"/>
      <c r="N217" s="60">
        <f t="shared" si="85"/>
        <v>536.99343935809748</v>
      </c>
      <c r="O217" s="82"/>
      <c r="P217" s="14"/>
      <c r="Q217" s="31">
        <f>+SUM(START:END!Q217)</f>
        <v>1930.7699999999995</v>
      </c>
      <c r="R217" s="42"/>
      <c r="S217" s="86">
        <f t="shared" si="86"/>
        <v>2295.1100000000006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9"/>
        <v>ServiceUniformes</v>
      </c>
      <c r="B218" s="12" t="s">
        <v>84</v>
      </c>
      <c r="C218" s="30" t="s">
        <v>58</v>
      </c>
      <c r="D218" s="82"/>
      <c r="E218" s="14"/>
      <c r="F218" s="31">
        <f>+SUM(START:END!F218)</f>
        <v>1960.1773456798196</v>
      </c>
      <c r="G218" s="84"/>
      <c r="H218" s="14"/>
      <c r="I218" s="34">
        <f>+SUM(START:END!I218)</f>
        <v>1960.1773456798196</v>
      </c>
      <c r="J218" s="82"/>
      <c r="K218" s="14"/>
      <c r="L218" s="31">
        <f>+SUM(START:END!L218)</f>
        <v>1477.5900000000001</v>
      </c>
      <c r="M218" s="42"/>
      <c r="N218" s="60">
        <f t="shared" si="85"/>
        <v>-482.58734567981946</v>
      </c>
      <c r="O218" s="82"/>
      <c r="P218" s="14"/>
      <c r="Q218" s="31">
        <f>+SUM(START:END!Q218)</f>
        <v>1506.1999999999998</v>
      </c>
      <c r="R218" s="42"/>
      <c r="S218" s="86">
        <f t="shared" si="86"/>
        <v>-28.609999999999673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9"/>
        <v>ServicePapeterie</v>
      </c>
      <c r="B219" s="12" t="s">
        <v>84</v>
      </c>
      <c r="C219" s="30" t="s">
        <v>59</v>
      </c>
      <c r="D219" s="82"/>
      <c r="E219" s="14"/>
      <c r="F219" s="31">
        <f>+SUM(START:END!F219)</f>
        <v>1468.94472</v>
      </c>
      <c r="G219" s="84"/>
      <c r="H219" s="14"/>
      <c r="I219" s="34">
        <f>+SUM(START:END!I219)</f>
        <v>1468.94472</v>
      </c>
      <c r="J219" s="82"/>
      <c r="K219" s="14"/>
      <c r="L219" s="31">
        <f>+SUM(START:END!L219)</f>
        <v>1936.9300000000003</v>
      </c>
      <c r="M219" s="42"/>
      <c r="N219" s="60">
        <f t="shared" si="85"/>
        <v>467.98528000000033</v>
      </c>
      <c r="O219" s="82"/>
      <c r="P219" s="14"/>
      <c r="Q219" s="31">
        <f>+SUM(START:END!Q219)</f>
        <v>2990.08</v>
      </c>
      <c r="R219" s="42"/>
      <c r="S219" s="86">
        <f t="shared" si="86"/>
        <v>-1053.1499999999996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9"/>
        <v>ServiceTéléphone</v>
      </c>
      <c r="B220" s="12" t="s">
        <v>84</v>
      </c>
      <c r="C220" s="30" t="s">
        <v>60</v>
      </c>
      <c r="D220" s="82"/>
      <c r="E220" s="14"/>
      <c r="F220" s="31">
        <f>+SUM(START:END!F220)</f>
        <v>678.29518500000006</v>
      </c>
      <c r="G220" s="84"/>
      <c r="H220" s="14"/>
      <c r="I220" s="34">
        <f>+SUM(START:END!I220)</f>
        <v>678.29518500000006</v>
      </c>
      <c r="J220" s="82"/>
      <c r="K220" s="14"/>
      <c r="L220" s="31">
        <f>+SUM(START:END!L220)</f>
        <v>1002.05</v>
      </c>
      <c r="M220" s="42"/>
      <c r="N220" s="60">
        <f t="shared" si="85"/>
        <v>323.75481499999989</v>
      </c>
      <c r="O220" s="82"/>
      <c r="P220" s="14"/>
      <c r="Q220" s="31">
        <f>+SUM(START:END!Q220)</f>
        <v>801.24</v>
      </c>
      <c r="R220" s="42"/>
      <c r="S220" s="86">
        <f t="shared" si="86"/>
        <v>200.80999999999995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9"/>
        <v>ServiceFrais postaux</v>
      </c>
      <c r="B221" s="12" t="s">
        <v>84</v>
      </c>
      <c r="C221" s="30" t="s">
        <v>61</v>
      </c>
      <c r="D221" s="82"/>
      <c r="E221" s="14"/>
      <c r="F221" s="31">
        <f>+SUM(START:END!F221)</f>
        <v>362.06341499999991</v>
      </c>
      <c r="G221" s="84"/>
      <c r="H221" s="14"/>
      <c r="I221" s="34">
        <f>+SUM(START:END!I221)</f>
        <v>362.06341499999991</v>
      </c>
      <c r="J221" s="82"/>
      <c r="K221" s="14"/>
      <c r="L221" s="31">
        <f>+SUM(START:END!L221)</f>
        <v>365.11</v>
      </c>
      <c r="M221" s="42"/>
      <c r="N221" s="60">
        <f t="shared" si="85"/>
        <v>3.0465850000001069</v>
      </c>
      <c r="O221" s="82"/>
      <c r="P221" s="14"/>
      <c r="Q221" s="31">
        <f>+SUM(START:END!Q221)</f>
        <v>686.93000000000006</v>
      </c>
      <c r="R221" s="42"/>
      <c r="S221" s="86">
        <f t="shared" si="86"/>
        <v>-321.82000000000005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9"/>
        <v>ServiceDivers</v>
      </c>
      <c r="B222" s="12" t="s">
        <v>84</v>
      </c>
      <c r="C222" s="30" t="s">
        <v>62</v>
      </c>
      <c r="D222" s="82"/>
      <c r="E222" s="14"/>
      <c r="F222" s="31">
        <f>+SUM(START:END!F222)</f>
        <v>1746.5255849999994</v>
      </c>
      <c r="G222" s="84"/>
      <c r="H222" s="14"/>
      <c r="I222" s="34">
        <f>+SUM(START:END!I222)</f>
        <v>1746.5255849999994</v>
      </c>
      <c r="J222" s="82"/>
      <c r="K222" s="14"/>
      <c r="L222" s="31">
        <f>+SUM(START:END!L222)</f>
        <v>265.88</v>
      </c>
      <c r="M222" s="42"/>
      <c r="N222" s="60">
        <f t="shared" si="85"/>
        <v>-1480.6455849999993</v>
      </c>
      <c r="O222" s="82"/>
      <c r="P222" s="14"/>
      <c r="Q222" s="31">
        <f>+SUM(START:END!Q222)</f>
        <v>1478.77</v>
      </c>
      <c r="R222" s="42"/>
      <c r="S222" s="86">
        <f t="shared" si="86"/>
        <v>-1212.8899999999999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9"/>
        <v>ServiceFormation</v>
      </c>
      <c r="B223" s="12" t="s">
        <v>84</v>
      </c>
      <c r="C223" s="30" t="s">
        <v>63</v>
      </c>
      <c r="D223" s="82"/>
      <c r="E223" s="14"/>
      <c r="F223" s="31">
        <f>+SUM(START:END!F223)</f>
        <v>2594.8265999999999</v>
      </c>
      <c r="G223" s="84"/>
      <c r="H223" s="14"/>
      <c r="I223" s="34">
        <f>+SUM(START:END!I223)</f>
        <v>2594.8265999999999</v>
      </c>
      <c r="J223" s="82"/>
      <c r="K223" s="14"/>
      <c r="L223" s="31">
        <f>+SUM(START:END!L223)</f>
        <v>3571.91</v>
      </c>
      <c r="M223" s="42"/>
      <c r="N223" s="60">
        <f t="shared" si="85"/>
        <v>977.08339999999998</v>
      </c>
      <c r="O223" s="82"/>
      <c r="P223" s="14"/>
      <c r="Q223" s="31">
        <f>+SUM(START:END!Q223)</f>
        <v>7240.35</v>
      </c>
      <c r="R223" s="42"/>
      <c r="S223" s="86">
        <f t="shared" si="86"/>
        <v>-3668.4400000000005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9"/>
        <v>ServiceFrais bancaires</v>
      </c>
      <c r="B224" s="12" t="s">
        <v>84</v>
      </c>
      <c r="C224" s="30" t="s">
        <v>64</v>
      </c>
      <c r="D224" s="82"/>
      <c r="E224" s="14"/>
      <c r="F224" s="31">
        <f>+SUM(START:END!F224)</f>
        <v>4085.4384597971498</v>
      </c>
      <c r="G224" s="84"/>
      <c r="H224" s="14"/>
      <c r="I224" s="34">
        <f>+SUM(START:END!I224)</f>
        <v>4085.4384597971498</v>
      </c>
      <c r="J224" s="82"/>
      <c r="K224" s="14"/>
      <c r="L224" s="31">
        <f>+SUM(START:END!L224)</f>
        <v>5608.6399999999994</v>
      </c>
      <c r="M224" s="42"/>
      <c r="N224" s="60">
        <f t="shared" si="85"/>
        <v>1523.2015402028496</v>
      </c>
      <c r="O224" s="82"/>
      <c r="P224" s="14"/>
      <c r="Q224" s="31">
        <f>+SUM(START:END!Q224)</f>
        <v>4455.2115000000003</v>
      </c>
      <c r="R224" s="42"/>
      <c r="S224" s="86">
        <f t="shared" si="86"/>
        <v>1153.4284999999991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9"/>
        <v>Service[...]</v>
      </c>
      <c r="B225" s="12" t="s">
        <v>84</v>
      </c>
      <c r="C225" s="30" t="s">
        <v>21</v>
      </c>
      <c r="D225" s="82"/>
      <c r="E225" s="14"/>
      <c r="F225" s="31">
        <f>+SUM(START:END!F225)</f>
        <v>0</v>
      </c>
      <c r="G225" s="84"/>
      <c r="H225" s="14"/>
      <c r="I225" s="34">
        <f>+SUM(START:END!I225)</f>
        <v>0</v>
      </c>
      <c r="J225" s="82"/>
      <c r="K225" s="14"/>
      <c r="L225" s="31">
        <f>+SUM(START:END!L225)</f>
        <v>0</v>
      </c>
      <c r="M225" s="42"/>
      <c r="N225" s="60">
        <f t="shared" si="85"/>
        <v>0</v>
      </c>
      <c r="O225" s="82"/>
      <c r="P225" s="14"/>
      <c r="Q225" s="31">
        <f>+SUM(START:END!Q225)</f>
        <v>0</v>
      </c>
      <c r="R225" s="42"/>
      <c r="S225" s="86">
        <f t="shared" si="86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0" t="s">
        <v>21</v>
      </c>
      <c r="D226" s="82"/>
      <c r="E226" s="14"/>
      <c r="F226" s="31">
        <f>+SUM(START:END!F226)</f>
        <v>0</v>
      </c>
      <c r="G226" s="84"/>
      <c r="H226" s="14"/>
      <c r="I226" s="34">
        <f>+SUM(START:END!I226)</f>
        <v>0</v>
      </c>
      <c r="J226" s="82"/>
      <c r="K226" s="14"/>
      <c r="L226" s="31">
        <f>+SUM(START:END!L226)</f>
        <v>0</v>
      </c>
      <c r="M226" s="42"/>
      <c r="N226" s="60">
        <f t="shared" si="85"/>
        <v>0</v>
      </c>
      <c r="O226" s="82"/>
      <c r="P226" s="14"/>
      <c r="Q226" s="31">
        <f>+SUM(START:END!Q226)</f>
        <v>0</v>
      </c>
      <c r="R226" s="42"/>
      <c r="S226" s="86">
        <f t="shared" si="86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9"/>
        <v>Service[...]</v>
      </c>
      <c r="B227" s="12" t="s">
        <v>84</v>
      </c>
      <c r="C227" s="30" t="s">
        <v>21</v>
      </c>
      <c r="D227" s="82"/>
      <c r="E227" s="14"/>
      <c r="F227" s="31">
        <f>+SUM(START:END!F227)</f>
        <v>0</v>
      </c>
      <c r="G227" s="84"/>
      <c r="H227" s="14"/>
      <c r="I227" s="34">
        <f>+SUM(START:END!I227)</f>
        <v>0</v>
      </c>
      <c r="J227" s="82"/>
      <c r="K227" s="14"/>
      <c r="L227" s="31">
        <f>+SUM(START:END!L227)</f>
        <v>0</v>
      </c>
      <c r="M227" s="42"/>
      <c r="N227" s="60">
        <f t="shared" si="85"/>
        <v>0</v>
      </c>
      <c r="O227" s="82"/>
      <c r="P227" s="14"/>
      <c r="Q227" s="31">
        <f>+SUM(START:END!Q227)</f>
        <v>0</v>
      </c>
      <c r="R227" s="42"/>
      <c r="S227" s="86">
        <f t="shared" si="86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6" t="s">
        <v>65</v>
      </c>
      <c r="D228" s="97" t="s">
        <v>98</v>
      </c>
      <c r="E228" s="98">
        <f>F228/F$193</f>
        <v>0.22259867062885252</v>
      </c>
      <c r="F228" s="102">
        <f>+SUM(F210:F227)</f>
        <v>107079.14139983998</v>
      </c>
      <c r="G228" s="100" t="s">
        <v>98</v>
      </c>
      <c r="H228" s="98">
        <f>I228/I$193</f>
        <v>0.22259867062885252</v>
      </c>
      <c r="I228" s="99">
        <f>+SUM(I210:I227)</f>
        <v>107079.14139983998</v>
      </c>
      <c r="J228" s="97" t="s">
        <v>98</v>
      </c>
      <c r="K228" s="98">
        <f>L228/L$193</f>
        <v>0.26183180301937214</v>
      </c>
      <c r="L228" s="99">
        <f>+SUM(L210:L227)</f>
        <v>130248.00000000001</v>
      </c>
      <c r="M228" s="103"/>
      <c r="N228" s="99">
        <f t="shared" si="85"/>
        <v>23168.858600160034</v>
      </c>
      <c r="O228" s="100" t="s">
        <v>98</v>
      </c>
      <c r="P228" s="98">
        <f>Q228/Q$193</f>
        <v>0.27419583924974622</v>
      </c>
      <c r="Q228" s="99">
        <f>+SUM(Q210:Q227)</f>
        <v>117785.68150000001</v>
      </c>
      <c r="R228" s="103"/>
      <c r="S228" s="104">
        <f t="shared" si="86"/>
        <v>12462.318500000008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4"/>
      <c r="F229" s="83"/>
      <c r="G229" s="91"/>
      <c r="H229" s="114"/>
      <c r="I229" s="60"/>
      <c r="J229" s="114"/>
      <c r="K229" s="114"/>
      <c r="L229" s="94"/>
      <c r="M229" s="24"/>
      <c r="N229" s="94"/>
      <c r="O229" s="24"/>
      <c r="P229" s="114"/>
      <c r="Q229" s="94"/>
      <c r="R229" s="24"/>
      <c r="S229" s="95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6" t="s">
        <v>66</v>
      </c>
      <c r="D230" s="97" t="s">
        <v>40</v>
      </c>
      <c r="E230" s="98">
        <f>F230/F$193</f>
        <v>0.90752474298042407</v>
      </c>
      <c r="F230" s="102">
        <f>F209+F228</f>
        <v>436556.83119276678</v>
      </c>
      <c r="G230" s="100" t="s">
        <v>40</v>
      </c>
      <c r="H230" s="98">
        <f>I230/I$193</f>
        <v>0.90752474298042407</v>
      </c>
      <c r="I230" s="99">
        <f>I209+I228</f>
        <v>436556.83119276678</v>
      </c>
      <c r="J230" s="97" t="s">
        <v>40</v>
      </c>
      <c r="K230" s="98">
        <f>L230/L$193</f>
        <v>0.89259564877710507</v>
      </c>
      <c r="L230" s="99">
        <f>L209+L228</f>
        <v>444020.92</v>
      </c>
      <c r="M230" s="103"/>
      <c r="N230" s="116">
        <f t="shared" ref="N230:N232" si="87">L230-I230</f>
        <v>7464.0888072332018</v>
      </c>
      <c r="O230" s="100" t="s">
        <v>40</v>
      </c>
      <c r="P230" s="98">
        <f>Q230/Q$193</f>
        <v>0.89024578359845097</v>
      </c>
      <c r="Q230" s="99">
        <f>Q209+Q228</f>
        <v>382420.85149999999</v>
      </c>
      <c r="R230" s="103"/>
      <c r="S230" s="117">
        <f>L230-Q230</f>
        <v>61600.068499999994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83"/>
      <c r="G231" s="84"/>
      <c r="H231" s="14"/>
      <c r="I231" s="60"/>
      <c r="J231" s="14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27" t="s">
        <v>73</v>
      </c>
      <c r="D232" s="156"/>
      <c r="E232" s="128"/>
      <c r="F232" s="436">
        <f>F193-F230</f>
        <v>44484.412662535615</v>
      </c>
      <c r="G232" s="157"/>
      <c r="H232" s="128"/>
      <c r="I232" s="130">
        <f>I193-I230</f>
        <v>44484.412662535615</v>
      </c>
      <c r="J232" s="129"/>
      <c r="K232" s="129"/>
      <c r="L232" s="130">
        <f>L193-L230</f>
        <v>53428.200000000012</v>
      </c>
      <c r="M232" s="158"/>
      <c r="N232" s="130">
        <f t="shared" si="87"/>
        <v>8943.7873374643968</v>
      </c>
      <c r="O232" s="158"/>
      <c r="P232" s="129"/>
      <c r="Q232" s="130">
        <f>Q193-Q230</f>
        <v>47146.868500000041</v>
      </c>
      <c r="R232" s="158"/>
      <c r="S232" s="132">
        <f>L232-Q232</f>
        <v>6281.3314999999711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59"/>
      <c r="M234" s="159"/>
      <c r="N234" s="11"/>
      <c r="O234" s="159"/>
      <c r="P234" s="11"/>
      <c r="Q234" s="159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  Volks T3 2022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64" t="s">
        <v>5</v>
      </c>
      <c r="E237" s="565"/>
      <c r="F237" s="565"/>
      <c r="G237" s="567" t="s">
        <v>75</v>
      </c>
      <c r="H237" s="565"/>
      <c r="I237" s="566"/>
      <c r="J237" s="562" t="s">
        <v>7</v>
      </c>
      <c r="K237" s="565"/>
      <c r="L237" s="566"/>
      <c r="M237" s="562" t="s">
        <v>8</v>
      </c>
      <c r="N237" s="566"/>
      <c r="O237" s="564" t="s">
        <v>9</v>
      </c>
      <c r="P237" s="565"/>
      <c r="Q237" s="566"/>
      <c r="R237" s="562" t="s">
        <v>10</v>
      </c>
      <c r="S237" s="563"/>
      <c r="T237" s="153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8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81" t="s">
        <v>13</v>
      </c>
      <c r="G238" s="437" t="s">
        <v>41</v>
      </c>
      <c r="H238" s="81" t="s">
        <v>85</v>
      </c>
      <c r="I238" s="137" t="s">
        <v>13</v>
      </c>
      <c r="J238" s="138" t="s">
        <v>41</v>
      </c>
      <c r="K238" s="81" t="s">
        <v>85</v>
      </c>
      <c r="L238" s="137" t="s">
        <v>13</v>
      </c>
      <c r="M238" s="138" t="s">
        <v>41</v>
      </c>
      <c r="N238" s="137" t="s">
        <v>13</v>
      </c>
      <c r="O238" s="81" t="s">
        <v>41</v>
      </c>
      <c r="P238" s="81" t="s">
        <v>85</v>
      </c>
      <c r="Q238" s="137" t="s">
        <v>13</v>
      </c>
      <c r="R238" s="138" t="s">
        <v>86</v>
      </c>
      <c r="S238" s="139" t="s">
        <v>13</v>
      </c>
      <c r="T238" s="81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8"/>
        <v>Carrosserie</v>
      </c>
      <c r="B239" s="12" t="s">
        <v>100</v>
      </c>
      <c r="C239" s="30"/>
      <c r="D239" s="81"/>
      <c r="E239" s="81"/>
      <c r="F239" s="81"/>
      <c r="G239" s="138"/>
      <c r="H239" s="81"/>
      <c r="I239" s="81"/>
      <c r="J239" s="138"/>
      <c r="K239" s="31"/>
      <c r="L239" s="34"/>
      <c r="M239" s="138"/>
      <c r="N239" s="137"/>
      <c r="O239" s="81"/>
      <c r="P239" s="81"/>
      <c r="Q239" s="137"/>
      <c r="R239" s="138"/>
      <c r="S239" s="139"/>
      <c r="T239" s="81"/>
      <c r="U239" s="14"/>
      <c r="V239" s="31"/>
      <c r="W239" s="31"/>
      <c r="X239" s="31"/>
      <c r="Y239" s="31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8"/>
        <v>CarrosserieM/O Sous-traitement</v>
      </c>
      <c r="B240" s="12" t="s">
        <v>100</v>
      </c>
      <c r="C240" s="30" t="s">
        <v>101</v>
      </c>
      <c r="D240" s="470">
        <f>+SUM(START:END!D240)</f>
        <v>0</v>
      </c>
      <c r="E240" s="83">
        <f>+SUM(START:END!E240)</f>
        <v>231622.85114443552</v>
      </c>
      <c r="F240" s="83">
        <f>+SUM(START:END!F240)</f>
        <v>51235.194068488774</v>
      </c>
      <c r="G240" s="471">
        <f>+SUM(START:END!G240)</f>
        <v>0</v>
      </c>
      <c r="H240" s="83">
        <f>+SUM(START:END!H240)</f>
        <v>231622.85114443552</v>
      </c>
      <c r="I240" s="83">
        <f>+SUM(START:END!I240)</f>
        <v>51235.194068488774</v>
      </c>
      <c r="J240" s="61">
        <f>+SUM(START:END!J240)</f>
        <v>145</v>
      </c>
      <c r="K240" s="31">
        <f>+SUM(START:END!K240)</f>
        <v>262254.3</v>
      </c>
      <c r="L240" s="34">
        <f>+SUM(START:END!L240)</f>
        <v>54699.549999999996</v>
      </c>
      <c r="M240" s="161">
        <f>IFERROR((K240-H240)/H240,0)</f>
        <v>0.13224709351523908</v>
      </c>
      <c r="N240" s="60">
        <f>L240-I240</f>
        <v>3464.3559315112216</v>
      </c>
      <c r="O240" s="61">
        <f>+SUM(START:END!O240)</f>
        <v>192</v>
      </c>
      <c r="P240" s="31">
        <f>+SUM(START:END!P240)</f>
        <v>213288.78</v>
      </c>
      <c r="Q240" s="34">
        <f>+SUM(START:END!Q240)</f>
        <v>50654.450000000012</v>
      </c>
      <c r="R240" s="161">
        <f>IF(O240=0,0,J240/O240)</f>
        <v>0.75520833333333337</v>
      </c>
      <c r="S240" s="86">
        <f>L240-Q240</f>
        <v>4045.099999999984</v>
      </c>
      <c r="T240" s="81"/>
      <c r="U240" s="14"/>
      <c r="V240" s="31">
        <f>+SUM(START:END!D240)-D240</f>
        <v>0</v>
      </c>
      <c r="W240" s="31">
        <f>+SUM(START:END!G240)-G240</f>
        <v>0</v>
      </c>
      <c r="X240" s="31">
        <f>+SUM(START:END!J240)-J240</f>
        <v>0</v>
      </c>
      <c r="Y240" s="31">
        <f>+SUM(START:END!O240)-O240</f>
        <v>0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8"/>
        <v>Carrosserie% profit / ventes</v>
      </c>
      <c r="B241" s="12" t="s">
        <v>100</v>
      </c>
      <c r="C241" s="30" t="s">
        <v>88</v>
      </c>
      <c r="D241" s="81"/>
      <c r="E241" s="147"/>
      <c r="F241" s="152">
        <f>IFERROR(F240/E240,0)</f>
        <v>0.2212009472093904</v>
      </c>
      <c r="G241" s="138"/>
      <c r="H241" s="147"/>
      <c r="I241" s="152">
        <f>IFERROR(I240/H240,0)</f>
        <v>0.2212009472093904</v>
      </c>
      <c r="J241" s="61"/>
      <c r="K241" s="14"/>
      <c r="L241" s="162">
        <f>IFERROR(L240/K240,0)</f>
        <v>0.20857446379334865</v>
      </c>
      <c r="M241" s="161"/>
      <c r="N241" s="60">
        <f>IFERROR(N240/M240,0)</f>
        <v>26196.083705325571</v>
      </c>
      <c r="O241" s="61"/>
      <c r="P241" s="14"/>
      <c r="Q241" s="162">
        <f>IFERROR(Q240/P240,0)</f>
        <v>0.23749233316445437</v>
      </c>
      <c r="R241" s="61"/>
      <c r="S241" s="86">
        <f>IFERROR(S240/R240,0)</f>
        <v>5356.2703448275652</v>
      </c>
      <c r="T241" s="81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8"/>
        <v>Carrosserie</v>
      </c>
      <c r="B242" s="12" t="s">
        <v>100</v>
      </c>
      <c r="C242" s="30"/>
      <c r="D242" s="81"/>
      <c r="E242" s="209"/>
      <c r="F242" s="209"/>
      <c r="G242" s="138"/>
      <c r="H242" s="209"/>
      <c r="I242" s="209"/>
      <c r="J242" s="138"/>
      <c r="K242" s="81"/>
      <c r="L242" s="137"/>
      <c r="M242" s="138"/>
      <c r="N242" s="137"/>
      <c r="O242" s="138"/>
      <c r="P242" s="81"/>
      <c r="Q242" s="137"/>
      <c r="R242" s="211"/>
      <c r="S242" s="139"/>
      <c r="T242" s="81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8"/>
        <v>CarrosserieM/O Carrosserie</v>
      </c>
      <c r="B243" s="12" t="s">
        <v>100</v>
      </c>
      <c r="C243" s="15" t="s">
        <v>102</v>
      </c>
      <c r="D243" s="435">
        <f>+SUM(START:END!D243)</f>
        <v>0</v>
      </c>
      <c r="E243" s="83">
        <f>+SUM(START:END!E243)</f>
        <v>0</v>
      </c>
      <c r="F243" s="83">
        <f>+SUM(START:END!F243)</f>
        <v>0</v>
      </c>
      <c r="G243" s="212">
        <f>+SUM(START:END!G243)</f>
        <v>0</v>
      </c>
      <c r="H243" s="83">
        <f>+SUM(START:END!H243)</f>
        <v>0</v>
      </c>
      <c r="I243" s="83">
        <f>+SUM(START:END!I243)</f>
        <v>0</v>
      </c>
      <c r="J243" s="168">
        <f>+SUM(START:END!J243)</f>
        <v>0</v>
      </c>
      <c r="K243" s="169">
        <f>+SUM(START:END!K243)</f>
        <v>0</v>
      </c>
      <c r="L243" s="111">
        <f>+SUM(START:END!L243)</f>
        <v>0</v>
      </c>
      <c r="M243" s="176" t="e">
        <f>(K243-H243)/H243</f>
        <v>#DIV/0!</v>
      </c>
      <c r="N243" s="112">
        <f>L243-I243</f>
        <v>0</v>
      </c>
      <c r="O243" s="168">
        <f>+SUM(START:END!O243)</f>
        <v>0</v>
      </c>
      <c r="P243" s="169">
        <f>+SUM(START:END!P243)</f>
        <v>0</v>
      </c>
      <c r="Q243" s="111">
        <f>+SUM(START:END!Q243)</f>
        <v>0</v>
      </c>
      <c r="R243" s="161">
        <f>IF(O243=0,0,J243/O243)</f>
        <v>0</v>
      </c>
      <c r="S243" s="113">
        <f>L243-Q243</f>
        <v>0</v>
      </c>
      <c r="T243" s="152"/>
      <c r="U243" s="14"/>
      <c r="V243" s="31">
        <f>+SUM(START:END!D243)-D243</f>
        <v>0</v>
      </c>
      <c r="W243" s="31">
        <f>+SUM(START:END!G243)-G243</f>
        <v>0</v>
      </c>
      <c r="X243" s="31">
        <f>+SUM(START:END!J243)-J243</f>
        <v>0</v>
      </c>
      <c r="Y243" s="31">
        <f>+SUM(START:END!O243)-O243</f>
        <v>0</v>
      </c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8"/>
        <v>Carrosserie% profit / ventes</v>
      </c>
      <c r="B244" s="12" t="s">
        <v>100</v>
      </c>
      <c r="C244" s="30" t="s">
        <v>88</v>
      </c>
      <c r="D244" s="14"/>
      <c r="E244" s="147"/>
      <c r="F244" s="152" t="e">
        <f>F243/E243</f>
        <v>#DIV/0!</v>
      </c>
      <c r="G244" s="42"/>
      <c r="H244" s="147"/>
      <c r="I244" s="152" t="e">
        <f>I243/H243</f>
        <v>#DIV/0!</v>
      </c>
      <c r="J244" s="61"/>
      <c r="K244" s="14"/>
      <c r="L244" s="162">
        <f>IFERROR(L243/K243,0)</f>
        <v>0</v>
      </c>
      <c r="M244" s="161"/>
      <c r="N244" s="60" t="e">
        <f>N243/I243</f>
        <v>#DIV/0!</v>
      </c>
      <c r="O244" s="61"/>
      <c r="P244" s="14"/>
      <c r="Q244" s="162">
        <f>IFERROR(Q243/P243,0)</f>
        <v>0</v>
      </c>
      <c r="R244" s="61"/>
      <c r="S244" s="86">
        <f>IF(Q243=0,0,S243/Q243)</f>
        <v>0</v>
      </c>
      <c r="T244" s="152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8"/>
        <v>Carrosserie</v>
      </c>
      <c r="B245" s="12" t="s">
        <v>100</v>
      </c>
      <c r="C245" s="88"/>
      <c r="D245" s="114"/>
      <c r="E245" s="163"/>
      <c r="F245" s="221"/>
      <c r="G245" s="24"/>
      <c r="H245" s="163"/>
      <c r="I245" s="221"/>
      <c r="J245" s="165"/>
      <c r="K245" s="213"/>
      <c r="L245" s="164"/>
      <c r="M245" s="166"/>
      <c r="N245" s="94"/>
      <c r="O245" s="165"/>
      <c r="P245" s="213"/>
      <c r="Q245" s="164"/>
      <c r="R245" s="165"/>
      <c r="S245" s="95"/>
      <c r="T245" s="152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8"/>
        <v>CarrosserieM/O Esthétique Carr.</v>
      </c>
      <c r="B246" s="12" t="s">
        <v>100</v>
      </c>
      <c r="C246" s="15" t="s">
        <v>103</v>
      </c>
      <c r="D246" s="167">
        <f>+SUM(START:END!D246)</f>
        <v>0</v>
      </c>
      <c r="E246" s="83">
        <f>+SUM(START:END!E246)</f>
        <v>0</v>
      </c>
      <c r="F246" s="83">
        <f>+SUM(START:END!F246)</f>
        <v>0</v>
      </c>
      <c r="G246" s="168">
        <f>+SUM(START:END!G246)</f>
        <v>0</v>
      </c>
      <c r="H246" s="83">
        <f>+SUM(START:END!H246)</f>
        <v>0</v>
      </c>
      <c r="I246" s="83">
        <f>+SUM(START:END!I246)</f>
        <v>0</v>
      </c>
      <c r="J246" s="168">
        <f>+SUM(START:END!J246)</f>
        <v>0</v>
      </c>
      <c r="K246" s="31">
        <f>+SUM(START:END!K246)</f>
        <v>0</v>
      </c>
      <c r="L246" s="34">
        <f>+SUM(START:END!L246)</f>
        <v>0</v>
      </c>
      <c r="M246" s="161" t="e">
        <f>(K246-H246)/H246</f>
        <v>#DIV/0!</v>
      </c>
      <c r="N246" s="112">
        <f>L246-I246</f>
        <v>0</v>
      </c>
      <c r="O246" s="168">
        <f>+SUM(START:END!O246)</f>
        <v>0</v>
      </c>
      <c r="P246" s="31">
        <f>+SUM(START:END!P246)</f>
        <v>0</v>
      </c>
      <c r="Q246" s="34">
        <f>+SUM(START:END!Q246)</f>
        <v>0</v>
      </c>
      <c r="R246" s="161">
        <f>IF(O246=0,0,J246/O246)</f>
        <v>0</v>
      </c>
      <c r="S246" s="86">
        <f>L246-Q246</f>
        <v>0</v>
      </c>
      <c r="T246" s="152"/>
      <c r="U246" s="14"/>
      <c r="V246" s="31">
        <f>+SUM(START:END!D246)-D246</f>
        <v>0</v>
      </c>
      <c r="W246" s="31">
        <f>+SUM(START:END!G246)-G246</f>
        <v>0</v>
      </c>
      <c r="X246" s="31">
        <f>+SUM(START:END!J246)-J246</f>
        <v>0</v>
      </c>
      <c r="Y246" s="31">
        <f>+SUM(START:END!O246)-O246</f>
        <v>0</v>
      </c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8"/>
        <v>Carrosserie% profit / ventes</v>
      </c>
      <c r="B247" s="12" t="s">
        <v>100</v>
      </c>
      <c r="C247" s="30" t="s">
        <v>88</v>
      </c>
      <c r="D247" s="14"/>
      <c r="E247" s="14"/>
      <c r="F247" s="152" t="e">
        <f>F246/E246</f>
        <v>#DIV/0!</v>
      </c>
      <c r="G247" s="42"/>
      <c r="H247" s="14"/>
      <c r="I247" s="152" t="e">
        <f>I246/H246</f>
        <v>#DIV/0!</v>
      </c>
      <c r="J247" s="42"/>
      <c r="K247" s="14"/>
      <c r="L247" s="162">
        <f>IFERROR(L246/K246,0)</f>
        <v>0</v>
      </c>
      <c r="M247" s="43"/>
      <c r="N247" s="44" t="e">
        <f>N246/I246</f>
        <v>#DIV/0!</v>
      </c>
      <c r="O247" s="42"/>
      <c r="P247" s="14"/>
      <c r="Q247" s="162">
        <f>IFERROR(Q246/P246,0)</f>
        <v>0</v>
      </c>
      <c r="R247" s="43"/>
      <c r="S247" s="45">
        <f>IF(Q246=0,0,S246/Q246)</f>
        <v>0</v>
      </c>
      <c r="T247" s="152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8"/>
        <v>Carrosserie</v>
      </c>
      <c r="B248" s="12" t="s">
        <v>100</v>
      </c>
      <c r="C248" s="30"/>
      <c r="D248" s="14"/>
      <c r="E248" s="14"/>
      <c r="F248" s="152"/>
      <c r="G248" s="42"/>
      <c r="H248" s="14"/>
      <c r="I248" s="152"/>
      <c r="J248" s="42"/>
      <c r="K248" s="14"/>
      <c r="L248" s="162"/>
      <c r="M248" s="43"/>
      <c r="N248" s="44"/>
      <c r="O248" s="42"/>
      <c r="P248" s="14"/>
      <c r="Q248" s="162"/>
      <c r="R248" s="43"/>
      <c r="S248" s="45"/>
      <c r="T248" s="152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8"/>
        <v>CarrosserieTotal Mécanique</v>
      </c>
      <c r="B249" s="12" t="s">
        <v>100</v>
      </c>
      <c r="C249" s="63" t="s">
        <v>97</v>
      </c>
      <c r="D249" s="64"/>
      <c r="E249" s="64">
        <f t="shared" ref="E249:F249" si="89">E243+E246+E240</f>
        <v>231622.85114443552</v>
      </c>
      <c r="F249" s="64">
        <f t="shared" si="89"/>
        <v>51235.194068488774</v>
      </c>
      <c r="G249" s="67"/>
      <c r="H249" s="64">
        <f t="shared" ref="H249:I249" si="90">H243+H246+H240</f>
        <v>231622.85114443552</v>
      </c>
      <c r="I249" s="64">
        <f t="shared" si="90"/>
        <v>51235.194068488774</v>
      </c>
      <c r="J249" s="67"/>
      <c r="K249" s="64">
        <f t="shared" ref="K249:L249" si="91">K243+K246+K240</f>
        <v>262254.3</v>
      </c>
      <c r="L249" s="66">
        <f t="shared" si="91"/>
        <v>54699.549999999996</v>
      </c>
      <c r="M249" s="208">
        <f>L250-I250</f>
        <v>-1.2626483416041751E-2</v>
      </c>
      <c r="N249" s="66">
        <f>L249-I249</f>
        <v>3464.3559315112216</v>
      </c>
      <c r="O249" s="67"/>
      <c r="P249" s="64">
        <f t="shared" ref="P249:Q249" si="92">P243+P246+P240</f>
        <v>213288.78</v>
      </c>
      <c r="Q249" s="66">
        <f t="shared" si="92"/>
        <v>50654.450000000012</v>
      </c>
      <c r="R249" s="208">
        <f>L250-Q250</f>
        <v>-2.8917869371105714E-2</v>
      </c>
      <c r="S249" s="69">
        <f>L249-Q249</f>
        <v>4045.099999999984</v>
      </c>
      <c r="T249" s="152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8"/>
        <v>Carrosserie</v>
      </c>
      <c r="B250" s="12" t="s">
        <v>100</v>
      </c>
      <c r="C250" s="70"/>
      <c r="D250" s="71"/>
      <c r="E250" s="71"/>
      <c r="F250" s="433">
        <f>F249/E249</f>
        <v>0.2212009472093904</v>
      </c>
      <c r="G250" s="73"/>
      <c r="H250" s="71"/>
      <c r="I250" s="433">
        <f>I249/H249</f>
        <v>0.2212009472093904</v>
      </c>
      <c r="J250" s="73"/>
      <c r="K250" s="71"/>
      <c r="L250" s="75">
        <f>IF(K249=0,0,L249/K249)</f>
        <v>0.20857446379334865</v>
      </c>
      <c r="M250" s="74"/>
      <c r="N250" s="75">
        <f>N249/I249</f>
        <v>6.7616723123566883E-2</v>
      </c>
      <c r="O250" s="73"/>
      <c r="P250" s="71"/>
      <c r="Q250" s="75">
        <f>IF(P249=0,0,Q249/P249)</f>
        <v>0.23749233316445437</v>
      </c>
      <c r="R250" s="74"/>
      <c r="S250" s="75">
        <f>IF(R249=0,0,S249/R249)</f>
        <v>-139882.36643885614</v>
      </c>
      <c r="T250" s="152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8"/>
        <v>Carrosserie</v>
      </c>
      <c r="B251" s="12" t="s">
        <v>100</v>
      </c>
      <c r="C251" s="30"/>
      <c r="D251" s="14"/>
      <c r="E251" s="14"/>
      <c r="F251" s="83"/>
      <c r="G251" s="42"/>
      <c r="H251" s="14"/>
      <c r="I251" s="83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8"/>
        <v>CarrosserieDEPENSES</v>
      </c>
      <c r="B252" s="12" t="s">
        <v>100</v>
      </c>
      <c r="C252" s="80" t="s">
        <v>31</v>
      </c>
      <c r="D252" s="14"/>
      <c r="E252" s="14"/>
      <c r="F252" s="83"/>
      <c r="G252" s="42"/>
      <c r="H252" s="14"/>
      <c r="I252" s="83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8"/>
        <v>CarrosserieSalaires cadres</v>
      </c>
      <c r="B253" s="12" t="s">
        <v>100</v>
      </c>
      <c r="C253" s="105" t="s">
        <v>42</v>
      </c>
      <c r="D253" s="14"/>
      <c r="E253" s="14"/>
      <c r="F253" s="31">
        <f>+SUM(START:END!F253)</f>
        <v>977.41321839080456</v>
      </c>
      <c r="G253" s="42"/>
      <c r="H253" s="14"/>
      <c r="I253" s="31">
        <f>+SUM(START:END!I253)</f>
        <v>977.41321839080456</v>
      </c>
      <c r="J253" s="42"/>
      <c r="K253" s="14"/>
      <c r="L253" s="34">
        <f>+SUM(START:END!L253)</f>
        <v>2705.64</v>
      </c>
      <c r="M253" s="42"/>
      <c r="N253" s="41"/>
      <c r="O253" s="42"/>
      <c r="P253" s="14"/>
      <c r="Q253" s="34">
        <f>+SUM(START:END!Q253)</f>
        <v>2827.3599999999997</v>
      </c>
      <c r="R253" s="42"/>
      <c r="S253" s="35">
        <f>L253-Q253</f>
        <v>-121.7199999999998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8"/>
        <v>CarrosserieSalaires commis</v>
      </c>
      <c r="B254" s="12" t="s">
        <v>100</v>
      </c>
      <c r="C254" s="106" t="s">
        <v>43</v>
      </c>
      <c r="D254" s="82"/>
      <c r="E254" s="14"/>
      <c r="F254" s="26">
        <f>+SUM(START:END!F254)</f>
        <v>1637.0046295057473</v>
      </c>
      <c r="G254" s="84"/>
      <c r="H254" s="14"/>
      <c r="I254" s="26">
        <f>+SUM(START:END!I254)</f>
        <v>1637.0046295057473</v>
      </c>
      <c r="J254" s="42"/>
      <c r="K254" s="14"/>
      <c r="L254" s="34">
        <f>+SUM(START:END!L254)</f>
        <v>1210.33</v>
      </c>
      <c r="M254" s="42"/>
      <c r="N254" s="60">
        <f t="shared" ref="N254:N283" si="93">L254-I254</f>
        <v>-426.67462950574736</v>
      </c>
      <c r="O254" s="42"/>
      <c r="P254" s="14"/>
      <c r="Q254" s="34">
        <f>+SUM(START:END!Q254)</f>
        <v>1531.4099999999999</v>
      </c>
      <c r="R254" s="42"/>
      <c r="S254" s="86">
        <f>L254-Q254</f>
        <v>-321.07999999999993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8"/>
        <v>CarrosserieSalaires autres</v>
      </c>
      <c r="B255" s="12" t="s">
        <v>100</v>
      </c>
      <c r="C255" s="105" t="s">
        <v>44</v>
      </c>
      <c r="D255" s="107"/>
      <c r="E255" s="108"/>
      <c r="F255" s="31">
        <f>+SUM(START:END!F255)</f>
        <v>1409.7556617011494</v>
      </c>
      <c r="G255" s="109"/>
      <c r="H255" s="108"/>
      <c r="I255" s="31">
        <f>+SUM(START:END!I255)</f>
        <v>1409.7556617011494</v>
      </c>
      <c r="J255" s="110"/>
      <c r="K255" s="108"/>
      <c r="L255" s="111">
        <f>+SUM(START:END!L255)</f>
        <v>3.7199999999999998</v>
      </c>
      <c r="M255" s="110"/>
      <c r="N255" s="112">
        <f t="shared" si="93"/>
        <v>-1406.0356617011494</v>
      </c>
      <c r="O255" s="110"/>
      <c r="P255" s="108"/>
      <c r="Q255" s="111">
        <f>+SUM(START:END!Q255)</f>
        <v>11935.470000000001</v>
      </c>
      <c r="R255" s="110"/>
      <c r="S255" s="113">
        <f t="shared" ref="S255:S284" si="94">L255-Q255</f>
        <v>-11931.750000000002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8"/>
        <v>CarrosserieSalaires spécialistes</v>
      </c>
      <c r="B256" s="12" t="s">
        <v>100</v>
      </c>
      <c r="C256" s="105" t="s">
        <v>45</v>
      </c>
      <c r="D256" s="82"/>
      <c r="E256" s="14"/>
      <c r="F256" s="31">
        <f>+SUM(START:END!F256)</f>
        <v>12879.310344827587</v>
      </c>
      <c r="G256" s="84"/>
      <c r="H256" s="14"/>
      <c r="I256" s="31">
        <f>+SUM(START:END!I256)</f>
        <v>12879.310344827587</v>
      </c>
      <c r="J256" s="42"/>
      <c r="K256" s="14"/>
      <c r="L256" s="34">
        <f>+SUM(START:END!L256)</f>
        <v>12418.85</v>
      </c>
      <c r="M256" s="42"/>
      <c r="N256" s="60">
        <f t="shared" si="93"/>
        <v>-460.4603448275866</v>
      </c>
      <c r="O256" s="42"/>
      <c r="P256" s="14"/>
      <c r="Q256" s="34">
        <f>+SUM(START:END!Q256)</f>
        <v>5634.68</v>
      </c>
      <c r="R256" s="42"/>
      <c r="S256" s="86">
        <f t="shared" si="94"/>
        <v>6784.17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8"/>
        <v>Carrosserie[...]</v>
      </c>
      <c r="B257" s="12" t="s">
        <v>100</v>
      </c>
      <c r="C257" s="30" t="s">
        <v>21</v>
      </c>
      <c r="D257" s="82"/>
      <c r="E257" s="14"/>
      <c r="F257" s="31">
        <f>+SUM(START:END!F257)</f>
        <v>0</v>
      </c>
      <c r="G257" s="84"/>
      <c r="H257" s="14"/>
      <c r="I257" s="31">
        <f>+SUM(START:END!I257)</f>
        <v>0</v>
      </c>
      <c r="J257" s="42"/>
      <c r="K257" s="14"/>
      <c r="L257" s="34">
        <f>+SUM(START:END!L257)</f>
        <v>0</v>
      </c>
      <c r="M257" s="42"/>
      <c r="N257" s="60">
        <f t="shared" si="93"/>
        <v>0</v>
      </c>
      <c r="O257" s="42"/>
      <c r="P257" s="14"/>
      <c r="Q257" s="34">
        <f>+SUM(START:END!Q257)</f>
        <v>0</v>
      </c>
      <c r="R257" s="42"/>
      <c r="S257" s="86">
        <f t="shared" si="94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8"/>
        <v>Carrosserie[...]</v>
      </c>
      <c r="B258" s="12" t="s">
        <v>100</v>
      </c>
      <c r="C258" s="30" t="s">
        <v>21</v>
      </c>
      <c r="D258" s="82"/>
      <c r="E258" s="14"/>
      <c r="F258" s="31">
        <f>+SUM(START:END!F258)</f>
        <v>0</v>
      </c>
      <c r="G258" s="84"/>
      <c r="H258" s="14"/>
      <c r="I258" s="31">
        <f>+SUM(START:END!I258)</f>
        <v>0</v>
      </c>
      <c r="J258" s="42"/>
      <c r="K258" s="14"/>
      <c r="L258" s="34">
        <f>+SUM(START:END!L258)</f>
        <v>0</v>
      </c>
      <c r="M258" s="42"/>
      <c r="N258" s="60">
        <f t="shared" si="93"/>
        <v>0</v>
      </c>
      <c r="O258" s="42"/>
      <c r="P258" s="14"/>
      <c r="Q258" s="34">
        <f>+SUM(START:END!Q258)</f>
        <v>0</v>
      </c>
      <c r="R258" s="42"/>
      <c r="S258" s="86">
        <f t="shared" si="94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8"/>
        <v>Carrosserie[...]</v>
      </c>
      <c r="B259" s="12" t="s">
        <v>100</v>
      </c>
      <c r="C259" s="30" t="s">
        <v>21</v>
      </c>
      <c r="D259" s="82"/>
      <c r="E259" s="14"/>
      <c r="F259" s="31">
        <f>+SUM(START:END!F259)</f>
        <v>0</v>
      </c>
      <c r="G259" s="84"/>
      <c r="H259" s="14"/>
      <c r="I259" s="31">
        <f>+SUM(START:END!I259)</f>
        <v>0</v>
      </c>
      <c r="J259" s="42"/>
      <c r="K259" s="14"/>
      <c r="L259" s="34">
        <f>+SUM(START:END!L259)</f>
        <v>0</v>
      </c>
      <c r="M259" s="42"/>
      <c r="N259" s="60">
        <f t="shared" si="93"/>
        <v>0</v>
      </c>
      <c r="O259" s="42"/>
      <c r="P259" s="14"/>
      <c r="Q259" s="34">
        <f>+SUM(START:END!Q259)</f>
        <v>0</v>
      </c>
      <c r="R259" s="42"/>
      <c r="S259" s="86">
        <f t="shared" si="94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8"/>
        <v>CarrosserieSalaires en absences</v>
      </c>
      <c r="B260" s="12" t="s">
        <v>100</v>
      </c>
      <c r="C260" s="106" t="s">
        <v>46</v>
      </c>
      <c r="D260" s="82"/>
      <c r="E260" s="14"/>
      <c r="F260" s="26">
        <f>+SUM(START:END!F260)</f>
        <v>2057.5105363099215</v>
      </c>
      <c r="G260" s="84"/>
      <c r="H260" s="14"/>
      <c r="I260" s="26">
        <f>+SUM(START:END!I260)</f>
        <v>2057.5105363099215</v>
      </c>
      <c r="J260" s="42"/>
      <c r="K260" s="14"/>
      <c r="L260" s="34">
        <f>+SUM(START:END!L260)</f>
        <v>2409.88</v>
      </c>
      <c r="M260" s="42"/>
      <c r="N260" s="60">
        <f t="shared" si="93"/>
        <v>352.36946369007865</v>
      </c>
      <c r="O260" s="42"/>
      <c r="P260" s="14"/>
      <c r="Q260" s="34">
        <f>+SUM(START:END!Q260)</f>
        <v>1336.9299999999998</v>
      </c>
      <c r="R260" s="42"/>
      <c r="S260" s="86">
        <f t="shared" si="94"/>
        <v>1072.9500000000003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8"/>
        <v>CarrosserieDéduction à la source</v>
      </c>
      <c r="B261" s="12" t="s">
        <v>100</v>
      </c>
      <c r="C261" s="105" t="s">
        <v>47</v>
      </c>
      <c r="D261" s="107"/>
      <c r="E261" s="108"/>
      <c r="F261" s="31">
        <f>+SUM(START:END!F261)</f>
        <v>1842.7115918833792</v>
      </c>
      <c r="G261" s="109"/>
      <c r="H261" s="108"/>
      <c r="I261" s="31">
        <f>+SUM(START:END!I261)</f>
        <v>1842.7115918833792</v>
      </c>
      <c r="J261" s="110"/>
      <c r="K261" s="108"/>
      <c r="L261" s="111">
        <f>+SUM(START:END!L261)</f>
        <v>4940.32</v>
      </c>
      <c r="M261" s="110"/>
      <c r="N261" s="112">
        <f t="shared" si="93"/>
        <v>3097.6084081166205</v>
      </c>
      <c r="O261" s="110"/>
      <c r="P261" s="108"/>
      <c r="Q261" s="111">
        <f>+SUM(START:END!Q261)</f>
        <v>2368.94</v>
      </c>
      <c r="R261" s="110"/>
      <c r="S261" s="113">
        <f t="shared" si="94"/>
        <v>2571.3799999999997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8"/>
        <v>CarrosserieBénéfices marginaux</v>
      </c>
      <c r="B262" s="12" t="s">
        <v>100</v>
      </c>
      <c r="C262" s="105" t="s">
        <v>48</v>
      </c>
      <c r="D262" s="82"/>
      <c r="E262" s="14"/>
      <c r="F262" s="31">
        <f>+SUM(START:END!F262)</f>
        <v>1463.3297935544485</v>
      </c>
      <c r="G262" s="84"/>
      <c r="H262" s="14"/>
      <c r="I262" s="31">
        <f>+SUM(START:END!I262)</f>
        <v>1463.3297935544485</v>
      </c>
      <c r="J262" s="42"/>
      <c r="K262" s="14"/>
      <c r="L262" s="34">
        <f>+SUM(START:END!L262)</f>
        <v>3987.4600000000005</v>
      </c>
      <c r="M262" s="42"/>
      <c r="N262" s="60">
        <f t="shared" si="93"/>
        <v>2524.1302064455522</v>
      </c>
      <c r="O262" s="42"/>
      <c r="P262" s="14"/>
      <c r="Q262" s="34">
        <f>+SUM(START:END!Q262)</f>
        <v>1697.75</v>
      </c>
      <c r="R262" s="42"/>
      <c r="S262" s="86">
        <f t="shared" si="94"/>
        <v>2289.7100000000005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8"/>
        <v>CarrosserieCsst</v>
      </c>
      <c r="B263" s="12" t="s">
        <v>100</v>
      </c>
      <c r="C263" s="105" t="s">
        <v>49</v>
      </c>
      <c r="D263" s="82"/>
      <c r="E263" s="14"/>
      <c r="F263" s="31">
        <f>+SUM(START:END!F263)</f>
        <v>596.17139737403454</v>
      </c>
      <c r="G263" s="84"/>
      <c r="H263" s="14"/>
      <c r="I263" s="31">
        <f>+SUM(START:END!I263)</f>
        <v>596.17139737403454</v>
      </c>
      <c r="J263" s="42"/>
      <c r="K263" s="14"/>
      <c r="L263" s="34">
        <f>+SUM(START:END!L263)</f>
        <v>1002.12</v>
      </c>
      <c r="M263" s="42"/>
      <c r="N263" s="60">
        <f t="shared" si="93"/>
        <v>405.94860262596546</v>
      </c>
      <c r="O263" s="42"/>
      <c r="P263" s="14"/>
      <c r="Q263" s="34">
        <f>+SUM(START:END!Q263)</f>
        <v>394.83</v>
      </c>
      <c r="R263" s="42"/>
      <c r="S263" s="86">
        <f t="shared" si="94"/>
        <v>607.29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8"/>
        <v>Carrosserie[...]</v>
      </c>
      <c r="B264" s="12" t="s">
        <v>100</v>
      </c>
      <c r="C264" s="30" t="s">
        <v>21</v>
      </c>
      <c r="D264" s="89"/>
      <c r="E264" s="114"/>
      <c r="F264" s="31">
        <f>+SUM(START:END!F264)</f>
        <v>0</v>
      </c>
      <c r="G264" s="91"/>
      <c r="H264" s="114"/>
      <c r="I264" s="31">
        <f>+SUM(START:END!I264)</f>
        <v>0</v>
      </c>
      <c r="J264" s="24"/>
      <c r="K264" s="114"/>
      <c r="L264" s="34">
        <f>+SUM(START:END!L264)</f>
        <v>0</v>
      </c>
      <c r="M264" s="24"/>
      <c r="N264" s="94">
        <f t="shared" si="93"/>
        <v>0</v>
      </c>
      <c r="O264" s="24"/>
      <c r="P264" s="114"/>
      <c r="Q264" s="34">
        <f>+SUM(START:END!Q264)</f>
        <v>0</v>
      </c>
      <c r="R264" s="24"/>
      <c r="S264" s="95">
        <f t="shared" si="94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8"/>
        <v>CarrosserieTOTAL PERSONNEL</v>
      </c>
      <c r="B265" s="12" t="s">
        <v>100</v>
      </c>
      <c r="C265" s="96" t="s">
        <v>50</v>
      </c>
      <c r="D265" s="97" t="s">
        <v>40</v>
      </c>
      <c r="E265" s="98" t="e">
        <f>F265/F$243</f>
        <v>#DIV/0!</v>
      </c>
      <c r="F265" s="102">
        <f>+SUM(F253:F264)</f>
        <v>22863.207173547071</v>
      </c>
      <c r="G265" s="100" t="s">
        <v>40</v>
      </c>
      <c r="H265" s="98" t="e">
        <f>I265/I$243</f>
        <v>#DIV/0!</v>
      </c>
      <c r="I265" s="102">
        <f>+SUM(I253:I264)</f>
        <v>22863.207173547071</v>
      </c>
      <c r="J265" s="100" t="s">
        <v>40</v>
      </c>
      <c r="K265" s="98">
        <f>IF(L243=0,0,L265/L$243)</f>
        <v>0</v>
      </c>
      <c r="L265" s="99">
        <f>+SUM(L253:L264)</f>
        <v>28678.32</v>
      </c>
      <c r="M265" s="151"/>
      <c r="N265" s="116">
        <f t="shared" si="93"/>
        <v>5815.1128264529289</v>
      </c>
      <c r="O265" s="100" t="s">
        <v>40</v>
      </c>
      <c r="P265" s="98">
        <f>IF(Q243=0,0,Q265/Q$243)</f>
        <v>0</v>
      </c>
      <c r="Q265" s="99">
        <f>+SUM(Q253:Q264)</f>
        <v>27727.370000000003</v>
      </c>
      <c r="R265" s="151"/>
      <c r="S265" s="117">
        <f t="shared" si="94"/>
        <v>950.94999999999709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8"/>
        <v>CarrosseriePublicité 2</v>
      </c>
      <c r="B266" s="12" t="s">
        <v>100</v>
      </c>
      <c r="C266" s="214" t="s">
        <v>51</v>
      </c>
      <c r="D266" s="82"/>
      <c r="E266" s="14"/>
      <c r="F266" s="31">
        <f>+SUM(START:END!F266)</f>
        <v>0</v>
      </c>
      <c r="G266" s="84"/>
      <c r="H266" s="14"/>
      <c r="I266" s="31">
        <f>+SUM(START:END!I266)</f>
        <v>0</v>
      </c>
      <c r="J266" s="42"/>
      <c r="K266" s="14"/>
      <c r="L266" s="34">
        <f>+SUM(START:END!L266)</f>
        <v>6.24</v>
      </c>
      <c r="M266" s="42"/>
      <c r="N266" s="60">
        <f t="shared" si="93"/>
        <v>6.24</v>
      </c>
      <c r="O266" s="42"/>
      <c r="P266" s="14"/>
      <c r="Q266" s="34">
        <f>+SUM(START:END!Q266)</f>
        <v>4.33</v>
      </c>
      <c r="R266" s="42"/>
      <c r="S266" s="86">
        <f t="shared" si="94"/>
        <v>1.9100000000000001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8"/>
        <v>CarrosserieService gratuit 2</v>
      </c>
      <c r="B267" s="12" t="s">
        <v>100</v>
      </c>
      <c r="C267" s="105" t="s">
        <v>52</v>
      </c>
      <c r="D267" s="82"/>
      <c r="E267" s="14"/>
      <c r="F267" s="31">
        <f>+SUM(START:END!F267)</f>
        <v>804.07242185617781</v>
      </c>
      <c r="G267" s="84"/>
      <c r="H267" s="14"/>
      <c r="I267" s="31">
        <f>+SUM(START:END!I267)</f>
        <v>804.07242185617781</v>
      </c>
      <c r="J267" s="42"/>
      <c r="K267" s="14"/>
      <c r="L267" s="34">
        <f>+SUM(START:END!L267)</f>
        <v>1825.74</v>
      </c>
      <c r="M267" s="42"/>
      <c r="N267" s="60">
        <f t="shared" si="93"/>
        <v>1021.6675781438222</v>
      </c>
      <c r="O267" s="42"/>
      <c r="P267" s="14"/>
      <c r="Q267" s="34">
        <f>+SUM(START:END!Q267)</f>
        <v>1586.67</v>
      </c>
      <c r="R267" s="42"/>
      <c r="S267" s="86">
        <f t="shared" si="94"/>
        <v>239.06999999999994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8"/>
        <v>CarrosserieFrais véhicules de cie</v>
      </c>
      <c r="B268" s="12" t="s">
        <v>100</v>
      </c>
      <c r="C268" s="106" t="s">
        <v>53</v>
      </c>
      <c r="D268" s="89"/>
      <c r="E268" s="114"/>
      <c r="F268" s="26">
        <f>+SUM(START:END!F268)</f>
        <v>1139.82</v>
      </c>
      <c r="G268" s="91"/>
      <c r="H268" s="114"/>
      <c r="I268" s="26">
        <f>+SUM(START:END!I268)</f>
        <v>1139.82</v>
      </c>
      <c r="J268" s="24"/>
      <c r="K268" s="114"/>
      <c r="L268" s="34">
        <f>+SUM(START:END!L268)</f>
        <v>1833.12</v>
      </c>
      <c r="M268" s="24"/>
      <c r="N268" s="94">
        <f t="shared" si="93"/>
        <v>693.3</v>
      </c>
      <c r="O268" s="24"/>
      <c r="P268" s="114"/>
      <c r="Q268" s="34">
        <f>+SUM(START:END!Q268)</f>
        <v>839.84</v>
      </c>
      <c r="R268" s="24"/>
      <c r="S268" s="95">
        <f t="shared" si="94"/>
        <v>993.27999999999986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8"/>
        <v>CarrosserieInformatique</v>
      </c>
      <c r="B269" s="12" t="s">
        <v>100</v>
      </c>
      <c r="C269" s="105" t="s">
        <v>54</v>
      </c>
      <c r="D269" s="82"/>
      <c r="E269" s="14"/>
      <c r="F269" s="31">
        <f>+SUM(START:END!F269)</f>
        <v>3940.2595925000001</v>
      </c>
      <c r="G269" s="84"/>
      <c r="H269" s="14"/>
      <c r="I269" s="31">
        <f>+SUM(START:END!I269)</f>
        <v>3940.2595925000001</v>
      </c>
      <c r="J269" s="42"/>
      <c r="K269" s="14"/>
      <c r="L269" s="111">
        <f>+SUM(START:END!L269)</f>
        <v>4335.24</v>
      </c>
      <c r="M269" s="42"/>
      <c r="N269" s="60">
        <f t="shared" si="93"/>
        <v>394.98040749999973</v>
      </c>
      <c r="O269" s="42"/>
      <c r="P269" s="14"/>
      <c r="Q269" s="111">
        <f>+SUM(START:END!Q269)</f>
        <v>4173.9399999999996</v>
      </c>
      <c r="R269" s="42"/>
      <c r="S269" s="86">
        <f t="shared" si="94"/>
        <v>161.30000000000018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8"/>
        <v>CarrosserieFrais de déplacement</v>
      </c>
      <c r="B270" s="12" t="s">
        <v>100</v>
      </c>
      <c r="C270" s="105" t="s">
        <v>55</v>
      </c>
      <c r="D270" s="82"/>
      <c r="E270" s="14"/>
      <c r="F270" s="31">
        <f>+SUM(START:END!F270)</f>
        <v>519.84305625000013</v>
      </c>
      <c r="G270" s="84"/>
      <c r="H270" s="14"/>
      <c r="I270" s="31">
        <f>+SUM(START:END!I270)</f>
        <v>519.84305625000013</v>
      </c>
      <c r="J270" s="42"/>
      <c r="K270" s="14"/>
      <c r="L270" s="34">
        <f>+SUM(START:END!L270)</f>
        <v>532.67000000000007</v>
      </c>
      <c r="M270" s="42"/>
      <c r="N270" s="60">
        <f t="shared" si="93"/>
        <v>12.826943749999941</v>
      </c>
      <c r="O270" s="42"/>
      <c r="P270" s="14"/>
      <c r="Q270" s="34">
        <f>+SUM(START:END!Q270)</f>
        <v>358.68</v>
      </c>
      <c r="R270" s="42"/>
      <c r="S270" s="86">
        <f t="shared" si="94"/>
        <v>173.99000000000007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8"/>
        <v>CarrosserieServices extérieurs</v>
      </c>
      <c r="B271" s="12" t="s">
        <v>100</v>
      </c>
      <c r="C271" s="105" t="s">
        <v>56</v>
      </c>
      <c r="D271" s="89"/>
      <c r="E271" s="114"/>
      <c r="F271" s="26">
        <f>+SUM(START:END!F271)</f>
        <v>2542.0273666666667</v>
      </c>
      <c r="G271" s="91"/>
      <c r="H271" s="114"/>
      <c r="I271" s="26">
        <f>+SUM(START:END!I271)</f>
        <v>2542.0273666666667</v>
      </c>
      <c r="J271" s="24"/>
      <c r="K271" s="114"/>
      <c r="L271" s="34">
        <f>+SUM(START:END!L271)</f>
        <v>1718.42</v>
      </c>
      <c r="M271" s="24"/>
      <c r="N271" s="94">
        <f t="shared" si="93"/>
        <v>-823.60736666666662</v>
      </c>
      <c r="O271" s="24"/>
      <c r="P271" s="114"/>
      <c r="Q271" s="34">
        <f>+SUM(START:END!Q271)</f>
        <v>1622.69</v>
      </c>
      <c r="R271" s="24"/>
      <c r="S271" s="95">
        <f t="shared" si="94"/>
        <v>95.730000000000018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8"/>
        <v>CarrosserieFournitures d'atelier</v>
      </c>
      <c r="B272" s="12" t="s">
        <v>100</v>
      </c>
      <c r="C272" s="215" t="s">
        <v>99</v>
      </c>
      <c r="D272" s="82"/>
      <c r="E272" s="14"/>
      <c r="F272" s="31">
        <f>+SUM(START:END!F272)</f>
        <v>0</v>
      </c>
      <c r="G272" s="84"/>
      <c r="H272" s="14"/>
      <c r="I272" s="31">
        <f>+SUM(START:END!I272)</f>
        <v>0</v>
      </c>
      <c r="J272" s="42"/>
      <c r="K272" s="14"/>
      <c r="L272" s="56">
        <f>+SUM(START:END!L272)</f>
        <v>0</v>
      </c>
      <c r="M272" s="42"/>
      <c r="N272" s="60">
        <f t="shared" si="93"/>
        <v>0</v>
      </c>
      <c r="O272" s="42"/>
      <c r="P272" s="14"/>
      <c r="Q272" s="56">
        <f>+SUM(START:END!Q272)</f>
        <v>0</v>
      </c>
      <c r="R272" s="42"/>
      <c r="S272" s="86">
        <f t="shared" si="94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8"/>
        <v>CarrosserieFournitures autres</v>
      </c>
      <c r="B273" s="12" t="s">
        <v>100</v>
      </c>
      <c r="C273" s="105" t="s">
        <v>57</v>
      </c>
      <c r="D273" s="82"/>
      <c r="E273" s="14"/>
      <c r="F273" s="31">
        <f>+SUM(START:END!F273)</f>
        <v>275.46880160637579</v>
      </c>
      <c r="G273" s="84"/>
      <c r="H273" s="14"/>
      <c r="I273" s="31">
        <f>+SUM(START:END!I273)</f>
        <v>275.46880160637579</v>
      </c>
      <c r="J273" s="42"/>
      <c r="K273" s="14"/>
      <c r="L273" s="34">
        <f>+SUM(START:END!L273)</f>
        <v>33.910000000000004</v>
      </c>
      <c r="M273" s="42"/>
      <c r="N273" s="60">
        <f t="shared" si="93"/>
        <v>-241.55880160637579</v>
      </c>
      <c r="O273" s="42"/>
      <c r="P273" s="14"/>
      <c r="Q273" s="34">
        <f>+SUM(START:END!Q273)</f>
        <v>73.47999999999999</v>
      </c>
      <c r="R273" s="42"/>
      <c r="S273" s="86">
        <f t="shared" si="94"/>
        <v>-39.569999999999986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8"/>
        <v>CarrosserieUniformes</v>
      </c>
      <c r="B274" s="12" t="s">
        <v>100</v>
      </c>
      <c r="C274" s="105" t="s">
        <v>58</v>
      </c>
      <c r="D274" s="82"/>
      <c r="E274" s="14"/>
      <c r="F274" s="31">
        <f>+SUM(START:END!F274)</f>
        <v>146.37687970985664</v>
      </c>
      <c r="G274" s="84"/>
      <c r="H274" s="14"/>
      <c r="I274" s="31">
        <f>+SUM(START:END!I274)</f>
        <v>146.37687970985664</v>
      </c>
      <c r="J274" s="42"/>
      <c r="K274" s="14"/>
      <c r="L274" s="34">
        <f>+SUM(START:END!L274)</f>
        <v>0</v>
      </c>
      <c r="M274" s="42"/>
      <c r="N274" s="60">
        <f t="shared" si="93"/>
        <v>-146.37687970985664</v>
      </c>
      <c r="O274" s="42"/>
      <c r="P274" s="14"/>
      <c r="Q274" s="34">
        <f>+SUM(START:END!Q274)</f>
        <v>0</v>
      </c>
      <c r="R274" s="42"/>
      <c r="S274" s="86">
        <f t="shared" si="94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8"/>
        <v>CarrosseriePapeterie</v>
      </c>
      <c r="B275" s="12" t="s">
        <v>100</v>
      </c>
      <c r="C275" s="105" t="s">
        <v>59</v>
      </c>
      <c r="D275" s="82"/>
      <c r="E275" s="14"/>
      <c r="F275" s="31">
        <f>+SUM(START:END!F275)</f>
        <v>428.44221000000005</v>
      </c>
      <c r="G275" s="84"/>
      <c r="H275" s="14"/>
      <c r="I275" s="31">
        <f>+SUM(START:END!I275)</f>
        <v>428.44221000000005</v>
      </c>
      <c r="J275" s="42"/>
      <c r="K275" s="14"/>
      <c r="L275" s="33">
        <f>+SUM(START:END!L275)</f>
        <v>564.96</v>
      </c>
      <c r="M275" s="42"/>
      <c r="N275" s="60">
        <f t="shared" si="93"/>
        <v>136.51778999999999</v>
      </c>
      <c r="O275" s="42"/>
      <c r="P275" s="14"/>
      <c r="Q275" s="33">
        <f>+SUM(START:END!Q275)</f>
        <v>323.38</v>
      </c>
      <c r="R275" s="42"/>
      <c r="S275" s="86">
        <f t="shared" si="94"/>
        <v>241.58000000000004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8"/>
        <v>CarrosserieTéléphone</v>
      </c>
      <c r="B276" s="12" t="s">
        <v>100</v>
      </c>
      <c r="C276" s="105" t="s">
        <v>60</v>
      </c>
      <c r="D276" s="82"/>
      <c r="E276" s="14"/>
      <c r="F276" s="31">
        <f>+SUM(START:END!F276)</f>
        <v>197.83609562500004</v>
      </c>
      <c r="G276" s="84"/>
      <c r="H276" s="14"/>
      <c r="I276" s="31">
        <f>+SUM(START:END!I276)</f>
        <v>197.83609562500004</v>
      </c>
      <c r="J276" s="42"/>
      <c r="K276" s="14"/>
      <c r="L276" s="34">
        <f>+SUM(START:END!L276)</f>
        <v>76.75</v>
      </c>
      <c r="M276" s="42"/>
      <c r="N276" s="60">
        <f t="shared" si="93"/>
        <v>-121.08609562500004</v>
      </c>
      <c r="O276" s="42"/>
      <c r="P276" s="14"/>
      <c r="Q276" s="34">
        <f>+SUM(START:END!Q276)</f>
        <v>129.07</v>
      </c>
      <c r="R276" s="42"/>
      <c r="S276" s="86">
        <f t="shared" si="94"/>
        <v>-52.319999999999993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8"/>
        <v>CarrosserieFrais postaux</v>
      </c>
      <c r="B277" s="12" t="s">
        <v>100</v>
      </c>
      <c r="C277" s="105" t="s">
        <v>61</v>
      </c>
      <c r="D277" s="82"/>
      <c r="E277" s="14"/>
      <c r="F277" s="31">
        <f>+SUM(START:END!F277)</f>
        <v>105.60182937499999</v>
      </c>
      <c r="G277" s="84"/>
      <c r="H277" s="14"/>
      <c r="I277" s="31">
        <f>+SUM(START:END!I277)</f>
        <v>105.60182937499999</v>
      </c>
      <c r="J277" s="42"/>
      <c r="K277" s="14"/>
      <c r="L277" s="34">
        <f>+SUM(START:END!L277)</f>
        <v>106.5</v>
      </c>
      <c r="M277" s="42"/>
      <c r="N277" s="60">
        <f t="shared" si="93"/>
        <v>0.89817062500000588</v>
      </c>
      <c r="O277" s="42"/>
      <c r="P277" s="14"/>
      <c r="Q277" s="34">
        <f>+SUM(START:END!Q277)</f>
        <v>140.85000000000002</v>
      </c>
      <c r="R277" s="42"/>
      <c r="S277" s="86">
        <f t="shared" si="94"/>
        <v>-34.350000000000023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8"/>
        <v>CarrosserieDivers</v>
      </c>
      <c r="B278" s="12" t="s">
        <v>100</v>
      </c>
      <c r="C278" s="105" t="s">
        <v>62</v>
      </c>
      <c r="D278" s="82"/>
      <c r="E278" s="14"/>
      <c r="F278" s="31">
        <f>+SUM(START:END!F278)</f>
        <v>509.40329562499994</v>
      </c>
      <c r="G278" s="84"/>
      <c r="H278" s="14"/>
      <c r="I278" s="31">
        <f>+SUM(START:END!I278)</f>
        <v>509.40329562499994</v>
      </c>
      <c r="J278" s="42"/>
      <c r="K278" s="14"/>
      <c r="L278" s="34">
        <f>+SUM(START:END!L278)</f>
        <v>77.55</v>
      </c>
      <c r="M278" s="42"/>
      <c r="N278" s="60">
        <f t="shared" si="93"/>
        <v>-431.85329562499993</v>
      </c>
      <c r="O278" s="42"/>
      <c r="P278" s="14"/>
      <c r="Q278" s="34">
        <f>+SUM(START:END!Q278)</f>
        <v>431.27</v>
      </c>
      <c r="R278" s="42"/>
      <c r="S278" s="86">
        <f t="shared" si="94"/>
        <v>-353.71999999999997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8"/>
        <v>CarrosserieFormation</v>
      </c>
      <c r="B279" s="12" t="s">
        <v>100</v>
      </c>
      <c r="C279" s="105" t="s">
        <v>63</v>
      </c>
      <c r="D279" s="82"/>
      <c r="E279" s="14"/>
      <c r="F279" s="31">
        <f>+SUM(START:END!F279)</f>
        <v>756.82442500000002</v>
      </c>
      <c r="G279" s="84"/>
      <c r="H279" s="14"/>
      <c r="I279" s="31">
        <f>+SUM(START:END!I279)</f>
        <v>756.82442500000002</v>
      </c>
      <c r="J279" s="42"/>
      <c r="K279" s="14"/>
      <c r="L279" s="34">
        <f>+SUM(START:END!L279)</f>
        <v>183.56</v>
      </c>
      <c r="M279" s="42"/>
      <c r="N279" s="60">
        <f t="shared" si="93"/>
        <v>-573.26442500000007</v>
      </c>
      <c r="O279" s="42"/>
      <c r="P279" s="14"/>
      <c r="Q279" s="34">
        <f>+SUM(START:END!Q279)</f>
        <v>18.600000000000001</v>
      </c>
      <c r="R279" s="42"/>
      <c r="S279" s="86">
        <f t="shared" si="94"/>
        <v>164.96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8"/>
        <v>CarrosserieFrais bancaires</v>
      </c>
      <c r="B280" s="12" t="s">
        <v>100</v>
      </c>
      <c r="C280" s="105" t="s">
        <v>64</v>
      </c>
      <c r="D280" s="82"/>
      <c r="E280" s="14"/>
      <c r="F280" s="31">
        <f>+SUM(START:END!F280)</f>
        <v>1191.5862174408353</v>
      </c>
      <c r="G280" s="84"/>
      <c r="H280" s="14"/>
      <c r="I280" s="31">
        <f>+SUM(START:END!I280)</f>
        <v>1191.5862174408353</v>
      </c>
      <c r="J280" s="42"/>
      <c r="K280" s="14"/>
      <c r="L280" s="34">
        <f>+SUM(START:END!L280)</f>
        <v>623.20000000000005</v>
      </c>
      <c r="M280" s="42"/>
      <c r="N280" s="60">
        <f t="shared" si="93"/>
        <v>-568.38621744083525</v>
      </c>
      <c r="O280" s="42"/>
      <c r="P280" s="14"/>
      <c r="Q280" s="34">
        <f>+SUM(START:END!Q280)</f>
        <v>495.02350000000001</v>
      </c>
      <c r="R280" s="42"/>
      <c r="S280" s="86">
        <f t="shared" si="94"/>
        <v>128.17650000000003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8"/>
        <v>Carrosserie[...]</v>
      </c>
      <c r="B281" s="12" t="s">
        <v>100</v>
      </c>
      <c r="C281" s="105" t="s">
        <v>21</v>
      </c>
      <c r="D281" s="82"/>
      <c r="E281" s="14"/>
      <c r="F281" s="31">
        <f>+SUM(START:END!F281)</f>
        <v>0</v>
      </c>
      <c r="G281" s="84"/>
      <c r="H281" s="14"/>
      <c r="I281" s="31">
        <f>+SUM(START:END!I281)</f>
        <v>0</v>
      </c>
      <c r="J281" s="42"/>
      <c r="K281" s="14"/>
      <c r="L281" s="34">
        <f>+SUM(START:END!L281)</f>
        <v>0</v>
      </c>
      <c r="M281" s="42"/>
      <c r="N281" s="60">
        <f t="shared" si="93"/>
        <v>0</v>
      </c>
      <c r="O281" s="42"/>
      <c r="P281" s="14"/>
      <c r="Q281" s="34">
        <f>+SUM(START:END!Q281)</f>
        <v>0</v>
      </c>
      <c r="R281" s="42"/>
      <c r="S281" s="86">
        <f t="shared" si="94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8"/>
        <v>Carrosserie[...]</v>
      </c>
      <c r="B282" s="12" t="s">
        <v>100</v>
      </c>
      <c r="C282" s="105" t="s">
        <v>21</v>
      </c>
      <c r="D282" s="82"/>
      <c r="E282" s="14"/>
      <c r="F282" s="31">
        <f>+SUM(START:END!F282)</f>
        <v>0</v>
      </c>
      <c r="G282" s="84"/>
      <c r="H282" s="14"/>
      <c r="I282" s="31">
        <f>+SUM(START:END!I282)</f>
        <v>0</v>
      </c>
      <c r="J282" s="42"/>
      <c r="K282" s="14"/>
      <c r="L282" s="34">
        <f>+SUM(START:END!L282)</f>
        <v>0</v>
      </c>
      <c r="M282" s="42"/>
      <c r="N282" s="60">
        <f t="shared" si="93"/>
        <v>0</v>
      </c>
      <c r="O282" s="42"/>
      <c r="P282" s="14"/>
      <c r="Q282" s="34">
        <f>+SUM(START:END!Q282)</f>
        <v>0</v>
      </c>
      <c r="R282" s="42"/>
      <c r="S282" s="86">
        <f t="shared" si="94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8"/>
        <v>Carrosserie[...]</v>
      </c>
      <c r="B283" s="12" t="s">
        <v>100</v>
      </c>
      <c r="C283" s="105" t="s">
        <v>21</v>
      </c>
      <c r="D283" s="82"/>
      <c r="E283" s="14"/>
      <c r="F283" s="31">
        <f>+SUM(START:END!F283)</f>
        <v>0</v>
      </c>
      <c r="G283" s="84"/>
      <c r="H283" s="14"/>
      <c r="I283" s="31">
        <f>+SUM(START:END!I283)</f>
        <v>0</v>
      </c>
      <c r="J283" s="42"/>
      <c r="K283" s="14"/>
      <c r="L283" s="34">
        <f>+SUM(START:END!L283)</f>
        <v>0</v>
      </c>
      <c r="M283" s="42"/>
      <c r="N283" s="60">
        <f t="shared" si="93"/>
        <v>0</v>
      </c>
      <c r="O283" s="42"/>
      <c r="P283" s="14"/>
      <c r="Q283" s="34">
        <f>+SUM(START:END!Q283)</f>
        <v>0</v>
      </c>
      <c r="R283" s="42"/>
      <c r="S283" s="86">
        <f t="shared" si="94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6" t="s">
        <v>65</v>
      </c>
      <c r="D284" s="97" t="s">
        <v>40</v>
      </c>
      <c r="E284" s="98">
        <f>F284/F$249</f>
        <v>0.24509641116745959</v>
      </c>
      <c r="F284" s="102">
        <f>+SUM(F266:F283)</f>
        <v>12557.562191654912</v>
      </c>
      <c r="G284" s="100" t="s">
        <v>40</v>
      </c>
      <c r="H284" s="98">
        <f>I284/I$249</f>
        <v>0.24509641116745959</v>
      </c>
      <c r="I284" s="102">
        <f>+SUM(I266:I283)</f>
        <v>12557.562191654912</v>
      </c>
      <c r="J284" s="100" t="s">
        <v>40</v>
      </c>
      <c r="K284" s="98">
        <f>L284/L$249</f>
        <v>0.2178785748694459</v>
      </c>
      <c r="L284" s="99">
        <f>+SUM(L266:L283)</f>
        <v>11917.859999999999</v>
      </c>
      <c r="M284" s="103"/>
      <c r="N284" s="99">
        <f>+SUM(N266:N283)</f>
        <v>-639.70219165491267</v>
      </c>
      <c r="O284" s="100" t="s">
        <v>40</v>
      </c>
      <c r="P284" s="98">
        <f>Q284/Q$249</f>
        <v>0.20132137452879256</v>
      </c>
      <c r="Q284" s="99">
        <f>+SUM(Q266:Q283)</f>
        <v>10197.823499999999</v>
      </c>
      <c r="R284" s="103"/>
      <c r="S284" s="104">
        <f t="shared" si="94"/>
        <v>1720.0365000000002</v>
      </c>
      <c r="T284" s="77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4"/>
      <c r="F285" s="83"/>
      <c r="G285" s="91"/>
      <c r="H285" s="114"/>
      <c r="I285" s="83"/>
      <c r="J285" s="24"/>
      <c r="K285" s="114"/>
      <c r="L285" s="94"/>
      <c r="M285" s="24"/>
      <c r="N285" s="94"/>
      <c r="O285" s="24"/>
      <c r="P285" s="114"/>
      <c r="Q285" s="94"/>
      <c r="R285" s="24"/>
      <c r="S285" s="95"/>
      <c r="T285" s="77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6" t="s">
        <v>66</v>
      </c>
      <c r="D286" s="97" t="s">
        <v>40</v>
      </c>
      <c r="E286" s="98">
        <f>F286/F$249</f>
        <v>0.69133668778248758</v>
      </c>
      <c r="F286" s="102">
        <f>F265+F284</f>
        <v>35420.769365201981</v>
      </c>
      <c r="G286" s="100" t="s">
        <v>40</v>
      </c>
      <c r="H286" s="98">
        <f>I286/I$249</f>
        <v>0.69133668778248758</v>
      </c>
      <c r="I286" s="102">
        <f>I265+I284</f>
        <v>35420.769365201981</v>
      </c>
      <c r="J286" s="100" t="s">
        <v>40</v>
      </c>
      <c r="K286" s="98">
        <f>L286/L$249</f>
        <v>0.7421666174584618</v>
      </c>
      <c r="L286" s="99">
        <f>L265+L284</f>
        <v>40596.18</v>
      </c>
      <c r="M286" s="103"/>
      <c r="N286" s="116">
        <f t="shared" ref="N286:N288" si="95">L286-I286</f>
        <v>5175.4106347980196</v>
      </c>
      <c r="O286" s="100" t="s">
        <v>40</v>
      </c>
      <c r="P286" s="98">
        <f>Q286/Q$249</f>
        <v>0.74870408226720442</v>
      </c>
      <c r="Q286" s="99">
        <f>Q265+Q284</f>
        <v>37925.193500000001</v>
      </c>
      <c r="R286" s="103"/>
      <c r="S286" s="117">
        <f>L286-Q286</f>
        <v>2670.9864999999991</v>
      </c>
      <c r="T286" s="77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83"/>
      <c r="G287" s="84"/>
      <c r="H287" s="14"/>
      <c r="I287" s="60"/>
      <c r="J287" s="42"/>
      <c r="K287" s="14"/>
      <c r="L287" s="60"/>
      <c r="M287" s="42"/>
      <c r="N287" s="60">
        <f t="shared" si="95"/>
        <v>0</v>
      </c>
      <c r="O287" s="42"/>
      <c r="P287" s="14"/>
      <c r="Q287" s="60"/>
      <c r="R287" s="42"/>
      <c r="S287" s="86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27" t="s">
        <v>73</v>
      </c>
      <c r="D288" s="156"/>
      <c r="E288" s="128"/>
      <c r="F288" s="436">
        <f>F249-F286</f>
        <v>15814.424703286793</v>
      </c>
      <c r="G288" s="157"/>
      <c r="H288" s="128"/>
      <c r="I288" s="130">
        <f>I249-I286</f>
        <v>15814.424703286793</v>
      </c>
      <c r="J288" s="158"/>
      <c r="K288" s="129"/>
      <c r="L288" s="130">
        <f>L249-L286</f>
        <v>14103.369999999995</v>
      </c>
      <c r="M288" s="158"/>
      <c r="N288" s="130">
        <f t="shared" si="95"/>
        <v>-1711.054703286798</v>
      </c>
      <c r="O288" s="158"/>
      <c r="P288" s="129"/>
      <c r="Q288" s="130">
        <f>Q249-Q286</f>
        <v>12729.25650000001</v>
      </c>
      <c r="R288" s="158"/>
      <c r="S288" s="132">
        <f>L288-Q288</f>
        <v>1374.1134999999849</v>
      </c>
      <c r="T288" s="77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  Volks T3 2022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64" t="s">
        <v>5</v>
      </c>
      <c r="E292" s="565"/>
      <c r="F292" s="566"/>
      <c r="G292" s="562" t="s">
        <v>75</v>
      </c>
      <c r="H292" s="565"/>
      <c r="I292" s="566"/>
      <c r="J292" s="562" t="s">
        <v>7</v>
      </c>
      <c r="K292" s="565"/>
      <c r="L292" s="566"/>
      <c r="M292" s="562" t="s">
        <v>8</v>
      </c>
      <c r="N292" s="566"/>
      <c r="O292" s="564" t="s">
        <v>9</v>
      </c>
      <c r="P292" s="565"/>
      <c r="Q292" s="566"/>
      <c r="R292" s="562" t="s">
        <v>10</v>
      </c>
      <c r="S292" s="563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96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37" t="s">
        <v>13</v>
      </c>
      <c r="G293" s="138" t="s">
        <v>85</v>
      </c>
      <c r="H293" s="81" t="s">
        <v>105</v>
      </c>
      <c r="I293" s="137" t="s">
        <v>13</v>
      </c>
      <c r="J293" s="138" t="s">
        <v>85</v>
      </c>
      <c r="K293" s="81" t="s">
        <v>105</v>
      </c>
      <c r="L293" s="137" t="s">
        <v>13</v>
      </c>
      <c r="M293" s="138" t="s">
        <v>41</v>
      </c>
      <c r="N293" s="137" t="s">
        <v>13</v>
      </c>
      <c r="O293" s="81" t="s">
        <v>85</v>
      </c>
      <c r="P293" s="81" t="s">
        <v>105</v>
      </c>
      <c r="Q293" s="137" t="s">
        <v>13</v>
      </c>
      <c r="R293" s="138" t="s">
        <v>86</v>
      </c>
      <c r="S293" s="139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96"/>
        <v>PiècesPièces Ro Clients</v>
      </c>
      <c r="B294" s="12" t="s">
        <v>104</v>
      </c>
      <c r="C294" s="30" t="s">
        <v>106</v>
      </c>
      <c r="D294" s="83">
        <f>+SUM(START:END!D294)</f>
        <v>220699.6970413333</v>
      </c>
      <c r="E294" s="152">
        <f>IF(D294=0,0,F294/D294)</f>
        <v>0.35811007851031501</v>
      </c>
      <c r="F294" s="86">
        <f>+SUM(START:END!F294)</f>
        <v>79034.785834674607</v>
      </c>
      <c r="G294" s="83">
        <f>+SUM(START:END!G294)</f>
        <v>220699.6970413333</v>
      </c>
      <c r="H294" s="152">
        <f>IF(G294=0,0,I294/G294)</f>
        <v>0.35811007851031501</v>
      </c>
      <c r="I294" s="86">
        <f>+SUM(START:END!I294)</f>
        <v>79034.785834674607</v>
      </c>
      <c r="J294" s="31">
        <f>+SUM(START:END!J294)</f>
        <v>259242.13999999998</v>
      </c>
      <c r="K294" s="152">
        <f>IF(J294=0,0,L294/J294)</f>
        <v>0.36824618867904724</v>
      </c>
      <c r="L294" s="34">
        <f>+SUM(START:END!L294)</f>
        <v>95464.929999999978</v>
      </c>
      <c r="M294" s="161">
        <f t="shared" ref="M294:M300" si="97">(+J294-G294)/G294</f>
        <v>0.17463749826284689</v>
      </c>
      <c r="N294" s="60">
        <f t="shared" ref="N294:N303" si="98">L294-I294</f>
        <v>16430.144165325371</v>
      </c>
      <c r="O294" s="31">
        <f>+SUM(START:END!O294)</f>
        <v>183767.83000000002</v>
      </c>
      <c r="P294" s="152">
        <f>IF(O294=0,0,Q294/O294)</f>
        <v>0.35353032138432494</v>
      </c>
      <c r="Q294" s="34">
        <f>+SUM(START:END!Q294)</f>
        <v>64967.5</v>
      </c>
      <c r="R294" s="161">
        <f>IF(O294=0,0,(J294-O294)/O294)</f>
        <v>0.41070469189302589</v>
      </c>
      <c r="S294" s="86">
        <f t="shared" ref="S294:S303" si="99">L294-Q294</f>
        <v>30497.429999999978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96"/>
        <v>PiècesPièces Ro Carrosserie</v>
      </c>
      <c r="B295" s="12" t="s">
        <v>104</v>
      </c>
      <c r="C295" s="30" t="s">
        <v>107</v>
      </c>
      <c r="D295" s="83">
        <f>+SUM(START:END!D295)</f>
        <v>113494.37641993235</v>
      </c>
      <c r="E295" s="152">
        <f t="shared" ref="E295:E302" si="100">IF(D295=0,0,F295/D295)</f>
        <v>0.25717233040360804</v>
      </c>
      <c r="F295" s="86">
        <f>+SUM(START:END!F295)</f>
        <v>29187.613271618306</v>
      </c>
      <c r="G295" s="83">
        <f>+SUM(START:END!G295)</f>
        <v>113494.37641993235</v>
      </c>
      <c r="H295" s="152">
        <f t="shared" ref="H295:H302" si="101">IF(G295=0,0,I295/G295)</f>
        <v>0.25717233040360804</v>
      </c>
      <c r="I295" s="86">
        <f>+SUM(START:END!I295)</f>
        <v>29187.613271618306</v>
      </c>
      <c r="J295" s="31">
        <f>+SUM(START:END!J295)</f>
        <v>165887.86000000002</v>
      </c>
      <c r="K295" s="152">
        <f t="shared" ref="K295:K302" si="102">IF(J295=0,0,L295/J295)</f>
        <v>0.2507656075616384</v>
      </c>
      <c r="L295" s="34">
        <f>+SUM(START:END!L295)</f>
        <v>41598.970000000016</v>
      </c>
      <c r="M295" s="161">
        <f t="shared" si="97"/>
        <v>0.46163946825180413</v>
      </c>
      <c r="N295" s="60">
        <f t="shared" si="98"/>
        <v>12411.35672838171</v>
      </c>
      <c r="O295" s="31">
        <f>+SUM(START:END!O295)</f>
        <v>105513.88</v>
      </c>
      <c r="P295" s="152">
        <f t="shared" ref="P295:P302" si="103">IF(O295=0,0,Q295/O295)</f>
        <v>0.24972373302924689</v>
      </c>
      <c r="Q295" s="34">
        <f>+SUM(START:END!Q295)</f>
        <v>26349.319999999992</v>
      </c>
      <c r="R295" s="161">
        <f t="shared" ref="R295:R302" si="104">IF(O295=0,0,(J295-O295)/O295)</f>
        <v>0.57218993368455418</v>
      </c>
      <c r="S295" s="86">
        <f t="shared" si="99"/>
        <v>15249.650000000023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96"/>
        <v>PiècesP/A Garantie</v>
      </c>
      <c r="B296" s="12" t="s">
        <v>104</v>
      </c>
      <c r="C296" s="30" t="s">
        <v>108</v>
      </c>
      <c r="D296" s="83">
        <f>+SUM(START:END!D296)</f>
        <v>270892.4632909412</v>
      </c>
      <c r="E296" s="152">
        <f t="shared" si="100"/>
        <v>0.24177651145507997</v>
      </c>
      <c r="F296" s="86">
        <f>+SUM(START:END!F296)</f>
        <v>65495.434753957074</v>
      </c>
      <c r="G296" s="83">
        <f>+SUM(START:END!G296)</f>
        <v>270892.4632909412</v>
      </c>
      <c r="H296" s="152">
        <f t="shared" si="101"/>
        <v>0.24177651145507997</v>
      </c>
      <c r="I296" s="86">
        <f>+SUM(START:END!I296)</f>
        <v>65495.434753957074</v>
      </c>
      <c r="J296" s="31">
        <f>+SUM(START:END!J296)</f>
        <v>218536.93</v>
      </c>
      <c r="K296" s="152">
        <f t="shared" si="102"/>
        <v>0.24459170356241389</v>
      </c>
      <c r="L296" s="34">
        <f>+SUM(START:END!L296)</f>
        <v>53452.319999999992</v>
      </c>
      <c r="M296" s="161">
        <f t="shared" si="97"/>
        <v>-0.1932705423211086</v>
      </c>
      <c r="N296" s="60">
        <f t="shared" si="98"/>
        <v>-12043.114753957081</v>
      </c>
      <c r="O296" s="31">
        <f>+SUM(START:END!O296)</f>
        <v>214890.67</v>
      </c>
      <c r="P296" s="152">
        <f t="shared" si="103"/>
        <v>0.23541412942683829</v>
      </c>
      <c r="Q296" s="34">
        <f>+SUM(START:END!Q296)</f>
        <v>50588.299999999996</v>
      </c>
      <c r="R296" s="161">
        <f t="shared" si="104"/>
        <v>1.6967977250943376E-2</v>
      </c>
      <c r="S296" s="86">
        <f t="shared" si="99"/>
        <v>2864.0199999999968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96"/>
        <v>PiècesVentes Internes</v>
      </c>
      <c r="B297" s="12" t="s">
        <v>104</v>
      </c>
      <c r="C297" s="30" t="s">
        <v>109</v>
      </c>
      <c r="D297" s="83">
        <f>+SUM(START:END!D297)</f>
        <v>181977.84519594276</v>
      </c>
      <c r="E297" s="152">
        <f t="shared" si="100"/>
        <v>0.32393223852119107</v>
      </c>
      <c r="F297" s="86">
        <f>+SUM(START:END!F297)</f>
        <v>58948.490755584513</v>
      </c>
      <c r="G297" s="83">
        <f>+SUM(START:END!G297)</f>
        <v>181977.84519594276</v>
      </c>
      <c r="H297" s="152">
        <f t="shared" si="101"/>
        <v>0.32393223852119107</v>
      </c>
      <c r="I297" s="86">
        <f>+SUM(START:END!I297)</f>
        <v>58948.490755584513</v>
      </c>
      <c r="J297" s="31">
        <f>+SUM(START:END!J297)</f>
        <v>151773.31</v>
      </c>
      <c r="K297" s="152">
        <f t="shared" si="102"/>
        <v>0.30557012955703489</v>
      </c>
      <c r="L297" s="34">
        <f>+SUM(START:END!L297)</f>
        <v>46377.390000000014</v>
      </c>
      <c r="M297" s="161">
        <f t="shared" si="97"/>
        <v>-0.16597918918877375</v>
      </c>
      <c r="N297" s="60">
        <f t="shared" si="98"/>
        <v>-12571.100755584499</v>
      </c>
      <c r="O297" s="31">
        <f>+SUM(START:END!O297)</f>
        <v>168211.12</v>
      </c>
      <c r="P297" s="152">
        <f t="shared" si="103"/>
        <v>0.31150847815530869</v>
      </c>
      <c r="Q297" s="34">
        <f>+SUM(START:END!Q297)</f>
        <v>52399.19000000001</v>
      </c>
      <c r="R297" s="161">
        <f t="shared" si="104"/>
        <v>-9.7721304037450066E-2</v>
      </c>
      <c r="S297" s="86">
        <f t="shared" si="99"/>
        <v>-6021.7999999999956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96"/>
        <v>PiècesVentes Détails</v>
      </c>
      <c r="B298" s="12" t="s">
        <v>104</v>
      </c>
      <c r="C298" s="30" t="s">
        <v>110</v>
      </c>
      <c r="D298" s="83">
        <f>+SUM(START:END!D298)</f>
        <v>55003.181447548253</v>
      </c>
      <c r="E298" s="152">
        <f t="shared" si="100"/>
        <v>0.2811373070712001</v>
      </c>
      <c r="F298" s="86">
        <f>+SUM(START:END!F298)</f>
        <v>15463.446312512311</v>
      </c>
      <c r="G298" s="83">
        <f>+SUM(START:END!G298)</f>
        <v>55003.181447548253</v>
      </c>
      <c r="H298" s="152">
        <f t="shared" si="101"/>
        <v>0.2811373070712001</v>
      </c>
      <c r="I298" s="86">
        <f>+SUM(START:END!I298)</f>
        <v>15463.446312512311</v>
      </c>
      <c r="J298" s="31">
        <f>+SUM(START:END!J298)</f>
        <v>51367.360000000001</v>
      </c>
      <c r="K298" s="152">
        <f t="shared" si="102"/>
        <v>0.27134390398883657</v>
      </c>
      <c r="L298" s="34">
        <f>+SUM(START:END!L298)</f>
        <v>13938.220000000003</v>
      </c>
      <c r="M298" s="161">
        <f t="shared" si="97"/>
        <v>-6.6102020862473548E-2</v>
      </c>
      <c r="N298" s="60">
        <f t="shared" si="98"/>
        <v>-1525.2263125123081</v>
      </c>
      <c r="O298" s="31">
        <f>+SUM(START:END!O298)</f>
        <v>56089.08</v>
      </c>
      <c r="P298" s="152">
        <f t="shared" si="103"/>
        <v>0.25016331164640249</v>
      </c>
      <c r="Q298" s="34">
        <f>+SUM(START:END!Q298)</f>
        <v>14031.43</v>
      </c>
      <c r="R298" s="161">
        <f t="shared" si="104"/>
        <v>-8.4182518237061493E-2</v>
      </c>
      <c r="S298" s="86">
        <f t="shared" si="99"/>
        <v>-93.209999999997308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96"/>
        <v>PiècesVentes de Gros</v>
      </c>
      <c r="B299" s="12" t="s">
        <v>104</v>
      </c>
      <c r="C299" s="30" t="s">
        <v>111</v>
      </c>
      <c r="D299" s="83">
        <f>+SUM(START:END!D299)</f>
        <v>168660.51785485039</v>
      </c>
      <c r="E299" s="152">
        <f t="shared" si="100"/>
        <v>0.18194830719212418</v>
      </c>
      <c r="F299" s="86">
        <f>+SUM(START:END!F299)</f>
        <v>30687.495713837066</v>
      </c>
      <c r="G299" s="83">
        <f>+SUM(START:END!G299)</f>
        <v>168660.51785485039</v>
      </c>
      <c r="H299" s="152">
        <f t="shared" si="101"/>
        <v>0.18194830719212418</v>
      </c>
      <c r="I299" s="86">
        <f>+SUM(START:END!I299)</f>
        <v>30687.495713837066</v>
      </c>
      <c r="J299" s="31">
        <f>+SUM(START:END!J299)</f>
        <v>263675.61</v>
      </c>
      <c r="K299" s="152">
        <f t="shared" si="102"/>
        <v>0.17810441398049676</v>
      </c>
      <c r="L299" s="34">
        <f>+SUM(START:END!L299)</f>
        <v>46961.790000000008</v>
      </c>
      <c r="M299" s="161">
        <f t="shared" si="97"/>
        <v>0.563351123034733</v>
      </c>
      <c r="N299" s="60">
        <f t="shared" si="98"/>
        <v>16274.294286162942</v>
      </c>
      <c r="O299" s="31">
        <f>+SUM(START:END!O299)</f>
        <v>184555.16</v>
      </c>
      <c r="P299" s="152">
        <f t="shared" si="103"/>
        <v>0.15843680555992037</v>
      </c>
      <c r="Q299" s="34">
        <f>+SUM(START:END!Q299)</f>
        <v>29240.329999999994</v>
      </c>
      <c r="R299" s="161">
        <f t="shared" si="104"/>
        <v>0.42870895617331956</v>
      </c>
      <c r="S299" s="86">
        <f t="shared" si="99"/>
        <v>17721.460000000014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96"/>
        <v>Pièces[...]</v>
      </c>
      <c r="B300" s="12" t="s">
        <v>104</v>
      </c>
      <c r="C300" s="30" t="s">
        <v>21</v>
      </c>
      <c r="D300" s="83">
        <f>+SUM(START:END!D300)</f>
        <v>0</v>
      </c>
      <c r="E300" s="152">
        <f t="shared" si="100"/>
        <v>0</v>
      </c>
      <c r="F300" s="86">
        <f>+SUM(START:END!F300)</f>
        <v>0</v>
      </c>
      <c r="G300" s="83">
        <f>+SUM(START:END!G300)</f>
        <v>0</v>
      </c>
      <c r="H300" s="152">
        <f t="shared" si="101"/>
        <v>0</v>
      </c>
      <c r="I300" s="86">
        <f>+SUM(START:END!I300)</f>
        <v>0</v>
      </c>
      <c r="J300" s="31">
        <f>+SUM(START:END!J300)</f>
        <v>0</v>
      </c>
      <c r="K300" s="152">
        <f t="shared" si="102"/>
        <v>0</v>
      </c>
      <c r="L300" s="34">
        <f>+SUM(START:END!L300)</f>
        <v>0</v>
      </c>
      <c r="M300" s="161" t="e">
        <f t="shared" si="97"/>
        <v>#DIV/0!</v>
      </c>
      <c r="N300" s="60">
        <f t="shared" si="98"/>
        <v>0</v>
      </c>
      <c r="O300" s="31">
        <f>+SUM(START:END!O300)</f>
        <v>0</v>
      </c>
      <c r="P300" s="152">
        <f t="shared" si="103"/>
        <v>0</v>
      </c>
      <c r="Q300" s="34">
        <f>+SUM(START:END!Q300)</f>
        <v>0</v>
      </c>
      <c r="R300" s="161">
        <f t="shared" si="104"/>
        <v>0</v>
      </c>
      <c r="S300" s="86">
        <f t="shared" si="99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96"/>
        <v>PiècesEscomptes</v>
      </c>
      <c r="B301" s="12" t="s">
        <v>104</v>
      </c>
      <c r="C301" s="30" t="s">
        <v>112</v>
      </c>
      <c r="D301" s="83">
        <f>+SUM(START:END!D301)</f>
        <v>0</v>
      </c>
      <c r="E301" s="152">
        <f t="shared" si="100"/>
        <v>0</v>
      </c>
      <c r="F301" s="86">
        <f>+SUM(START:END!F301)</f>
        <v>16750.102055447871</v>
      </c>
      <c r="G301" s="83">
        <f>+SUM(START:END!G301)</f>
        <v>0</v>
      </c>
      <c r="H301" s="152">
        <f t="shared" si="101"/>
        <v>0</v>
      </c>
      <c r="I301" s="86">
        <f>+SUM(START:END!I301)</f>
        <v>16750.102055447871</v>
      </c>
      <c r="J301" s="31">
        <f>+SUM(START:END!J301)</f>
        <v>0</v>
      </c>
      <c r="K301" s="152">
        <f t="shared" si="102"/>
        <v>0</v>
      </c>
      <c r="L301" s="34">
        <f>+SUM(START:END!L301)</f>
        <v>23883.4</v>
      </c>
      <c r="M301" s="161"/>
      <c r="N301" s="60">
        <f t="shared" si="98"/>
        <v>7133.2979445521305</v>
      </c>
      <c r="O301" s="31">
        <f>+SUM(START:END!O301)</f>
        <v>0</v>
      </c>
      <c r="P301" s="152">
        <f t="shared" si="103"/>
        <v>0</v>
      </c>
      <c r="Q301" s="34">
        <f>+SUM(START:END!Q301)</f>
        <v>21515.19</v>
      </c>
      <c r="R301" s="161">
        <f t="shared" si="104"/>
        <v>0</v>
      </c>
      <c r="S301" s="86">
        <f t="shared" si="99"/>
        <v>2368.2100000000028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96"/>
        <v>PiècesRectif. Inventaire</v>
      </c>
      <c r="B302" s="12" t="s">
        <v>104</v>
      </c>
      <c r="C302" s="88" t="s">
        <v>113</v>
      </c>
      <c r="D302" s="83">
        <f>+SUM(START:END!D302)</f>
        <v>0</v>
      </c>
      <c r="E302" s="152">
        <f t="shared" si="100"/>
        <v>0</v>
      </c>
      <c r="F302" s="86">
        <f>+SUM(START:END!F302)</f>
        <v>0</v>
      </c>
      <c r="G302" s="83">
        <f>+SUM(START:END!G302)</f>
        <v>0</v>
      </c>
      <c r="H302" s="152">
        <f t="shared" si="101"/>
        <v>0</v>
      </c>
      <c r="I302" s="86">
        <f>+SUM(START:END!I302)</f>
        <v>0</v>
      </c>
      <c r="J302" s="31">
        <f>+SUM(START:END!J302)</f>
        <v>0</v>
      </c>
      <c r="K302" s="152">
        <f t="shared" si="102"/>
        <v>0</v>
      </c>
      <c r="L302" s="34">
        <f>+SUM(START:END!L302)</f>
        <v>0</v>
      </c>
      <c r="M302" s="161"/>
      <c r="N302" s="60">
        <f t="shared" si="98"/>
        <v>0</v>
      </c>
      <c r="O302" s="31">
        <f>+SUM(START:END!O302)</f>
        <v>0</v>
      </c>
      <c r="P302" s="152">
        <f t="shared" si="103"/>
        <v>0</v>
      </c>
      <c r="Q302" s="34">
        <f>+SUM(START:END!Q302)</f>
        <v>0</v>
      </c>
      <c r="R302" s="161">
        <f t="shared" si="104"/>
        <v>0</v>
      </c>
      <c r="S302" s="86">
        <f t="shared" si="99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96"/>
        <v>PiècesSous-total Pièces</v>
      </c>
      <c r="B303" s="12" t="s">
        <v>104</v>
      </c>
      <c r="C303" s="54" t="s">
        <v>114</v>
      </c>
      <c r="D303" s="197">
        <f>SUM(D294:D302)</f>
        <v>1010728.0812505482</v>
      </c>
      <c r="E303" s="216">
        <f>IF(D303&lt;=0,0,F303/D303)</f>
        <v>0.29243015424280461</v>
      </c>
      <c r="F303" s="201">
        <f>SUM(F294:F302)</f>
        <v>295567.36869763175</v>
      </c>
      <c r="G303" s="197">
        <f>SUM(G294:G302)</f>
        <v>1010728.0812505482</v>
      </c>
      <c r="H303" s="216">
        <f>IF(G303&lt;=0,0,I303/G303)</f>
        <v>0.29243015424280461</v>
      </c>
      <c r="I303" s="201">
        <f>SUM(I294:I302)</f>
        <v>295567.36869763175</v>
      </c>
      <c r="J303" s="197">
        <f>SUM(J294:J302)</f>
        <v>1110483.21</v>
      </c>
      <c r="K303" s="216">
        <f>IF(J303&lt;=0,0,L303/J303)</f>
        <v>0.28967301540740992</v>
      </c>
      <c r="L303" s="199">
        <f>SUM(L294:L302)</f>
        <v>321677.02</v>
      </c>
      <c r="M303" s="217">
        <f>(+J303-G303)/G303</f>
        <v>9.8696306751492671E-2</v>
      </c>
      <c r="N303" s="199">
        <f t="shared" si="98"/>
        <v>26109.651302368264</v>
      </c>
      <c r="O303" s="197">
        <f>SUM(O294:O302)</f>
        <v>913027.74</v>
      </c>
      <c r="P303" s="216">
        <f>IF(O303&lt;=0,0,Q303/O303)</f>
        <v>0.28377150950528618</v>
      </c>
      <c r="Q303" s="199">
        <f>SUM(Q294:Q302)</f>
        <v>259091.25999999998</v>
      </c>
      <c r="R303" s="217">
        <f>IF(O303=0,0,(J303-O303)/O303)</f>
        <v>0.21626448063889053</v>
      </c>
      <c r="S303" s="201">
        <f t="shared" si="99"/>
        <v>62585.760000000038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96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8.8337394677281467E-2</v>
      </c>
      <c r="O304" s="42"/>
      <c r="P304" s="14"/>
      <c r="Q304" s="41"/>
      <c r="R304" s="42"/>
      <c r="S304" s="45">
        <f>IF(Q303=0,0,S303/Q303)</f>
        <v>0.24155874652043471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96"/>
        <v>Pièces</v>
      </c>
      <c r="B305" s="12" t="s">
        <v>104</v>
      </c>
      <c r="C305" s="88"/>
      <c r="D305" s="114"/>
      <c r="E305" s="114"/>
      <c r="F305" s="218"/>
      <c r="G305" s="24"/>
      <c r="H305" s="219"/>
      <c r="I305" s="218"/>
      <c r="J305" s="24"/>
      <c r="K305" s="114"/>
      <c r="L305" s="218"/>
      <c r="M305" s="24"/>
      <c r="N305" s="171"/>
      <c r="O305" s="24"/>
      <c r="P305" s="114"/>
      <c r="Q305" s="218"/>
      <c r="R305" s="24"/>
      <c r="S305" s="172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96"/>
        <v>PiècesVentes Pneus</v>
      </c>
      <c r="B306" s="12" t="s">
        <v>104</v>
      </c>
      <c r="C306" s="30" t="s">
        <v>115</v>
      </c>
      <c r="D306" s="83">
        <f>+SUM(START:END!D306)</f>
        <v>87338.000031324496</v>
      </c>
      <c r="E306" s="152">
        <f t="shared" ref="E306:E307" si="105">IF(D306=0,0,F306/D306)</f>
        <v>0.1816444838198383</v>
      </c>
      <c r="F306" s="113">
        <f>+SUM(START:END!F306)</f>
        <v>15864.465933546961</v>
      </c>
      <c r="G306" s="83">
        <f>+SUM(START:END!G306)</f>
        <v>87338.000031324496</v>
      </c>
      <c r="H306" s="152">
        <f t="shared" ref="H306:H307" si="106">IF(G306=0,0,I306/G306)</f>
        <v>0.1816444838198383</v>
      </c>
      <c r="I306" s="113">
        <f>+SUM(START:END!I306)</f>
        <v>15864.465933546961</v>
      </c>
      <c r="J306" s="31">
        <f>+SUM(START:END!J306)</f>
        <v>118784.3</v>
      </c>
      <c r="K306" s="152">
        <f t="shared" ref="K306:K307" si="107">IF(J306=0,0,L306/J306)</f>
        <v>0.19039182787624287</v>
      </c>
      <c r="L306" s="34">
        <f>+SUM(START:END!L306)</f>
        <v>22615.559999999998</v>
      </c>
      <c r="M306" s="161">
        <f t="shared" ref="M306:M308" si="108">(+J306-G306)/G306</f>
        <v>0.3600528974489573</v>
      </c>
      <c r="N306" s="60">
        <f t="shared" ref="N306:N308" si="109">L306-I306</f>
        <v>6751.0940664530372</v>
      </c>
      <c r="O306" s="31">
        <f>+SUM(START:END!O306)</f>
        <v>96543.97</v>
      </c>
      <c r="P306" s="152">
        <f t="shared" ref="P306:P307" si="110">IF(O306=0,0,Q306/O306)</f>
        <v>0.15281803721143852</v>
      </c>
      <c r="Q306" s="34">
        <f>+SUM(START:END!Q306)</f>
        <v>14753.660000000003</v>
      </c>
      <c r="R306" s="161">
        <f t="shared" ref="R306:R307" si="111">IF(O306=0,0,(J306-O306)/O306)</f>
        <v>0.23036477575968756</v>
      </c>
      <c r="S306" s="86">
        <f t="shared" ref="S306:S308" si="112">L306-Q306</f>
        <v>7861.8999999999942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96"/>
        <v>PiècesHuiles et Graisse</v>
      </c>
      <c r="B307" s="12" t="s">
        <v>104</v>
      </c>
      <c r="C307" s="88" t="s">
        <v>116</v>
      </c>
      <c r="D307" s="83">
        <f>+SUM(START:END!D307)</f>
        <v>53568.664958504814</v>
      </c>
      <c r="E307" s="152">
        <f t="shared" si="105"/>
        <v>0.29130399895825632</v>
      </c>
      <c r="F307" s="95">
        <f>+SUM(START:END!F307)</f>
        <v>15604.766321267469</v>
      </c>
      <c r="G307" s="83">
        <f>+SUM(START:END!G307)</f>
        <v>53568.664958504814</v>
      </c>
      <c r="H307" s="152">
        <f t="shared" si="106"/>
        <v>0.29130399895825632</v>
      </c>
      <c r="I307" s="95">
        <f>+SUM(START:END!I307)</f>
        <v>15604.766321267469</v>
      </c>
      <c r="J307" s="31">
        <f>+SUM(START:END!J307)</f>
        <v>70302.789999999994</v>
      </c>
      <c r="K307" s="152">
        <f t="shared" si="107"/>
        <v>0.31912033647597765</v>
      </c>
      <c r="L307" s="34">
        <f>+SUM(START:END!L307)</f>
        <v>22435.049999999996</v>
      </c>
      <c r="M307" s="161">
        <f t="shared" si="108"/>
        <v>0.31238644932550985</v>
      </c>
      <c r="N307" s="60">
        <f t="shared" si="109"/>
        <v>6830.2836787325268</v>
      </c>
      <c r="O307" s="31">
        <f>+SUM(START:END!O307)</f>
        <v>52230.14</v>
      </c>
      <c r="P307" s="152">
        <f t="shared" si="110"/>
        <v>0.27161118082394581</v>
      </c>
      <c r="Q307" s="34">
        <f>+SUM(START:END!Q307)</f>
        <v>14186.290000000005</v>
      </c>
      <c r="R307" s="161">
        <f t="shared" si="111"/>
        <v>0.34601955882178365</v>
      </c>
      <c r="S307" s="86">
        <f t="shared" si="112"/>
        <v>8248.7599999999911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96"/>
        <v>PiècesSous-total Pièces et Acc.</v>
      </c>
      <c r="B308" s="12" t="s">
        <v>104</v>
      </c>
      <c r="C308" s="54" t="s">
        <v>117</v>
      </c>
      <c r="D308" s="197">
        <f>D303+D306+D307</f>
        <v>1151634.7462403774</v>
      </c>
      <c r="E308" s="216">
        <f>IF(D308&lt;=0,0,F308/D308)</f>
        <v>0.28397597590736878</v>
      </c>
      <c r="F308" s="199">
        <f t="shared" ref="F308" si="113">F303+F306+F307</f>
        <v>327036.60095244617</v>
      </c>
      <c r="G308" s="200">
        <f>G303+G306+G307</f>
        <v>1151634.7462403774</v>
      </c>
      <c r="H308" s="216">
        <f>IF(G308&lt;=0,0,I308/G308)</f>
        <v>0.28397597590736878</v>
      </c>
      <c r="I308" s="199">
        <f t="shared" ref="I308" si="114">I303+I306+I307</f>
        <v>327036.60095244617</v>
      </c>
      <c r="J308" s="200">
        <f>J303+J306+J307</f>
        <v>1299570.3</v>
      </c>
      <c r="K308" s="216">
        <f>IF(J308&lt;=0,0,L308/J308)</f>
        <v>0.28219145205149732</v>
      </c>
      <c r="L308" s="199">
        <f t="shared" ref="L308" si="115">L303+L306+L307</f>
        <v>366727.63</v>
      </c>
      <c r="M308" s="217">
        <f t="shared" si="108"/>
        <v>0.12845700795549325</v>
      </c>
      <c r="N308" s="199">
        <f t="shared" si="109"/>
        <v>39691.029047553835</v>
      </c>
      <c r="O308" s="200">
        <f>O303+O306+O307</f>
        <v>1061801.8499999999</v>
      </c>
      <c r="P308" s="216">
        <f>IF(O308&lt;=0,0,Q308/O308)</f>
        <v>0.27126644203906786</v>
      </c>
      <c r="Q308" s="199">
        <f t="shared" ref="Q308" si="116">Q303+Q306+Q307</f>
        <v>288031.20999999996</v>
      </c>
      <c r="R308" s="217">
        <f>IF(O308=0,0,(J308-O308)/O308)</f>
        <v>0.22392921052077674</v>
      </c>
      <c r="S308" s="201">
        <f t="shared" si="112"/>
        <v>78696.420000000042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96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0.1213657093180382</v>
      </c>
      <c r="O309" s="42"/>
      <c r="P309" s="14"/>
      <c r="Q309" s="41"/>
      <c r="R309" s="42"/>
      <c r="S309" s="45">
        <f>IF(Q308=0,0,S308/Q308)</f>
        <v>0.27322184981273401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96"/>
        <v>PiècesPièces recond. MCPA</v>
      </c>
      <c r="B310" s="12" t="s">
        <v>104</v>
      </c>
      <c r="C310" s="30" t="s">
        <v>199</v>
      </c>
      <c r="D310" s="83">
        <f>+SUM(START:END!D310)</f>
        <v>0</v>
      </c>
      <c r="E310" s="152">
        <f t="shared" ref="E310" si="117">IF(D310=0,0,F310/D310)</f>
        <v>0</v>
      </c>
      <c r="F310" s="60">
        <f>+SUM(START:END!F310)</f>
        <v>0</v>
      </c>
      <c r="G310" s="61">
        <f>+SUM(START:END!G310)</f>
        <v>0</v>
      </c>
      <c r="H310" s="152">
        <f t="shared" ref="H310" si="118">IF(G310=0,0,I310/G310)</f>
        <v>0</v>
      </c>
      <c r="I310" s="60">
        <f>+SUM(START:END!I310)</f>
        <v>0</v>
      </c>
      <c r="J310" s="32">
        <f>+SUM(START:END!J310)</f>
        <v>0</v>
      </c>
      <c r="K310" s="152">
        <f t="shared" ref="K310" si="119">IF(J310=0,0,L310/J310)</f>
        <v>0</v>
      </c>
      <c r="L310" s="34">
        <f>+SUM(START:END!L310)</f>
        <v>0</v>
      </c>
      <c r="M310" s="152">
        <f>IF(F310=0,0,(+L310-F310)/F310)</f>
        <v>0</v>
      </c>
      <c r="N310" s="60">
        <f>L310-I310</f>
        <v>0</v>
      </c>
      <c r="O310" s="32">
        <f>+SUM(START:END!O310)</f>
        <v>0</v>
      </c>
      <c r="P310" s="152">
        <f t="shared" ref="P310" si="120">IF(O310=0,0,Q310/O310)</f>
        <v>0</v>
      </c>
      <c r="Q310" s="34">
        <f>+SUM(START:END!Q310)</f>
        <v>0</v>
      </c>
      <c r="R310" s="152">
        <f>IF(S310=0,0,(+P310-K310)/K310)</f>
        <v>0</v>
      </c>
      <c r="S310" s="86">
        <f>L310-Q310</f>
        <v>0</v>
      </c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96"/>
        <v>PiècesAutostock</v>
      </c>
      <c r="B311" s="12" t="s">
        <v>104</v>
      </c>
      <c r="C311" s="88" t="s">
        <v>118</v>
      </c>
      <c r="D311" s="92">
        <f>+SUM(START:END!D311)</f>
        <v>0</v>
      </c>
      <c r="E311" s="220">
        <f t="shared" ref="E311" si="121">IF(D311=0,0,F311/D311)</f>
        <v>0</v>
      </c>
      <c r="F311" s="150">
        <f>+SUM(START:END!F311)</f>
        <v>0</v>
      </c>
      <c r="G311" s="175">
        <f>+SUM(START:END!G311)</f>
        <v>0</v>
      </c>
      <c r="H311" s="220">
        <f t="shared" ref="H311" si="122">IF(G311=0,0,I311/G311)</f>
        <v>0</v>
      </c>
      <c r="I311" s="150">
        <f>+SUM(START:END!I311)</f>
        <v>0</v>
      </c>
      <c r="J311" s="47">
        <f>+SUM(START:END!J311)</f>
        <v>0</v>
      </c>
      <c r="K311" s="221">
        <f t="shared" ref="K311" si="123">IF(J311=0,0,L311/J311)</f>
        <v>0</v>
      </c>
      <c r="L311" s="23">
        <f>+SUM(START:END!L311)</f>
        <v>0</v>
      </c>
      <c r="M311" s="221">
        <f>IF(F311=0,0,(+L311-F311)/F311)</f>
        <v>0</v>
      </c>
      <c r="N311" s="94">
        <f>L311-I311</f>
        <v>0</v>
      </c>
      <c r="O311" s="47">
        <f>+SUM(START:END!O311)</f>
        <v>0</v>
      </c>
      <c r="P311" s="221">
        <f t="shared" ref="P311" si="124">IF(O311=0,0,Q311/O311)</f>
        <v>0</v>
      </c>
      <c r="Q311" s="23">
        <f>+SUM(START:END!Q311)</f>
        <v>0</v>
      </c>
      <c r="R311" s="221">
        <f>IF(S311=0,0,(+P311-K311)/K311)</f>
        <v>0</v>
      </c>
      <c r="S311" s="95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96"/>
        <v>Pièces</v>
      </c>
      <c r="B312" s="12" t="s">
        <v>104</v>
      </c>
      <c r="C312" s="30"/>
      <c r="D312" s="83"/>
      <c r="E312" s="152"/>
      <c r="F312" s="60"/>
      <c r="G312" s="61"/>
      <c r="H312" s="152"/>
      <c r="I312" s="60"/>
      <c r="J312" s="61"/>
      <c r="K312" s="152"/>
      <c r="L312" s="60"/>
      <c r="M312" s="161"/>
      <c r="N312" s="60"/>
      <c r="O312" s="61"/>
      <c r="P312" s="152"/>
      <c r="Q312" s="60"/>
      <c r="R312" s="161"/>
      <c r="S312" s="86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96"/>
        <v>PiècesTotal Dépt. Pièces</v>
      </c>
      <c r="B313" s="12" t="s">
        <v>104</v>
      </c>
      <c r="C313" s="63" t="s">
        <v>119</v>
      </c>
      <c r="D313" s="64">
        <f>D308+D311+D310</f>
        <v>1151634.7462403774</v>
      </c>
      <c r="E313" s="222">
        <f>IF(D313&lt;=0,0,F313/D313)</f>
        <v>0.28397597590736878</v>
      </c>
      <c r="F313" s="66">
        <f>F308+F311+F310</f>
        <v>327036.60095244617</v>
      </c>
      <c r="G313" s="67">
        <f>G308+G311+G310</f>
        <v>1151634.7462403774</v>
      </c>
      <c r="H313" s="222">
        <f>IF(G313&lt;=0,0,I313/G313)</f>
        <v>0.28397597590736878</v>
      </c>
      <c r="I313" s="66">
        <f>I308+I311+I310</f>
        <v>327036.60095244617</v>
      </c>
      <c r="J313" s="67">
        <f>J308+J311+J310</f>
        <v>1299570.3</v>
      </c>
      <c r="K313" s="222">
        <f>IF(J313&lt;=0,0,L313/J313)</f>
        <v>0.28219145205149732</v>
      </c>
      <c r="L313" s="66">
        <f>L308+L311+L310</f>
        <v>366727.63</v>
      </c>
      <c r="M313" s="223">
        <f>(+J313-G313)/G313</f>
        <v>0.12845700795549325</v>
      </c>
      <c r="N313" s="224">
        <f>L313-I313</f>
        <v>39691.029047553835</v>
      </c>
      <c r="O313" s="67">
        <f>O308+O311+O310</f>
        <v>1061801.8499999999</v>
      </c>
      <c r="P313" s="222">
        <f>IF(O313&lt;=0,0,Q313/O313)</f>
        <v>0.27126644203906786</v>
      </c>
      <c r="Q313" s="66">
        <f>Q308+Q311+Q310</f>
        <v>288031.20999999996</v>
      </c>
      <c r="R313" s="223">
        <f>IF(O313=0,0,(J313-O313)/O313)</f>
        <v>0.22392921052077674</v>
      </c>
      <c r="S313" s="225">
        <f>L313-Q313</f>
        <v>78696.420000000042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96"/>
        <v>Pièces</v>
      </c>
      <c r="B314" s="12" t="s">
        <v>104</v>
      </c>
      <c r="C314" s="226"/>
      <c r="D314" s="227"/>
      <c r="E314" s="228"/>
      <c r="F314" s="229"/>
      <c r="G314" s="230"/>
      <c r="H314" s="228"/>
      <c r="I314" s="229"/>
      <c r="J314" s="230"/>
      <c r="K314" s="228"/>
      <c r="L314" s="229"/>
      <c r="M314" s="231"/>
      <c r="N314" s="75">
        <f>N313/I313</f>
        <v>0.1213657093180382</v>
      </c>
      <c r="O314" s="230"/>
      <c r="P314" s="228"/>
      <c r="Q314" s="229"/>
      <c r="R314" s="231"/>
      <c r="S314" s="76">
        <f>IF(Q313=0,0,S313/Q313)</f>
        <v>0.27322184981273401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96"/>
        <v>Pièces</v>
      </c>
      <c r="B315" s="12" t="s">
        <v>104</v>
      </c>
      <c r="C315" s="54"/>
      <c r="D315" s="115"/>
      <c r="E315" s="177"/>
      <c r="F315" s="179"/>
      <c r="G315" s="178"/>
      <c r="H315" s="177"/>
      <c r="I315" s="179"/>
      <c r="J315" s="178"/>
      <c r="K315" s="177"/>
      <c r="L315" s="179"/>
      <c r="M315" s="42"/>
      <c r="N315" s="44"/>
      <c r="O315" s="178"/>
      <c r="P315" s="177"/>
      <c r="Q315" s="179"/>
      <c r="R315" s="42"/>
      <c r="S315" s="45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96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96"/>
        <v>PiècesSalaires cadres</v>
      </c>
      <c r="B317" s="12" t="s">
        <v>104</v>
      </c>
      <c r="C317" s="105" t="s">
        <v>42</v>
      </c>
      <c r="D317" s="14"/>
      <c r="E317" s="14"/>
      <c r="F317" s="31">
        <f>+SUM(START:END!F317)</f>
        <v>7819.3057471264365</v>
      </c>
      <c r="G317" s="42"/>
      <c r="H317" s="14"/>
      <c r="I317" s="31">
        <f>+SUM(START:END!I317)</f>
        <v>7819.3057471264365</v>
      </c>
      <c r="J317" s="42"/>
      <c r="K317" s="14"/>
      <c r="L317" s="34">
        <f>+SUM(START:END!L317)</f>
        <v>25901.67</v>
      </c>
      <c r="M317" s="42"/>
      <c r="N317" s="232">
        <f>L317-I317</f>
        <v>18082.364252873562</v>
      </c>
      <c r="O317" s="42"/>
      <c r="P317" s="14"/>
      <c r="Q317" s="34">
        <f>+SUM(START:END!Q317)</f>
        <v>15203.25</v>
      </c>
      <c r="R317" s="42"/>
      <c r="S317" s="35">
        <f>L317-Q317</f>
        <v>10698.419999999998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96"/>
        <v>PiècesSalaires commis</v>
      </c>
      <c r="B318" s="12" t="s">
        <v>104</v>
      </c>
      <c r="C318" s="106" t="s">
        <v>43</v>
      </c>
      <c r="D318" s="82"/>
      <c r="E318" s="14"/>
      <c r="F318" s="23">
        <f>+SUM(START:END!F318)</f>
        <v>13096.037036045978</v>
      </c>
      <c r="G318" s="84"/>
      <c r="H318" s="14"/>
      <c r="I318" s="23">
        <f>+SUM(START:END!I318)</f>
        <v>13096.037036045978</v>
      </c>
      <c r="J318" s="42"/>
      <c r="K318" s="14"/>
      <c r="L318" s="34">
        <f>+SUM(START:END!L318)</f>
        <v>9682.4599999999991</v>
      </c>
      <c r="M318" s="42"/>
      <c r="N318" s="60">
        <f>L318-I318</f>
        <v>-3413.5770360459792</v>
      </c>
      <c r="O318" s="42"/>
      <c r="P318" s="14"/>
      <c r="Q318" s="34">
        <f>+SUM(START:END!Q318)</f>
        <v>12251.44</v>
      </c>
      <c r="R318" s="42"/>
      <c r="S318" s="86">
        <f t="shared" ref="S318:S347" si="125">L318-Q318</f>
        <v>-2568.9800000000014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96"/>
        <v>PiècesSalaires autres</v>
      </c>
      <c r="B319" s="12" t="s">
        <v>104</v>
      </c>
      <c r="C319" s="105" t="s">
        <v>44</v>
      </c>
      <c r="D319" s="107"/>
      <c r="E319" s="108"/>
      <c r="F319" s="31">
        <f>+SUM(START:END!F319)</f>
        <v>73651.453707402281</v>
      </c>
      <c r="G319" s="109"/>
      <c r="H319" s="108"/>
      <c r="I319" s="31">
        <f>+SUM(START:END!I319)</f>
        <v>73651.453707402281</v>
      </c>
      <c r="J319" s="110"/>
      <c r="K319" s="108"/>
      <c r="L319" s="111">
        <f>+SUM(START:END!L319)</f>
        <v>72630.52</v>
      </c>
      <c r="M319" s="110"/>
      <c r="N319" s="112">
        <f t="shared" ref="N319:N347" si="126">L319-I319</f>
        <v>-1020.9337074022769</v>
      </c>
      <c r="O319" s="110"/>
      <c r="P319" s="108"/>
      <c r="Q319" s="111">
        <f>+SUM(START:END!Q319)</f>
        <v>52702.39</v>
      </c>
      <c r="R319" s="110"/>
      <c r="S319" s="113">
        <f t="shared" si="125"/>
        <v>19928.130000000005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96"/>
        <v>PiècesSalaires spécialistes</v>
      </c>
      <c r="B320" s="12" t="s">
        <v>104</v>
      </c>
      <c r="C320" s="105" t="s">
        <v>45</v>
      </c>
      <c r="D320" s="82"/>
      <c r="E320" s="14"/>
      <c r="F320" s="31">
        <f>+SUM(START:END!F320)</f>
        <v>0</v>
      </c>
      <c r="G320" s="84"/>
      <c r="H320" s="14"/>
      <c r="I320" s="31">
        <f>+SUM(START:END!I320)</f>
        <v>0</v>
      </c>
      <c r="J320" s="42"/>
      <c r="K320" s="14"/>
      <c r="L320" s="34">
        <f>+SUM(START:END!L320)</f>
        <v>0</v>
      </c>
      <c r="M320" s="42"/>
      <c r="N320" s="60">
        <f t="shared" si="126"/>
        <v>0</v>
      </c>
      <c r="O320" s="42"/>
      <c r="P320" s="14"/>
      <c r="Q320" s="34">
        <f>+SUM(START:END!Q320)</f>
        <v>0</v>
      </c>
      <c r="R320" s="42"/>
      <c r="S320" s="86">
        <f t="shared" si="125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96"/>
        <v>Pièces[...]</v>
      </c>
      <c r="B321" s="12" t="s">
        <v>104</v>
      </c>
      <c r="C321" s="233" t="s">
        <v>21</v>
      </c>
      <c r="D321" s="82"/>
      <c r="E321" s="14"/>
      <c r="F321" s="31">
        <f>+SUM(START:END!F321)</f>
        <v>0</v>
      </c>
      <c r="G321" s="84"/>
      <c r="H321" s="14"/>
      <c r="I321" s="31">
        <f>+SUM(START:END!I321)</f>
        <v>0</v>
      </c>
      <c r="J321" s="42"/>
      <c r="K321" s="14"/>
      <c r="L321" s="34">
        <f>+SUM(START:END!L321)</f>
        <v>0</v>
      </c>
      <c r="M321" s="42"/>
      <c r="N321" s="60">
        <f t="shared" si="126"/>
        <v>0</v>
      </c>
      <c r="O321" s="42"/>
      <c r="P321" s="14"/>
      <c r="Q321" s="34">
        <f>+SUM(START:END!Q321)</f>
        <v>0</v>
      </c>
      <c r="R321" s="42"/>
      <c r="S321" s="86">
        <f t="shared" si="125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96"/>
        <v>Pièces[...]</v>
      </c>
      <c r="B322" s="12" t="s">
        <v>104</v>
      </c>
      <c r="C322" s="233" t="s">
        <v>21</v>
      </c>
      <c r="D322" s="82"/>
      <c r="E322" s="14"/>
      <c r="F322" s="31">
        <f>+SUM(START:END!F322)</f>
        <v>0</v>
      </c>
      <c r="G322" s="84"/>
      <c r="H322" s="14"/>
      <c r="I322" s="31">
        <f>+SUM(START:END!I322)</f>
        <v>0</v>
      </c>
      <c r="J322" s="42"/>
      <c r="K322" s="14"/>
      <c r="L322" s="34">
        <f>+SUM(START:END!L322)</f>
        <v>0</v>
      </c>
      <c r="M322" s="42"/>
      <c r="N322" s="60">
        <f t="shared" si="126"/>
        <v>0</v>
      </c>
      <c r="O322" s="42"/>
      <c r="P322" s="14"/>
      <c r="Q322" s="34">
        <f>+SUM(START:END!Q322)</f>
        <v>0</v>
      </c>
      <c r="R322" s="42"/>
      <c r="S322" s="86">
        <f t="shared" si="125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96"/>
        <v>Pièces[...]</v>
      </c>
      <c r="B323" s="12" t="s">
        <v>104</v>
      </c>
      <c r="C323" s="233" t="s">
        <v>21</v>
      </c>
      <c r="D323" s="82"/>
      <c r="E323" s="14"/>
      <c r="F323" s="31">
        <f>+SUM(START:END!F323)</f>
        <v>0</v>
      </c>
      <c r="G323" s="84"/>
      <c r="H323" s="14"/>
      <c r="I323" s="31">
        <f>+SUM(START:END!I323)</f>
        <v>0</v>
      </c>
      <c r="J323" s="42"/>
      <c r="K323" s="14"/>
      <c r="L323" s="34">
        <f>+SUM(START:END!L323)</f>
        <v>0</v>
      </c>
      <c r="M323" s="42"/>
      <c r="N323" s="60">
        <f t="shared" si="126"/>
        <v>0</v>
      </c>
      <c r="O323" s="42"/>
      <c r="P323" s="14"/>
      <c r="Q323" s="34">
        <f>+SUM(START:END!Q323)</f>
        <v>0</v>
      </c>
      <c r="R323" s="42"/>
      <c r="S323" s="86">
        <f t="shared" si="125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96"/>
        <v>PiècesSalaires en absences</v>
      </c>
      <c r="B324" s="12" t="s">
        <v>104</v>
      </c>
      <c r="C324" s="106" t="s">
        <v>46</v>
      </c>
      <c r="D324" s="82"/>
      <c r="E324" s="14"/>
      <c r="F324" s="23">
        <f>+SUM(START:END!F324)</f>
        <v>11829.20222322163</v>
      </c>
      <c r="G324" s="84"/>
      <c r="H324" s="14"/>
      <c r="I324" s="23">
        <f>+SUM(START:END!I324)</f>
        <v>11829.20222322163</v>
      </c>
      <c r="J324" s="42"/>
      <c r="K324" s="14"/>
      <c r="L324" s="34">
        <f>+SUM(START:END!L324)</f>
        <v>10500.86</v>
      </c>
      <c r="M324" s="42"/>
      <c r="N324" s="60">
        <f t="shared" si="126"/>
        <v>-1328.342223221629</v>
      </c>
      <c r="O324" s="42"/>
      <c r="P324" s="14"/>
      <c r="Q324" s="34">
        <f>+SUM(START:END!Q324)</f>
        <v>9727.16</v>
      </c>
      <c r="R324" s="42"/>
      <c r="S324" s="86">
        <f t="shared" si="125"/>
        <v>773.70000000000073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96"/>
        <v>PiècesDéduction à la source</v>
      </c>
      <c r="B325" s="12" t="s">
        <v>104</v>
      </c>
      <c r="C325" s="105" t="s">
        <v>47</v>
      </c>
      <c r="D325" s="107"/>
      <c r="E325" s="108"/>
      <c r="F325" s="31">
        <f>+SUM(START:END!F325)</f>
        <v>10594.263151894622</v>
      </c>
      <c r="G325" s="109"/>
      <c r="H325" s="108"/>
      <c r="I325" s="31">
        <f>+SUM(START:END!I325)</f>
        <v>10594.263151894622</v>
      </c>
      <c r="J325" s="110"/>
      <c r="K325" s="108"/>
      <c r="L325" s="111">
        <f>+SUM(START:END!L325)</f>
        <v>156.18</v>
      </c>
      <c r="M325" s="110"/>
      <c r="N325" s="112">
        <f t="shared" si="126"/>
        <v>-10438.083151894622</v>
      </c>
      <c r="O325" s="110"/>
      <c r="P325" s="108"/>
      <c r="Q325" s="111">
        <f>+SUM(START:END!Q325)</f>
        <v>132.08000000000001</v>
      </c>
      <c r="R325" s="110"/>
      <c r="S325" s="113">
        <f t="shared" si="125"/>
        <v>24.099999999999994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96"/>
        <v>PiècesBénéfices marginaux</v>
      </c>
      <c r="B326" s="12" t="s">
        <v>104</v>
      </c>
      <c r="C326" s="105" t="s">
        <v>48</v>
      </c>
      <c r="D326" s="82"/>
      <c r="E326" s="14"/>
      <c r="F326" s="31">
        <f>+SUM(START:END!F326)</f>
        <v>8413.0913265045529</v>
      </c>
      <c r="G326" s="84"/>
      <c r="H326" s="14"/>
      <c r="I326" s="31">
        <f>+SUM(START:END!I326)</f>
        <v>8413.0913265045529</v>
      </c>
      <c r="J326" s="42"/>
      <c r="K326" s="14"/>
      <c r="L326" s="34">
        <f>+SUM(START:END!L326)</f>
        <v>14240.900000000001</v>
      </c>
      <c r="M326" s="42"/>
      <c r="N326" s="60">
        <f t="shared" si="126"/>
        <v>5827.8086734954486</v>
      </c>
      <c r="O326" s="42"/>
      <c r="P326" s="14"/>
      <c r="Q326" s="34">
        <f>+SUM(START:END!Q326)</f>
        <v>6359.9</v>
      </c>
      <c r="R326" s="42"/>
      <c r="S326" s="86">
        <f t="shared" si="125"/>
        <v>7881.0000000000018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96"/>
        <v>PiècesCsst</v>
      </c>
      <c r="B327" s="12" t="s">
        <v>104</v>
      </c>
      <c r="C327" s="105" t="s">
        <v>49</v>
      </c>
      <c r="D327" s="82"/>
      <c r="E327" s="14"/>
      <c r="F327" s="31">
        <f>+SUM(START:END!F327)</f>
        <v>3427.5557256129659</v>
      </c>
      <c r="G327" s="84"/>
      <c r="H327" s="14"/>
      <c r="I327" s="31">
        <f>+SUM(START:END!I327)</f>
        <v>3427.5557256129659</v>
      </c>
      <c r="J327" s="42"/>
      <c r="K327" s="14"/>
      <c r="L327" s="34">
        <f>+SUM(START:END!L327)</f>
        <v>20689.47</v>
      </c>
      <c r="M327" s="42"/>
      <c r="N327" s="60">
        <f t="shared" si="126"/>
        <v>17261.914274387036</v>
      </c>
      <c r="O327" s="42"/>
      <c r="P327" s="14"/>
      <c r="Q327" s="34">
        <f>+SUM(START:END!Q327)</f>
        <v>10221.239999999998</v>
      </c>
      <c r="R327" s="42"/>
      <c r="S327" s="86">
        <f t="shared" si="125"/>
        <v>10468.230000000003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96"/>
        <v>Pièces[...]</v>
      </c>
      <c r="B328" s="12" t="s">
        <v>104</v>
      </c>
      <c r="C328" s="30" t="s">
        <v>21</v>
      </c>
      <c r="D328" s="89"/>
      <c r="E328" s="114"/>
      <c r="F328" s="31">
        <f>+SUM(START:END!F328)</f>
        <v>0</v>
      </c>
      <c r="G328" s="91"/>
      <c r="H328" s="114"/>
      <c r="I328" s="31">
        <f>+SUM(START:END!I328)</f>
        <v>0</v>
      </c>
      <c r="J328" s="24"/>
      <c r="K328" s="114"/>
      <c r="L328" s="34">
        <f>+SUM(START:END!L328)</f>
        <v>0</v>
      </c>
      <c r="M328" s="24"/>
      <c r="N328" s="94">
        <f t="shared" si="126"/>
        <v>0</v>
      </c>
      <c r="O328" s="24"/>
      <c r="P328" s="114"/>
      <c r="Q328" s="34">
        <f>+SUM(START:END!Q328)</f>
        <v>0</v>
      </c>
      <c r="R328" s="24"/>
      <c r="S328" s="95">
        <f t="shared" si="125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96"/>
        <v>PiècesTOTAL PERSONNEL</v>
      </c>
      <c r="B329" s="12" t="s">
        <v>104</v>
      </c>
      <c r="C329" s="96" t="s">
        <v>50</v>
      </c>
      <c r="D329" s="97" t="s">
        <v>40</v>
      </c>
      <c r="E329" s="98">
        <f>F329/F$313</f>
        <v>0.39393422186570959</v>
      </c>
      <c r="F329" s="99">
        <f>+SUM(F317:F328)</f>
        <v>128830.90891780845</v>
      </c>
      <c r="G329" s="100" t="s">
        <v>40</v>
      </c>
      <c r="H329" s="98">
        <f>I329/I$313</f>
        <v>0.39393422186570959</v>
      </c>
      <c r="I329" s="99">
        <f>+SUM(I317:I328)</f>
        <v>128830.90891780845</v>
      </c>
      <c r="J329" s="100" t="s">
        <v>40</v>
      </c>
      <c r="K329" s="98">
        <f>L329/L$313</f>
        <v>0.41939043425770783</v>
      </c>
      <c r="L329" s="99">
        <f>+SUM(L317:L328)</f>
        <v>153802.06</v>
      </c>
      <c r="M329" s="151"/>
      <c r="N329" s="116">
        <f t="shared" si="126"/>
        <v>24971.151082191544</v>
      </c>
      <c r="O329" s="100" t="s">
        <v>40</v>
      </c>
      <c r="P329" s="98">
        <f>Q329/Q$313</f>
        <v>0.37008996351471773</v>
      </c>
      <c r="Q329" s="99">
        <f>+SUM(Q317:Q328)</f>
        <v>106597.45999999999</v>
      </c>
      <c r="R329" s="151"/>
      <c r="S329" s="117">
        <f t="shared" si="125"/>
        <v>47204.600000000006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96"/>
        <v>PiècesPublicité 2</v>
      </c>
      <c r="B330" s="12" t="s">
        <v>104</v>
      </c>
      <c r="C330" s="214" t="s">
        <v>51</v>
      </c>
      <c r="D330" s="82"/>
      <c r="E330" s="14"/>
      <c r="F330" s="31">
        <f>+SUM(START:END!F330)</f>
        <v>11176.4625</v>
      </c>
      <c r="G330" s="84"/>
      <c r="H330" s="14"/>
      <c r="I330" s="31">
        <f>+SUM(START:END!I330)</f>
        <v>11176.4625</v>
      </c>
      <c r="J330" s="42"/>
      <c r="K330" s="14"/>
      <c r="L330" s="34">
        <f>+SUM(START:END!L330)</f>
        <v>7684.45</v>
      </c>
      <c r="M330" s="42"/>
      <c r="N330" s="60">
        <f t="shared" si="126"/>
        <v>-3492.0124999999998</v>
      </c>
      <c r="O330" s="42"/>
      <c r="P330" s="14"/>
      <c r="Q330" s="34">
        <f>+SUM(START:END!Q330)</f>
        <v>9020.8499999999985</v>
      </c>
      <c r="R330" s="42"/>
      <c r="S330" s="86">
        <f t="shared" si="125"/>
        <v>-1336.3999999999987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96"/>
        <v>PiècesService gratuit 2</v>
      </c>
      <c r="B331" s="12" t="s">
        <v>104</v>
      </c>
      <c r="C331" s="105" t="s">
        <v>52</v>
      </c>
      <c r="D331" s="82"/>
      <c r="E331" s="14"/>
      <c r="F331" s="31">
        <f>+SUM(START:END!F331)</f>
        <v>1850.4255620056106</v>
      </c>
      <c r="G331" s="84"/>
      <c r="H331" s="14"/>
      <c r="I331" s="31">
        <f>+SUM(START:END!I331)</f>
        <v>1850.4255620056106</v>
      </c>
      <c r="J331" s="42"/>
      <c r="K331" s="14"/>
      <c r="L331" s="34">
        <f>+SUM(START:END!L331)</f>
        <v>6115.2999999999993</v>
      </c>
      <c r="M331" s="42"/>
      <c r="N331" s="60">
        <f t="shared" si="126"/>
        <v>4264.8744379943892</v>
      </c>
      <c r="O331" s="42"/>
      <c r="P331" s="14"/>
      <c r="Q331" s="34">
        <f>+SUM(START:END!Q331)</f>
        <v>2696.27</v>
      </c>
      <c r="R331" s="42"/>
      <c r="S331" s="86">
        <f t="shared" si="125"/>
        <v>3419.0299999999993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96"/>
        <v>PiècesFrais véhicules de cie</v>
      </c>
      <c r="B332" s="12" t="s">
        <v>104</v>
      </c>
      <c r="C332" s="106" t="s">
        <v>53</v>
      </c>
      <c r="D332" s="89"/>
      <c r="E332" s="114"/>
      <c r="F332" s="23">
        <f>+SUM(START:END!F332)</f>
        <v>1300.5</v>
      </c>
      <c r="G332" s="91"/>
      <c r="H332" s="114"/>
      <c r="I332" s="23">
        <f>+SUM(START:END!I332)</f>
        <v>1300.5</v>
      </c>
      <c r="J332" s="24"/>
      <c r="K332" s="114"/>
      <c r="L332" s="34">
        <f>+SUM(START:END!L332)</f>
        <v>827.25</v>
      </c>
      <c r="M332" s="24"/>
      <c r="N332" s="94">
        <f t="shared" si="126"/>
        <v>-473.25</v>
      </c>
      <c r="O332" s="24"/>
      <c r="P332" s="114"/>
      <c r="Q332" s="34">
        <f>+SUM(START:END!Q332)</f>
        <v>930.37</v>
      </c>
      <c r="R332" s="24"/>
      <c r="S332" s="95">
        <f t="shared" si="125"/>
        <v>-103.12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96"/>
        <v>PiècesInformatique</v>
      </c>
      <c r="B333" s="12" t="s">
        <v>104</v>
      </c>
      <c r="C333" s="105" t="s">
        <v>54</v>
      </c>
      <c r="D333" s="82"/>
      <c r="E333" s="14"/>
      <c r="F333" s="31">
        <f>+SUM(START:END!F333)</f>
        <v>10468.4556875</v>
      </c>
      <c r="G333" s="84"/>
      <c r="H333" s="14"/>
      <c r="I333" s="31">
        <f>+SUM(START:END!I333)</f>
        <v>10468.4556875</v>
      </c>
      <c r="J333" s="42"/>
      <c r="K333" s="14"/>
      <c r="L333" s="111">
        <f>+SUM(START:END!L333)</f>
        <v>11729.69</v>
      </c>
      <c r="M333" s="42"/>
      <c r="N333" s="60">
        <f t="shared" si="126"/>
        <v>1261.2343125000007</v>
      </c>
      <c r="O333" s="42"/>
      <c r="P333" s="14"/>
      <c r="Q333" s="111">
        <f>+SUM(START:END!Q333)</f>
        <v>11396.529999999999</v>
      </c>
      <c r="R333" s="42"/>
      <c r="S333" s="86">
        <f t="shared" si="125"/>
        <v>333.16000000000167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96"/>
        <v>PiècesFrais de déplacement</v>
      </c>
      <c r="B334" s="12" t="s">
        <v>104</v>
      </c>
      <c r="C334" s="105" t="s">
        <v>55</v>
      </c>
      <c r="D334" s="82"/>
      <c r="E334" s="14"/>
      <c r="F334" s="31">
        <f>+SUM(START:END!F334)</f>
        <v>1856.5823437500003</v>
      </c>
      <c r="G334" s="84"/>
      <c r="H334" s="14"/>
      <c r="I334" s="31">
        <f>+SUM(START:END!I334)</f>
        <v>1856.5823437500003</v>
      </c>
      <c r="J334" s="42"/>
      <c r="K334" s="14"/>
      <c r="L334" s="34">
        <f>+SUM(START:END!L334)</f>
        <v>1902.48</v>
      </c>
      <c r="M334" s="42"/>
      <c r="N334" s="60">
        <f t="shared" si="126"/>
        <v>45.897656249999727</v>
      </c>
      <c r="O334" s="42"/>
      <c r="P334" s="14"/>
      <c r="Q334" s="34">
        <f>+SUM(START:END!Q334)</f>
        <v>1280.92</v>
      </c>
      <c r="R334" s="42"/>
      <c r="S334" s="86">
        <f t="shared" si="125"/>
        <v>621.55999999999995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96"/>
        <v>PiècesServices extérieurs</v>
      </c>
      <c r="B335" s="12" t="s">
        <v>104</v>
      </c>
      <c r="C335" s="234" t="s">
        <v>56</v>
      </c>
      <c r="D335" s="89"/>
      <c r="E335" s="114"/>
      <c r="F335" s="23">
        <f>+SUM(START:END!F335)</f>
        <v>23259.187266666664</v>
      </c>
      <c r="G335" s="91"/>
      <c r="H335" s="114"/>
      <c r="I335" s="23">
        <f>+SUM(START:END!I335)</f>
        <v>23259.187266666664</v>
      </c>
      <c r="J335" s="24"/>
      <c r="K335" s="114"/>
      <c r="L335" s="49">
        <f>+SUM(START:END!L335)</f>
        <v>28673.589999999997</v>
      </c>
      <c r="M335" s="24"/>
      <c r="N335" s="94">
        <f t="shared" si="126"/>
        <v>5414.4027333333324</v>
      </c>
      <c r="O335" s="24"/>
      <c r="P335" s="114"/>
      <c r="Q335" s="49">
        <f>+SUM(START:END!Q335)</f>
        <v>16603.900000000001</v>
      </c>
      <c r="R335" s="24"/>
      <c r="S335" s="95">
        <f t="shared" si="125"/>
        <v>12069.689999999995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96"/>
        <v>PiècesFournitures d'atelier</v>
      </c>
      <c r="B336" s="12" t="s">
        <v>104</v>
      </c>
      <c r="C336" s="105" t="s">
        <v>99</v>
      </c>
      <c r="D336" s="82"/>
      <c r="E336" s="14"/>
      <c r="F336" s="31">
        <f>+SUM(START:END!F336)</f>
        <v>0</v>
      </c>
      <c r="G336" s="84"/>
      <c r="H336" s="14"/>
      <c r="I336" s="31">
        <f>+SUM(START:END!I336)</f>
        <v>0</v>
      </c>
      <c r="J336" s="42"/>
      <c r="K336" s="14"/>
      <c r="L336" s="34">
        <f>+SUM(START:END!L336)</f>
        <v>0</v>
      </c>
      <c r="M336" s="42"/>
      <c r="N336" s="60">
        <f t="shared" si="126"/>
        <v>0</v>
      </c>
      <c r="O336" s="42"/>
      <c r="P336" s="14"/>
      <c r="Q336" s="34">
        <f>+SUM(START:END!Q336)</f>
        <v>0</v>
      </c>
      <c r="R336" s="42"/>
      <c r="S336" s="86">
        <f t="shared" si="125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96"/>
        <v>PiècesFournitures autres</v>
      </c>
      <c r="B337" s="12" t="s">
        <v>104</v>
      </c>
      <c r="C337" s="105" t="s">
        <v>57</v>
      </c>
      <c r="D337" s="82"/>
      <c r="E337" s="14"/>
      <c r="F337" s="31">
        <f>+SUM(START:END!F337)</f>
        <v>275.46880160637579</v>
      </c>
      <c r="G337" s="84"/>
      <c r="H337" s="14"/>
      <c r="I337" s="31">
        <f>+SUM(START:END!I337)</f>
        <v>275.46880160637579</v>
      </c>
      <c r="J337" s="42"/>
      <c r="K337" s="14"/>
      <c r="L337" s="34">
        <f>+SUM(START:END!L337)</f>
        <v>121.06</v>
      </c>
      <c r="M337" s="42"/>
      <c r="N337" s="60">
        <f t="shared" si="126"/>
        <v>-154.40880160637579</v>
      </c>
      <c r="O337" s="42"/>
      <c r="P337" s="14"/>
      <c r="Q337" s="34">
        <f>+SUM(START:END!Q337)</f>
        <v>291.37</v>
      </c>
      <c r="R337" s="42"/>
      <c r="S337" s="86">
        <f t="shared" si="125"/>
        <v>-170.31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96"/>
        <v>PiècesUniformes</v>
      </c>
      <c r="B338" s="12" t="s">
        <v>104</v>
      </c>
      <c r="C338" s="105" t="s">
        <v>58</v>
      </c>
      <c r="D338" s="82"/>
      <c r="E338" s="14"/>
      <c r="F338" s="31">
        <f>+SUM(START:END!F338)</f>
        <v>146.37687970985664</v>
      </c>
      <c r="G338" s="84"/>
      <c r="H338" s="14"/>
      <c r="I338" s="31">
        <f>+SUM(START:END!I338)</f>
        <v>146.37687970985664</v>
      </c>
      <c r="J338" s="42"/>
      <c r="K338" s="14"/>
      <c r="L338" s="34">
        <f>+SUM(START:END!L338)</f>
        <v>0</v>
      </c>
      <c r="M338" s="42"/>
      <c r="N338" s="60">
        <f t="shared" si="126"/>
        <v>-146.37687970985664</v>
      </c>
      <c r="O338" s="42"/>
      <c r="P338" s="14"/>
      <c r="Q338" s="34">
        <f>+SUM(START:END!Q338)</f>
        <v>0</v>
      </c>
      <c r="R338" s="42"/>
      <c r="S338" s="86">
        <f t="shared" si="125"/>
        <v>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96"/>
        <v>PiècesPapeterie</v>
      </c>
      <c r="B339" s="12" t="s">
        <v>104</v>
      </c>
      <c r="C339" s="105" t="s">
        <v>59</v>
      </c>
      <c r="D339" s="82"/>
      <c r="E339" s="14"/>
      <c r="F339" s="31">
        <f>+SUM(START:END!F339)</f>
        <v>1530.15075</v>
      </c>
      <c r="G339" s="84"/>
      <c r="H339" s="14"/>
      <c r="I339" s="31">
        <f>+SUM(START:END!I339)</f>
        <v>1530.15075</v>
      </c>
      <c r="J339" s="42"/>
      <c r="K339" s="14"/>
      <c r="L339" s="33">
        <f>+SUM(START:END!L339)</f>
        <v>2017.67</v>
      </c>
      <c r="M339" s="42"/>
      <c r="N339" s="60">
        <f t="shared" si="126"/>
        <v>487.51925000000006</v>
      </c>
      <c r="O339" s="42"/>
      <c r="P339" s="14"/>
      <c r="Q339" s="33">
        <f>+SUM(START:END!Q339)</f>
        <v>1154.8499999999999</v>
      </c>
      <c r="R339" s="42"/>
      <c r="S339" s="86">
        <f t="shared" si="125"/>
        <v>862.82000000000016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96"/>
        <v>PiècesTéléphone</v>
      </c>
      <c r="B340" s="12" t="s">
        <v>104</v>
      </c>
      <c r="C340" s="105" t="s">
        <v>60</v>
      </c>
      <c r="D340" s="82"/>
      <c r="E340" s="14"/>
      <c r="F340" s="31">
        <f>+SUM(START:END!F340)</f>
        <v>706.55748437500006</v>
      </c>
      <c r="G340" s="84"/>
      <c r="H340" s="14"/>
      <c r="I340" s="31">
        <f>+SUM(START:END!I340)</f>
        <v>706.55748437500006</v>
      </c>
      <c r="J340" s="42"/>
      <c r="K340" s="14"/>
      <c r="L340" s="34">
        <f>+SUM(START:END!L340)</f>
        <v>273.98</v>
      </c>
      <c r="M340" s="42"/>
      <c r="N340" s="60">
        <f t="shared" si="126"/>
        <v>-432.57748437500004</v>
      </c>
      <c r="O340" s="42"/>
      <c r="P340" s="14"/>
      <c r="Q340" s="34">
        <f>+SUM(START:END!Q340)</f>
        <v>461</v>
      </c>
      <c r="R340" s="42"/>
      <c r="S340" s="86">
        <f t="shared" si="125"/>
        <v>-187.01999999999998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96"/>
        <v>PiècesFrais postaux</v>
      </c>
      <c r="B341" s="12" t="s">
        <v>104</v>
      </c>
      <c r="C341" s="105" t="s">
        <v>61</v>
      </c>
      <c r="D341" s="82"/>
      <c r="E341" s="14"/>
      <c r="F341" s="31">
        <f>+SUM(START:END!F341)</f>
        <v>377.14939062499991</v>
      </c>
      <c r="G341" s="84"/>
      <c r="H341" s="14"/>
      <c r="I341" s="31">
        <f>+SUM(START:END!I341)</f>
        <v>377.14939062499991</v>
      </c>
      <c r="J341" s="42"/>
      <c r="K341" s="14"/>
      <c r="L341" s="34">
        <f>+SUM(START:END!L341)</f>
        <v>94.94</v>
      </c>
      <c r="M341" s="42"/>
      <c r="N341" s="60">
        <f t="shared" si="126"/>
        <v>-282.20939062499991</v>
      </c>
      <c r="O341" s="42"/>
      <c r="P341" s="14"/>
      <c r="Q341" s="34">
        <f>+SUM(START:END!Q341)</f>
        <v>87.800000000000011</v>
      </c>
      <c r="R341" s="42"/>
      <c r="S341" s="86">
        <f t="shared" si="125"/>
        <v>7.1399999999999864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96"/>
        <v>PiècesDivers</v>
      </c>
      <c r="B342" s="12" t="s">
        <v>104</v>
      </c>
      <c r="C342" s="105" t="s">
        <v>62</v>
      </c>
      <c r="D342" s="82"/>
      <c r="E342" s="14"/>
      <c r="F342" s="31">
        <f>+SUM(START:END!F342)</f>
        <v>1819.2974843749994</v>
      </c>
      <c r="G342" s="84"/>
      <c r="H342" s="14"/>
      <c r="I342" s="31">
        <f>+SUM(START:END!I342)</f>
        <v>1819.2974843749994</v>
      </c>
      <c r="J342" s="42"/>
      <c r="K342" s="14"/>
      <c r="L342" s="34">
        <f>+SUM(START:END!L342)</f>
        <v>276.95000000000005</v>
      </c>
      <c r="M342" s="42"/>
      <c r="N342" s="60">
        <f t="shared" si="126"/>
        <v>-1542.3474843749993</v>
      </c>
      <c r="O342" s="42"/>
      <c r="P342" s="14"/>
      <c r="Q342" s="34">
        <f>+SUM(START:END!Q342)</f>
        <v>1540.37</v>
      </c>
      <c r="R342" s="42"/>
      <c r="S342" s="86">
        <f t="shared" si="125"/>
        <v>-1263.4199999999998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96"/>
        <v>PiècesFormation</v>
      </c>
      <c r="B343" s="12" t="s">
        <v>104</v>
      </c>
      <c r="C343" s="105" t="s">
        <v>63</v>
      </c>
      <c r="D343" s="82"/>
      <c r="E343" s="14"/>
      <c r="F343" s="31">
        <f>+SUM(START:END!F343)</f>
        <v>2702.944375</v>
      </c>
      <c r="G343" s="84"/>
      <c r="H343" s="14"/>
      <c r="I343" s="31">
        <f>+SUM(START:END!I343)</f>
        <v>2702.944375</v>
      </c>
      <c r="J343" s="42"/>
      <c r="K343" s="14"/>
      <c r="L343" s="34">
        <f>+SUM(START:END!L343)</f>
        <v>655.55</v>
      </c>
      <c r="M343" s="42"/>
      <c r="N343" s="60">
        <f t="shared" si="126"/>
        <v>-2047.3943750000001</v>
      </c>
      <c r="O343" s="42"/>
      <c r="P343" s="14"/>
      <c r="Q343" s="34">
        <f>+SUM(START:END!Q343)</f>
        <v>66.42</v>
      </c>
      <c r="R343" s="42"/>
      <c r="S343" s="86">
        <f t="shared" si="125"/>
        <v>589.13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96"/>
        <v>PiècesFrais bancaires</v>
      </c>
      <c r="B344" s="12" t="s">
        <v>104</v>
      </c>
      <c r="C344" s="105" t="s">
        <v>64</v>
      </c>
      <c r="D344" s="82"/>
      <c r="E344" s="14"/>
      <c r="F344" s="31">
        <f>+SUM(START:END!F344)</f>
        <v>4255.6650622886973</v>
      </c>
      <c r="G344" s="84"/>
      <c r="H344" s="14"/>
      <c r="I344" s="31">
        <f>+SUM(START:END!I344)</f>
        <v>4255.6650622886973</v>
      </c>
      <c r="J344" s="42"/>
      <c r="K344" s="14"/>
      <c r="L344" s="33">
        <f>+SUM(START:END!L344)</f>
        <v>4985.1900000000005</v>
      </c>
      <c r="M344" s="42"/>
      <c r="N344" s="60">
        <f t="shared" si="126"/>
        <v>729.52493771130321</v>
      </c>
      <c r="O344" s="42"/>
      <c r="P344" s="14"/>
      <c r="Q344" s="34">
        <f>+SUM(START:END!Q344)</f>
        <v>3960.1880000000001</v>
      </c>
      <c r="R344" s="42"/>
      <c r="S344" s="86">
        <f t="shared" si="125"/>
        <v>1025.0020000000004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96"/>
        <v>Pièces[...]</v>
      </c>
      <c r="B345" s="12" t="s">
        <v>104</v>
      </c>
      <c r="C345" s="105" t="s">
        <v>21</v>
      </c>
      <c r="D345" s="82"/>
      <c r="E345" s="14"/>
      <c r="F345" s="31">
        <f>+SUM(START:END!F345)</f>
        <v>0</v>
      </c>
      <c r="G345" s="84"/>
      <c r="H345" s="14"/>
      <c r="I345" s="31">
        <f>+SUM(START:END!I345)</f>
        <v>0</v>
      </c>
      <c r="J345" s="42"/>
      <c r="K345" s="14"/>
      <c r="L345" s="34">
        <f>+SUM(START:END!L345)</f>
        <v>0</v>
      </c>
      <c r="M345" s="42"/>
      <c r="N345" s="60">
        <f t="shared" si="126"/>
        <v>0</v>
      </c>
      <c r="O345" s="42"/>
      <c r="P345" s="14"/>
      <c r="Q345" s="34">
        <f>+SUM(START:END!Q345)</f>
        <v>0</v>
      </c>
      <c r="R345" s="42"/>
      <c r="S345" s="86">
        <f t="shared" si="125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96"/>
        <v>Pièces[...]</v>
      </c>
      <c r="B346" s="12" t="s">
        <v>104</v>
      </c>
      <c r="C346" s="105" t="s">
        <v>21</v>
      </c>
      <c r="D346" s="82"/>
      <c r="E346" s="14"/>
      <c r="F346" s="31">
        <f>+SUM(START:END!F346)</f>
        <v>0</v>
      </c>
      <c r="G346" s="84"/>
      <c r="H346" s="14"/>
      <c r="I346" s="31">
        <f>+SUM(START:END!I346)</f>
        <v>0</v>
      </c>
      <c r="J346" s="42"/>
      <c r="K346" s="14"/>
      <c r="L346" s="34">
        <f>+SUM(START:END!L346)</f>
        <v>0</v>
      </c>
      <c r="M346" s="42"/>
      <c r="N346" s="60">
        <f t="shared" si="126"/>
        <v>0</v>
      </c>
      <c r="O346" s="42"/>
      <c r="P346" s="14"/>
      <c r="Q346" s="34">
        <f>+SUM(START:END!Q346)</f>
        <v>0</v>
      </c>
      <c r="R346" s="42"/>
      <c r="S346" s="86">
        <f t="shared" si="125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96"/>
        <v>Pièces[...]</v>
      </c>
      <c r="B347" s="12" t="s">
        <v>104</v>
      </c>
      <c r="C347" s="105" t="s">
        <v>21</v>
      </c>
      <c r="D347" s="82"/>
      <c r="E347" s="14"/>
      <c r="F347" s="31">
        <f>+SUM(START:END!F347)</f>
        <v>0</v>
      </c>
      <c r="G347" s="84"/>
      <c r="H347" s="14"/>
      <c r="I347" s="31">
        <f>+SUM(START:END!I347)</f>
        <v>0</v>
      </c>
      <c r="J347" s="42"/>
      <c r="K347" s="14"/>
      <c r="L347" s="34">
        <f>+SUM(START:END!L347)</f>
        <v>0</v>
      </c>
      <c r="M347" s="42"/>
      <c r="N347" s="60">
        <f t="shared" si="126"/>
        <v>0</v>
      </c>
      <c r="O347" s="42"/>
      <c r="P347" s="14"/>
      <c r="Q347" s="34">
        <f>+SUM(START:END!Q347)</f>
        <v>0</v>
      </c>
      <c r="R347" s="42"/>
      <c r="S347" s="86">
        <f t="shared" si="125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6" t="s">
        <v>65</v>
      </c>
      <c r="D348" s="97" t="s">
        <v>40</v>
      </c>
      <c r="E348" s="98">
        <f>F348/F$313</f>
        <v>0.18874102595286441</v>
      </c>
      <c r="F348" s="99">
        <f>+SUM(F330:F347)</f>
        <v>61725.223587902205</v>
      </c>
      <c r="G348" s="100" t="s">
        <v>40</v>
      </c>
      <c r="H348" s="98">
        <f>I348/I$313</f>
        <v>0.18874102595286441</v>
      </c>
      <c r="I348" s="99">
        <f>+SUM(I330:I347)</f>
        <v>61725.223587902205</v>
      </c>
      <c r="J348" s="100" t="s">
        <v>40</v>
      </c>
      <c r="K348" s="98">
        <f>L348/L$313</f>
        <v>0.17821973217562037</v>
      </c>
      <c r="L348" s="99">
        <f>+SUM(L330:L347)</f>
        <v>65358.1</v>
      </c>
      <c r="M348" s="103"/>
      <c r="N348" s="99">
        <f>+SUM(N330:N347)</f>
        <v>3632.8764120977949</v>
      </c>
      <c r="O348" s="100" t="s">
        <v>40</v>
      </c>
      <c r="P348" s="98">
        <f>Q348/Q$313</f>
        <v>0.17182456720575526</v>
      </c>
      <c r="Q348" s="99">
        <f>+SUM(Q330:Q347)</f>
        <v>49490.838000000003</v>
      </c>
      <c r="R348" s="103"/>
      <c r="S348" s="104">
        <f>+SUM(S330:S347)</f>
        <v>15867.261999999997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4"/>
      <c r="F349" s="60"/>
      <c r="G349" s="91"/>
      <c r="H349" s="114"/>
      <c r="I349" s="60"/>
      <c r="J349" s="24"/>
      <c r="K349" s="114"/>
      <c r="L349" s="94"/>
      <c r="M349" s="24"/>
      <c r="N349" s="94"/>
      <c r="O349" s="24"/>
      <c r="P349" s="114"/>
      <c r="Q349" s="94"/>
      <c r="R349" s="24"/>
      <c r="S349" s="95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6" t="s">
        <v>66</v>
      </c>
      <c r="D350" s="97" t="s">
        <v>40</v>
      </c>
      <c r="E350" s="98">
        <f>F350/F$313</f>
        <v>0.58267524781857394</v>
      </c>
      <c r="F350" s="99">
        <f>F329+F348</f>
        <v>190556.13250571064</v>
      </c>
      <c r="G350" s="100" t="s">
        <v>40</v>
      </c>
      <c r="H350" s="98">
        <f>I350/I$313</f>
        <v>0.58267524781857394</v>
      </c>
      <c r="I350" s="99">
        <f>I329+I348</f>
        <v>190556.13250571064</v>
      </c>
      <c r="J350" s="100" t="s">
        <v>40</v>
      </c>
      <c r="K350" s="98">
        <f>L350/L$313</f>
        <v>0.5976101664333282</v>
      </c>
      <c r="L350" s="99">
        <f>L329+L348</f>
        <v>219160.16</v>
      </c>
      <c r="M350" s="103"/>
      <c r="N350" s="116">
        <f t="shared" ref="N350:N352" si="127">L350-I350</f>
        <v>28604.027494289359</v>
      </c>
      <c r="O350" s="100" t="s">
        <v>40</v>
      </c>
      <c r="P350" s="98">
        <f>Q350/Q$313</f>
        <v>0.54191453072047302</v>
      </c>
      <c r="Q350" s="99">
        <f>Q329+Q348</f>
        <v>156088.29800000001</v>
      </c>
      <c r="R350" s="103"/>
      <c r="S350" s="117">
        <f>L350-Q350</f>
        <v>63071.861999999994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27"/>
        <v>0</v>
      </c>
      <c r="O351" s="42"/>
      <c r="P351" s="14"/>
      <c r="Q351" s="60"/>
      <c r="R351" s="42"/>
      <c r="S351" s="86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27" t="s">
        <v>73</v>
      </c>
      <c r="D352" s="156"/>
      <c r="E352" s="128"/>
      <c r="F352" s="130">
        <f>F313-F350</f>
        <v>136480.46844673553</v>
      </c>
      <c r="G352" s="157"/>
      <c r="H352" s="128"/>
      <c r="I352" s="130">
        <f>I313-I350</f>
        <v>136480.46844673553</v>
      </c>
      <c r="J352" s="158"/>
      <c r="K352" s="129"/>
      <c r="L352" s="130">
        <f>L313-L350</f>
        <v>147567.47</v>
      </c>
      <c r="M352" s="158"/>
      <c r="N352" s="130">
        <f t="shared" si="127"/>
        <v>11087.001553264476</v>
      </c>
      <c r="O352" s="158"/>
      <c r="P352" s="129"/>
      <c r="Q352" s="130">
        <f>Q313-Q350</f>
        <v>131942.91199999995</v>
      </c>
      <c r="R352" s="158"/>
      <c r="S352" s="132">
        <f>L352-Q352</f>
        <v>15624.558000000048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5"/>
      <c r="G353" s="82"/>
      <c r="H353" s="14"/>
      <c r="I353" s="115"/>
      <c r="J353" s="77"/>
      <c r="K353" s="77"/>
      <c r="L353" s="115"/>
      <c r="M353" s="77"/>
      <c r="N353" s="115"/>
      <c r="O353" s="77"/>
      <c r="P353" s="77"/>
      <c r="Q353" s="115"/>
      <c r="R353" s="77"/>
      <c r="S353" s="115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5"/>
      <c r="G354" s="82"/>
      <c r="H354" s="14"/>
      <c r="I354" s="115">
        <f>+I193</f>
        <v>481041.2438553024</v>
      </c>
      <c r="J354" s="77"/>
      <c r="K354" s="77"/>
      <c r="L354" s="115">
        <f>+L193</f>
        <v>497449.12</v>
      </c>
      <c r="M354" s="77"/>
      <c r="N354" s="115">
        <f>+L354-I354</f>
        <v>16407.876144697599</v>
      </c>
      <c r="O354" s="77"/>
      <c r="P354" s="77"/>
      <c r="Q354" s="115"/>
      <c r="R354" s="77"/>
      <c r="S354" s="115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  Volks T3 2022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64" t="s">
        <v>5</v>
      </c>
      <c r="E357" s="565"/>
      <c r="F357" s="566"/>
      <c r="G357" s="562" t="s">
        <v>75</v>
      </c>
      <c r="H357" s="565"/>
      <c r="I357" s="566"/>
      <c r="J357" s="562" t="s">
        <v>7</v>
      </c>
      <c r="K357" s="565"/>
      <c r="L357" s="566"/>
      <c r="M357" s="562" t="s">
        <v>8</v>
      </c>
      <c r="N357" s="566"/>
      <c r="O357" s="564" t="s">
        <v>9</v>
      </c>
      <c r="P357" s="565"/>
      <c r="Q357" s="566"/>
      <c r="R357" s="562" t="s">
        <v>10</v>
      </c>
      <c r="S357" s="563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28">+B358&amp;C358</f>
        <v>Boutique</v>
      </c>
      <c r="B358" s="12" t="s">
        <v>120</v>
      </c>
      <c r="C358" s="30"/>
      <c r="D358" s="235" t="s">
        <v>85</v>
      </c>
      <c r="E358" s="235" t="s">
        <v>105</v>
      </c>
      <c r="F358" s="236" t="s">
        <v>13</v>
      </c>
      <c r="G358" s="237" t="s">
        <v>85</v>
      </c>
      <c r="H358" s="235" t="s">
        <v>105</v>
      </c>
      <c r="I358" s="236" t="s">
        <v>13</v>
      </c>
      <c r="J358" s="138" t="s">
        <v>85</v>
      </c>
      <c r="K358" s="81" t="s">
        <v>105</v>
      </c>
      <c r="L358" s="137" t="s">
        <v>13</v>
      </c>
      <c r="M358" s="138" t="s">
        <v>41</v>
      </c>
      <c r="N358" s="137" t="s">
        <v>13</v>
      </c>
      <c r="O358" s="138" t="s">
        <v>85</v>
      </c>
      <c r="P358" s="81" t="s">
        <v>105</v>
      </c>
      <c r="Q358" s="137" t="s">
        <v>13</v>
      </c>
      <c r="R358" s="138" t="s">
        <v>86</v>
      </c>
      <c r="S358" s="139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28"/>
        <v>BoutiqueBoutique</v>
      </c>
      <c r="B359" s="12" t="s">
        <v>120</v>
      </c>
      <c r="C359" s="63" t="s">
        <v>120</v>
      </c>
      <c r="D359" s="238">
        <f>+SUM(START:END!D359)</f>
        <v>0</v>
      </c>
      <c r="E359" s="239">
        <f>IFERROR(F359/D359,0)</f>
        <v>0</v>
      </c>
      <c r="F359" s="240">
        <f>+SUM(START:END!F359)</f>
        <v>0</v>
      </c>
      <c r="G359" s="238">
        <f>+SUM(START:END!G359)</f>
        <v>0</v>
      </c>
      <c r="H359" s="239">
        <f>IFERROR(I359/G359,0)</f>
        <v>0</v>
      </c>
      <c r="I359" s="238">
        <f>+SUM(START:END!I359)</f>
        <v>0</v>
      </c>
      <c r="J359" s="241">
        <f>+SUM(START:END!J359)</f>
        <v>0</v>
      </c>
      <c r="K359" s="222">
        <f>IFERROR(L359/J359,0)</f>
        <v>0</v>
      </c>
      <c r="L359" s="242">
        <f>+SUM(START:END!L359)</f>
        <v>0</v>
      </c>
      <c r="M359" s="223">
        <f>IF(G359=0,0,(+J359-G359)/G359)</f>
        <v>0</v>
      </c>
      <c r="N359" s="224">
        <f>L359-I359</f>
        <v>0</v>
      </c>
      <c r="O359" s="241">
        <f>+SUM(START:END!O359)</f>
        <v>0</v>
      </c>
      <c r="P359" s="222">
        <f>IFERROR(Q359/O359,0)</f>
        <v>0</v>
      </c>
      <c r="Q359" s="242">
        <f>+SUM(START:END!Q359)</f>
        <v>0</v>
      </c>
      <c r="R359" s="223">
        <f>IF(O359=0,0,(J359-O359)/O359)</f>
        <v>0</v>
      </c>
      <c r="S359" s="225">
        <f>L359-Q359</f>
        <v>0</v>
      </c>
      <c r="T359" s="11"/>
      <c r="U359" s="11"/>
      <c r="X359" s="243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28"/>
        <v>Boutique</v>
      </c>
      <c r="B360" s="12" t="s">
        <v>120</v>
      </c>
      <c r="C360" s="226"/>
      <c r="D360" s="227"/>
      <c r="E360" s="228"/>
      <c r="F360" s="229"/>
      <c r="G360" s="230"/>
      <c r="H360" s="228"/>
      <c r="I360" s="229"/>
      <c r="J360" s="230"/>
      <c r="K360" s="228"/>
      <c r="L360" s="229"/>
      <c r="M360" s="231"/>
      <c r="N360" s="75"/>
      <c r="O360" s="230"/>
      <c r="P360" s="228"/>
      <c r="Q360" s="229"/>
      <c r="R360" s="231"/>
      <c r="S360" s="76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28"/>
        <v>BoutiqueTotal Dépt. Boutique</v>
      </c>
      <c r="B361" s="12" t="s">
        <v>120</v>
      </c>
      <c r="C361" s="54" t="s">
        <v>121</v>
      </c>
      <c r="D361" s="244">
        <f>+D359</f>
        <v>0</v>
      </c>
      <c r="E361" s="177">
        <f>IF(D361&lt;=0,0,F361/D361)</f>
        <v>0</v>
      </c>
      <c r="F361" s="179">
        <f t="shared" ref="F361" si="129">+F359</f>
        <v>0</v>
      </c>
      <c r="G361" s="178">
        <f>+G359</f>
        <v>0</v>
      </c>
      <c r="H361" s="177">
        <f>IF(G361&lt;=0,0,I361/G361)</f>
        <v>0</v>
      </c>
      <c r="I361" s="179">
        <f t="shared" ref="I361" si="130">+I359</f>
        <v>0</v>
      </c>
      <c r="J361" s="178">
        <f>+J359</f>
        <v>0</v>
      </c>
      <c r="K361" s="177">
        <f>IF(J361&lt;=0,0,L361/J361)</f>
        <v>0</v>
      </c>
      <c r="L361" s="179">
        <f t="shared" ref="L361" si="131">+L359</f>
        <v>0</v>
      </c>
      <c r="M361" s="245">
        <f>IF(G361=0,0,(+J361-G361)/G361)</f>
        <v>0</v>
      </c>
      <c r="N361" s="246">
        <f>L361-I361</f>
        <v>0</v>
      </c>
      <c r="O361" s="178">
        <f>+O359</f>
        <v>0</v>
      </c>
      <c r="P361" s="177">
        <f>IF(O361&lt;=0,0,Q361/O361)</f>
        <v>0</v>
      </c>
      <c r="Q361" s="179">
        <f t="shared" ref="Q361" si="132"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28"/>
        <v>Boutique</v>
      </c>
      <c r="B362" s="12" t="s">
        <v>120</v>
      </c>
      <c r="C362" s="80"/>
      <c r="D362" s="14"/>
      <c r="E362" s="14"/>
      <c r="F362" s="60"/>
      <c r="G362" s="42"/>
      <c r="H362" s="247"/>
      <c r="I362" s="60"/>
      <c r="J362" s="42"/>
      <c r="K362" s="14"/>
      <c r="L362" s="41"/>
      <c r="M362" s="42"/>
      <c r="N362" s="248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28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28"/>
        <v>BoutiqueSalaires cadres</v>
      </c>
      <c r="B364" s="12" t="s">
        <v>120</v>
      </c>
      <c r="C364" s="105" t="s">
        <v>42</v>
      </c>
      <c r="D364" s="14"/>
      <c r="E364" s="14"/>
      <c r="F364" s="31">
        <f>+SUM(START:END!F364)</f>
        <v>0</v>
      </c>
      <c r="G364" s="42"/>
      <c r="H364" s="14"/>
      <c r="I364" s="31">
        <f>+SUM(START:END!I364)</f>
        <v>0</v>
      </c>
      <c r="J364" s="42"/>
      <c r="K364" s="14"/>
      <c r="L364" s="34">
        <f>+SUM(START:END!L364)</f>
        <v>0</v>
      </c>
      <c r="M364" s="42"/>
      <c r="N364" s="41"/>
      <c r="O364" s="42"/>
      <c r="P364" s="14"/>
      <c r="Q364" s="34">
        <f>+SUM(START:END!Q364)</f>
        <v>0</v>
      </c>
      <c r="R364" s="42"/>
      <c r="S364" s="35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28"/>
        <v>BoutiqueSalaires commis</v>
      </c>
      <c r="B365" s="12" t="s">
        <v>120</v>
      </c>
      <c r="C365" s="106" t="s">
        <v>43</v>
      </c>
      <c r="D365" s="82"/>
      <c r="E365" s="14"/>
      <c r="F365" s="23">
        <f>+SUM(START:END!F365)</f>
        <v>0</v>
      </c>
      <c r="G365" s="84"/>
      <c r="H365" s="14"/>
      <c r="I365" s="23">
        <f>+SUM(START:END!I365)</f>
        <v>0</v>
      </c>
      <c r="J365" s="42"/>
      <c r="K365" s="14"/>
      <c r="L365" s="23">
        <f>+SUM(START:END!L365)</f>
        <v>0</v>
      </c>
      <c r="M365" s="42"/>
      <c r="N365" s="60">
        <f t="shared" ref="N365:N393" si="133">L365-I365</f>
        <v>0</v>
      </c>
      <c r="O365" s="42"/>
      <c r="P365" s="14"/>
      <c r="Q365" s="23">
        <f>+SUM(START:END!Q365)</f>
        <v>0</v>
      </c>
      <c r="R365" s="42"/>
      <c r="S365" s="86">
        <f t="shared" ref="S365:S393" si="134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28"/>
        <v>BoutiqueSalaires autres</v>
      </c>
      <c r="B366" s="12" t="s">
        <v>120</v>
      </c>
      <c r="C366" s="105" t="s">
        <v>44</v>
      </c>
      <c r="D366" s="107"/>
      <c r="E366" s="108"/>
      <c r="F366" s="31">
        <f>+SUM(START:END!F366)</f>
        <v>0</v>
      </c>
      <c r="G366" s="109"/>
      <c r="H366" s="108"/>
      <c r="I366" s="31">
        <f>+SUM(START:END!I366)</f>
        <v>0</v>
      </c>
      <c r="J366" s="110"/>
      <c r="K366" s="108"/>
      <c r="L366" s="34">
        <f>+SUM(START:END!L366)</f>
        <v>0</v>
      </c>
      <c r="M366" s="110"/>
      <c r="N366" s="112">
        <f t="shared" si="133"/>
        <v>0</v>
      </c>
      <c r="O366" s="110"/>
      <c r="P366" s="108"/>
      <c r="Q366" s="34">
        <f>+SUM(START:END!Q366)</f>
        <v>0</v>
      </c>
      <c r="R366" s="110"/>
      <c r="S366" s="113">
        <f t="shared" si="134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28"/>
        <v>BoutiqueSalaires spécialistes</v>
      </c>
      <c r="B367" s="12" t="s">
        <v>120</v>
      </c>
      <c r="C367" s="105" t="s">
        <v>45</v>
      </c>
      <c r="D367" s="82"/>
      <c r="E367" s="14"/>
      <c r="F367" s="31">
        <f>+SUM(START:END!F367)</f>
        <v>0</v>
      </c>
      <c r="G367" s="84"/>
      <c r="H367" s="14"/>
      <c r="I367" s="31">
        <f>+SUM(START:END!I367)</f>
        <v>0</v>
      </c>
      <c r="J367" s="42"/>
      <c r="K367" s="14"/>
      <c r="L367" s="34">
        <f>+SUM(START:END!L367)</f>
        <v>0</v>
      </c>
      <c r="M367" s="42"/>
      <c r="N367" s="60">
        <f t="shared" si="133"/>
        <v>0</v>
      </c>
      <c r="O367" s="42"/>
      <c r="P367" s="14"/>
      <c r="Q367" s="34">
        <f>+SUM(START:END!Q367)</f>
        <v>0</v>
      </c>
      <c r="R367" s="42"/>
      <c r="S367" s="86">
        <f t="shared" si="134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28"/>
        <v>Boutique[...]</v>
      </c>
      <c r="B368" s="12" t="s">
        <v>120</v>
      </c>
      <c r="C368" s="30" t="s">
        <v>21</v>
      </c>
      <c r="D368" s="82"/>
      <c r="E368" s="14"/>
      <c r="F368" s="31">
        <f>+SUM(START:END!F368)</f>
        <v>0</v>
      </c>
      <c r="G368" s="84"/>
      <c r="H368" s="14"/>
      <c r="I368" s="31">
        <f>+SUM(START:END!I368)</f>
        <v>0</v>
      </c>
      <c r="J368" s="42"/>
      <c r="K368" s="14"/>
      <c r="L368" s="34">
        <f>+SUM(START:END!L368)</f>
        <v>0</v>
      </c>
      <c r="M368" s="42"/>
      <c r="N368" s="60">
        <f t="shared" si="133"/>
        <v>0</v>
      </c>
      <c r="O368" s="42"/>
      <c r="P368" s="14"/>
      <c r="Q368" s="34">
        <f>+SUM(START:END!Q368)</f>
        <v>0</v>
      </c>
      <c r="R368" s="42"/>
      <c r="S368" s="86">
        <f t="shared" si="134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28"/>
        <v>Boutique[...]</v>
      </c>
      <c r="B369" s="12" t="s">
        <v>120</v>
      </c>
      <c r="C369" s="30" t="s">
        <v>21</v>
      </c>
      <c r="D369" s="82"/>
      <c r="E369" s="14"/>
      <c r="F369" s="31">
        <f>+SUM(START:END!F369)</f>
        <v>0</v>
      </c>
      <c r="G369" s="84"/>
      <c r="H369" s="14"/>
      <c r="I369" s="31">
        <f>+SUM(START:END!I369)</f>
        <v>0</v>
      </c>
      <c r="J369" s="42"/>
      <c r="K369" s="14"/>
      <c r="L369" s="34">
        <f>+SUM(START:END!L369)</f>
        <v>0</v>
      </c>
      <c r="M369" s="42"/>
      <c r="N369" s="60">
        <f t="shared" si="133"/>
        <v>0</v>
      </c>
      <c r="O369" s="42"/>
      <c r="P369" s="14"/>
      <c r="Q369" s="34">
        <f>+SUM(START:END!Q369)</f>
        <v>0</v>
      </c>
      <c r="R369" s="42"/>
      <c r="S369" s="86">
        <f t="shared" si="134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28"/>
        <v>Boutique[...]</v>
      </c>
      <c r="B370" s="12" t="s">
        <v>120</v>
      </c>
      <c r="C370" s="30" t="s">
        <v>21</v>
      </c>
      <c r="D370" s="82"/>
      <c r="E370" s="14"/>
      <c r="F370" s="31">
        <f>+SUM(START:END!F370)</f>
        <v>0</v>
      </c>
      <c r="G370" s="84"/>
      <c r="H370" s="14"/>
      <c r="I370" s="31">
        <f>+SUM(START:END!I370)</f>
        <v>0</v>
      </c>
      <c r="J370" s="42"/>
      <c r="K370" s="14"/>
      <c r="L370" s="34">
        <f>+SUM(START:END!L370)</f>
        <v>0</v>
      </c>
      <c r="M370" s="42"/>
      <c r="N370" s="60">
        <f t="shared" si="133"/>
        <v>0</v>
      </c>
      <c r="O370" s="42"/>
      <c r="P370" s="14"/>
      <c r="Q370" s="34">
        <f>+SUM(START:END!Q370)</f>
        <v>0</v>
      </c>
      <c r="R370" s="42"/>
      <c r="S370" s="86">
        <f t="shared" si="134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28"/>
        <v>BoutiqueSalaires en absences</v>
      </c>
      <c r="B371" s="12" t="s">
        <v>120</v>
      </c>
      <c r="C371" s="106" t="s">
        <v>46</v>
      </c>
      <c r="D371" s="82"/>
      <c r="E371" s="14"/>
      <c r="F371" s="23">
        <f>+SUM(START:END!F371)</f>
        <v>0</v>
      </c>
      <c r="G371" s="84"/>
      <c r="H371" s="14"/>
      <c r="I371" s="23">
        <f>+SUM(START:END!I371)</f>
        <v>0</v>
      </c>
      <c r="J371" s="42"/>
      <c r="K371" s="14"/>
      <c r="L371" s="23">
        <f>+SUM(START:END!L371)</f>
        <v>0</v>
      </c>
      <c r="M371" s="42"/>
      <c r="N371" s="60">
        <f t="shared" si="133"/>
        <v>0</v>
      </c>
      <c r="O371" s="42"/>
      <c r="P371" s="14"/>
      <c r="Q371" s="23">
        <f>+SUM(START:END!Q371)</f>
        <v>0</v>
      </c>
      <c r="R371" s="42"/>
      <c r="S371" s="86">
        <f t="shared" si="134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28"/>
        <v>BoutiqueDéduction à la source</v>
      </c>
      <c r="B372" s="12" t="s">
        <v>120</v>
      </c>
      <c r="C372" s="105" t="s">
        <v>47</v>
      </c>
      <c r="D372" s="107"/>
      <c r="E372" s="108"/>
      <c r="F372" s="31">
        <f>+SUM(START:END!F372)</f>
        <v>0</v>
      </c>
      <c r="G372" s="109"/>
      <c r="H372" s="108"/>
      <c r="I372" s="31">
        <f>+SUM(START:END!I372)</f>
        <v>0</v>
      </c>
      <c r="J372" s="110"/>
      <c r="K372" s="108"/>
      <c r="L372" s="34">
        <f>+SUM(START:END!L372)</f>
        <v>0</v>
      </c>
      <c r="M372" s="110"/>
      <c r="N372" s="112">
        <f t="shared" si="133"/>
        <v>0</v>
      </c>
      <c r="O372" s="110"/>
      <c r="P372" s="108"/>
      <c r="Q372" s="34">
        <f>+SUM(START:END!Q372)</f>
        <v>0</v>
      </c>
      <c r="R372" s="110"/>
      <c r="S372" s="113">
        <f t="shared" si="134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28"/>
        <v>BoutiqueBénéfices marginaux</v>
      </c>
      <c r="B373" s="12" t="s">
        <v>120</v>
      </c>
      <c r="C373" s="105" t="s">
        <v>48</v>
      </c>
      <c r="D373" s="82"/>
      <c r="E373" s="14"/>
      <c r="F373" s="31">
        <f>+SUM(START:END!F373)</f>
        <v>0</v>
      </c>
      <c r="G373" s="84"/>
      <c r="H373" s="14"/>
      <c r="I373" s="31">
        <f>+SUM(START:END!I373)</f>
        <v>0</v>
      </c>
      <c r="J373" s="42"/>
      <c r="K373" s="14"/>
      <c r="L373" s="34">
        <f>+SUM(START:END!L373)</f>
        <v>0</v>
      </c>
      <c r="M373" s="42"/>
      <c r="N373" s="60">
        <f t="shared" si="133"/>
        <v>0</v>
      </c>
      <c r="O373" s="42"/>
      <c r="P373" s="14"/>
      <c r="Q373" s="34">
        <f>+SUM(START:END!Q373)</f>
        <v>0</v>
      </c>
      <c r="R373" s="42"/>
      <c r="S373" s="86">
        <f t="shared" si="134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28"/>
        <v>BoutiqueCsst</v>
      </c>
      <c r="B374" s="12" t="s">
        <v>120</v>
      </c>
      <c r="C374" s="105" t="s">
        <v>49</v>
      </c>
      <c r="D374" s="82"/>
      <c r="E374" s="14"/>
      <c r="F374" s="31">
        <f>+SUM(START:END!F374)</f>
        <v>0</v>
      </c>
      <c r="G374" s="84"/>
      <c r="H374" s="14"/>
      <c r="I374" s="31">
        <f>+SUM(START:END!I374)</f>
        <v>0</v>
      </c>
      <c r="J374" s="42"/>
      <c r="K374" s="14"/>
      <c r="L374" s="34">
        <f>+SUM(START:END!L374)</f>
        <v>0</v>
      </c>
      <c r="M374" s="42"/>
      <c r="N374" s="60">
        <f t="shared" si="133"/>
        <v>0</v>
      </c>
      <c r="O374" s="42"/>
      <c r="P374" s="14"/>
      <c r="Q374" s="34">
        <f>+SUM(START:END!Q374)</f>
        <v>0</v>
      </c>
      <c r="R374" s="42"/>
      <c r="S374" s="86">
        <f t="shared" si="134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28"/>
        <v>Boutique[...]</v>
      </c>
      <c r="B375" s="12" t="s">
        <v>120</v>
      </c>
      <c r="C375" s="30" t="s">
        <v>21</v>
      </c>
      <c r="D375" s="89"/>
      <c r="E375" s="114"/>
      <c r="F375" s="31">
        <f>+SUM(START:END!F375)</f>
        <v>0</v>
      </c>
      <c r="G375" s="91"/>
      <c r="H375" s="114"/>
      <c r="I375" s="31">
        <f>+SUM(START:END!I375)</f>
        <v>0</v>
      </c>
      <c r="J375" s="24"/>
      <c r="K375" s="114"/>
      <c r="L375" s="34">
        <f>+SUM(START:END!L375)</f>
        <v>0</v>
      </c>
      <c r="M375" s="24"/>
      <c r="N375" s="94">
        <f t="shared" si="133"/>
        <v>0</v>
      </c>
      <c r="O375" s="24"/>
      <c r="P375" s="114"/>
      <c r="Q375" s="34">
        <f>+SUM(START:END!Q375)</f>
        <v>0</v>
      </c>
      <c r="R375" s="24"/>
      <c r="S375" s="95">
        <f t="shared" si="134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28"/>
        <v>BoutiqueTOTAL PERSONNEL</v>
      </c>
      <c r="B376" s="12" t="s">
        <v>120</v>
      </c>
      <c r="C376" s="96" t="s">
        <v>50</v>
      </c>
      <c r="D376" s="97" t="s">
        <v>40</v>
      </c>
      <c r="E376" s="98">
        <f>IFERROR(F376/F$359,0)</f>
        <v>0</v>
      </c>
      <c r="F376" s="99">
        <f>+SUM(F364:F375)</f>
        <v>0</v>
      </c>
      <c r="G376" s="100" t="s">
        <v>40</v>
      </c>
      <c r="H376" s="98">
        <f>IFERROR(I376/I$359,0)</f>
        <v>0</v>
      </c>
      <c r="I376" s="99">
        <f>+SUM(I364:I375)</f>
        <v>0</v>
      </c>
      <c r="J376" s="100" t="s">
        <v>40</v>
      </c>
      <c r="K376" s="98">
        <f>IFERROR(L376/L$359,0)</f>
        <v>0</v>
      </c>
      <c r="L376" s="99">
        <f>+SUM(L364:L375)</f>
        <v>0</v>
      </c>
      <c r="M376" s="151"/>
      <c r="N376" s="116">
        <f t="shared" si="133"/>
        <v>0</v>
      </c>
      <c r="O376" s="100" t="s">
        <v>40</v>
      </c>
      <c r="P376" s="98">
        <f>IFERROR(Q376/Q$359,0)</f>
        <v>0</v>
      </c>
      <c r="Q376" s="99">
        <f>+SUM(Q364:Q375)</f>
        <v>0</v>
      </c>
      <c r="R376" s="151"/>
      <c r="S376" s="117">
        <f t="shared" si="134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28"/>
        <v>BoutiquePublicité 2</v>
      </c>
      <c r="B377" s="12" t="s">
        <v>120</v>
      </c>
      <c r="C377" s="214" t="s">
        <v>51</v>
      </c>
      <c r="D377" s="82"/>
      <c r="E377" s="14"/>
      <c r="F377" s="31">
        <f>+SUM(START:END!F377)</f>
        <v>0</v>
      </c>
      <c r="G377" s="84"/>
      <c r="H377" s="14"/>
      <c r="I377" s="31">
        <f>+SUM(START:END!I377)</f>
        <v>0</v>
      </c>
      <c r="J377" s="42"/>
      <c r="K377" s="14"/>
      <c r="L377" s="34">
        <f>+SUM(START:END!L377)</f>
        <v>0</v>
      </c>
      <c r="M377" s="42"/>
      <c r="N377" s="60">
        <f t="shared" si="133"/>
        <v>0</v>
      </c>
      <c r="O377" s="42"/>
      <c r="P377" s="14"/>
      <c r="Q377" s="34">
        <f>+SUM(START:END!Q377)</f>
        <v>0</v>
      </c>
      <c r="R377" s="42"/>
      <c r="S377" s="86">
        <f t="shared" si="134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28"/>
        <v>BoutiqueService gratuit 2</v>
      </c>
      <c r="B378" s="12" t="s">
        <v>120</v>
      </c>
      <c r="C378" s="105" t="s">
        <v>52</v>
      </c>
      <c r="D378" s="82"/>
      <c r="E378" s="14"/>
      <c r="F378" s="31">
        <f>+SUM(START:END!F378)</f>
        <v>0</v>
      </c>
      <c r="G378" s="84"/>
      <c r="H378" s="14"/>
      <c r="I378" s="31">
        <f>+SUM(START:END!I378)</f>
        <v>0</v>
      </c>
      <c r="J378" s="42"/>
      <c r="K378" s="14"/>
      <c r="L378" s="34">
        <f>+SUM(START:END!L378)</f>
        <v>0</v>
      </c>
      <c r="M378" s="42"/>
      <c r="N378" s="60">
        <f t="shared" si="133"/>
        <v>0</v>
      </c>
      <c r="O378" s="42"/>
      <c r="P378" s="14"/>
      <c r="Q378" s="34">
        <f>+SUM(START:END!Q378)</f>
        <v>0</v>
      </c>
      <c r="R378" s="42"/>
      <c r="S378" s="86">
        <f t="shared" si="134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28"/>
        <v>BoutiqueFrais véhicules de cie</v>
      </c>
      <c r="B379" s="12" t="s">
        <v>120</v>
      </c>
      <c r="C379" s="106" t="s">
        <v>53</v>
      </c>
      <c r="D379" s="89"/>
      <c r="E379" s="114"/>
      <c r="F379" s="23">
        <f>+SUM(START:END!F379)</f>
        <v>0</v>
      </c>
      <c r="G379" s="91"/>
      <c r="H379" s="114"/>
      <c r="I379" s="23">
        <f>+SUM(START:END!I379)</f>
        <v>0</v>
      </c>
      <c r="J379" s="24"/>
      <c r="K379" s="114"/>
      <c r="L379" s="23">
        <f>+SUM(START:END!L379)</f>
        <v>0</v>
      </c>
      <c r="M379" s="24"/>
      <c r="N379" s="94">
        <f t="shared" si="133"/>
        <v>0</v>
      </c>
      <c r="O379" s="24"/>
      <c r="P379" s="114"/>
      <c r="Q379" s="23">
        <f>+SUM(START:END!Q379)</f>
        <v>0</v>
      </c>
      <c r="R379" s="24"/>
      <c r="S379" s="95">
        <f t="shared" si="134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28"/>
        <v>BoutiqueInformatique</v>
      </c>
      <c r="B380" s="12" t="s">
        <v>120</v>
      </c>
      <c r="C380" s="105" t="s">
        <v>54</v>
      </c>
      <c r="D380" s="82"/>
      <c r="E380" s="14"/>
      <c r="F380" s="31">
        <f>+SUM(START:END!F380)</f>
        <v>0</v>
      </c>
      <c r="G380" s="84"/>
      <c r="H380" s="14"/>
      <c r="I380" s="31">
        <f>+SUM(START:END!I380)</f>
        <v>0</v>
      </c>
      <c r="J380" s="42"/>
      <c r="K380" s="14"/>
      <c r="L380" s="34">
        <f>+SUM(START:END!L380)</f>
        <v>0</v>
      </c>
      <c r="M380" s="42"/>
      <c r="N380" s="60">
        <f t="shared" si="133"/>
        <v>0</v>
      </c>
      <c r="O380" s="42"/>
      <c r="P380" s="14"/>
      <c r="Q380" s="34">
        <f>+SUM(START:END!Q380)</f>
        <v>0</v>
      </c>
      <c r="R380" s="42"/>
      <c r="S380" s="86">
        <f t="shared" si="134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28"/>
        <v>BoutiqueFrais de déplacement</v>
      </c>
      <c r="B381" s="12" t="s">
        <v>120</v>
      </c>
      <c r="C381" s="105" t="s">
        <v>55</v>
      </c>
      <c r="D381" s="82"/>
      <c r="E381" s="14"/>
      <c r="F381" s="31">
        <f>+SUM(START:END!F381)</f>
        <v>0</v>
      </c>
      <c r="G381" s="84"/>
      <c r="H381" s="14"/>
      <c r="I381" s="31">
        <f>+SUM(START:END!I381)</f>
        <v>0</v>
      </c>
      <c r="J381" s="42"/>
      <c r="K381" s="14"/>
      <c r="L381" s="34">
        <f>+SUM(START:END!L381)</f>
        <v>0</v>
      </c>
      <c r="M381" s="42"/>
      <c r="N381" s="60">
        <f t="shared" si="133"/>
        <v>0</v>
      </c>
      <c r="O381" s="42"/>
      <c r="P381" s="14"/>
      <c r="Q381" s="34">
        <f>+SUM(START:END!Q381)</f>
        <v>0</v>
      </c>
      <c r="R381" s="42"/>
      <c r="S381" s="86">
        <f t="shared" si="134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28"/>
        <v>BoutiqueServices extérieurs</v>
      </c>
      <c r="B382" s="12" t="s">
        <v>120</v>
      </c>
      <c r="C382" s="105" t="s">
        <v>56</v>
      </c>
      <c r="D382" s="89"/>
      <c r="E382" s="114"/>
      <c r="F382" s="23">
        <f>+SUM(START:END!F382)</f>
        <v>0</v>
      </c>
      <c r="G382" s="91"/>
      <c r="H382" s="114"/>
      <c r="I382" s="23">
        <f>+SUM(START:END!I382)</f>
        <v>0</v>
      </c>
      <c r="J382" s="24"/>
      <c r="K382" s="114"/>
      <c r="L382" s="23">
        <f>+SUM(START:END!L382)</f>
        <v>0</v>
      </c>
      <c r="M382" s="24"/>
      <c r="N382" s="94">
        <f t="shared" si="133"/>
        <v>0</v>
      </c>
      <c r="O382" s="24"/>
      <c r="P382" s="114"/>
      <c r="Q382" s="23">
        <f>+SUM(START:END!Q382)</f>
        <v>0</v>
      </c>
      <c r="R382" s="24"/>
      <c r="S382" s="95">
        <f t="shared" si="134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28"/>
        <v>BoutiqueFournitures autres</v>
      </c>
      <c r="B383" s="12" t="s">
        <v>120</v>
      </c>
      <c r="C383" s="214" t="s">
        <v>57</v>
      </c>
      <c r="D383" s="82"/>
      <c r="E383" s="14"/>
      <c r="F383" s="31">
        <f>+SUM(START:END!F383)</f>
        <v>0</v>
      </c>
      <c r="G383" s="84"/>
      <c r="H383" s="14"/>
      <c r="I383" s="31">
        <f>+SUM(START:END!I383)</f>
        <v>0</v>
      </c>
      <c r="J383" s="42"/>
      <c r="K383" s="14"/>
      <c r="L383" s="34">
        <f>+SUM(START:END!L383)</f>
        <v>0</v>
      </c>
      <c r="M383" s="42"/>
      <c r="N383" s="60">
        <f t="shared" si="133"/>
        <v>0</v>
      </c>
      <c r="O383" s="42"/>
      <c r="P383" s="14"/>
      <c r="Q383" s="34">
        <f>+SUM(START:END!Q383)</f>
        <v>0</v>
      </c>
      <c r="R383" s="42"/>
      <c r="S383" s="86">
        <f t="shared" si="134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28"/>
        <v>BoutiqueUniformes</v>
      </c>
      <c r="B384" s="12" t="s">
        <v>120</v>
      </c>
      <c r="C384" s="105" t="s">
        <v>58</v>
      </c>
      <c r="D384" s="82"/>
      <c r="E384" s="14"/>
      <c r="F384" s="31">
        <f>+SUM(START:END!F384)</f>
        <v>0</v>
      </c>
      <c r="G384" s="84"/>
      <c r="H384" s="14"/>
      <c r="I384" s="31">
        <f>+SUM(START:END!I384)</f>
        <v>0</v>
      </c>
      <c r="J384" s="42"/>
      <c r="K384" s="14"/>
      <c r="L384" s="34">
        <f>+SUM(START:END!L384)</f>
        <v>0</v>
      </c>
      <c r="M384" s="42"/>
      <c r="N384" s="60">
        <f t="shared" si="133"/>
        <v>0</v>
      </c>
      <c r="O384" s="42"/>
      <c r="P384" s="14"/>
      <c r="Q384" s="34">
        <f>+SUM(START:END!Q384)</f>
        <v>0</v>
      </c>
      <c r="R384" s="42"/>
      <c r="S384" s="86">
        <f t="shared" si="134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28"/>
        <v>BoutiquePapeterie</v>
      </c>
      <c r="B385" s="12" t="s">
        <v>120</v>
      </c>
      <c r="C385" s="105" t="s">
        <v>59</v>
      </c>
      <c r="D385" s="82"/>
      <c r="E385" s="14"/>
      <c r="F385" s="31">
        <f>+SUM(START:END!F385)</f>
        <v>0</v>
      </c>
      <c r="G385" s="84"/>
      <c r="H385" s="14"/>
      <c r="I385" s="31">
        <f>+SUM(START:END!I385)</f>
        <v>0</v>
      </c>
      <c r="J385" s="42"/>
      <c r="K385" s="14"/>
      <c r="L385" s="34">
        <f>+SUM(START:END!L385)</f>
        <v>0</v>
      </c>
      <c r="M385" s="42"/>
      <c r="N385" s="60">
        <f t="shared" si="133"/>
        <v>0</v>
      </c>
      <c r="O385" s="42"/>
      <c r="P385" s="14"/>
      <c r="Q385" s="34">
        <f>+SUM(START:END!Q385)</f>
        <v>0</v>
      </c>
      <c r="R385" s="42"/>
      <c r="S385" s="86">
        <f t="shared" si="134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28"/>
        <v>BoutiqueTéléphone</v>
      </c>
      <c r="B386" s="12" t="s">
        <v>120</v>
      </c>
      <c r="C386" s="105" t="s">
        <v>60</v>
      </c>
      <c r="D386" s="82"/>
      <c r="E386" s="14"/>
      <c r="F386" s="31">
        <f>+SUM(START:END!F386)</f>
        <v>0</v>
      </c>
      <c r="G386" s="84"/>
      <c r="H386" s="14"/>
      <c r="I386" s="31">
        <f>+SUM(START:END!I386)</f>
        <v>0</v>
      </c>
      <c r="J386" s="42"/>
      <c r="K386" s="14"/>
      <c r="L386" s="34">
        <f>+SUM(START:END!L386)</f>
        <v>0</v>
      </c>
      <c r="M386" s="42"/>
      <c r="N386" s="60">
        <f t="shared" si="133"/>
        <v>0</v>
      </c>
      <c r="O386" s="42"/>
      <c r="P386" s="14"/>
      <c r="Q386" s="34">
        <f>+SUM(START:END!Q386)</f>
        <v>0</v>
      </c>
      <c r="R386" s="42"/>
      <c r="S386" s="86">
        <f t="shared" si="134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28"/>
        <v>BoutiqueFrais postaux</v>
      </c>
      <c r="B387" s="12" t="s">
        <v>120</v>
      </c>
      <c r="C387" s="105" t="s">
        <v>61</v>
      </c>
      <c r="D387" s="82"/>
      <c r="E387" s="14"/>
      <c r="F387" s="31">
        <f>+SUM(START:END!F387)</f>
        <v>0</v>
      </c>
      <c r="G387" s="84"/>
      <c r="H387" s="14"/>
      <c r="I387" s="31">
        <f>+SUM(START:END!I387)</f>
        <v>0</v>
      </c>
      <c r="J387" s="42"/>
      <c r="K387" s="14"/>
      <c r="L387" s="34">
        <f>+SUM(START:END!L387)</f>
        <v>0</v>
      </c>
      <c r="M387" s="42"/>
      <c r="N387" s="60">
        <f t="shared" si="133"/>
        <v>0</v>
      </c>
      <c r="O387" s="42"/>
      <c r="P387" s="14"/>
      <c r="Q387" s="34">
        <f>+SUM(START:END!Q387)</f>
        <v>0</v>
      </c>
      <c r="R387" s="42"/>
      <c r="S387" s="86">
        <f t="shared" si="134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28"/>
        <v>BoutiqueDivers</v>
      </c>
      <c r="B388" s="12" t="s">
        <v>120</v>
      </c>
      <c r="C388" s="105" t="s">
        <v>62</v>
      </c>
      <c r="D388" s="82"/>
      <c r="E388" s="14"/>
      <c r="F388" s="31">
        <f>+SUM(START:END!F388)</f>
        <v>0</v>
      </c>
      <c r="G388" s="84"/>
      <c r="H388" s="14"/>
      <c r="I388" s="31">
        <f>+SUM(START:END!I388)</f>
        <v>0</v>
      </c>
      <c r="J388" s="42"/>
      <c r="K388" s="14"/>
      <c r="L388" s="34">
        <f>+SUM(START:END!L388)</f>
        <v>0</v>
      </c>
      <c r="M388" s="42"/>
      <c r="N388" s="60">
        <f t="shared" si="133"/>
        <v>0</v>
      </c>
      <c r="O388" s="42"/>
      <c r="P388" s="14"/>
      <c r="Q388" s="34">
        <f>+SUM(START:END!Q388)</f>
        <v>0</v>
      </c>
      <c r="R388" s="42"/>
      <c r="S388" s="86">
        <f t="shared" si="134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28"/>
        <v>BoutiqueFormation</v>
      </c>
      <c r="B389" s="12" t="s">
        <v>120</v>
      </c>
      <c r="C389" s="105" t="s">
        <v>63</v>
      </c>
      <c r="D389" s="82"/>
      <c r="E389" s="14"/>
      <c r="F389" s="31">
        <f>+SUM(START:END!F389)</f>
        <v>0</v>
      </c>
      <c r="G389" s="84"/>
      <c r="H389" s="14"/>
      <c r="I389" s="31">
        <f>+SUM(START:END!I389)</f>
        <v>0</v>
      </c>
      <c r="J389" s="42"/>
      <c r="K389" s="14"/>
      <c r="L389" s="34">
        <f>+SUM(START:END!L389)</f>
        <v>0</v>
      </c>
      <c r="M389" s="42"/>
      <c r="N389" s="60">
        <f t="shared" si="133"/>
        <v>0</v>
      </c>
      <c r="O389" s="42"/>
      <c r="P389" s="14"/>
      <c r="Q389" s="34">
        <f>+SUM(START:END!Q389)</f>
        <v>0</v>
      </c>
      <c r="R389" s="42"/>
      <c r="S389" s="86">
        <f t="shared" si="134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28"/>
        <v>BoutiqueFrais bancaires</v>
      </c>
      <c r="B390" s="12" t="s">
        <v>120</v>
      </c>
      <c r="C390" s="105" t="s">
        <v>64</v>
      </c>
      <c r="D390" s="82"/>
      <c r="E390" s="14"/>
      <c r="F390" s="31">
        <f>+SUM(START:END!F390)</f>
        <v>0</v>
      </c>
      <c r="G390" s="84"/>
      <c r="H390" s="14"/>
      <c r="I390" s="31">
        <f>+SUM(START:END!I390)</f>
        <v>0</v>
      </c>
      <c r="J390" s="42"/>
      <c r="K390" s="14"/>
      <c r="L390" s="34">
        <f>+SUM(START:END!L390)</f>
        <v>0</v>
      </c>
      <c r="M390" s="42"/>
      <c r="N390" s="60">
        <f t="shared" si="133"/>
        <v>0</v>
      </c>
      <c r="O390" s="42"/>
      <c r="P390" s="14"/>
      <c r="Q390" s="34">
        <f>+SUM(START:END!Q390)</f>
        <v>0</v>
      </c>
      <c r="R390" s="42"/>
      <c r="S390" s="86">
        <f t="shared" si="134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28"/>
        <v>Boutique[...]</v>
      </c>
      <c r="B391" s="12" t="s">
        <v>120</v>
      </c>
      <c r="C391" s="105" t="s">
        <v>21</v>
      </c>
      <c r="D391" s="82"/>
      <c r="E391" s="14"/>
      <c r="F391" s="31">
        <f>+SUM(START:END!F391)</f>
        <v>0</v>
      </c>
      <c r="G391" s="84"/>
      <c r="H391" s="14"/>
      <c r="I391" s="31">
        <f>+SUM(START:END!I391)</f>
        <v>0</v>
      </c>
      <c r="J391" s="42"/>
      <c r="K391" s="14"/>
      <c r="L391" s="34">
        <f>+SUM(START:END!L391)</f>
        <v>0</v>
      </c>
      <c r="M391" s="42"/>
      <c r="N391" s="60">
        <f t="shared" si="133"/>
        <v>0</v>
      </c>
      <c r="O391" s="42"/>
      <c r="P391" s="14"/>
      <c r="Q391" s="34">
        <f>+SUM(START:END!Q391)</f>
        <v>0</v>
      </c>
      <c r="R391" s="42"/>
      <c r="S391" s="86">
        <f t="shared" si="134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28"/>
        <v>Boutique[...]</v>
      </c>
      <c r="B392" s="12" t="s">
        <v>120</v>
      </c>
      <c r="C392" s="105" t="s">
        <v>21</v>
      </c>
      <c r="D392" s="82"/>
      <c r="E392" s="14"/>
      <c r="F392" s="31">
        <f>+SUM(START:END!F392)</f>
        <v>0</v>
      </c>
      <c r="G392" s="84"/>
      <c r="H392" s="14"/>
      <c r="I392" s="31">
        <f>+SUM(START:END!I392)</f>
        <v>0</v>
      </c>
      <c r="J392" s="42"/>
      <c r="K392" s="14"/>
      <c r="L392" s="34">
        <f>+SUM(START:END!L392)</f>
        <v>0</v>
      </c>
      <c r="M392" s="42"/>
      <c r="N392" s="60">
        <f t="shared" si="133"/>
        <v>0</v>
      </c>
      <c r="O392" s="42"/>
      <c r="P392" s="14"/>
      <c r="Q392" s="34">
        <f>+SUM(START:END!Q392)</f>
        <v>0</v>
      </c>
      <c r="R392" s="42"/>
      <c r="S392" s="86">
        <f t="shared" si="134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28"/>
        <v>Boutique[...]</v>
      </c>
      <c r="B393" s="12" t="s">
        <v>120</v>
      </c>
      <c r="C393" s="105" t="s">
        <v>21</v>
      </c>
      <c r="D393" s="89"/>
      <c r="E393" s="114"/>
      <c r="F393" s="31">
        <f>+SUM(START:END!F393)</f>
        <v>0</v>
      </c>
      <c r="G393" s="91"/>
      <c r="H393" s="114"/>
      <c r="I393" s="31">
        <f>+SUM(START:END!I393)</f>
        <v>0</v>
      </c>
      <c r="J393" s="24"/>
      <c r="K393" s="114"/>
      <c r="L393" s="34">
        <f>+SUM(START:END!L393)</f>
        <v>0</v>
      </c>
      <c r="M393" s="24"/>
      <c r="N393" s="94">
        <f t="shared" si="133"/>
        <v>0</v>
      </c>
      <c r="O393" s="24"/>
      <c r="P393" s="114"/>
      <c r="Q393" s="34">
        <f>+SUM(START:END!Q393)</f>
        <v>0</v>
      </c>
      <c r="R393" s="24"/>
      <c r="S393" s="95">
        <f t="shared" si="134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6" t="s">
        <v>65</v>
      </c>
      <c r="D394" s="97" t="s">
        <v>40</v>
      </c>
      <c r="E394" s="98">
        <f>IFERROR(F394/F$359,0)</f>
        <v>0</v>
      </c>
      <c r="F394" s="99">
        <f>+SUM(F377:F393)</f>
        <v>0</v>
      </c>
      <c r="G394" s="100" t="s">
        <v>40</v>
      </c>
      <c r="H394" s="98">
        <f>IFERROR(I394/I$359,0)</f>
        <v>0</v>
      </c>
      <c r="I394" s="99">
        <f>+SUM(I377:I393)</f>
        <v>0</v>
      </c>
      <c r="J394" s="100" t="s">
        <v>40</v>
      </c>
      <c r="K394" s="98">
        <f>IFERROR(L394/L$359,0)</f>
        <v>0</v>
      </c>
      <c r="L394" s="99">
        <f>+SUM(L377:L393)</f>
        <v>0</v>
      </c>
      <c r="M394" s="151"/>
      <c r="N394" s="99">
        <f>+SUM(N377:N393)</f>
        <v>0</v>
      </c>
      <c r="O394" s="100" t="s">
        <v>40</v>
      </c>
      <c r="P394" s="98">
        <f>IFERROR(Q394/Q$359,0)</f>
        <v>0</v>
      </c>
      <c r="Q394" s="99">
        <f>+SUM(Q377:Q393)</f>
        <v>0</v>
      </c>
      <c r="R394" s="151"/>
      <c r="S394" s="117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49"/>
      <c r="T395" s="250"/>
      <c r="U395" s="250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6" t="s">
        <v>66</v>
      </c>
      <c r="D396" s="97" t="s">
        <v>40</v>
      </c>
      <c r="E396" s="98">
        <f>IFERROR(F396/F$359,0)</f>
        <v>0</v>
      </c>
      <c r="F396" s="99">
        <f>F376+F394</f>
        <v>0</v>
      </c>
      <c r="G396" s="100" t="s">
        <v>40</v>
      </c>
      <c r="H396" s="98">
        <f>IFERROR(I396/I$359,0)</f>
        <v>0</v>
      </c>
      <c r="I396" s="99">
        <f>I376+I394</f>
        <v>0</v>
      </c>
      <c r="J396" s="100" t="s">
        <v>40</v>
      </c>
      <c r="K396" s="98">
        <f>IFERROR(L396/L$359,0)</f>
        <v>0</v>
      </c>
      <c r="L396" s="99">
        <f>L376+L394</f>
        <v>0</v>
      </c>
      <c r="M396" s="251"/>
      <c r="N396" s="99">
        <f>L396-I396</f>
        <v>0</v>
      </c>
      <c r="O396" s="100" t="s">
        <v>40</v>
      </c>
      <c r="P396" s="98">
        <f>IFERROR(Q396/Q$359,0)</f>
        <v>0</v>
      </c>
      <c r="Q396" s="99">
        <f>Q376+Q394</f>
        <v>0</v>
      </c>
      <c r="R396" s="103"/>
      <c r="S396" s="104">
        <f>L396-Q396</f>
        <v>0</v>
      </c>
      <c r="T396" s="250"/>
      <c r="U396" s="250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49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2" t="s">
        <v>73</v>
      </c>
      <c r="D398" s="253"/>
      <c r="E398" s="253"/>
      <c r="F398" s="254">
        <f>F361-F396</f>
        <v>0</v>
      </c>
      <c r="G398" s="255"/>
      <c r="H398" s="253"/>
      <c r="I398" s="254">
        <f>I361-I396</f>
        <v>0</v>
      </c>
      <c r="J398" s="256"/>
      <c r="K398" s="257"/>
      <c r="L398" s="254">
        <f>L361-L396</f>
        <v>0</v>
      </c>
      <c r="M398" s="255"/>
      <c r="N398" s="254">
        <f>L398-I398</f>
        <v>0</v>
      </c>
      <c r="O398" s="256"/>
      <c r="P398" s="257"/>
      <c r="Q398" s="254">
        <f>Q361-Q396</f>
        <v>0</v>
      </c>
      <c r="R398" s="256"/>
      <c r="S398" s="258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5"/>
      <c r="G399" s="82"/>
      <c r="H399" s="14"/>
      <c r="I399" s="115"/>
      <c r="J399" s="77"/>
      <c r="K399" s="77"/>
      <c r="L399" s="115"/>
      <c r="M399" s="77"/>
      <c r="N399" s="115"/>
      <c r="O399" s="77"/>
      <c r="P399" s="77"/>
      <c r="Q399" s="115"/>
      <c r="R399" s="77"/>
      <c r="S399" s="11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59"/>
      <c r="AK401" s="2"/>
      <c r="AL401" s="1"/>
      <c r="AM401" s="6"/>
      <c r="AN401" s="6"/>
      <c r="AO401" s="5" t="str">
        <f>$S$1</f>
        <v>Réalisé  Volks T3 2022</v>
      </c>
      <c r="AP401" s="250"/>
      <c r="AQ401" s="250"/>
      <c r="AR401" s="250"/>
      <c r="AS401" s="250"/>
      <c r="AT401" s="250"/>
      <c r="AU401" s="250"/>
      <c r="AV401" s="250"/>
      <c r="AW401" s="250"/>
      <c r="AX401" s="250"/>
      <c r="AY401" s="250"/>
      <c r="AZ401" s="250"/>
      <c r="BA401" s="250"/>
      <c r="BB401" s="250"/>
      <c r="BC401" s="250"/>
      <c r="BD401" s="250"/>
      <c r="BE401" s="250"/>
      <c r="BF401" s="250"/>
      <c r="BG401" s="250"/>
      <c r="BH401" s="250"/>
      <c r="BI401" s="250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0"/>
      <c r="AQ402" s="250"/>
      <c r="AR402" s="250"/>
      <c r="AS402" s="250"/>
      <c r="AT402" s="250"/>
      <c r="AU402" s="250"/>
      <c r="AV402" s="250"/>
      <c r="AW402" s="250"/>
      <c r="AX402" s="250"/>
      <c r="AY402" s="250"/>
      <c r="AZ402" s="250"/>
      <c r="BA402" s="250"/>
      <c r="BB402" s="250"/>
      <c r="BC402" s="250"/>
      <c r="BD402" s="250"/>
      <c r="BE402" s="250"/>
      <c r="BF402" s="250"/>
      <c r="BG402" s="250"/>
      <c r="BH402" s="250"/>
      <c r="BI402" s="250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1"/>
      <c r="W403" s="262"/>
      <c r="X403" s="571" t="s">
        <v>123</v>
      </c>
      <c r="Y403" s="569"/>
      <c r="Z403" s="572"/>
      <c r="AA403" s="568" t="s">
        <v>75</v>
      </c>
      <c r="AB403" s="569"/>
      <c r="AC403" s="572"/>
      <c r="AD403" s="568" t="s">
        <v>7</v>
      </c>
      <c r="AE403" s="569"/>
      <c r="AF403" s="572"/>
      <c r="AG403" s="568" t="s">
        <v>124</v>
      </c>
      <c r="AH403" s="569"/>
      <c r="AI403" s="572"/>
      <c r="AJ403" s="568" t="s">
        <v>125</v>
      </c>
      <c r="AK403" s="569"/>
      <c r="AL403" s="569"/>
      <c r="AM403" s="568" t="s">
        <v>126</v>
      </c>
      <c r="AN403" s="569"/>
      <c r="AO403" s="570"/>
      <c r="AP403" s="250"/>
      <c r="AQ403" s="250"/>
      <c r="AR403" s="250"/>
      <c r="AS403" s="250"/>
      <c r="AT403" s="250"/>
      <c r="AU403" s="250"/>
      <c r="AV403" s="250"/>
      <c r="AW403" s="250"/>
      <c r="AX403" s="250"/>
      <c r="AY403" s="250"/>
      <c r="AZ403" s="250"/>
      <c r="BA403" s="250"/>
      <c r="BB403" s="250"/>
      <c r="BC403" s="250"/>
      <c r="BD403" s="250"/>
      <c r="BE403" s="250"/>
      <c r="BF403" s="250"/>
      <c r="BG403" s="250"/>
      <c r="BH403" s="250"/>
      <c r="BI403" s="250"/>
    </row>
    <row r="404" spans="1:61" ht="15.75" customHeight="1">
      <c r="A404" t="str">
        <f t="shared" ref="A404:A483" si="135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63" t="s">
        <v>127</v>
      </c>
      <c r="X404" s="263" t="s">
        <v>128</v>
      </c>
      <c r="Y404" s="263" t="s">
        <v>129</v>
      </c>
      <c r="Z404" s="264" t="s">
        <v>130</v>
      </c>
      <c r="AA404" s="263" t="s">
        <v>128</v>
      </c>
      <c r="AB404" s="263" t="s">
        <v>129</v>
      </c>
      <c r="AC404" s="264" t="s">
        <v>130</v>
      </c>
      <c r="AD404" s="265" t="s">
        <v>128</v>
      </c>
      <c r="AE404" s="263" t="s">
        <v>129</v>
      </c>
      <c r="AF404" s="263" t="s">
        <v>130</v>
      </c>
      <c r="AG404" s="265" t="s">
        <v>131</v>
      </c>
      <c r="AH404" s="263" t="s">
        <v>132</v>
      </c>
      <c r="AI404" s="263" t="s">
        <v>133</v>
      </c>
      <c r="AJ404" s="265" t="s">
        <v>128</v>
      </c>
      <c r="AK404" s="263" t="s">
        <v>129</v>
      </c>
      <c r="AL404" s="263" t="s">
        <v>130</v>
      </c>
      <c r="AM404" s="266" t="s">
        <v>131</v>
      </c>
      <c r="AN404" s="263" t="s">
        <v>132</v>
      </c>
      <c r="AO404" s="142" t="s">
        <v>133</v>
      </c>
      <c r="AP404" s="250"/>
      <c r="AQ404" s="250"/>
      <c r="AR404" s="250"/>
      <c r="AS404" s="250"/>
      <c r="AT404" s="250"/>
      <c r="AU404" s="250"/>
      <c r="AV404" s="250"/>
      <c r="AW404" s="250"/>
      <c r="AX404" s="250"/>
      <c r="AY404" s="250"/>
      <c r="AZ404" s="250"/>
      <c r="BA404" s="250"/>
      <c r="BB404" s="250"/>
      <c r="BC404" s="250"/>
      <c r="BD404" s="250"/>
      <c r="BE404" s="250"/>
      <c r="BF404" s="250"/>
      <c r="BG404" s="250"/>
      <c r="BH404" s="250"/>
      <c r="BI404" s="250"/>
    </row>
    <row r="405" spans="1:61" ht="15.75" customHeight="1">
      <c r="A405" t="str">
        <f t="shared" si="135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0"/>
      <c r="U405" s="250"/>
      <c r="V405" s="106" t="s">
        <v>16</v>
      </c>
      <c r="W405" s="267"/>
      <c r="X405" s="267"/>
      <c r="Y405" s="267"/>
      <c r="Z405" s="268">
        <f>F5+F93+E193+E249+D313+D361</f>
        <v>15410875.542542912</v>
      </c>
      <c r="AA405" s="267"/>
      <c r="AB405" s="267"/>
      <c r="AC405" s="268">
        <f>I5+I93+H193+H249+G313+G361</f>
        <v>15410875.542542912</v>
      </c>
      <c r="AD405" s="269"/>
      <c r="AE405" s="270"/>
      <c r="AF405" s="270">
        <f>L5+L93+K193+K249+J313+J361</f>
        <v>16244538.08</v>
      </c>
      <c r="AG405" s="269"/>
      <c r="AH405" s="270"/>
      <c r="AI405" s="271"/>
      <c r="AJ405" s="269"/>
      <c r="AK405" s="270"/>
      <c r="AL405" s="270">
        <f>Q5+Q93+P193+P249+O313+O361</f>
        <v>16217056.989999996</v>
      </c>
      <c r="AM405" s="272"/>
      <c r="AN405" s="270"/>
      <c r="AO405" s="273"/>
      <c r="AP405" s="250"/>
      <c r="AQ405" s="250"/>
      <c r="AR405" s="250"/>
      <c r="AS405" s="250"/>
      <c r="AT405" s="250"/>
      <c r="AU405" s="250"/>
      <c r="AV405" s="250"/>
      <c r="AW405" s="250"/>
      <c r="AX405" s="250"/>
      <c r="AY405" s="250"/>
      <c r="AZ405" s="250"/>
      <c r="BA405" s="250"/>
      <c r="BB405" s="250"/>
      <c r="BC405" s="250"/>
      <c r="BD405" s="250"/>
      <c r="BE405" s="250"/>
      <c r="BF405" s="250"/>
      <c r="BG405" s="250"/>
      <c r="BH405" s="250"/>
      <c r="BI405" s="250"/>
    </row>
    <row r="406" spans="1:61" ht="15.75" customHeight="1">
      <c r="A406" t="str">
        <f t="shared" si="135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0"/>
      <c r="U406" s="250"/>
      <c r="V406" s="274" t="s">
        <v>134</v>
      </c>
      <c r="W406" s="275"/>
      <c r="X406" s="275"/>
      <c r="Y406" s="275"/>
      <c r="Z406" s="276">
        <f>F27+F107+F193+F249+F313+F361</f>
        <v>1937855.6384335039</v>
      </c>
      <c r="AA406" s="275"/>
      <c r="AB406" s="275"/>
      <c r="AC406" s="276">
        <f>I27+I107+I193+I249+I313+I361</f>
        <v>1937855.6384335039</v>
      </c>
      <c r="AD406" s="277"/>
      <c r="AE406" s="278"/>
      <c r="AF406" s="278">
        <f>L27+L107+L193+L249+L313+L361</f>
        <v>2131721.5399999996</v>
      </c>
      <c r="AG406" s="277"/>
      <c r="AH406" s="278">
        <f>AF406-AC406</f>
        <v>193865.90156649565</v>
      </c>
      <c r="AI406" s="279">
        <f>AH406/AC406</f>
        <v>0.10004145702164388</v>
      </c>
      <c r="AJ406" s="277"/>
      <c r="AK406" s="278"/>
      <c r="AL406" s="278">
        <f>Q27+Q107+Q193+Q249+Q313+Q361</f>
        <v>1882405.73</v>
      </c>
      <c r="AM406" s="280"/>
      <c r="AN406" s="278">
        <f>AF406-AL406</f>
        <v>249315.80999999959</v>
      </c>
      <c r="AO406" s="281">
        <f>IF(AL406=0,0,AN406/AL406)</f>
        <v>0.1324453097579551</v>
      </c>
      <c r="AP406" s="250"/>
      <c r="AQ406" s="250"/>
      <c r="AR406" s="250"/>
      <c r="AS406" s="250"/>
      <c r="AT406" s="250"/>
      <c r="AU406" s="250"/>
      <c r="AV406" s="250"/>
      <c r="AW406" s="250"/>
      <c r="AX406" s="250"/>
      <c r="AY406" s="250"/>
      <c r="AZ406" s="250"/>
      <c r="BA406" s="250"/>
      <c r="BB406" s="250"/>
      <c r="BC406" s="250"/>
      <c r="BD406" s="250"/>
      <c r="BE406" s="250"/>
      <c r="BF406" s="250"/>
      <c r="BG406" s="250"/>
      <c r="BH406" s="250"/>
      <c r="BI406" s="250"/>
    </row>
    <row r="407" spans="1:61" ht="15.75" customHeight="1">
      <c r="A407" t="str">
        <f t="shared" si="135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0"/>
      <c r="U407" s="250"/>
      <c r="V407" s="282" t="s">
        <v>135</v>
      </c>
      <c r="W407" s="283"/>
      <c r="X407" s="283"/>
      <c r="Y407" s="283"/>
      <c r="Z407" s="284"/>
      <c r="AA407" s="283"/>
      <c r="AB407" s="283"/>
      <c r="AC407" s="284"/>
      <c r="AD407" s="285"/>
      <c r="AE407" s="283"/>
      <c r="AF407" s="286"/>
      <c r="AG407" s="285"/>
      <c r="AH407" s="286"/>
      <c r="AI407" s="287"/>
      <c r="AJ407" s="285"/>
      <c r="AK407" s="283"/>
      <c r="AL407" s="286"/>
      <c r="AM407" s="288"/>
      <c r="AN407" s="286"/>
      <c r="AO407" s="289"/>
      <c r="AP407" s="250"/>
      <c r="AQ407" s="250"/>
      <c r="AR407" s="250"/>
      <c r="AS407" s="250"/>
      <c r="AT407" s="250"/>
      <c r="AU407" s="250"/>
      <c r="AV407" s="250"/>
      <c r="AW407" s="250"/>
      <c r="AX407" s="250"/>
      <c r="AY407" s="250"/>
      <c r="AZ407" s="250"/>
      <c r="BA407" s="250"/>
      <c r="BB407" s="250"/>
      <c r="BC407" s="250"/>
      <c r="BD407" s="250"/>
      <c r="BE407" s="250"/>
      <c r="BF407" s="250"/>
      <c r="BG407" s="250"/>
      <c r="BH407" s="250"/>
      <c r="BI407" s="250"/>
    </row>
    <row r="408" spans="1:61" ht="15.75" customHeight="1">
      <c r="A408" t="str">
        <f t="shared" si="135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0"/>
      <c r="U408" s="250"/>
      <c r="V408" s="105" t="s">
        <v>32</v>
      </c>
      <c r="W408" s="290" t="s">
        <v>136</v>
      </c>
      <c r="X408" s="283"/>
      <c r="Y408" s="291">
        <f t="shared" ref="Y408:Y417" si="136">Z408/(D$13+D$96)</f>
        <v>608.69392879948748</v>
      </c>
      <c r="Z408" s="284">
        <f>+SUM(START:END!Z408)</f>
        <v>206098.79448963134</v>
      </c>
      <c r="AA408" s="283"/>
      <c r="AB408" s="291">
        <f t="shared" ref="AB408:AB417" si="137">IF(AC408=0,0,AC408/(G$13+G$96))</f>
        <v>608.69392879948748</v>
      </c>
      <c r="AC408" s="284">
        <f>+SUM(START:END!AC408)</f>
        <v>206098.79448963134</v>
      </c>
      <c r="AD408" s="292"/>
      <c r="AE408" s="291">
        <f t="shared" ref="AE408:AE413" si="138">IF(AF408=0,0,AF408/(J$13+J$96))</f>
        <v>802.97578571428573</v>
      </c>
      <c r="AF408" s="284">
        <f>+SUM(START:END!AF408)</f>
        <v>224833.22</v>
      </c>
      <c r="AG408" s="285">
        <f t="shared" ref="AG408:AH417" si="139">AE408-AB408</f>
        <v>194.28185691479825</v>
      </c>
      <c r="AH408" s="286">
        <f t="shared" si="139"/>
        <v>18734.425510368659</v>
      </c>
      <c r="AI408" s="287">
        <f>IF(AC408=0,0,AH408/AC408)</f>
        <v>9.0900218784691497E-2</v>
      </c>
      <c r="AJ408" s="292"/>
      <c r="AK408" s="286">
        <f t="shared" ref="AK408:AK417" si="140">AL408/(O$13+O$96)</f>
        <v>638.92150306748465</v>
      </c>
      <c r="AL408" s="284">
        <f t="shared" ref="AL408:AL417" si="141">+SUMIF($C:$C,$V408,Q:Q)</f>
        <v>208288.41</v>
      </c>
      <c r="AM408" s="288">
        <f t="shared" ref="AM408:AM417" si="142">AE408-Y408</f>
        <v>194.28185691479825</v>
      </c>
      <c r="AN408" s="286">
        <f t="shared" ref="AN408:AN430" si="143">AF408-AL408</f>
        <v>16544.809999999998</v>
      </c>
      <c r="AO408" s="293">
        <f>IF(AL408=0,0,AN408/AL408)</f>
        <v>7.9432216127628019E-2</v>
      </c>
      <c r="AP408" s="250"/>
      <c r="AQ408" s="250"/>
      <c r="AR408" s="7"/>
      <c r="AS408" s="250"/>
      <c r="AT408" s="250"/>
      <c r="AU408" s="250"/>
      <c r="AV408" s="250"/>
      <c r="AW408" s="250"/>
      <c r="AX408" s="250"/>
      <c r="AY408" s="250"/>
      <c r="AZ408" s="250"/>
      <c r="BA408" s="250"/>
      <c r="BB408" s="250"/>
      <c r="BC408" s="250"/>
      <c r="BD408" s="250"/>
      <c r="BE408" s="250"/>
      <c r="BF408" s="250"/>
      <c r="BG408" s="250"/>
      <c r="BH408" s="250"/>
      <c r="BI408" s="250"/>
    </row>
    <row r="409" spans="1:61" ht="15.75" customHeight="1">
      <c r="A409" t="str">
        <f t="shared" si="135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0"/>
      <c r="U409" s="250"/>
      <c r="V409" s="106" t="s">
        <v>33</v>
      </c>
      <c r="W409" s="294" t="s">
        <v>137</v>
      </c>
      <c r="X409" s="267"/>
      <c r="Y409" s="295">
        <f t="shared" si="136"/>
        <v>379.75207614146223</v>
      </c>
      <c r="Z409" s="268">
        <f>+SUM(START:END!Z409)</f>
        <v>128580.95242062477</v>
      </c>
      <c r="AA409" s="267"/>
      <c r="AB409" s="295">
        <f t="shared" si="137"/>
        <v>379.75207614146223</v>
      </c>
      <c r="AC409" s="268">
        <f>+SUM(START:END!AC409)</f>
        <v>128580.95242062477</v>
      </c>
      <c r="AD409" s="296"/>
      <c r="AE409" s="295">
        <f t="shared" si="138"/>
        <v>450.44835714285705</v>
      </c>
      <c r="AF409" s="268">
        <f>+SUM(START:END!AF409)</f>
        <v>126125.53999999998</v>
      </c>
      <c r="AG409" s="269">
        <f t="shared" si="139"/>
        <v>70.696281001394823</v>
      </c>
      <c r="AH409" s="270">
        <f t="shared" si="139"/>
        <v>-2455.4124206247943</v>
      </c>
      <c r="AI409" s="297">
        <f t="shared" ref="AI409:AI417" si="144">IF(AC409=0,0,AH409/AC409)</f>
        <v>-1.9096237618402793E-2</v>
      </c>
      <c r="AJ409" s="296"/>
      <c r="AK409" s="270">
        <f t="shared" si="140"/>
        <v>425.3770552147239</v>
      </c>
      <c r="AL409" s="268">
        <f t="shared" si="141"/>
        <v>138672.91999999998</v>
      </c>
      <c r="AM409" s="272">
        <f t="shared" si="142"/>
        <v>70.696281001394823</v>
      </c>
      <c r="AN409" s="270">
        <f t="shared" si="143"/>
        <v>-12547.380000000005</v>
      </c>
      <c r="AO409" s="298">
        <f t="shared" ref="AO409:AO417" si="145">IF(AL409=0,0,AN409/AL409)</f>
        <v>-9.0481833078873697E-2</v>
      </c>
      <c r="AP409" s="250"/>
      <c r="AQ409" s="250"/>
      <c r="AR409" s="14"/>
      <c r="AS409" s="250"/>
      <c r="AT409" s="250"/>
      <c r="AU409" s="250"/>
      <c r="AV409" s="250"/>
      <c r="AW409" s="250"/>
      <c r="AX409" s="250"/>
      <c r="AY409" s="250"/>
      <c r="AZ409" s="250"/>
      <c r="BA409" s="250"/>
      <c r="BB409" s="250"/>
      <c r="BC409" s="250"/>
      <c r="BD409" s="250"/>
      <c r="BE409" s="250"/>
      <c r="BF409" s="250"/>
      <c r="BG409" s="250"/>
      <c r="BH409" s="250"/>
      <c r="BI409" s="250"/>
    </row>
    <row r="410" spans="1:61" ht="15.75" customHeight="1">
      <c r="A410" t="str">
        <f t="shared" si="135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0"/>
      <c r="U410" s="250"/>
      <c r="V410" s="105" t="s">
        <v>34</v>
      </c>
      <c r="W410" s="290" t="s">
        <v>138</v>
      </c>
      <c r="X410" s="283"/>
      <c r="Y410" s="291">
        <f t="shared" si="136"/>
        <v>142.16756440724359</v>
      </c>
      <c r="Z410" s="284">
        <f>+SUM(START:END!Z410)</f>
        <v>48136.776553117146</v>
      </c>
      <c r="AA410" s="283"/>
      <c r="AB410" s="291">
        <f t="shared" si="137"/>
        <v>142.16756440724359</v>
      </c>
      <c r="AC410" s="284">
        <f>+SUM(START:END!AC410)</f>
        <v>48136.776553117146</v>
      </c>
      <c r="AD410" s="292"/>
      <c r="AE410" s="291">
        <f t="shared" si="138"/>
        <v>36.463821428571428</v>
      </c>
      <c r="AF410" s="284">
        <f>+SUM(START:END!AF410)</f>
        <v>10209.869999999999</v>
      </c>
      <c r="AG410" s="285">
        <f t="shared" si="139"/>
        <v>-105.70374297867215</v>
      </c>
      <c r="AH410" s="286">
        <f t="shared" si="139"/>
        <v>-37926.906553117151</v>
      </c>
      <c r="AI410" s="287">
        <f t="shared" si="144"/>
        <v>-0.78789875992768688</v>
      </c>
      <c r="AJ410" s="292"/>
      <c r="AK410" s="286">
        <f t="shared" si="140"/>
        <v>144.35469325153375</v>
      </c>
      <c r="AL410" s="284">
        <f t="shared" si="141"/>
        <v>47059.630000000005</v>
      </c>
      <c r="AM410" s="288">
        <f t="shared" si="142"/>
        <v>-105.70374297867215</v>
      </c>
      <c r="AN410" s="286">
        <f t="shared" si="143"/>
        <v>-36849.760000000009</v>
      </c>
      <c r="AO410" s="293">
        <f t="shared" si="145"/>
        <v>-0.78304398058378288</v>
      </c>
      <c r="AP410" s="250"/>
      <c r="AQ410" s="250"/>
      <c r="AR410" s="14"/>
      <c r="AS410" s="250"/>
      <c r="AT410" s="250"/>
      <c r="AU410" s="250"/>
      <c r="AV410" s="250"/>
      <c r="AW410" s="250"/>
      <c r="AX410" s="250"/>
      <c r="AY410" s="250"/>
      <c r="AZ410" s="250"/>
      <c r="BA410" s="250"/>
      <c r="BB410" s="250"/>
      <c r="BC410" s="250"/>
      <c r="BD410" s="250"/>
      <c r="BE410" s="250"/>
      <c r="BF410" s="250"/>
      <c r="BG410" s="250"/>
      <c r="BH410" s="250"/>
      <c r="BI410" s="250"/>
    </row>
    <row r="411" spans="1:61" ht="15.75" customHeight="1">
      <c r="A411" t="str">
        <f t="shared" si="13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0"/>
      <c r="U411" s="250"/>
      <c r="V411" s="105" t="s">
        <v>35</v>
      </c>
      <c r="W411" s="290" t="s">
        <v>139</v>
      </c>
      <c r="X411" s="283"/>
      <c r="Y411" s="291">
        <f t="shared" si="136"/>
        <v>17.310140514535899</v>
      </c>
      <c r="Z411" s="284">
        <f>+SUM(START:END!Z411)</f>
        <v>5861.0722461586993</v>
      </c>
      <c r="AA411" s="283"/>
      <c r="AB411" s="291">
        <f t="shared" si="137"/>
        <v>17.310140514535899</v>
      </c>
      <c r="AC411" s="284">
        <f>+SUM(START:END!AC411)</f>
        <v>5861.0722461586993</v>
      </c>
      <c r="AD411" s="292"/>
      <c r="AE411" s="291">
        <f t="shared" si="138"/>
        <v>1.3394285714285712</v>
      </c>
      <c r="AF411" s="284">
        <f>+SUM(START:END!AF411)</f>
        <v>375.03999999999996</v>
      </c>
      <c r="AG411" s="285">
        <f t="shared" si="139"/>
        <v>-15.970711943107327</v>
      </c>
      <c r="AH411" s="286">
        <f t="shared" si="139"/>
        <v>-5486.0322461586993</v>
      </c>
      <c r="AI411" s="287">
        <f t="shared" si="144"/>
        <v>-0.93601170839588299</v>
      </c>
      <c r="AJ411" s="292"/>
      <c r="AK411" s="286">
        <f t="shared" si="140"/>
        <v>13.301196319018404</v>
      </c>
      <c r="AL411" s="284">
        <f t="shared" si="141"/>
        <v>4336.1899999999996</v>
      </c>
      <c r="AM411" s="288">
        <f t="shared" si="142"/>
        <v>-15.970711943107327</v>
      </c>
      <c r="AN411" s="286">
        <f t="shared" si="143"/>
        <v>-3961.1499999999996</v>
      </c>
      <c r="AO411" s="299">
        <f t="shared" si="145"/>
        <v>-0.91350932500651494</v>
      </c>
      <c r="AP411" s="250"/>
      <c r="AQ411" s="250"/>
      <c r="AR411" s="14"/>
      <c r="AS411" s="250"/>
      <c r="AT411" s="250"/>
      <c r="AU411" s="250"/>
      <c r="AV411" s="250"/>
      <c r="AW411" s="250"/>
      <c r="AX411" s="250"/>
      <c r="AY411" s="250"/>
      <c r="AZ411" s="250"/>
      <c r="BA411" s="250"/>
      <c r="BB411" s="250"/>
      <c r="BC411" s="250"/>
      <c r="BD411" s="250"/>
      <c r="BE411" s="250"/>
      <c r="BF411" s="250"/>
      <c r="BG411" s="250"/>
      <c r="BH411" s="250"/>
      <c r="BI411" s="250"/>
    </row>
    <row r="412" spans="1:61" ht="15.75" customHeight="1">
      <c r="A412" t="str">
        <f t="shared" si="13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0"/>
      <c r="U412" s="250"/>
      <c r="V412" s="106" t="s">
        <v>36</v>
      </c>
      <c r="W412" s="294"/>
      <c r="X412" s="267"/>
      <c r="Y412" s="295">
        <f t="shared" si="136"/>
        <v>44.557004483156369</v>
      </c>
      <c r="Z412" s="268">
        <f>+SUM(START:END!Z412)</f>
        <v>15086.637923528046</v>
      </c>
      <c r="AA412" s="267"/>
      <c r="AB412" s="295">
        <f t="shared" si="137"/>
        <v>44.557004483156369</v>
      </c>
      <c r="AC412" s="268">
        <f>+SUM(START:END!AC412)</f>
        <v>15086.637923528046</v>
      </c>
      <c r="AD412" s="296"/>
      <c r="AE412" s="295">
        <f t="shared" si="138"/>
        <v>117.40742857142858</v>
      </c>
      <c r="AF412" s="268">
        <f>+SUM(START:END!AF412)</f>
        <v>32874.080000000002</v>
      </c>
      <c r="AG412" s="269">
        <f t="shared" si="139"/>
        <v>72.850424088272206</v>
      </c>
      <c r="AH412" s="270">
        <f t="shared" si="139"/>
        <v>17787.442076471954</v>
      </c>
      <c r="AI412" s="297">
        <f t="shared" si="144"/>
        <v>1.1790196176665662</v>
      </c>
      <c r="AJ412" s="296"/>
      <c r="AK412" s="270">
        <f t="shared" si="140"/>
        <v>43.197147239263799</v>
      </c>
      <c r="AL412" s="268">
        <f t="shared" si="141"/>
        <v>14082.269999999999</v>
      </c>
      <c r="AM412" s="272">
        <f t="shared" si="142"/>
        <v>72.850424088272206</v>
      </c>
      <c r="AN412" s="270">
        <f t="shared" si="143"/>
        <v>18791.810000000005</v>
      </c>
      <c r="AO412" s="298">
        <f t="shared" si="145"/>
        <v>1.3344304575895793</v>
      </c>
      <c r="AP412" s="250"/>
      <c r="AQ412" s="250"/>
      <c r="AR412" s="14"/>
      <c r="AS412" s="250"/>
      <c r="AT412" s="250"/>
      <c r="AU412" s="250"/>
      <c r="AV412" s="250"/>
      <c r="AW412" s="250"/>
      <c r="AX412" s="250"/>
      <c r="AY412" s="250"/>
      <c r="AZ412" s="250"/>
      <c r="BA412" s="250"/>
      <c r="BB412" s="250"/>
      <c r="BC412" s="250"/>
      <c r="BD412" s="250"/>
      <c r="BE412" s="250"/>
      <c r="BF412" s="250"/>
      <c r="BG412" s="250"/>
      <c r="BH412" s="250"/>
      <c r="BI412" s="250"/>
    </row>
    <row r="413" spans="1:61" ht="15.75" customHeight="1">
      <c r="A413" t="str">
        <f t="shared" si="13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0"/>
      <c r="U413" s="250"/>
      <c r="V413" s="105" t="s">
        <v>37</v>
      </c>
      <c r="W413" s="290" t="s">
        <v>140</v>
      </c>
      <c r="X413" s="287"/>
      <c r="Y413" s="291">
        <f t="shared" si="136"/>
        <v>151.86329912690488</v>
      </c>
      <c r="Z413" s="284">
        <f>+SUM(START:END!Z413)</f>
        <v>51419.673166452216</v>
      </c>
      <c r="AA413" s="287"/>
      <c r="AB413" s="291">
        <f t="shared" si="137"/>
        <v>151.86329912690488</v>
      </c>
      <c r="AC413" s="284">
        <f>+SUM(START:END!AC413)</f>
        <v>51419.673166452216</v>
      </c>
      <c r="AD413" s="292"/>
      <c r="AE413" s="291">
        <f t="shared" si="138"/>
        <v>122.01557142857143</v>
      </c>
      <c r="AF413" s="284">
        <f>+SUM(START:END!AF413)</f>
        <v>34164.36</v>
      </c>
      <c r="AG413" s="285">
        <f t="shared" si="139"/>
        <v>-29.847727698333443</v>
      </c>
      <c r="AH413" s="286">
        <f t="shared" si="139"/>
        <v>-17255.313166452215</v>
      </c>
      <c r="AI413" s="287">
        <f t="shared" si="144"/>
        <v>-0.33557804054091334</v>
      </c>
      <c r="AJ413" s="292"/>
      <c r="AK413" s="286">
        <f t="shared" si="140"/>
        <v>107.27150306748467</v>
      </c>
      <c r="AL413" s="284">
        <f t="shared" si="141"/>
        <v>34970.51</v>
      </c>
      <c r="AM413" s="288">
        <f t="shared" si="142"/>
        <v>-29.847727698333443</v>
      </c>
      <c r="AN413" s="286">
        <f t="shared" si="143"/>
        <v>-806.15000000000146</v>
      </c>
      <c r="AO413" s="293">
        <f t="shared" si="145"/>
        <v>-2.3052280335631406E-2</v>
      </c>
      <c r="AP413" s="250"/>
      <c r="AQ413" s="250"/>
      <c r="AR413" s="14"/>
      <c r="AS413" s="250"/>
      <c r="AT413" s="250"/>
      <c r="AU413" s="250"/>
      <c r="AV413" s="250"/>
      <c r="AW413" s="250"/>
      <c r="AX413" s="250"/>
      <c r="AY413" s="250"/>
      <c r="AZ413" s="250"/>
      <c r="BA413" s="250"/>
      <c r="BB413" s="250"/>
      <c r="BC413" s="250"/>
      <c r="BD413" s="250"/>
      <c r="BE413" s="250"/>
      <c r="BF413" s="250"/>
      <c r="BG413" s="250"/>
      <c r="BH413" s="250"/>
      <c r="BI413" s="250"/>
    </row>
    <row r="414" spans="1:61" ht="15.75" customHeight="1">
      <c r="A414" t="str">
        <f t="shared" si="135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0"/>
      <c r="U414" s="250"/>
      <c r="V414" s="105" t="s">
        <v>38</v>
      </c>
      <c r="W414" s="290" t="s">
        <v>141</v>
      </c>
      <c r="X414" s="283"/>
      <c r="Y414" s="291">
        <f t="shared" si="136"/>
        <v>76.294112699284298</v>
      </c>
      <c r="Z414" s="284">
        <f>+SUM(START:END!Z414)</f>
        <v>25832.563641616871</v>
      </c>
      <c r="AA414" s="283"/>
      <c r="AB414" s="291">
        <f t="shared" si="137"/>
        <v>76.294112699284298</v>
      </c>
      <c r="AC414" s="284">
        <f>+SUM(START:END!AC414)</f>
        <v>25832.563641616871</v>
      </c>
      <c r="AD414" s="292"/>
      <c r="AE414" s="291">
        <f>IF(AF414=0,0,AF414/(J$13+J$13))</f>
        <v>69.43038235294118</v>
      </c>
      <c r="AF414" s="284">
        <f>+SUM(START:END!AF414)</f>
        <v>23606.33</v>
      </c>
      <c r="AG414" s="285">
        <f t="shared" si="139"/>
        <v>-6.8637303463431181</v>
      </c>
      <c r="AH414" s="286">
        <f t="shared" si="139"/>
        <v>-2226.2336416168691</v>
      </c>
      <c r="AI414" s="287">
        <f t="shared" si="144"/>
        <v>-8.6179353799417491E-2</v>
      </c>
      <c r="AJ414" s="292"/>
      <c r="AK414" s="286">
        <f t="shared" si="140"/>
        <v>112.97150306748466</v>
      </c>
      <c r="AL414" s="284">
        <f t="shared" si="141"/>
        <v>36828.71</v>
      </c>
      <c r="AM414" s="288">
        <f t="shared" si="142"/>
        <v>-6.8637303463431181</v>
      </c>
      <c r="AN414" s="286">
        <f t="shared" si="143"/>
        <v>-13222.379999999997</v>
      </c>
      <c r="AO414" s="293">
        <f t="shared" si="145"/>
        <v>-0.35902370731964267</v>
      </c>
      <c r="AP414" s="250"/>
      <c r="AQ414" s="250"/>
      <c r="AR414" s="14"/>
      <c r="AS414" s="250"/>
      <c r="AT414" s="250"/>
      <c r="AU414" s="250"/>
      <c r="AV414" s="250"/>
      <c r="AW414" s="250"/>
      <c r="AX414" s="250"/>
      <c r="AY414" s="250"/>
      <c r="AZ414" s="250"/>
      <c r="BA414" s="250"/>
      <c r="BB414" s="250"/>
      <c r="BC414" s="250"/>
      <c r="BD414" s="250"/>
      <c r="BE414" s="250"/>
      <c r="BF414" s="250"/>
      <c r="BG414" s="250"/>
      <c r="BH414" s="250"/>
      <c r="BI414" s="250"/>
    </row>
    <row r="415" spans="1:61" ht="15.75" hidden="1" customHeight="1">
      <c r="A415" t="str">
        <f t="shared" si="13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0"/>
      <c r="U415" s="250"/>
      <c r="V415" s="105" t="s">
        <v>21</v>
      </c>
      <c r="W415" s="290"/>
      <c r="X415" s="287"/>
      <c r="Y415" s="291">
        <f t="shared" si="136"/>
        <v>0</v>
      </c>
      <c r="Z415" s="284">
        <f t="shared" ref="Z415:Z417" si="146">+SUMIF($C:$C,$V415,F:F)</f>
        <v>0</v>
      </c>
      <c r="AA415" s="283"/>
      <c r="AB415" s="291">
        <f t="shared" si="137"/>
        <v>0</v>
      </c>
      <c r="AC415" s="284">
        <f t="shared" ref="AC415:AC417" si="147">+SUMIF($C:$C,$V415,I:I)</f>
        <v>0</v>
      </c>
      <c r="AD415" s="292"/>
      <c r="AE415" s="291">
        <f t="shared" ref="AE415:AE417" si="148">IF(AF415=0,0,AF415/(J$13+J$13))</f>
        <v>0</v>
      </c>
      <c r="AF415" s="284">
        <f t="shared" ref="AF415:AF417" si="149">+SUMIF($C:$C,$V415,L:L)</f>
        <v>0</v>
      </c>
      <c r="AG415" s="285">
        <f t="shared" si="139"/>
        <v>0</v>
      </c>
      <c r="AH415" s="286">
        <f t="shared" si="139"/>
        <v>0</v>
      </c>
      <c r="AI415" s="287">
        <f t="shared" si="144"/>
        <v>0</v>
      </c>
      <c r="AJ415" s="292"/>
      <c r="AK415" s="286">
        <f t="shared" si="140"/>
        <v>0</v>
      </c>
      <c r="AL415" s="284">
        <f t="shared" si="141"/>
        <v>0</v>
      </c>
      <c r="AM415" s="288">
        <f t="shared" si="142"/>
        <v>0</v>
      </c>
      <c r="AN415" s="286">
        <f t="shared" si="143"/>
        <v>0</v>
      </c>
      <c r="AO415" s="293">
        <f t="shared" si="145"/>
        <v>0</v>
      </c>
      <c r="AP415" s="250"/>
      <c r="AQ415" s="250"/>
      <c r="AR415" s="14"/>
      <c r="AS415" s="250"/>
      <c r="AT415" s="250"/>
      <c r="AU415" s="250"/>
      <c r="AV415" s="250"/>
      <c r="AW415" s="250"/>
      <c r="AX415" s="250"/>
      <c r="AY415" s="250"/>
      <c r="AZ415" s="250"/>
      <c r="BA415" s="250"/>
      <c r="BB415" s="250"/>
      <c r="BC415" s="250"/>
      <c r="BD415" s="250"/>
      <c r="BE415" s="250"/>
      <c r="BF415" s="250"/>
      <c r="BG415" s="250"/>
      <c r="BH415" s="250"/>
      <c r="BI415" s="250"/>
    </row>
    <row r="416" spans="1:61" ht="15.75" hidden="1" customHeight="1">
      <c r="A416" t="str">
        <f t="shared" si="13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0"/>
      <c r="U416" s="250"/>
      <c r="V416" s="105" t="s">
        <v>21</v>
      </c>
      <c r="W416" s="290"/>
      <c r="X416" s="287"/>
      <c r="Y416" s="291">
        <f t="shared" si="136"/>
        <v>0</v>
      </c>
      <c r="Z416" s="284">
        <f t="shared" si="146"/>
        <v>0</v>
      </c>
      <c r="AA416" s="283"/>
      <c r="AB416" s="291">
        <f t="shared" si="137"/>
        <v>0</v>
      </c>
      <c r="AC416" s="284">
        <f t="shared" si="147"/>
        <v>0</v>
      </c>
      <c r="AD416" s="292"/>
      <c r="AE416" s="291">
        <f t="shared" si="148"/>
        <v>0</v>
      </c>
      <c r="AF416" s="284">
        <f t="shared" si="149"/>
        <v>0</v>
      </c>
      <c r="AG416" s="285">
        <f t="shared" si="139"/>
        <v>0</v>
      </c>
      <c r="AH416" s="286">
        <f t="shared" si="139"/>
        <v>0</v>
      </c>
      <c r="AI416" s="287">
        <f t="shared" si="144"/>
        <v>0</v>
      </c>
      <c r="AJ416" s="292"/>
      <c r="AK416" s="286">
        <f t="shared" si="140"/>
        <v>0</v>
      </c>
      <c r="AL416" s="284">
        <f t="shared" si="141"/>
        <v>0</v>
      </c>
      <c r="AM416" s="288">
        <f t="shared" si="142"/>
        <v>0</v>
      </c>
      <c r="AN416" s="286">
        <f t="shared" si="143"/>
        <v>0</v>
      </c>
      <c r="AO416" s="293">
        <f t="shared" si="145"/>
        <v>0</v>
      </c>
      <c r="AP416" s="250"/>
      <c r="AQ416" s="250"/>
      <c r="AR416" s="14"/>
      <c r="AS416" s="250"/>
      <c r="AT416" s="250"/>
      <c r="AU416" s="250"/>
      <c r="AV416" s="250"/>
      <c r="AW416" s="250"/>
      <c r="AX416" s="250"/>
      <c r="AY416" s="250"/>
      <c r="AZ416" s="250"/>
      <c r="BA416" s="250"/>
      <c r="BB416" s="250"/>
      <c r="BC416" s="250"/>
      <c r="BD416" s="250"/>
      <c r="BE416" s="250"/>
      <c r="BF416" s="250"/>
      <c r="BG416" s="250"/>
      <c r="BH416" s="250"/>
      <c r="BI416" s="250"/>
    </row>
    <row r="417" spans="1:61" ht="15.75" hidden="1" customHeight="1">
      <c r="A417" t="str">
        <f t="shared" si="13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0"/>
      <c r="U417" s="250"/>
      <c r="V417" s="105" t="s">
        <v>21</v>
      </c>
      <c r="W417" s="290" t="s">
        <v>141</v>
      </c>
      <c r="X417" s="283"/>
      <c r="Y417" s="291">
        <f t="shared" si="136"/>
        <v>0</v>
      </c>
      <c r="Z417" s="284">
        <f t="shared" si="146"/>
        <v>0</v>
      </c>
      <c r="AA417" s="283"/>
      <c r="AB417" s="291">
        <f t="shared" si="137"/>
        <v>0</v>
      </c>
      <c r="AC417" s="284">
        <f t="shared" si="147"/>
        <v>0</v>
      </c>
      <c r="AD417" s="292"/>
      <c r="AE417" s="291">
        <f t="shared" si="148"/>
        <v>0</v>
      </c>
      <c r="AF417" s="284">
        <f t="shared" si="149"/>
        <v>0</v>
      </c>
      <c r="AG417" s="285">
        <f t="shared" si="139"/>
        <v>0</v>
      </c>
      <c r="AH417" s="286">
        <f t="shared" si="139"/>
        <v>0</v>
      </c>
      <c r="AI417" s="287">
        <f t="shared" si="144"/>
        <v>0</v>
      </c>
      <c r="AJ417" s="292"/>
      <c r="AK417" s="286">
        <f t="shared" si="140"/>
        <v>0</v>
      </c>
      <c r="AL417" s="284">
        <f t="shared" si="141"/>
        <v>0</v>
      </c>
      <c r="AM417" s="288">
        <f t="shared" si="142"/>
        <v>0</v>
      </c>
      <c r="AN417" s="286">
        <f t="shared" si="143"/>
        <v>0</v>
      </c>
      <c r="AO417" s="293">
        <f t="shared" si="145"/>
        <v>0</v>
      </c>
      <c r="AP417" s="250"/>
      <c r="AQ417" s="250"/>
      <c r="AR417" s="14"/>
      <c r="AS417" s="250"/>
      <c r="AT417" s="250"/>
      <c r="AU417" s="250"/>
      <c r="AV417" s="250"/>
      <c r="AW417" s="250"/>
      <c r="AX417" s="250"/>
      <c r="AY417" s="250"/>
      <c r="AZ417" s="250"/>
      <c r="BA417" s="250"/>
      <c r="BB417" s="250"/>
      <c r="BC417" s="250"/>
      <c r="BD417" s="250"/>
      <c r="BE417" s="250"/>
      <c r="BF417" s="250"/>
      <c r="BG417" s="250"/>
      <c r="BH417" s="250"/>
      <c r="BI417" s="250"/>
    </row>
    <row r="418" spans="1:61" ht="15.75" customHeight="1">
      <c r="A418" t="str">
        <f t="shared" si="135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0"/>
      <c r="U418" s="250"/>
      <c r="V418" s="300" t="s">
        <v>39</v>
      </c>
      <c r="W418" s="301"/>
      <c r="X418" s="302">
        <f>Z418/Z406</f>
        <v>0.2482210031031859</v>
      </c>
      <c r="Y418" s="301"/>
      <c r="Z418" s="303">
        <f>SUM(Z408:Z417)</f>
        <v>481016.47044112906</v>
      </c>
      <c r="AA418" s="302">
        <f>AC418/AC406</f>
        <v>0.2482210031031859</v>
      </c>
      <c r="AB418" s="301"/>
      <c r="AC418" s="303">
        <f>SUM(AC408:AC417)</f>
        <v>481016.47044112906</v>
      </c>
      <c r="AD418" s="304">
        <f>AF418/AF406</f>
        <v>0.21212359659320237</v>
      </c>
      <c r="AE418" s="301"/>
      <c r="AF418" s="303">
        <f>SUM(AF408:AF417)</f>
        <v>452188.44</v>
      </c>
      <c r="AG418" s="305"/>
      <c r="AH418" s="306">
        <f>AF418-AC418</f>
        <v>-28828.030441129056</v>
      </c>
      <c r="AI418" s="302">
        <f>AH418/AC418</f>
        <v>-5.9931483041924818E-2</v>
      </c>
      <c r="AJ418" s="304">
        <f>IF($AL$406=0,0,AL418/$AL$406)</f>
        <v>0.25724456331738854</v>
      </c>
      <c r="AK418" s="301"/>
      <c r="AL418" s="303">
        <f>SUM(AL408:AL417)</f>
        <v>484238.64</v>
      </c>
      <c r="AM418" s="307"/>
      <c r="AN418" s="306">
        <f t="shared" si="143"/>
        <v>-32050.200000000012</v>
      </c>
      <c r="AO418" s="281">
        <f>IF(AL418=0,0,AN418/AL418)</f>
        <v>-6.6186787572342448E-2</v>
      </c>
      <c r="AP418" s="250"/>
      <c r="AQ418" s="250"/>
      <c r="AR418" s="14"/>
      <c r="AS418" s="250"/>
      <c r="AT418" s="250"/>
      <c r="AU418" s="250"/>
      <c r="AV418" s="250"/>
      <c r="AW418" s="250"/>
      <c r="AX418" s="250"/>
      <c r="AY418" s="250"/>
      <c r="AZ418" s="250"/>
      <c r="BA418" s="250"/>
      <c r="BB418" s="250"/>
      <c r="BC418" s="250"/>
      <c r="BD418" s="250"/>
      <c r="BE418" s="250"/>
      <c r="BF418" s="250"/>
      <c r="BG418" s="250"/>
      <c r="BH418" s="250"/>
      <c r="BI418" s="250"/>
    </row>
    <row r="419" spans="1:61" ht="15.75" customHeight="1">
      <c r="A419" t="str">
        <f t="shared" si="135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08"/>
      <c r="P419" s="159"/>
      <c r="Q419" s="11"/>
      <c r="R419" s="11"/>
      <c r="S419" s="11"/>
      <c r="T419" s="250"/>
      <c r="U419" s="250"/>
      <c r="V419" s="105" t="s">
        <v>142</v>
      </c>
      <c r="W419" s="290" t="s">
        <v>143</v>
      </c>
      <c r="X419" s="283"/>
      <c r="Y419" s="283"/>
      <c r="Z419" s="284">
        <f>+SUM(START:END!Z419)</f>
        <v>46492.642640000005</v>
      </c>
      <c r="AA419" s="292">
        <f>AC418/(AC406+AC480)</f>
        <v>0.20342117712159447</v>
      </c>
      <c r="AB419" s="283"/>
      <c r="AC419" s="284">
        <f>+SUM(START:END!AC419)</f>
        <v>46492.642640000005</v>
      </c>
      <c r="AD419" s="292">
        <f>AF418/(AF406+AF480)</f>
        <v>0.17628157476395437</v>
      </c>
      <c r="AE419" s="291"/>
      <c r="AF419" s="284">
        <f>+SUM(START:END!AF419)</f>
        <v>47598.869999999995</v>
      </c>
      <c r="AG419" s="285"/>
      <c r="AH419" s="286">
        <f t="shared" ref="AH419:AH430" si="150">AF419-AC419</f>
        <v>1106.2273599999899</v>
      </c>
      <c r="AI419" s="287">
        <f>IF(AC419=0,0,AH419/AC419)</f>
        <v>2.3793600388897784E-2</v>
      </c>
      <c r="AJ419" s="292"/>
      <c r="AK419" s="283"/>
      <c r="AL419" s="284">
        <f>+SUM(START:END!AL419)</f>
        <v>15854.91</v>
      </c>
      <c r="AM419" s="288"/>
      <c r="AN419" s="286">
        <f t="shared" si="143"/>
        <v>31743.959999999995</v>
      </c>
      <c r="AO419" s="293">
        <f t="shared" ref="AO419:AO430" si="151">IF(AL419=0,0,AN419/AL419)</f>
        <v>2.0021532761775371</v>
      </c>
      <c r="AP419" s="250"/>
      <c r="AQ419" s="250"/>
      <c r="AR419" s="250"/>
      <c r="AS419" s="250"/>
      <c r="AT419" s="250"/>
      <c r="AU419" s="250"/>
      <c r="AV419" s="250"/>
      <c r="AW419" s="250"/>
      <c r="AX419" s="250"/>
      <c r="AY419" s="250"/>
      <c r="AZ419" s="250"/>
      <c r="BA419" s="250"/>
      <c r="BB419" s="250"/>
      <c r="BC419" s="250"/>
      <c r="BD419" s="250"/>
      <c r="BE419" s="250"/>
      <c r="BF419" s="250"/>
      <c r="BG419" s="250"/>
      <c r="BH419" s="250"/>
      <c r="BI419" s="250"/>
    </row>
    <row r="420" spans="1:61" ht="15.75" customHeight="1">
      <c r="A420" t="str">
        <f t="shared" si="13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08"/>
      <c r="P420" s="159"/>
      <c r="Q420" s="11"/>
      <c r="R420" s="11"/>
      <c r="S420" s="11"/>
      <c r="T420" s="250"/>
      <c r="U420" s="250"/>
      <c r="V420" s="105" t="s">
        <v>42</v>
      </c>
      <c r="W420" s="290" t="s">
        <v>144</v>
      </c>
      <c r="X420" s="283"/>
      <c r="Y420" s="283"/>
      <c r="Z420" s="284">
        <f>+SUM(START:END!Z420)</f>
        <v>115403.25287356321</v>
      </c>
      <c r="AA420" s="283"/>
      <c r="AB420" s="283"/>
      <c r="AC420" s="284">
        <f>+SUM(START:END!AC420)</f>
        <v>115403.25287356321</v>
      </c>
      <c r="AD420" s="292"/>
      <c r="AE420" s="291"/>
      <c r="AF420" s="284">
        <f>+SUM(START:END!AF420)</f>
        <v>153164.94</v>
      </c>
      <c r="AG420" s="285"/>
      <c r="AH420" s="286">
        <f t="shared" si="150"/>
        <v>37761.687126436795</v>
      </c>
      <c r="AI420" s="287">
        <f t="shared" ref="AI420:AI430" si="152">IF(AC420=0,0,AH420/AC420)</f>
        <v>0.3272151017078247</v>
      </c>
      <c r="AJ420" s="292"/>
      <c r="AK420" s="283"/>
      <c r="AL420" s="284">
        <f>+SUM(START:END!AL420)</f>
        <v>118766.15</v>
      </c>
      <c r="AM420" s="288"/>
      <c r="AN420" s="286">
        <f t="shared" si="143"/>
        <v>34398.790000000008</v>
      </c>
      <c r="AO420" s="293">
        <f t="shared" si="151"/>
        <v>0.28963463074285062</v>
      </c>
      <c r="AP420" s="250"/>
      <c r="AQ420" s="250"/>
      <c r="AR420" s="250"/>
      <c r="AS420" s="250"/>
      <c r="AT420" s="250"/>
      <c r="AU420" s="250"/>
      <c r="AV420" s="250"/>
      <c r="AW420" s="250"/>
      <c r="AX420" s="250"/>
      <c r="AY420" s="250"/>
      <c r="AZ420" s="250"/>
      <c r="BA420" s="250"/>
      <c r="BB420" s="250"/>
      <c r="BC420" s="250"/>
      <c r="BD420" s="250"/>
      <c r="BE420" s="250"/>
      <c r="BF420" s="250"/>
      <c r="BG420" s="250"/>
      <c r="BH420" s="250"/>
      <c r="BI420" s="250"/>
    </row>
    <row r="421" spans="1:61" ht="15.75" customHeight="1">
      <c r="A421" t="str">
        <f t="shared" si="135"/>
        <v>Salaires commis</v>
      </c>
      <c r="B421" s="7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309"/>
      <c r="P421" s="159"/>
      <c r="Q421" s="250"/>
      <c r="R421" s="250"/>
      <c r="S421" s="250"/>
      <c r="T421" s="250"/>
      <c r="U421" s="250"/>
      <c r="V421" s="106" t="s">
        <v>43</v>
      </c>
      <c r="W421" s="294" t="s">
        <v>145</v>
      </c>
      <c r="X421" s="267"/>
      <c r="Y421" s="267"/>
      <c r="Z421" s="268">
        <f>+SUM(START:END!Z421)</f>
        <v>80196.847837701163</v>
      </c>
      <c r="AA421" s="267"/>
      <c r="AB421" s="267"/>
      <c r="AC421" s="268">
        <f>+SUM(START:END!AC421)</f>
        <v>80196.847837701163</v>
      </c>
      <c r="AD421" s="296"/>
      <c r="AE421" s="295"/>
      <c r="AF421" s="268">
        <f>+SUM(START:END!AF421)</f>
        <v>59332.87</v>
      </c>
      <c r="AG421" s="269"/>
      <c r="AH421" s="270">
        <f t="shared" si="150"/>
        <v>-20863.977837701161</v>
      </c>
      <c r="AI421" s="297">
        <f t="shared" si="152"/>
        <v>-0.26015957484918556</v>
      </c>
      <c r="AJ421" s="296"/>
      <c r="AK421" s="267"/>
      <c r="AL421" s="268">
        <f>+SUM(START:END!AL421)</f>
        <v>74510.149999999994</v>
      </c>
      <c r="AM421" s="272"/>
      <c r="AN421" s="270">
        <f t="shared" si="143"/>
        <v>-15177.279999999992</v>
      </c>
      <c r="AO421" s="273">
        <f t="shared" si="151"/>
        <v>-0.20369412757859154</v>
      </c>
      <c r="AP421" s="250"/>
      <c r="AQ421" s="250"/>
      <c r="AR421" s="250"/>
      <c r="AS421" s="250"/>
      <c r="AT421" s="250"/>
      <c r="AU421" s="250"/>
      <c r="AV421" s="250"/>
      <c r="AW421" s="250"/>
      <c r="AX421" s="250"/>
      <c r="AY421" s="250"/>
      <c r="AZ421" s="250"/>
      <c r="BA421" s="250"/>
      <c r="BB421" s="250"/>
      <c r="BC421" s="250"/>
      <c r="BD421" s="250"/>
      <c r="BE421" s="250"/>
      <c r="BF421" s="250"/>
      <c r="BG421" s="250"/>
      <c r="BH421" s="250"/>
      <c r="BI421" s="250"/>
    </row>
    <row r="422" spans="1:61" ht="15.75" customHeight="1">
      <c r="A422" t="str">
        <f t="shared" si="135"/>
        <v>Salaires autres</v>
      </c>
      <c r="B422" s="7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309"/>
      <c r="P422" s="159"/>
      <c r="Q422" s="250"/>
      <c r="R422" s="250"/>
      <c r="S422" s="250"/>
      <c r="T422" s="250"/>
      <c r="U422" s="250"/>
      <c r="V422" s="105" t="s">
        <v>44</v>
      </c>
      <c r="W422" s="290" t="s">
        <v>146</v>
      </c>
      <c r="X422" s="283"/>
      <c r="Y422" s="283"/>
      <c r="Z422" s="284">
        <f>+SUM(START:END!Z422)</f>
        <v>170734.64678068965</v>
      </c>
      <c r="AA422" s="283"/>
      <c r="AB422" s="283"/>
      <c r="AC422" s="284">
        <f>+SUM(START:END!AC422)</f>
        <v>170734.64678068965</v>
      </c>
      <c r="AD422" s="292"/>
      <c r="AE422" s="291"/>
      <c r="AF422" s="284">
        <f>+SUM(START:END!AF422)</f>
        <v>164713.83000000002</v>
      </c>
      <c r="AG422" s="285"/>
      <c r="AH422" s="286">
        <f t="shared" si="150"/>
        <v>-6020.8167806896381</v>
      </c>
      <c r="AI422" s="287">
        <f t="shared" si="152"/>
        <v>-3.5264176862845165E-2</v>
      </c>
      <c r="AJ422" s="292"/>
      <c r="AK422" s="283"/>
      <c r="AL422" s="284">
        <f>+SUM(START:END!AL422)</f>
        <v>147910.51999999999</v>
      </c>
      <c r="AM422" s="288"/>
      <c r="AN422" s="286">
        <f t="shared" si="143"/>
        <v>16803.310000000027</v>
      </c>
      <c r="AO422" s="293">
        <f t="shared" si="151"/>
        <v>0.11360456308313992</v>
      </c>
      <c r="AP422" s="250"/>
      <c r="AQ422" s="250"/>
      <c r="AR422" s="250"/>
      <c r="AS422" s="250"/>
      <c r="AT422" s="250"/>
      <c r="AU422" s="250"/>
      <c r="AV422" s="250"/>
      <c r="AW422" s="250"/>
      <c r="AX422" s="250"/>
      <c r="AY422" s="250"/>
      <c r="AZ422" s="250"/>
      <c r="BA422" s="250"/>
      <c r="BB422" s="250"/>
      <c r="BC422" s="250"/>
      <c r="BD422" s="250"/>
      <c r="BE422" s="250"/>
      <c r="BF422" s="250"/>
      <c r="BG422" s="250"/>
      <c r="BH422" s="250"/>
      <c r="BI422" s="250"/>
    </row>
    <row r="423" spans="1:61" ht="15.75" customHeight="1">
      <c r="A423" t="str">
        <f t="shared" si="135"/>
        <v>Salaires spécialistes</v>
      </c>
      <c r="B423" s="7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309"/>
      <c r="P423" s="159"/>
      <c r="Q423" s="250"/>
      <c r="R423" s="250"/>
      <c r="S423" s="250"/>
      <c r="T423" s="250"/>
      <c r="U423" s="250"/>
      <c r="V423" s="105" t="s">
        <v>45</v>
      </c>
      <c r="W423" s="290" t="s">
        <v>147</v>
      </c>
      <c r="X423" s="283"/>
      <c r="Y423" s="283"/>
      <c r="Z423" s="284">
        <f>+SUM(START:END!Z423)</f>
        <v>92853.047037040029</v>
      </c>
      <c r="AA423" s="283"/>
      <c r="AB423" s="283"/>
      <c r="AC423" s="284">
        <f>+SUM(START:END!AC423)</f>
        <v>92853.047037040029</v>
      </c>
      <c r="AD423" s="292"/>
      <c r="AE423" s="291"/>
      <c r="AF423" s="284">
        <f>+SUM(START:END!AF423)</f>
        <v>88311.33</v>
      </c>
      <c r="AG423" s="285"/>
      <c r="AH423" s="286">
        <f t="shared" si="150"/>
        <v>-4541.7170370400272</v>
      </c>
      <c r="AI423" s="287">
        <f t="shared" si="152"/>
        <v>-4.8912956353799462E-2</v>
      </c>
      <c r="AJ423" s="292"/>
      <c r="AK423" s="283"/>
      <c r="AL423" s="284">
        <f>+SUM(START:END!AL423)</f>
        <v>61234.55</v>
      </c>
      <c r="AM423" s="288"/>
      <c r="AN423" s="286">
        <f t="shared" si="143"/>
        <v>27076.78</v>
      </c>
      <c r="AO423" s="293">
        <f t="shared" si="151"/>
        <v>0.44218141555706703</v>
      </c>
      <c r="AP423" s="250"/>
      <c r="AQ423" s="250"/>
      <c r="AR423" s="250"/>
      <c r="AS423" s="250"/>
      <c r="AT423" s="250"/>
      <c r="AU423" s="250"/>
      <c r="AV423" s="250"/>
      <c r="AW423" s="250"/>
      <c r="AX423" s="250"/>
      <c r="AY423" s="250"/>
      <c r="AZ423" s="250"/>
      <c r="BA423" s="250"/>
      <c r="BB423" s="250"/>
      <c r="BC423" s="250"/>
      <c r="BD423" s="250"/>
      <c r="BE423" s="250"/>
      <c r="BF423" s="250"/>
      <c r="BG423" s="250"/>
      <c r="BH423" s="250"/>
      <c r="BI423" s="250"/>
    </row>
    <row r="424" spans="1:61" ht="15.75" hidden="1" customHeight="1">
      <c r="A424" t="str">
        <f t="shared" si="135"/>
        <v>[...]</v>
      </c>
      <c r="B424" s="7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309"/>
      <c r="P424" s="159"/>
      <c r="Q424" s="250"/>
      <c r="R424" s="250"/>
      <c r="S424" s="250"/>
      <c r="T424" s="250"/>
      <c r="U424" s="250"/>
      <c r="V424" s="105" t="s">
        <v>21</v>
      </c>
      <c r="W424" s="290"/>
      <c r="X424" s="283"/>
      <c r="Y424" s="283"/>
      <c r="Z424" s="284">
        <f>+SUM(START:END!Z424)</f>
        <v>0</v>
      </c>
      <c r="AA424" s="283"/>
      <c r="AB424" s="283"/>
      <c r="AC424" s="284">
        <f>+SUM(START:END!AC424)</f>
        <v>0</v>
      </c>
      <c r="AD424" s="292"/>
      <c r="AE424" s="291"/>
      <c r="AF424" s="284">
        <f>+SUM(START:END!AF424)</f>
        <v>0</v>
      </c>
      <c r="AG424" s="285"/>
      <c r="AH424" s="286">
        <f t="shared" si="150"/>
        <v>0</v>
      </c>
      <c r="AI424" s="287">
        <f t="shared" si="152"/>
        <v>0</v>
      </c>
      <c r="AJ424" s="292"/>
      <c r="AK424" s="283"/>
      <c r="AL424" s="284">
        <f>+SUM(START:END!AL424)</f>
        <v>0</v>
      </c>
      <c r="AM424" s="288"/>
      <c r="AN424" s="286">
        <f t="shared" si="143"/>
        <v>0</v>
      </c>
      <c r="AO424" s="293">
        <f t="shared" si="151"/>
        <v>0</v>
      </c>
      <c r="AP424" s="250"/>
      <c r="AQ424" s="250"/>
      <c r="AR424" s="250"/>
      <c r="AS424" s="250"/>
      <c r="AT424" s="250"/>
      <c r="AU424" s="250"/>
      <c r="AV424" s="250"/>
      <c r="AW424" s="250"/>
      <c r="AX424" s="250"/>
      <c r="AY424" s="250"/>
      <c r="AZ424" s="250"/>
      <c r="BA424" s="250"/>
      <c r="BB424" s="250"/>
      <c r="BC424" s="250"/>
      <c r="BD424" s="250"/>
      <c r="BE424" s="250"/>
      <c r="BF424" s="250"/>
      <c r="BG424" s="250"/>
      <c r="BH424" s="250"/>
      <c r="BI424" s="250"/>
    </row>
    <row r="425" spans="1:61" ht="15.75" hidden="1" customHeight="1">
      <c r="A425" t="str">
        <f t="shared" si="135"/>
        <v>[...]</v>
      </c>
      <c r="B425" s="7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309"/>
      <c r="P425" s="159"/>
      <c r="Q425" s="250"/>
      <c r="R425" s="250"/>
      <c r="S425" s="250"/>
      <c r="T425" s="250"/>
      <c r="U425" s="250"/>
      <c r="V425" s="105" t="s">
        <v>21</v>
      </c>
      <c r="W425" s="290"/>
      <c r="X425" s="283"/>
      <c r="Y425" s="283"/>
      <c r="Z425" s="284">
        <f>+SUM(START:END!Z425)</f>
        <v>0</v>
      </c>
      <c r="AA425" s="283"/>
      <c r="AB425" s="283"/>
      <c r="AC425" s="284">
        <f>+SUM(START:END!AC425)</f>
        <v>0</v>
      </c>
      <c r="AD425" s="292"/>
      <c r="AE425" s="291"/>
      <c r="AF425" s="284">
        <f>+SUM(START:END!AF425)</f>
        <v>0</v>
      </c>
      <c r="AG425" s="285"/>
      <c r="AH425" s="286">
        <f t="shared" si="150"/>
        <v>0</v>
      </c>
      <c r="AI425" s="287">
        <f t="shared" si="152"/>
        <v>0</v>
      </c>
      <c r="AJ425" s="292"/>
      <c r="AK425" s="283"/>
      <c r="AL425" s="284">
        <f>+SUM(START:END!AL425)</f>
        <v>0</v>
      </c>
      <c r="AM425" s="288"/>
      <c r="AN425" s="286">
        <f t="shared" si="143"/>
        <v>0</v>
      </c>
      <c r="AO425" s="293">
        <f t="shared" si="151"/>
        <v>0</v>
      </c>
      <c r="AP425" s="250"/>
      <c r="AQ425" s="250"/>
      <c r="AR425" s="250"/>
      <c r="AS425" s="250"/>
      <c r="AT425" s="250"/>
      <c r="AU425" s="250"/>
      <c r="AV425" s="250"/>
      <c r="AW425" s="250"/>
      <c r="AX425" s="250"/>
      <c r="AY425" s="250"/>
      <c r="AZ425" s="250"/>
      <c r="BA425" s="250"/>
      <c r="BB425" s="250"/>
      <c r="BC425" s="250"/>
      <c r="BD425" s="250"/>
      <c r="BE425" s="250"/>
      <c r="BF425" s="250"/>
      <c r="BG425" s="250"/>
      <c r="BH425" s="250"/>
      <c r="BI425" s="250"/>
    </row>
    <row r="426" spans="1:61" ht="15.75" hidden="1" customHeight="1">
      <c r="A426" t="str">
        <f t="shared" si="135"/>
        <v>[...]</v>
      </c>
      <c r="B426" s="7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309"/>
      <c r="P426" s="159"/>
      <c r="Q426" s="250"/>
      <c r="R426" s="250"/>
      <c r="S426" s="250"/>
      <c r="T426" s="250"/>
      <c r="U426" s="250"/>
      <c r="V426" s="105" t="s">
        <v>21</v>
      </c>
      <c r="W426" s="290"/>
      <c r="X426" s="283"/>
      <c r="Y426" s="283"/>
      <c r="Z426" s="284">
        <f>+SUM(START:END!Z426)</f>
        <v>0</v>
      </c>
      <c r="AA426" s="283"/>
      <c r="AB426" s="283"/>
      <c r="AC426" s="284">
        <f>+SUM(START:END!AC426)</f>
        <v>0</v>
      </c>
      <c r="AD426" s="292"/>
      <c r="AE426" s="291"/>
      <c r="AF426" s="284">
        <f>+SUM(START:END!AF426)</f>
        <v>0</v>
      </c>
      <c r="AG426" s="285"/>
      <c r="AH426" s="286">
        <f t="shared" si="150"/>
        <v>0</v>
      </c>
      <c r="AI426" s="287">
        <f t="shared" si="152"/>
        <v>0</v>
      </c>
      <c r="AJ426" s="292"/>
      <c r="AK426" s="283"/>
      <c r="AL426" s="284">
        <f>+SUM(START:END!AL426)</f>
        <v>0</v>
      </c>
      <c r="AM426" s="288"/>
      <c r="AN426" s="286">
        <f t="shared" si="143"/>
        <v>0</v>
      </c>
      <c r="AO426" s="293">
        <f t="shared" si="151"/>
        <v>0</v>
      </c>
      <c r="AP426" s="250"/>
      <c r="AQ426" s="250"/>
      <c r="AR426" s="250"/>
      <c r="AS426" s="250"/>
      <c r="AT426" s="250"/>
      <c r="AU426" s="250"/>
      <c r="AV426" s="250"/>
      <c r="AW426" s="250"/>
      <c r="AX426" s="250"/>
      <c r="AY426" s="250"/>
      <c r="AZ426" s="250"/>
      <c r="BA426" s="250"/>
      <c r="BB426" s="250"/>
      <c r="BC426" s="250"/>
      <c r="BD426" s="250"/>
      <c r="BE426" s="250"/>
      <c r="BF426" s="250"/>
      <c r="BG426" s="250"/>
      <c r="BH426" s="250"/>
      <c r="BI426" s="250"/>
    </row>
    <row r="427" spans="1:61" ht="15.75" customHeight="1">
      <c r="A427" t="str">
        <f t="shared" si="135"/>
        <v>Salaires en absences</v>
      </c>
      <c r="B427" s="7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309"/>
      <c r="P427" s="159"/>
      <c r="Q427" s="250"/>
      <c r="R427" s="250"/>
      <c r="S427" s="250"/>
      <c r="T427" s="250"/>
      <c r="U427" s="250"/>
      <c r="V427" s="106" t="s">
        <v>46</v>
      </c>
      <c r="W427" s="294" t="s">
        <v>148</v>
      </c>
      <c r="X427" s="267"/>
      <c r="Y427" s="267"/>
      <c r="Z427" s="268">
        <f>+SUM(START:END!Z427)</f>
        <v>121725.10825136934</v>
      </c>
      <c r="AA427" s="267"/>
      <c r="AB427" s="267"/>
      <c r="AC427" s="268">
        <f>+SUM(START:END!AC427)</f>
        <v>121725.10825136934</v>
      </c>
      <c r="AD427" s="296"/>
      <c r="AE427" s="295"/>
      <c r="AF427" s="268">
        <f>+SUM(START:END!AF427)</f>
        <v>124796.55000000002</v>
      </c>
      <c r="AG427" s="269"/>
      <c r="AH427" s="270">
        <f t="shared" si="150"/>
        <v>3071.4417486306775</v>
      </c>
      <c r="AI427" s="297">
        <f t="shared" si="152"/>
        <v>2.523260642568478E-2</v>
      </c>
      <c r="AJ427" s="296"/>
      <c r="AK427" s="267"/>
      <c r="AL427" s="268">
        <f>+SUM(START:END!AL427)</f>
        <v>116267.59</v>
      </c>
      <c r="AM427" s="272"/>
      <c r="AN427" s="270">
        <f t="shared" si="143"/>
        <v>8528.960000000021</v>
      </c>
      <c r="AO427" s="298">
        <f t="shared" si="151"/>
        <v>7.3356298173893691E-2</v>
      </c>
      <c r="AP427" s="250"/>
      <c r="AQ427" s="250"/>
      <c r="AR427" s="250"/>
      <c r="AS427" s="250"/>
      <c r="AT427" s="250"/>
      <c r="AU427" s="250"/>
      <c r="AV427" s="250"/>
      <c r="AW427" s="250"/>
      <c r="AX427" s="250"/>
      <c r="AY427" s="250"/>
      <c r="AZ427" s="250"/>
      <c r="BA427" s="250"/>
      <c r="BB427" s="250"/>
      <c r="BC427" s="250"/>
      <c r="BD427" s="250"/>
      <c r="BE427" s="250"/>
      <c r="BF427" s="250"/>
      <c r="BG427" s="250"/>
      <c r="BH427" s="250"/>
      <c r="BI427" s="250"/>
    </row>
    <row r="428" spans="1:61" ht="15.75" customHeight="1">
      <c r="A428" t="str">
        <f t="shared" si="135"/>
        <v>Déduction à la source</v>
      </c>
      <c r="B428" s="7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309"/>
      <c r="P428" s="159"/>
      <c r="Q428" s="250"/>
      <c r="R428" s="250"/>
      <c r="S428" s="250"/>
      <c r="T428" s="250"/>
      <c r="U428" s="250"/>
      <c r="V428" s="105" t="s">
        <v>47</v>
      </c>
      <c r="W428" s="290" t="s">
        <v>149</v>
      </c>
      <c r="X428" s="283"/>
      <c r="Y428" s="283"/>
      <c r="Z428" s="284">
        <f>+SUM(START:END!Z428)</f>
        <v>109017.31196008352</v>
      </c>
      <c r="AA428" s="283"/>
      <c r="AB428" s="283"/>
      <c r="AC428" s="284">
        <f>+SUM(START:END!AC428)</f>
        <v>109017.31196008352</v>
      </c>
      <c r="AD428" s="292"/>
      <c r="AE428" s="291"/>
      <c r="AF428" s="284">
        <f>+SUM(START:END!AF428)</f>
        <v>109582.94</v>
      </c>
      <c r="AG428" s="285"/>
      <c r="AH428" s="286">
        <f t="shared" si="150"/>
        <v>565.62803991648252</v>
      </c>
      <c r="AI428" s="287">
        <f t="shared" si="152"/>
        <v>5.1884240195133975E-3</v>
      </c>
      <c r="AJ428" s="292"/>
      <c r="AK428" s="283"/>
      <c r="AL428" s="284">
        <f>+SUM(START:END!AL428)</f>
        <v>97376.28</v>
      </c>
      <c r="AM428" s="288"/>
      <c r="AN428" s="286">
        <f t="shared" si="143"/>
        <v>12206.660000000003</v>
      </c>
      <c r="AO428" s="293">
        <f t="shared" si="151"/>
        <v>0.12535557940804479</v>
      </c>
      <c r="AP428" s="250"/>
      <c r="AQ428" s="250"/>
      <c r="AR428" s="250"/>
      <c r="AS428" s="250"/>
      <c r="AT428" s="250"/>
      <c r="AU428" s="250"/>
      <c r="AV428" s="250"/>
      <c r="AW428" s="250"/>
      <c r="AX428" s="250"/>
      <c r="AY428" s="250"/>
      <c r="AZ428" s="250"/>
      <c r="BA428" s="250"/>
      <c r="BB428" s="250"/>
      <c r="BC428" s="250"/>
      <c r="BD428" s="250"/>
      <c r="BE428" s="250"/>
      <c r="BF428" s="250"/>
      <c r="BG428" s="250"/>
      <c r="BH428" s="250"/>
      <c r="BI428" s="250"/>
    </row>
    <row r="429" spans="1:61" ht="15.75" customHeight="1">
      <c r="A429" t="str">
        <f t="shared" si="135"/>
        <v>Bénéfices marginaux</v>
      </c>
      <c r="B429" s="7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309"/>
      <c r="P429" s="159"/>
      <c r="Q429" s="250"/>
      <c r="R429" s="250"/>
      <c r="S429" s="250"/>
      <c r="T429" s="250"/>
      <c r="U429" s="250"/>
      <c r="V429" s="105" t="s">
        <v>48</v>
      </c>
      <c r="W429" s="290" t="s">
        <v>150</v>
      </c>
      <c r="X429" s="283"/>
      <c r="Y429" s="283"/>
      <c r="Z429" s="284">
        <f>+SUM(START:END!Z429)</f>
        <v>86572.571262419282</v>
      </c>
      <c r="AA429" s="283"/>
      <c r="AB429" s="283"/>
      <c r="AC429" s="284">
        <f>+SUM(START:END!AC429)</f>
        <v>86572.571262419282</v>
      </c>
      <c r="AD429" s="292"/>
      <c r="AE429" s="291"/>
      <c r="AF429" s="284">
        <f>+SUM(START:END!AF429)</f>
        <v>57848.600000000006</v>
      </c>
      <c r="AG429" s="285"/>
      <c r="AH429" s="286">
        <f t="shared" si="150"/>
        <v>-28723.971262419276</v>
      </c>
      <c r="AI429" s="287">
        <f t="shared" si="152"/>
        <v>-0.33179066814766317</v>
      </c>
      <c r="AJ429" s="292"/>
      <c r="AK429" s="283"/>
      <c r="AL429" s="284">
        <f>+SUM(START:END!AL429)</f>
        <v>76051.58</v>
      </c>
      <c r="AM429" s="288"/>
      <c r="AN429" s="286">
        <f t="shared" si="143"/>
        <v>-18202.979999999996</v>
      </c>
      <c r="AO429" s="293">
        <f t="shared" si="151"/>
        <v>-0.23935045136471847</v>
      </c>
      <c r="AP429" s="250"/>
      <c r="AQ429" s="250"/>
      <c r="AR429" s="250"/>
      <c r="AS429" s="250"/>
      <c r="AT429" s="250"/>
      <c r="AU429" s="250"/>
      <c r="AV429" s="250"/>
      <c r="AW429" s="250"/>
      <c r="AX429" s="250"/>
      <c r="AY429" s="250"/>
      <c r="AZ429" s="250"/>
      <c r="BA429" s="250"/>
      <c r="BB429" s="250"/>
      <c r="BC429" s="250"/>
      <c r="BD429" s="250"/>
      <c r="BE429" s="250"/>
      <c r="BF429" s="250"/>
      <c r="BG429" s="250"/>
      <c r="BH429" s="250"/>
      <c r="BI429" s="250"/>
    </row>
    <row r="430" spans="1:61" ht="15.75" customHeight="1">
      <c r="A430" t="str">
        <f t="shared" si="135"/>
        <v>Csst</v>
      </c>
      <c r="B430" s="7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309"/>
      <c r="P430" s="159"/>
      <c r="Q430" s="250"/>
      <c r="R430" s="250"/>
      <c r="S430" s="250"/>
      <c r="T430" s="250"/>
      <c r="U430" s="250"/>
      <c r="V430" s="105" t="s">
        <v>49</v>
      </c>
      <c r="W430" s="290"/>
      <c r="X430" s="283"/>
      <c r="Y430" s="283"/>
      <c r="Z430" s="284">
        <f>+SUM(START:END!Z430)</f>
        <v>35270.306810615264</v>
      </c>
      <c r="AA430" s="283"/>
      <c r="AB430" s="283"/>
      <c r="AC430" s="284">
        <f>+SUM(START:END!AC430)</f>
        <v>35270.306810615264</v>
      </c>
      <c r="AD430" s="292"/>
      <c r="AE430" s="291"/>
      <c r="AF430" s="284">
        <f>+SUM(START:END!AF430)</f>
        <v>52916.15</v>
      </c>
      <c r="AG430" s="285"/>
      <c r="AH430" s="286">
        <f t="shared" si="150"/>
        <v>17645.843189384737</v>
      </c>
      <c r="AI430" s="310">
        <f t="shared" si="152"/>
        <v>0.50030308168665794</v>
      </c>
      <c r="AJ430" s="292"/>
      <c r="AK430" s="283"/>
      <c r="AL430" s="284">
        <f>+SUM(START:END!AL430)</f>
        <v>26428.619999999995</v>
      </c>
      <c r="AM430" s="288"/>
      <c r="AN430" s="286">
        <f t="shared" si="143"/>
        <v>26487.530000000006</v>
      </c>
      <c r="AO430" s="293">
        <f t="shared" si="151"/>
        <v>1.0022290229304447</v>
      </c>
      <c r="AP430" s="250"/>
      <c r="AQ430" s="250"/>
      <c r="AR430" s="250"/>
      <c r="AS430" s="250"/>
      <c r="AT430" s="250"/>
      <c r="AU430" s="250"/>
      <c r="AV430" s="250"/>
      <c r="AW430" s="250"/>
      <c r="AX430" s="250"/>
      <c r="AY430" s="250"/>
      <c r="AZ430" s="250"/>
      <c r="BA430" s="250"/>
      <c r="BB430" s="250"/>
      <c r="BC430" s="250"/>
      <c r="BD430" s="250"/>
      <c r="BE430" s="250"/>
      <c r="BF430" s="250"/>
      <c r="BG430" s="250"/>
      <c r="BH430" s="250"/>
      <c r="BI430" s="250"/>
    </row>
    <row r="431" spans="1:61" ht="15.75" hidden="1" customHeight="1">
      <c r="A431" t="str">
        <f t="shared" si="13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0"/>
      <c r="U431" s="250"/>
      <c r="V431" s="30" t="s">
        <v>21</v>
      </c>
      <c r="W431" s="290"/>
      <c r="X431" s="283"/>
      <c r="Y431" s="291"/>
      <c r="Z431" s="284">
        <f>+SUM(START:END!Z431)</f>
        <v>0</v>
      </c>
      <c r="AA431" s="283"/>
      <c r="AB431" s="291"/>
      <c r="AC431" s="284">
        <f>+SUM(START:END!AC431)</f>
        <v>0</v>
      </c>
      <c r="AD431" s="292"/>
      <c r="AE431" s="291"/>
      <c r="AF431" s="284">
        <f>+SUM(START:END!AF431)</f>
        <v>0</v>
      </c>
      <c r="AG431" s="285"/>
      <c r="AH431" s="286"/>
      <c r="AI431" s="287"/>
      <c r="AJ431" s="292"/>
      <c r="AK431" s="286"/>
      <c r="AL431" s="284">
        <f>+SUM(START:END!AL431)</f>
        <v>0</v>
      </c>
      <c r="AM431" s="288"/>
      <c r="AN431" s="286"/>
      <c r="AO431" s="298"/>
      <c r="AP431" s="250"/>
      <c r="AQ431" s="250"/>
      <c r="AR431" s="250"/>
      <c r="AS431" s="250"/>
      <c r="AT431" s="250"/>
      <c r="AU431" s="250"/>
      <c r="AV431" s="250"/>
      <c r="AW431" s="250"/>
      <c r="AX431" s="250"/>
      <c r="AY431" s="250"/>
      <c r="AZ431" s="250"/>
      <c r="BA431" s="250"/>
      <c r="BB431" s="250"/>
      <c r="BC431" s="250"/>
      <c r="BD431" s="250"/>
      <c r="BE431" s="250"/>
      <c r="BF431" s="250"/>
      <c r="BG431" s="250"/>
      <c r="BH431" s="250"/>
      <c r="BI431" s="250"/>
    </row>
    <row r="432" spans="1:61" ht="15.75" customHeight="1">
      <c r="A432" t="str">
        <f t="shared" si="135"/>
        <v>TOTAL PERSONNEL</v>
      </c>
      <c r="B432" s="7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R432" s="250"/>
      <c r="S432" s="250"/>
      <c r="T432" s="250"/>
      <c r="U432" s="250"/>
      <c r="V432" s="300" t="s">
        <v>50</v>
      </c>
      <c r="W432" s="301"/>
      <c r="X432" s="302">
        <f>Z432/Z406</f>
        <v>0.44289456780551212</v>
      </c>
      <c r="Y432" s="301"/>
      <c r="Z432" s="303">
        <f>SUM(Z419:Z431)</f>
        <v>858265.73545348144</v>
      </c>
      <c r="AA432" s="302">
        <f>AC432/AC406</f>
        <v>0.44289456780551212</v>
      </c>
      <c r="AB432" s="301"/>
      <c r="AC432" s="303">
        <f>SUM(AC419:AC431)</f>
        <v>858265.73545348144</v>
      </c>
      <c r="AD432" s="304">
        <f>AF432/AF406</f>
        <v>0.40261641302362611</v>
      </c>
      <c r="AE432" s="311"/>
      <c r="AF432" s="303">
        <f>SUM(AF419:AF431)</f>
        <v>858266.08000000007</v>
      </c>
      <c r="AG432" s="312"/>
      <c r="AH432" s="306">
        <f t="shared" ref="AH432:AH450" si="153">AF432-AC432</f>
        <v>0.34454651863779873</v>
      </c>
      <c r="AI432" s="302">
        <f>AH432/AC432</f>
        <v>4.0144503550028225E-7</v>
      </c>
      <c r="AJ432" s="304">
        <f>IF($AL$406=0,0,AL432/$AL$406)</f>
        <v>0.39013924484813378</v>
      </c>
      <c r="AK432" s="301"/>
      <c r="AL432" s="303">
        <f>SUM(AL419:AL431)</f>
        <v>734400.35</v>
      </c>
      <c r="AM432" s="313"/>
      <c r="AN432" s="306">
        <f t="shared" ref="AN432:AN450" si="154">AF432-AL432</f>
        <v>123865.7300000001</v>
      </c>
      <c r="AO432" s="281">
        <f>IF(AL432=0,0,AN432/AL432)</f>
        <v>0.16866240600239379</v>
      </c>
      <c r="AP432" s="250"/>
      <c r="AQ432" s="250"/>
      <c r="AR432" s="250"/>
      <c r="AS432" s="250"/>
      <c r="AT432" s="250"/>
      <c r="AU432" s="250"/>
      <c r="AV432" s="250"/>
      <c r="AW432" s="250"/>
      <c r="AX432" s="250"/>
      <c r="AY432" s="250"/>
      <c r="AZ432" s="250"/>
      <c r="BA432" s="250"/>
      <c r="BB432" s="250"/>
      <c r="BC432" s="250"/>
      <c r="BD432" s="250"/>
      <c r="BE432" s="250"/>
      <c r="BF432" s="250"/>
      <c r="BG432" s="250"/>
      <c r="BH432" s="250"/>
      <c r="BI432" s="250"/>
    </row>
    <row r="433" spans="1:62" ht="15.75" customHeight="1">
      <c r="A433" t="str">
        <f t="shared" si="135"/>
        <v>Publicité 2</v>
      </c>
      <c r="B433" s="7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314"/>
      <c r="S433" s="452"/>
      <c r="T433" s="250"/>
      <c r="U433" s="250"/>
      <c r="V433" s="214" t="s">
        <v>51</v>
      </c>
      <c r="W433" s="315" t="s">
        <v>140</v>
      </c>
      <c r="X433" s="316"/>
      <c r="Y433" s="316"/>
      <c r="Z433" s="317">
        <f>+SUM(START:END!Z433)</f>
        <v>31932.75</v>
      </c>
      <c r="AA433" s="316">
        <f>AC432/(AC406+AC480)</f>
        <v>0.36295935153523173</v>
      </c>
      <c r="AB433" s="316"/>
      <c r="AC433" s="317">
        <f>+SUM(START:END!AC433)</f>
        <v>31932.75</v>
      </c>
      <c r="AD433" s="316">
        <f>AF432/(AF406+AF480)</f>
        <v>0.33458727106974706</v>
      </c>
      <c r="AE433" s="319"/>
      <c r="AF433" s="317">
        <f>+SUM(START:END!AF433)</f>
        <v>40001.490000000005</v>
      </c>
      <c r="AG433" s="318"/>
      <c r="AH433" s="320">
        <f t="shared" si="153"/>
        <v>8068.7400000000052</v>
      </c>
      <c r="AI433" s="321">
        <f>IF(AC433=0,0,AH433/AC433)</f>
        <v>0.25267914601780322</v>
      </c>
      <c r="AJ433" s="318"/>
      <c r="AK433" s="316"/>
      <c r="AL433" s="317">
        <f t="shared" ref="AL433:AL450" si="155">+SUMIF($C:$C,$V433,Q:Q)</f>
        <v>30747.050000000003</v>
      </c>
      <c r="AM433" s="322"/>
      <c r="AN433" s="320">
        <f t="shared" si="154"/>
        <v>9254.4400000000023</v>
      </c>
      <c r="AO433" s="289">
        <f t="shared" ref="AO433:AO450" si="156">IF(AL433=0,0,AN433/AL433)</f>
        <v>0.30098627347989487</v>
      </c>
      <c r="AP433" s="250"/>
      <c r="AQ433" s="250"/>
      <c r="AR433" s="250"/>
      <c r="AS433" s="250"/>
      <c r="AT433" s="250"/>
      <c r="AU433" s="250"/>
      <c r="AV433" s="250"/>
      <c r="AW433" s="250"/>
      <c r="AX433" s="250"/>
      <c r="AY433" s="250"/>
      <c r="AZ433" s="250"/>
      <c r="BA433" s="250"/>
      <c r="BB433" s="250"/>
      <c r="BC433" s="250"/>
      <c r="BD433" s="250"/>
      <c r="BE433" s="250"/>
      <c r="BF433" s="250"/>
      <c r="BG433" s="250"/>
      <c r="BH433" s="250"/>
      <c r="BI433" s="250"/>
    </row>
    <row r="434" spans="1:62" ht="15.75" customHeight="1">
      <c r="A434" t="str">
        <f t="shared" si="135"/>
        <v>Service gratuit 2</v>
      </c>
      <c r="B434" s="7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Q434" s="314"/>
      <c r="S434" s="250"/>
      <c r="T434" s="250"/>
      <c r="U434" s="250"/>
      <c r="V434" s="105" t="s">
        <v>52</v>
      </c>
      <c r="W434" s="290" t="s">
        <v>151</v>
      </c>
      <c r="X434" s="283"/>
      <c r="Y434" s="283"/>
      <c r="Z434" s="284">
        <f>+SUM(START:END!Z434)</f>
        <v>9113.239769249567</v>
      </c>
      <c r="AA434" s="283"/>
      <c r="AB434" s="283"/>
      <c r="AC434" s="284">
        <f>+SUM(START:END!AC434)</f>
        <v>9113.239769249567</v>
      </c>
      <c r="AD434" s="292"/>
      <c r="AE434" s="291"/>
      <c r="AF434" s="284">
        <f>+SUM(START:END!AF434)</f>
        <v>17801.78</v>
      </c>
      <c r="AG434" s="285"/>
      <c r="AH434" s="286">
        <f t="shared" si="153"/>
        <v>8688.5402307504319</v>
      </c>
      <c r="AI434" s="287">
        <f t="shared" ref="AI434:AI450" si="157">IF(AC434=0,0,AH434/AC434)</f>
        <v>0.95339752390448662</v>
      </c>
      <c r="AJ434" s="292"/>
      <c r="AK434" s="283"/>
      <c r="AL434" s="284">
        <f t="shared" si="155"/>
        <v>12251.400000000001</v>
      </c>
      <c r="AM434" s="288"/>
      <c r="AN434" s="286">
        <f t="shared" si="154"/>
        <v>5550.3799999999974</v>
      </c>
      <c r="AO434" s="293">
        <f t="shared" si="156"/>
        <v>0.45304046884437671</v>
      </c>
      <c r="AP434" s="250"/>
      <c r="AQ434" s="250"/>
      <c r="AR434" s="250"/>
      <c r="AS434" s="250"/>
      <c r="AT434" s="250"/>
      <c r="AU434" s="250"/>
      <c r="AV434" s="250"/>
      <c r="AW434" s="250"/>
      <c r="AX434" s="250"/>
      <c r="AY434" s="250"/>
      <c r="AZ434" s="250"/>
      <c r="BA434" s="250"/>
      <c r="BB434" s="250"/>
      <c r="BC434" s="250"/>
      <c r="BD434" s="250"/>
      <c r="BE434" s="250"/>
      <c r="BF434" s="250"/>
      <c r="BG434" s="250"/>
      <c r="BH434" s="250"/>
      <c r="BI434" s="250"/>
    </row>
    <row r="435" spans="1:62" ht="15.75" customHeight="1">
      <c r="A435" t="str">
        <f t="shared" si="135"/>
        <v>Frais véhicules de cie</v>
      </c>
      <c r="B435" s="7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314"/>
      <c r="S435" s="250"/>
      <c r="T435" s="250"/>
      <c r="U435" s="250"/>
      <c r="V435" s="106" t="s">
        <v>53</v>
      </c>
      <c r="W435" s="294" t="s">
        <v>152</v>
      </c>
      <c r="X435" s="267"/>
      <c r="Y435" s="267"/>
      <c r="Z435" s="268">
        <f>+SUM(START:END!Z435)</f>
        <v>59659.153333333328</v>
      </c>
      <c r="AA435" s="267"/>
      <c r="AB435" s="267"/>
      <c r="AC435" s="268">
        <f>+SUM(START:END!AC435)</f>
        <v>59659.153333333328</v>
      </c>
      <c r="AD435" s="296"/>
      <c r="AE435" s="295"/>
      <c r="AF435" s="268">
        <f>+SUM(START:END!AF435)</f>
        <v>75747.23000000001</v>
      </c>
      <c r="AG435" s="269"/>
      <c r="AH435" s="270">
        <f t="shared" si="153"/>
        <v>16088.076666666682</v>
      </c>
      <c r="AI435" s="297">
        <f t="shared" si="157"/>
        <v>0.26966652672353297</v>
      </c>
      <c r="AJ435" s="296"/>
      <c r="AK435" s="267"/>
      <c r="AL435" s="268">
        <f t="shared" si="155"/>
        <v>73152.569999999978</v>
      </c>
      <c r="AM435" s="272"/>
      <c r="AN435" s="270">
        <f t="shared" si="154"/>
        <v>2594.6600000000326</v>
      </c>
      <c r="AO435" s="273">
        <f t="shared" si="156"/>
        <v>3.5469157132825731E-2</v>
      </c>
      <c r="AP435" s="250"/>
      <c r="AQ435" s="250"/>
      <c r="AR435" s="250"/>
      <c r="AS435" s="250"/>
      <c r="AT435" s="250"/>
      <c r="AU435" s="250"/>
      <c r="AV435" s="250"/>
      <c r="AW435" s="250"/>
      <c r="AX435" s="250"/>
      <c r="AY435" s="250"/>
      <c r="AZ435" s="250"/>
      <c r="BA435" s="250"/>
      <c r="BB435" s="250"/>
      <c r="BC435" s="250"/>
      <c r="BD435" s="250"/>
      <c r="BE435" s="250"/>
      <c r="BF435" s="250"/>
      <c r="BG435" s="250"/>
      <c r="BH435" s="250"/>
      <c r="BI435" s="250"/>
      <c r="BJ435" s="250"/>
    </row>
    <row r="436" spans="1:62" ht="15.75" customHeight="1">
      <c r="A436" t="str">
        <f t="shared" si="135"/>
        <v>Informatique</v>
      </c>
      <c r="B436" s="7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314"/>
      <c r="S436" s="250"/>
      <c r="T436" s="250"/>
      <c r="U436" s="250"/>
      <c r="V436" s="105" t="s">
        <v>54</v>
      </c>
      <c r="W436" s="290" t="s">
        <v>153</v>
      </c>
      <c r="X436" s="283"/>
      <c r="Y436" s="283"/>
      <c r="Z436" s="284">
        <f>+SUM(START:END!Z436)</f>
        <v>60102.637999999999</v>
      </c>
      <c r="AA436" s="283"/>
      <c r="AB436" s="283"/>
      <c r="AC436" s="284">
        <f>+SUM(START:END!AC436)</f>
        <v>60102.637999999999</v>
      </c>
      <c r="AD436" s="292"/>
      <c r="AE436" s="291"/>
      <c r="AF436" s="284">
        <f>+SUM(START:END!AF436)</f>
        <v>61693.160000000011</v>
      </c>
      <c r="AG436" s="285"/>
      <c r="AH436" s="286">
        <f t="shared" si="153"/>
        <v>1590.5220000000118</v>
      </c>
      <c r="AI436" s="287">
        <f t="shared" si="157"/>
        <v>2.6463430773205194E-2</v>
      </c>
      <c r="AJ436" s="292"/>
      <c r="AK436" s="283"/>
      <c r="AL436" s="284">
        <f t="shared" si="155"/>
        <v>49484.92</v>
      </c>
      <c r="AM436" s="288"/>
      <c r="AN436" s="286">
        <f t="shared" si="154"/>
        <v>12208.240000000013</v>
      </c>
      <c r="AO436" s="293">
        <f t="shared" si="156"/>
        <v>0.24670626930386091</v>
      </c>
      <c r="AP436" s="250"/>
      <c r="AQ436" s="250"/>
      <c r="AR436" s="250"/>
      <c r="AS436" s="250"/>
      <c r="AT436" s="250"/>
      <c r="AU436" s="250"/>
      <c r="AV436" s="250"/>
      <c r="AW436" s="250"/>
      <c r="AX436" s="250"/>
      <c r="AY436" s="250"/>
      <c r="AZ436" s="250"/>
      <c r="BA436" s="250"/>
      <c r="BB436" s="250"/>
      <c r="BC436" s="250"/>
      <c r="BD436" s="250"/>
      <c r="BE436" s="250"/>
      <c r="BF436" s="250"/>
      <c r="BG436" s="250"/>
      <c r="BH436" s="250"/>
      <c r="BI436" s="250"/>
      <c r="BJ436" s="250"/>
    </row>
    <row r="437" spans="1:62" ht="15.75" customHeight="1">
      <c r="A437" t="str">
        <f t="shared" si="135"/>
        <v>Frais de déplacement</v>
      </c>
      <c r="B437" s="7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314"/>
      <c r="S437" s="250"/>
      <c r="T437" s="250"/>
      <c r="U437" s="250"/>
      <c r="V437" s="105" t="s">
        <v>55</v>
      </c>
      <c r="W437" s="290" t="s">
        <v>154</v>
      </c>
      <c r="X437" s="283"/>
      <c r="Y437" s="283"/>
      <c r="Z437" s="284">
        <f>+SUM(START:END!Z437)</f>
        <v>7426.3293750000012</v>
      </c>
      <c r="AA437" s="283"/>
      <c r="AB437" s="283"/>
      <c r="AC437" s="284">
        <f>+SUM(START:END!AC437)</f>
        <v>7426.3293750000012</v>
      </c>
      <c r="AD437" s="292"/>
      <c r="AE437" s="291"/>
      <c r="AF437" s="284">
        <f>+SUM(START:END!AF437)</f>
        <v>10306.61</v>
      </c>
      <c r="AG437" s="285"/>
      <c r="AH437" s="286">
        <f t="shared" si="153"/>
        <v>2880.2806249999994</v>
      </c>
      <c r="AI437" s="287">
        <f t="shared" si="157"/>
        <v>0.38784714218254007</v>
      </c>
      <c r="AJ437" s="292"/>
      <c r="AK437" s="283"/>
      <c r="AL437" s="284">
        <f t="shared" si="155"/>
        <v>6242.7300000000005</v>
      </c>
      <c r="AM437" s="288"/>
      <c r="AN437" s="286">
        <f t="shared" si="154"/>
        <v>4063.88</v>
      </c>
      <c r="AO437" s="293">
        <f t="shared" si="156"/>
        <v>0.65097801763010732</v>
      </c>
      <c r="AP437" s="250"/>
      <c r="AQ437" s="250"/>
      <c r="AR437" s="250"/>
      <c r="AS437" s="250"/>
      <c r="AT437" s="250"/>
      <c r="AU437" s="250"/>
      <c r="AV437" s="250"/>
      <c r="AW437" s="250"/>
      <c r="AX437" s="250"/>
      <c r="AY437" s="250"/>
      <c r="AZ437" s="250"/>
      <c r="BA437" s="250"/>
      <c r="BB437" s="250"/>
      <c r="BC437" s="250"/>
      <c r="BD437" s="250"/>
      <c r="BE437" s="250"/>
      <c r="BF437" s="250"/>
      <c r="BG437" s="250"/>
      <c r="BH437" s="250"/>
      <c r="BI437" s="250"/>
      <c r="BJ437" s="250"/>
    </row>
    <row r="438" spans="1:62" ht="15.75" customHeight="1">
      <c r="A438" t="str">
        <f t="shared" si="135"/>
        <v>Services extérieurs</v>
      </c>
      <c r="B438" s="7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314"/>
      <c r="S438" s="250"/>
      <c r="T438" s="250"/>
      <c r="U438" s="250"/>
      <c r="V438" s="105" t="s">
        <v>56</v>
      </c>
      <c r="W438" s="290" t="s">
        <v>155</v>
      </c>
      <c r="X438" s="283"/>
      <c r="Y438" s="283"/>
      <c r="Z438" s="284">
        <f>+SUM(START:END!Z438)</f>
        <v>58520.194766666667</v>
      </c>
      <c r="AA438" s="283"/>
      <c r="AB438" s="283"/>
      <c r="AC438" s="284">
        <f>+SUM(START:END!AC438)</f>
        <v>58520.194766666667</v>
      </c>
      <c r="AD438" s="292"/>
      <c r="AE438" s="291"/>
      <c r="AF438" s="284">
        <f>+SUM(START:END!AF438)</f>
        <v>60608.639999999999</v>
      </c>
      <c r="AG438" s="285"/>
      <c r="AH438" s="286">
        <f t="shared" si="153"/>
        <v>2088.445233333332</v>
      </c>
      <c r="AI438" s="287">
        <f t="shared" si="157"/>
        <v>3.5687598813716158E-2</v>
      </c>
      <c r="AJ438" s="292"/>
      <c r="AK438" s="283"/>
      <c r="AL438" s="284">
        <f t="shared" si="155"/>
        <v>46836.630000000005</v>
      </c>
      <c r="AM438" s="288"/>
      <c r="AN438" s="286">
        <f t="shared" si="154"/>
        <v>13772.009999999995</v>
      </c>
      <c r="AO438" s="293">
        <f t="shared" si="156"/>
        <v>0.2940435723065471</v>
      </c>
      <c r="AP438" s="250"/>
      <c r="AQ438" s="250"/>
      <c r="AR438" s="250"/>
      <c r="AS438" s="250"/>
      <c r="AT438" s="250"/>
      <c r="AU438" s="250"/>
      <c r="AV438" s="250"/>
      <c r="AW438" s="250"/>
      <c r="AX438" s="250"/>
      <c r="AY438" s="250"/>
      <c r="AZ438" s="250"/>
      <c r="BA438" s="250"/>
      <c r="BB438" s="250"/>
      <c r="BC438" s="250"/>
      <c r="BD438" s="250"/>
      <c r="BE438" s="250"/>
      <c r="BF438" s="250"/>
      <c r="BG438" s="250"/>
      <c r="BH438" s="250"/>
      <c r="BI438" s="250"/>
      <c r="BJ438" s="250"/>
    </row>
    <row r="439" spans="1:62" ht="15.75" customHeight="1">
      <c r="B439" s="7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314"/>
      <c r="S439" s="250"/>
      <c r="T439" s="250"/>
      <c r="U439" s="250"/>
      <c r="V439" s="215" t="s">
        <v>99</v>
      </c>
      <c r="W439" s="323"/>
      <c r="X439" s="324"/>
      <c r="Y439" s="324"/>
      <c r="Z439" s="325">
        <f>+SUM(START:END!Z439)</f>
        <v>0</v>
      </c>
      <c r="AA439" s="324"/>
      <c r="AB439" s="324"/>
      <c r="AC439" s="325">
        <f>+SUM(START:END!AC439)</f>
        <v>0</v>
      </c>
      <c r="AD439" s="326"/>
      <c r="AE439" s="327"/>
      <c r="AF439" s="325">
        <f>+SUM(START:END!AF439)</f>
        <v>0</v>
      </c>
      <c r="AG439" s="328"/>
      <c r="AH439" s="329">
        <f t="shared" si="153"/>
        <v>0</v>
      </c>
      <c r="AI439" s="330">
        <f t="shared" si="157"/>
        <v>0</v>
      </c>
      <c r="AJ439" s="326"/>
      <c r="AK439" s="324"/>
      <c r="AL439" s="325">
        <f t="shared" si="155"/>
        <v>0</v>
      </c>
      <c r="AM439" s="331"/>
      <c r="AN439" s="329">
        <f t="shared" si="154"/>
        <v>0</v>
      </c>
      <c r="AO439" s="332">
        <f t="shared" si="156"/>
        <v>0</v>
      </c>
      <c r="AP439" s="250"/>
      <c r="AQ439" s="250"/>
      <c r="AR439" s="250"/>
      <c r="AS439" s="250"/>
      <c r="AT439" s="250"/>
      <c r="AU439" s="250"/>
      <c r="AV439" s="250"/>
      <c r="AW439" s="250"/>
      <c r="AX439" s="250"/>
      <c r="AY439" s="250"/>
      <c r="AZ439" s="250"/>
      <c r="BA439" s="250"/>
      <c r="BB439" s="250"/>
      <c r="BC439" s="250"/>
      <c r="BD439" s="250"/>
      <c r="BE439" s="250"/>
      <c r="BF439" s="250"/>
      <c r="BG439" s="250"/>
      <c r="BH439" s="250"/>
      <c r="BI439" s="250"/>
      <c r="BJ439" s="250"/>
    </row>
    <row r="440" spans="1:62" ht="15.75" customHeight="1">
      <c r="A440" t="str">
        <f t="shared" si="135"/>
        <v>Fournitures autres</v>
      </c>
      <c r="B440" s="7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333"/>
      <c r="Q440" s="314"/>
      <c r="R440" s="250"/>
      <c r="S440" s="250"/>
      <c r="T440" s="250"/>
      <c r="U440" s="250"/>
      <c r="V440" s="105" t="s">
        <v>57</v>
      </c>
      <c r="W440" s="290" t="s">
        <v>156</v>
      </c>
      <c r="X440" s="283"/>
      <c r="Y440" s="291"/>
      <c r="Z440" s="284">
        <f>+SUM(START:END!Z440)</f>
        <v>4790.7617670674063</v>
      </c>
      <c r="AA440" s="283"/>
      <c r="AB440" s="291"/>
      <c r="AC440" s="284">
        <f>+SUM(START:END!AC440)</f>
        <v>4790.7617670674063</v>
      </c>
      <c r="AD440" s="292"/>
      <c r="AE440" s="291"/>
      <c r="AF440" s="284">
        <f>+SUM(START:END!AF440)</f>
        <v>5787.7199999999993</v>
      </c>
      <c r="AG440" s="285"/>
      <c r="AH440" s="286">
        <f t="shared" si="153"/>
        <v>996.95823293259309</v>
      </c>
      <c r="AI440" s="287">
        <f t="shared" si="157"/>
        <v>0.20810014803613711</v>
      </c>
      <c r="AJ440" s="292"/>
      <c r="AK440" s="283"/>
      <c r="AL440" s="284">
        <f t="shared" si="155"/>
        <v>2757.4999999999995</v>
      </c>
      <c r="AM440" s="288"/>
      <c r="AN440" s="286">
        <f t="shared" si="154"/>
        <v>3030.22</v>
      </c>
      <c r="AO440" s="293">
        <f t="shared" si="156"/>
        <v>1.0989011786038079</v>
      </c>
      <c r="AP440" s="250"/>
      <c r="AQ440" s="250"/>
      <c r="AR440" s="250"/>
      <c r="AS440" s="250"/>
      <c r="AT440" s="250"/>
      <c r="AU440" s="250"/>
      <c r="AV440" s="250"/>
      <c r="AW440" s="250"/>
      <c r="AX440" s="250"/>
      <c r="AY440" s="250"/>
      <c r="AZ440" s="250"/>
      <c r="BA440" s="250"/>
      <c r="BB440" s="250"/>
      <c r="BC440" s="250"/>
      <c r="BD440" s="250"/>
      <c r="BE440" s="250"/>
      <c r="BF440" s="250"/>
      <c r="BG440" s="250"/>
      <c r="BH440" s="250"/>
      <c r="BI440" s="250"/>
      <c r="BJ440" s="250"/>
    </row>
    <row r="441" spans="1:62" ht="15.75" customHeight="1">
      <c r="A441" t="str">
        <f t="shared" si="135"/>
        <v>Uniformes</v>
      </c>
      <c r="B441" s="7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Q441" s="314"/>
      <c r="S441" s="250"/>
      <c r="T441" s="250"/>
      <c r="U441" s="250"/>
      <c r="V441" s="105" t="s">
        <v>58</v>
      </c>
      <c r="W441" s="290" t="s">
        <v>157</v>
      </c>
      <c r="X441" s="283"/>
      <c r="Y441" s="283"/>
      <c r="Z441" s="284">
        <f>+SUM(START:END!Z441)</f>
        <v>2545.6848645192458</v>
      </c>
      <c r="AA441" s="283"/>
      <c r="AB441" s="283"/>
      <c r="AC441" s="284">
        <f>+SUM(START:END!AC441)</f>
        <v>2545.6848645192458</v>
      </c>
      <c r="AD441" s="292"/>
      <c r="AE441" s="291"/>
      <c r="AF441" s="284">
        <f>+SUM(START:END!AF441)</f>
        <v>1477.5900000000001</v>
      </c>
      <c r="AG441" s="285"/>
      <c r="AH441" s="286">
        <f t="shared" si="153"/>
        <v>-1068.0948645192457</v>
      </c>
      <c r="AI441" s="310">
        <f t="shared" si="157"/>
        <v>-0.41957073297089192</v>
      </c>
      <c r="AJ441" s="292"/>
      <c r="AK441" s="283"/>
      <c r="AL441" s="284">
        <f t="shared" si="155"/>
        <v>1506.1999999999998</v>
      </c>
      <c r="AM441" s="288"/>
      <c r="AN441" s="286">
        <f t="shared" si="154"/>
        <v>-28.609999999999673</v>
      </c>
      <c r="AO441" s="293">
        <f t="shared" si="156"/>
        <v>-1.8994821404859696E-2</v>
      </c>
      <c r="AP441" s="250"/>
      <c r="AQ441" s="250"/>
      <c r="AR441" s="250"/>
      <c r="AS441" s="250"/>
      <c r="AT441" s="250"/>
      <c r="AU441" s="250"/>
      <c r="AV441" s="250"/>
      <c r="AW441" s="250"/>
      <c r="AX441" s="250"/>
      <c r="AY441" s="250"/>
      <c r="AZ441" s="250"/>
      <c r="BA441" s="250"/>
      <c r="BB441" s="250"/>
      <c r="BC441" s="250"/>
      <c r="BD441" s="250"/>
      <c r="BE441" s="250"/>
      <c r="BF441" s="250"/>
      <c r="BG441" s="250"/>
      <c r="BH441" s="250"/>
      <c r="BI441" s="250"/>
      <c r="BJ441" s="250"/>
    </row>
    <row r="442" spans="1:62" ht="15.75" customHeight="1">
      <c r="A442" t="str">
        <f t="shared" si="135"/>
        <v>Papeterie</v>
      </c>
      <c r="B442" s="7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333"/>
      <c r="Q442" s="314"/>
      <c r="R442" s="250"/>
      <c r="S442" s="250"/>
      <c r="T442" s="250"/>
      <c r="U442" s="250"/>
      <c r="V442" s="105" t="s">
        <v>59</v>
      </c>
      <c r="W442" s="290" t="s">
        <v>158</v>
      </c>
      <c r="X442" s="283"/>
      <c r="Y442" s="283"/>
      <c r="Z442" s="284">
        <f>+SUM(START:END!Z442)</f>
        <v>6120.6029999999992</v>
      </c>
      <c r="AA442" s="283"/>
      <c r="AB442" s="283"/>
      <c r="AC442" s="284">
        <f>+SUM(START:END!AC442)</f>
        <v>6120.6029999999992</v>
      </c>
      <c r="AD442" s="292"/>
      <c r="AE442" s="291"/>
      <c r="AF442" s="284">
        <f>+SUM(START:END!AF442)</f>
        <v>8070.69</v>
      </c>
      <c r="AG442" s="285"/>
      <c r="AH442" s="286">
        <f t="shared" si="153"/>
        <v>1950.0870000000004</v>
      </c>
      <c r="AI442" s="287">
        <f t="shared" si="157"/>
        <v>0.31861027418376925</v>
      </c>
      <c r="AJ442" s="292"/>
      <c r="AK442" s="283"/>
      <c r="AL442" s="284">
        <f t="shared" si="155"/>
        <v>6500.84</v>
      </c>
      <c r="AM442" s="288"/>
      <c r="AN442" s="286">
        <f t="shared" si="154"/>
        <v>1569.8499999999995</v>
      </c>
      <c r="AO442" s="293">
        <f t="shared" si="156"/>
        <v>0.24148417742937828</v>
      </c>
      <c r="AP442" s="250"/>
      <c r="AQ442" s="250"/>
      <c r="AR442" s="250"/>
      <c r="AS442" s="250"/>
      <c r="AT442" s="250"/>
      <c r="AU442" s="250"/>
      <c r="AV442" s="250"/>
      <c r="AW442" s="250"/>
      <c r="AX442" s="250"/>
      <c r="AY442" s="250"/>
      <c r="AZ442" s="250"/>
      <c r="BA442" s="250"/>
      <c r="BB442" s="250"/>
      <c r="BC442" s="250"/>
      <c r="BD442" s="250"/>
      <c r="BE442" s="250"/>
      <c r="BF442" s="250"/>
      <c r="BG442" s="250"/>
      <c r="BH442" s="250"/>
      <c r="BI442" s="250"/>
      <c r="BJ442" s="250"/>
    </row>
    <row r="443" spans="1:62" ht="15.75" customHeight="1">
      <c r="A443" t="str">
        <f t="shared" si="135"/>
        <v>Téléphone</v>
      </c>
      <c r="B443" s="7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314"/>
      <c r="S443" s="250"/>
      <c r="T443" s="250"/>
      <c r="U443" s="250"/>
      <c r="V443" s="105" t="s">
        <v>60</v>
      </c>
      <c r="W443" s="290" t="s">
        <v>159</v>
      </c>
      <c r="X443" s="283"/>
      <c r="Y443" s="283"/>
      <c r="Z443" s="284">
        <f>+SUM(START:END!Z443)</f>
        <v>2826.2299375000002</v>
      </c>
      <c r="AA443" s="283"/>
      <c r="AB443" s="283"/>
      <c r="AC443" s="284">
        <f>+SUM(START:END!AC443)</f>
        <v>2826.2299375000002</v>
      </c>
      <c r="AD443" s="292"/>
      <c r="AE443" s="291"/>
      <c r="AF443" s="284">
        <f>+SUM(START:END!AF443)</f>
        <v>2246.06</v>
      </c>
      <c r="AG443" s="285"/>
      <c r="AH443" s="286">
        <f t="shared" si="153"/>
        <v>-580.16993750000029</v>
      </c>
      <c r="AI443" s="310">
        <f t="shared" si="157"/>
        <v>-0.20528051514916779</v>
      </c>
      <c r="AJ443" s="292"/>
      <c r="AK443" s="283"/>
      <c r="AL443" s="284">
        <f t="shared" si="155"/>
        <v>2586.0099999999998</v>
      </c>
      <c r="AM443" s="288"/>
      <c r="AN443" s="286">
        <f t="shared" si="154"/>
        <v>-339.94999999999982</v>
      </c>
      <c r="AO443" s="293">
        <f t="shared" si="156"/>
        <v>-0.13145734161894188</v>
      </c>
      <c r="AP443" s="250"/>
      <c r="AQ443" s="250"/>
      <c r="AR443" s="250"/>
      <c r="AS443" s="250"/>
      <c r="AT443" s="250"/>
      <c r="AU443" s="250"/>
      <c r="AV443" s="250"/>
      <c r="AW443" s="250"/>
      <c r="AX443" s="250"/>
      <c r="AY443" s="250"/>
      <c r="AZ443" s="250"/>
      <c r="BA443" s="250"/>
      <c r="BB443" s="250"/>
      <c r="BC443" s="250"/>
      <c r="BD443" s="250"/>
      <c r="BE443" s="250"/>
      <c r="BF443" s="250"/>
      <c r="BG443" s="250"/>
      <c r="BH443" s="250"/>
      <c r="BI443" s="250"/>
      <c r="BJ443" s="250"/>
    </row>
    <row r="444" spans="1:62" ht="15.75" customHeight="1">
      <c r="A444" t="str">
        <f t="shared" si="135"/>
        <v>Frais postaux</v>
      </c>
      <c r="B444" s="7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314"/>
      <c r="S444" s="250"/>
      <c r="T444" s="250"/>
      <c r="U444" s="250"/>
      <c r="V444" s="105" t="s">
        <v>61</v>
      </c>
      <c r="W444" s="290" t="s">
        <v>160</v>
      </c>
      <c r="X444" s="283"/>
      <c r="Y444" s="283"/>
      <c r="Z444" s="284">
        <f>+SUM(START:END!Z444)</f>
        <v>1508.5975624999996</v>
      </c>
      <c r="AA444" s="283"/>
      <c r="AB444" s="283"/>
      <c r="AC444" s="284">
        <f>+SUM(START:END!AC444)</f>
        <v>1508.5975624999996</v>
      </c>
      <c r="AD444" s="292"/>
      <c r="AE444" s="291"/>
      <c r="AF444" s="284">
        <f>+SUM(START:END!AF444)</f>
        <v>1286.2599999999998</v>
      </c>
      <c r="AG444" s="285"/>
      <c r="AH444" s="286">
        <f t="shared" si="153"/>
        <v>-222.33756249999988</v>
      </c>
      <c r="AI444" s="287">
        <f t="shared" si="157"/>
        <v>-0.14738030076858216</v>
      </c>
      <c r="AJ444" s="292"/>
      <c r="AK444" s="283"/>
      <c r="AL444" s="284">
        <f t="shared" si="155"/>
        <v>1835.49</v>
      </c>
      <c r="AM444" s="288"/>
      <c r="AN444" s="286">
        <f t="shared" si="154"/>
        <v>-549.23000000000025</v>
      </c>
      <c r="AO444" s="293">
        <f t="shared" si="156"/>
        <v>-0.29922799906292064</v>
      </c>
      <c r="AP444" s="250"/>
      <c r="AQ444" s="250"/>
      <c r="AR444" s="250"/>
      <c r="AS444" s="250"/>
      <c r="AT444" s="250"/>
      <c r="AU444" s="250"/>
      <c r="AV444" s="250"/>
      <c r="AW444" s="250"/>
      <c r="AX444" s="250"/>
      <c r="AY444" s="250"/>
      <c r="AZ444" s="250"/>
      <c r="BA444" s="250"/>
      <c r="BB444" s="250"/>
      <c r="BC444" s="250"/>
      <c r="BD444" s="250"/>
      <c r="BE444" s="250"/>
      <c r="BF444" s="250"/>
      <c r="BG444" s="250"/>
      <c r="BH444" s="250"/>
      <c r="BI444" s="250"/>
      <c r="BJ444" s="250"/>
    </row>
    <row r="445" spans="1:62" ht="15.75" customHeight="1">
      <c r="A445" t="str">
        <f t="shared" si="135"/>
        <v>Divers</v>
      </c>
      <c r="B445" s="7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314"/>
      <c r="R445" s="250"/>
      <c r="S445" s="250"/>
      <c r="T445" s="250"/>
      <c r="U445" s="250"/>
      <c r="V445" s="105" t="s">
        <v>62</v>
      </c>
      <c r="W445" s="290" t="s">
        <v>161</v>
      </c>
      <c r="X445" s="283"/>
      <c r="Y445" s="291"/>
      <c r="Z445" s="284">
        <f>+SUM(START:END!Z445)</f>
        <v>7277.1899374999975</v>
      </c>
      <c r="AA445" s="283"/>
      <c r="AB445" s="291"/>
      <c r="AC445" s="284">
        <f>+SUM(START:END!AC445)</f>
        <v>7277.1899374999975</v>
      </c>
      <c r="AD445" s="292"/>
      <c r="AE445" s="291"/>
      <c r="AF445" s="284">
        <f>+SUM(START:END!AF445)</f>
        <v>1107.83</v>
      </c>
      <c r="AG445" s="285"/>
      <c r="AH445" s="286">
        <f t="shared" si="153"/>
        <v>-6169.3599374999976</v>
      </c>
      <c r="AI445" s="310">
        <f t="shared" si="157"/>
        <v>-0.8477667877965841</v>
      </c>
      <c r="AJ445" s="292"/>
      <c r="AK445" s="283"/>
      <c r="AL445" s="284">
        <f t="shared" si="155"/>
        <v>6161.4299999999994</v>
      </c>
      <c r="AM445" s="288"/>
      <c r="AN445" s="286">
        <f t="shared" si="154"/>
        <v>-5053.5999999999995</v>
      </c>
      <c r="AO445" s="293">
        <f t="shared" si="156"/>
        <v>-0.82019920700227056</v>
      </c>
      <c r="AP445" s="250"/>
      <c r="AQ445" s="250"/>
      <c r="AR445" s="250"/>
      <c r="AS445" s="250"/>
      <c r="AT445" s="250"/>
      <c r="AU445" s="250"/>
      <c r="AV445" s="250"/>
      <c r="AW445" s="250"/>
      <c r="AX445" s="250"/>
      <c r="AY445" s="250"/>
      <c r="AZ445" s="250"/>
      <c r="BA445" s="250"/>
      <c r="BB445" s="250"/>
      <c r="BC445" s="250"/>
      <c r="BD445" s="250"/>
      <c r="BE445" s="250"/>
      <c r="BF445" s="250"/>
      <c r="BG445" s="250"/>
      <c r="BH445" s="250"/>
      <c r="BI445" s="250"/>
      <c r="BJ445" s="250"/>
    </row>
    <row r="446" spans="1:62" ht="15.75" customHeight="1">
      <c r="A446" t="str">
        <f t="shared" si="135"/>
        <v>Formation</v>
      </c>
      <c r="B446" s="7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314"/>
      <c r="R446" s="250"/>
      <c r="S446" s="250"/>
      <c r="T446" s="250"/>
      <c r="U446" s="250"/>
      <c r="V446" s="105" t="s">
        <v>63</v>
      </c>
      <c r="W446" s="290" t="s">
        <v>162</v>
      </c>
      <c r="X446" s="283"/>
      <c r="Y446" s="291"/>
      <c r="Z446" s="284">
        <f>+SUM(START:END!Z446)</f>
        <v>10811.7775</v>
      </c>
      <c r="AA446" s="283"/>
      <c r="AB446" s="291"/>
      <c r="AC446" s="284">
        <f>+SUM(START:END!AC446)</f>
        <v>10811.7775</v>
      </c>
      <c r="AD446" s="292"/>
      <c r="AE446" s="291"/>
      <c r="AF446" s="284">
        <f>+SUM(START:END!AF446)</f>
        <v>8657.26</v>
      </c>
      <c r="AG446" s="285"/>
      <c r="AH446" s="286">
        <f t="shared" si="153"/>
        <v>-2154.5174999999999</v>
      </c>
      <c r="AI446" s="287">
        <f t="shared" si="157"/>
        <v>-0.19927504982413852</v>
      </c>
      <c r="AJ446" s="292"/>
      <c r="AK446" s="283"/>
      <c r="AL446" s="284">
        <f t="shared" si="155"/>
        <v>10247.280000000001</v>
      </c>
      <c r="AM446" s="288"/>
      <c r="AN446" s="286">
        <f t="shared" si="154"/>
        <v>-1590.0200000000004</v>
      </c>
      <c r="AO446" s="293">
        <f t="shared" si="156"/>
        <v>-0.15516507795239326</v>
      </c>
      <c r="AP446" s="250"/>
      <c r="AQ446" s="250"/>
      <c r="AR446" s="250"/>
      <c r="AS446" s="250"/>
      <c r="AT446" s="250"/>
      <c r="AU446" s="250"/>
      <c r="AV446" s="250"/>
      <c r="AW446" s="250"/>
      <c r="AX446" s="250"/>
      <c r="AY446" s="250"/>
      <c r="AZ446" s="250"/>
      <c r="BA446" s="250"/>
      <c r="BB446" s="250"/>
      <c r="BC446" s="250"/>
      <c r="BD446" s="250"/>
      <c r="BE446" s="250"/>
      <c r="BF446" s="250"/>
      <c r="BG446" s="250"/>
      <c r="BH446" s="250"/>
      <c r="BI446" s="250"/>
      <c r="BJ446" s="250"/>
    </row>
    <row r="447" spans="1:62" ht="15.75" customHeight="1">
      <c r="A447" t="str">
        <f t="shared" si="135"/>
        <v>Frais bancaires</v>
      </c>
      <c r="B447" s="7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314"/>
      <c r="R447" s="250"/>
      <c r="S447" s="250"/>
      <c r="T447" s="250"/>
      <c r="U447" s="250"/>
      <c r="V447" s="105" t="s">
        <v>64</v>
      </c>
      <c r="W447" s="290" t="s">
        <v>163</v>
      </c>
      <c r="X447" s="283"/>
      <c r="Y447" s="291"/>
      <c r="Z447" s="284">
        <f>+SUM(START:END!Z447)</f>
        <v>17022.660249154789</v>
      </c>
      <c r="AA447" s="283"/>
      <c r="AB447" s="291"/>
      <c r="AC447" s="284">
        <f>+SUM(START:END!AC447)</f>
        <v>17022.660249154789</v>
      </c>
      <c r="AD447" s="292"/>
      <c r="AE447" s="291"/>
      <c r="AF447" s="284">
        <f>+SUM(START:END!AF447)</f>
        <v>25039.4</v>
      </c>
      <c r="AG447" s="285"/>
      <c r="AH447" s="286">
        <f t="shared" si="153"/>
        <v>8016.7397508452123</v>
      </c>
      <c r="AI447" s="287">
        <f t="shared" si="157"/>
        <v>0.47094517739924113</v>
      </c>
      <c r="AJ447" s="292"/>
      <c r="AK447" s="283"/>
      <c r="AL447" s="284">
        <f t="shared" si="155"/>
        <v>19800.940000000002</v>
      </c>
      <c r="AM447" s="288"/>
      <c r="AN447" s="286">
        <f t="shared" si="154"/>
        <v>5238.4599999999991</v>
      </c>
      <c r="AO447" s="293">
        <f t="shared" si="156"/>
        <v>0.26455612713335824</v>
      </c>
      <c r="AP447" s="250"/>
      <c r="AQ447" s="250"/>
      <c r="AR447" s="250"/>
      <c r="AS447" s="250"/>
      <c r="AT447" s="250"/>
      <c r="AU447" s="250"/>
      <c r="AV447" s="250"/>
      <c r="AW447" s="250"/>
      <c r="AX447" s="250"/>
      <c r="AY447" s="250"/>
      <c r="AZ447" s="250"/>
      <c r="BA447" s="250"/>
      <c r="BB447" s="250"/>
      <c r="BC447" s="250"/>
      <c r="BD447" s="250"/>
      <c r="BE447" s="250"/>
      <c r="BF447" s="250"/>
      <c r="BG447" s="250"/>
      <c r="BH447" s="250"/>
      <c r="BI447" s="250"/>
      <c r="BJ447" s="250"/>
    </row>
    <row r="448" spans="1:62" ht="15.75" customHeight="1">
      <c r="A448" t="str">
        <f t="shared" si="135"/>
        <v>Mitsubishi</v>
      </c>
      <c r="B448" s="7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314"/>
      <c r="R448" s="250"/>
      <c r="S448" s="250"/>
      <c r="T448" s="250"/>
      <c r="U448" s="250"/>
      <c r="V448" s="105" t="s">
        <v>216</v>
      </c>
      <c r="W448" s="290"/>
      <c r="X448" s="283"/>
      <c r="Y448" s="291"/>
      <c r="Z448" s="284">
        <f>+SUM(START:END!Z448)</f>
        <v>0</v>
      </c>
      <c r="AA448" s="283"/>
      <c r="AB448" s="291"/>
      <c r="AC448" s="284">
        <f>+SUM(START:END!AC448)</f>
        <v>0</v>
      </c>
      <c r="AD448" s="292"/>
      <c r="AE448" s="291"/>
      <c r="AF448" s="284">
        <f>+SUM(START:END!AF448)</f>
        <v>0</v>
      </c>
      <c r="AG448" s="285"/>
      <c r="AH448" s="286">
        <f t="shared" si="153"/>
        <v>0</v>
      </c>
      <c r="AI448" s="287">
        <f t="shared" si="157"/>
        <v>0</v>
      </c>
      <c r="AJ448" s="292"/>
      <c r="AK448" s="283"/>
      <c r="AL448" s="284">
        <f t="shared" si="155"/>
        <v>0</v>
      </c>
      <c r="AM448" s="288"/>
      <c r="AN448" s="286">
        <f t="shared" si="154"/>
        <v>0</v>
      </c>
      <c r="AO448" s="293">
        <f t="shared" si="156"/>
        <v>0</v>
      </c>
      <c r="AP448" s="250"/>
      <c r="AQ448" s="250"/>
      <c r="AR448" s="250"/>
      <c r="AS448" s="250"/>
      <c r="AT448" s="250"/>
      <c r="AU448" s="250"/>
      <c r="AV448" s="250"/>
      <c r="AW448" s="250"/>
      <c r="AX448" s="250"/>
      <c r="AY448" s="250"/>
      <c r="AZ448" s="250"/>
      <c r="BA448" s="250"/>
      <c r="BB448" s="250"/>
      <c r="BC448" s="250"/>
      <c r="BD448" s="250"/>
      <c r="BE448" s="250"/>
      <c r="BF448" s="250"/>
      <c r="BG448" s="250"/>
      <c r="BH448" s="250"/>
      <c r="BI448" s="250"/>
      <c r="BJ448" s="250"/>
    </row>
    <row r="449" spans="1:62" ht="15.75" customHeight="1">
      <c r="A449" t="str">
        <f t="shared" si="135"/>
        <v>[...]</v>
      </c>
      <c r="B449" s="7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314"/>
      <c r="R449" s="250"/>
      <c r="S449" s="250"/>
      <c r="T449" s="250"/>
      <c r="U449" s="250"/>
      <c r="V449" s="105" t="s">
        <v>21</v>
      </c>
      <c r="W449" s="290"/>
      <c r="X449" s="283"/>
      <c r="Y449" s="291"/>
      <c r="Z449" s="284">
        <f>+SUM(START:END!Z449)</f>
        <v>0</v>
      </c>
      <c r="AA449" s="283"/>
      <c r="AB449" s="291"/>
      <c r="AC449" s="284">
        <f>+SUM(START:END!AC449)</f>
        <v>0</v>
      </c>
      <c r="AD449" s="292"/>
      <c r="AE449" s="291"/>
      <c r="AF449" s="284">
        <f>+SUM(START:END!AF449)</f>
        <v>0</v>
      </c>
      <c r="AG449" s="285"/>
      <c r="AH449" s="286">
        <f t="shared" si="153"/>
        <v>0</v>
      </c>
      <c r="AI449" s="287">
        <f t="shared" si="157"/>
        <v>0</v>
      </c>
      <c r="AJ449" s="292"/>
      <c r="AK449" s="283"/>
      <c r="AL449" s="284">
        <f t="shared" si="155"/>
        <v>0</v>
      </c>
      <c r="AM449" s="288"/>
      <c r="AN449" s="286">
        <f t="shared" si="154"/>
        <v>0</v>
      </c>
      <c r="AO449" s="293">
        <f t="shared" si="156"/>
        <v>0</v>
      </c>
      <c r="AP449" s="250"/>
      <c r="AQ449" s="250"/>
      <c r="AR449" s="250"/>
      <c r="AS449" s="250"/>
      <c r="AT449" s="250"/>
      <c r="AU449" s="250"/>
      <c r="AV449" s="250"/>
      <c r="AW449" s="250"/>
      <c r="AX449" s="250"/>
      <c r="AY449" s="250"/>
      <c r="AZ449" s="250"/>
      <c r="BA449" s="250"/>
      <c r="BB449" s="250"/>
      <c r="BC449" s="250"/>
      <c r="BD449" s="250"/>
      <c r="BE449" s="250"/>
      <c r="BF449" s="250"/>
      <c r="BG449" s="250"/>
      <c r="BH449" s="250"/>
      <c r="BI449" s="250"/>
      <c r="BJ449" s="250"/>
    </row>
    <row r="450" spans="1:62" ht="15.75" customHeight="1">
      <c r="A450" t="str">
        <f t="shared" si="135"/>
        <v>[...]</v>
      </c>
      <c r="B450" s="7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333"/>
      <c r="Q450" s="314"/>
      <c r="R450" s="250"/>
      <c r="S450" s="250"/>
      <c r="T450" s="250"/>
      <c r="U450" s="250"/>
      <c r="V450" s="105" t="s">
        <v>21</v>
      </c>
      <c r="W450" s="290"/>
      <c r="X450" s="283"/>
      <c r="Y450" s="291"/>
      <c r="Z450" s="284">
        <f>+SUM(START:END!Z450)</f>
        <v>0</v>
      </c>
      <c r="AA450" s="283"/>
      <c r="AB450" s="291"/>
      <c r="AC450" s="284">
        <f>+SUM(START:END!AC450)</f>
        <v>0</v>
      </c>
      <c r="AD450" s="292"/>
      <c r="AE450" s="291"/>
      <c r="AF450" s="284">
        <f>+SUM(START:END!AF450)</f>
        <v>0</v>
      </c>
      <c r="AG450" s="285"/>
      <c r="AH450" s="286">
        <f t="shared" si="153"/>
        <v>0</v>
      </c>
      <c r="AI450" s="287">
        <f t="shared" si="157"/>
        <v>0</v>
      </c>
      <c r="AJ450" s="292"/>
      <c r="AK450" s="283"/>
      <c r="AL450" s="284">
        <f t="shared" si="155"/>
        <v>0</v>
      </c>
      <c r="AM450" s="288"/>
      <c r="AN450" s="286">
        <f t="shared" si="154"/>
        <v>0</v>
      </c>
      <c r="AO450" s="293">
        <f t="shared" si="156"/>
        <v>0</v>
      </c>
      <c r="AP450" s="250"/>
      <c r="AQ450" s="250"/>
      <c r="AR450" s="250"/>
      <c r="AS450" s="250"/>
      <c r="AT450" s="250"/>
      <c r="AU450" s="250"/>
      <c r="AV450" s="250"/>
      <c r="AW450" s="250"/>
      <c r="AX450" s="250"/>
      <c r="AY450" s="250"/>
      <c r="AZ450" s="250"/>
      <c r="BA450" s="250"/>
      <c r="BB450" s="250"/>
      <c r="BC450" s="250"/>
      <c r="BD450" s="250"/>
      <c r="BE450" s="250"/>
      <c r="BF450" s="250"/>
      <c r="BG450" s="250"/>
      <c r="BH450" s="250"/>
      <c r="BI450" s="250"/>
      <c r="BJ450" s="250"/>
    </row>
    <row r="451" spans="1:62" ht="15.75" customHeight="1">
      <c r="A451" t="str">
        <f t="shared" si="135"/>
        <v>TOTAL SEMI-FIXES</v>
      </c>
      <c r="B451" s="7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314"/>
      <c r="R451" s="250"/>
      <c r="S451" s="250"/>
      <c r="T451" s="250"/>
      <c r="U451" s="250"/>
      <c r="V451" s="300" t="s">
        <v>65</v>
      </c>
      <c r="W451" s="334"/>
      <c r="X451" s="302">
        <f>Z451/+Z406</f>
        <v>0.14431302544732219</v>
      </c>
      <c r="Y451" s="301"/>
      <c r="Z451" s="303">
        <f>+SUM(Z433:Z450)</f>
        <v>279657.81006249104</v>
      </c>
      <c r="AA451" s="302">
        <f>AC451/+AC406</f>
        <v>0.14431302544732216</v>
      </c>
      <c r="AB451" s="301"/>
      <c r="AC451" s="303">
        <f>+SUM(START:END!AC451)</f>
        <v>279657.81006249099</v>
      </c>
      <c r="AD451" s="304">
        <f>AF451/AF406</f>
        <v>0.15003447401483785</v>
      </c>
      <c r="AE451" s="301"/>
      <c r="AF451" s="303">
        <f>+SUM(AF433:AF450)</f>
        <v>319831.72000000009</v>
      </c>
      <c r="AG451" s="312"/>
      <c r="AH451" s="335">
        <f>+SUM(AH433:AH450)</f>
        <v>40173.909937509023</v>
      </c>
      <c r="AI451" s="302">
        <f>AH451/AC451</f>
        <v>0.14365381009216927</v>
      </c>
      <c r="AJ451" s="304">
        <f>IF($AL$406=0,0,AL451/$AL$406)</f>
        <v>0.14349243932656325</v>
      </c>
      <c r="AK451" s="302"/>
      <c r="AL451" s="303">
        <f>+SUM(AL433:AL450)</f>
        <v>270110.99</v>
      </c>
      <c r="AM451" s="313"/>
      <c r="AN451" s="306">
        <f>+SUM(AN433:AN450)</f>
        <v>49720.730000000032</v>
      </c>
      <c r="AO451" s="336">
        <f>IF(AL451=0,0,AN451/AL451)</f>
        <v>0.1840751833163102</v>
      </c>
      <c r="AP451" s="250"/>
      <c r="AQ451" s="250"/>
      <c r="AR451" s="250"/>
      <c r="AS451" s="250"/>
      <c r="AT451" s="250"/>
      <c r="AU451" s="250"/>
      <c r="AV451" s="250"/>
      <c r="AW451" s="250"/>
      <c r="AX451" s="250"/>
      <c r="AY451" s="250"/>
      <c r="AZ451" s="250"/>
      <c r="BA451" s="250"/>
      <c r="BB451" s="250"/>
      <c r="BC451" s="250"/>
      <c r="BD451" s="250"/>
      <c r="BE451" s="250"/>
      <c r="BF451" s="250"/>
      <c r="BG451" s="250"/>
      <c r="BH451" s="250"/>
      <c r="BI451" s="250"/>
      <c r="BJ451" s="250"/>
    </row>
    <row r="452" spans="1:62" ht="15.75" customHeight="1">
      <c r="A452" t="str">
        <f t="shared" si="135"/>
        <v>Loyer</v>
      </c>
      <c r="B452" s="7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105" t="s">
        <v>164</v>
      </c>
      <c r="W452" s="290" t="s">
        <v>165</v>
      </c>
      <c r="X452" s="283"/>
      <c r="Y452" s="291"/>
      <c r="Z452" s="284">
        <f>+SUM(START:END!Z452)</f>
        <v>78000</v>
      </c>
      <c r="AA452" s="283"/>
      <c r="AB452" s="291"/>
      <c r="AC452" s="284">
        <f>+SUM(START:END!AC452)</f>
        <v>78000</v>
      </c>
      <c r="AD452" s="292"/>
      <c r="AE452" s="291"/>
      <c r="AF452" s="284">
        <f>+SUM(START:END!AF452)</f>
        <v>78000</v>
      </c>
      <c r="AG452" s="285"/>
      <c r="AH452" s="286">
        <f t="shared" ref="AH452:AH460" si="158">AF452-AC452</f>
        <v>0</v>
      </c>
      <c r="AI452" s="287">
        <f>IF(AC452=0,0,AH452/AC452)</f>
        <v>0</v>
      </c>
      <c r="AJ452" s="292"/>
      <c r="AK452" s="283"/>
      <c r="AL452" s="284">
        <f>+SUM(START:END!AL452)</f>
        <v>78000</v>
      </c>
      <c r="AM452" s="288"/>
      <c r="AN452" s="286">
        <f t="shared" ref="AN452:AN460" si="159">AF452-AL452</f>
        <v>0</v>
      </c>
      <c r="AO452" s="293">
        <f t="shared" ref="AO452:AO460" si="160">IF(AL452=0,0,AN452/AL452)</f>
        <v>0</v>
      </c>
      <c r="AP452" s="250"/>
      <c r="AQ452" s="250"/>
      <c r="AR452" s="250"/>
      <c r="AS452" s="250"/>
      <c r="AT452" s="250"/>
      <c r="AU452" s="250"/>
      <c r="AV452" s="250"/>
      <c r="AW452" s="250"/>
      <c r="AX452" s="250"/>
      <c r="AY452" s="250"/>
      <c r="AZ452" s="250"/>
      <c r="BA452" s="250"/>
      <c r="BB452" s="250"/>
      <c r="BC452" s="250"/>
      <c r="BD452" s="250"/>
      <c r="BE452" s="250"/>
      <c r="BF452" s="250"/>
      <c r="BG452" s="250"/>
      <c r="BH452" s="250"/>
      <c r="BI452" s="250"/>
      <c r="BJ452" s="250"/>
    </row>
    <row r="453" spans="1:62" ht="15.75" customHeight="1">
      <c r="A453" t="str">
        <f t="shared" si="135"/>
        <v>Taxes foncières</v>
      </c>
      <c r="B453" s="7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105" t="s">
        <v>166</v>
      </c>
      <c r="W453" s="290" t="s">
        <v>167</v>
      </c>
      <c r="X453" s="283"/>
      <c r="Y453" s="291"/>
      <c r="Z453" s="284">
        <f>+SUM(START:END!Z453)</f>
        <v>14790.749999999996</v>
      </c>
      <c r="AA453" s="283"/>
      <c r="AB453" s="291"/>
      <c r="AC453" s="284">
        <f>+SUM(START:END!AC453)</f>
        <v>14790.749999999996</v>
      </c>
      <c r="AD453" s="292"/>
      <c r="AE453" s="291"/>
      <c r="AF453" s="284">
        <f>+SUM(START:END!AF453)</f>
        <v>14790</v>
      </c>
      <c r="AG453" s="285"/>
      <c r="AH453" s="286">
        <f t="shared" si="158"/>
        <v>-0.74999999999636202</v>
      </c>
      <c r="AI453" s="287">
        <f t="shared" ref="AI453:AI460" si="161">IF(AC453=0,0,AH453/AC453)</f>
        <v>-5.0707367780292563E-5</v>
      </c>
      <c r="AJ453" s="292"/>
      <c r="AK453" s="283"/>
      <c r="AL453" s="284">
        <f>+SUM(START:END!AL453)</f>
        <v>14430</v>
      </c>
      <c r="AM453" s="288"/>
      <c r="AN453" s="286">
        <f t="shared" si="159"/>
        <v>360</v>
      </c>
      <c r="AO453" s="293">
        <f t="shared" si="160"/>
        <v>2.4948024948024949E-2</v>
      </c>
      <c r="AP453" s="250"/>
      <c r="AQ453" s="250"/>
      <c r="AR453" s="250"/>
      <c r="AS453" s="250"/>
      <c r="AT453" s="250"/>
      <c r="AU453" s="250"/>
      <c r="AV453" s="250"/>
      <c r="AW453" s="250"/>
      <c r="AX453" s="250"/>
      <c r="AY453" s="250"/>
      <c r="AZ453" s="250"/>
      <c r="BA453" s="250"/>
      <c r="BB453" s="250"/>
      <c r="BC453" s="250"/>
      <c r="BD453" s="250"/>
      <c r="BE453" s="250"/>
      <c r="BF453" s="250"/>
      <c r="BG453" s="250"/>
      <c r="BH453" s="250"/>
      <c r="BI453" s="250"/>
      <c r="BJ453" s="250"/>
    </row>
    <row r="454" spans="1:62" ht="15.75" customHeight="1">
      <c r="A454" t="str">
        <f t="shared" si="135"/>
        <v>Taxes d`affaires</v>
      </c>
      <c r="B454" s="7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106" t="s">
        <v>168</v>
      </c>
      <c r="W454" s="294" t="s">
        <v>169</v>
      </c>
      <c r="X454" s="267"/>
      <c r="Y454" s="295"/>
      <c r="Z454" s="268">
        <f>+SUM(START:END!Z454)</f>
        <v>9839.9999999999982</v>
      </c>
      <c r="AA454" s="267"/>
      <c r="AB454" s="295"/>
      <c r="AC454" s="268">
        <f>+SUM(START:END!AC454)</f>
        <v>9839.9999999999982</v>
      </c>
      <c r="AD454" s="296"/>
      <c r="AE454" s="295"/>
      <c r="AF454" s="268">
        <f>+SUM(START:END!AF454)</f>
        <v>9839.9999999999982</v>
      </c>
      <c r="AG454" s="269"/>
      <c r="AH454" s="270">
        <f t="shared" si="158"/>
        <v>0</v>
      </c>
      <c r="AI454" s="297">
        <f t="shared" si="161"/>
        <v>0</v>
      </c>
      <c r="AJ454" s="296"/>
      <c r="AK454" s="267"/>
      <c r="AL454" s="268">
        <f>+SUM(START:END!AL454)</f>
        <v>9600</v>
      </c>
      <c r="AM454" s="272"/>
      <c r="AN454" s="270">
        <f t="shared" si="159"/>
        <v>239.99999999999818</v>
      </c>
      <c r="AO454" s="273">
        <f t="shared" si="160"/>
        <v>2.4999999999999811E-2</v>
      </c>
      <c r="AP454" s="250"/>
      <c r="AQ454" s="250"/>
      <c r="AR454" s="250"/>
      <c r="AS454" s="250"/>
      <c r="AT454" s="250"/>
      <c r="AU454" s="250"/>
      <c r="AV454" s="250"/>
      <c r="AW454" s="250"/>
      <c r="AX454" s="250"/>
      <c r="AY454" s="250"/>
      <c r="AZ454" s="250"/>
      <c r="BA454" s="250"/>
      <c r="BB454" s="250"/>
      <c r="BC454" s="250"/>
      <c r="BD454" s="250"/>
      <c r="BE454" s="250"/>
      <c r="BF454" s="250"/>
      <c r="BG454" s="250"/>
      <c r="BH454" s="250"/>
      <c r="BI454" s="250"/>
      <c r="BJ454" s="250"/>
    </row>
    <row r="455" spans="1:62" ht="15.75" customHeight="1">
      <c r="A455" t="str">
        <f t="shared" si="135"/>
        <v>Taxe sur le capital</v>
      </c>
      <c r="B455" s="7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105" t="s">
        <v>170</v>
      </c>
      <c r="W455" s="290"/>
      <c r="X455" s="283"/>
      <c r="Y455" s="291"/>
      <c r="Z455" s="284">
        <f>+SUM(START:END!Z455)</f>
        <v>0</v>
      </c>
      <c r="AA455" s="283"/>
      <c r="AB455" s="291"/>
      <c r="AC455" s="284">
        <f>+SUM(START:END!AC455)</f>
        <v>0</v>
      </c>
      <c r="AD455" s="292"/>
      <c r="AE455" s="291"/>
      <c r="AF455" s="284">
        <f>+SUM(START:END!AF455)</f>
        <v>0</v>
      </c>
      <c r="AG455" s="285"/>
      <c r="AH455" s="286">
        <f t="shared" si="158"/>
        <v>0</v>
      </c>
      <c r="AI455" s="287">
        <f t="shared" si="161"/>
        <v>0</v>
      </c>
      <c r="AJ455" s="292"/>
      <c r="AK455" s="283"/>
      <c r="AL455" s="284">
        <f>+SUM(START:END!AL455)</f>
        <v>0</v>
      </c>
      <c r="AM455" s="288"/>
      <c r="AN455" s="286">
        <f t="shared" si="159"/>
        <v>0</v>
      </c>
      <c r="AO455" s="293">
        <f t="shared" si="160"/>
        <v>0</v>
      </c>
      <c r="AP455" s="250"/>
      <c r="AQ455" s="250"/>
      <c r="AR455" s="250"/>
      <c r="AS455" s="250"/>
      <c r="AT455" s="250"/>
      <c r="AU455" s="250"/>
      <c r="AV455" s="250"/>
      <c r="AW455" s="250"/>
      <c r="AX455" s="250"/>
      <c r="AY455" s="250"/>
      <c r="AZ455" s="250"/>
      <c r="BA455" s="250"/>
      <c r="BB455" s="250"/>
      <c r="BC455" s="250"/>
      <c r="BD455" s="250"/>
      <c r="BE455" s="250"/>
      <c r="BF455" s="250"/>
      <c r="BG455" s="250"/>
      <c r="BH455" s="250"/>
      <c r="BI455" s="250"/>
      <c r="BJ455" s="250"/>
    </row>
    <row r="456" spans="1:62" ht="15.75" customHeight="1">
      <c r="A456" t="str">
        <f t="shared" si="135"/>
        <v>Assurances</v>
      </c>
      <c r="B456" s="7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106" t="s">
        <v>171</v>
      </c>
      <c r="W456" s="294" t="s">
        <v>172</v>
      </c>
      <c r="X456" s="267"/>
      <c r="Y456" s="295"/>
      <c r="Z456" s="268">
        <f>+SUM(START:END!Z456)</f>
        <v>12811.749999999996</v>
      </c>
      <c r="AA456" s="267"/>
      <c r="AB456" s="295"/>
      <c r="AC456" s="268">
        <f>+SUM(START:END!AC456)</f>
        <v>12811.749999999996</v>
      </c>
      <c r="AD456" s="296"/>
      <c r="AE456" s="295"/>
      <c r="AF456" s="268">
        <f>+SUM(START:END!AF456)</f>
        <v>12813</v>
      </c>
      <c r="AG456" s="269"/>
      <c r="AH456" s="270">
        <f t="shared" si="158"/>
        <v>1.250000000003638</v>
      </c>
      <c r="AI456" s="297">
        <f t="shared" si="161"/>
        <v>9.7566686830732595E-5</v>
      </c>
      <c r="AJ456" s="296"/>
      <c r="AK456" s="267"/>
      <c r="AL456" s="268">
        <f>+SUM(START:END!AL456)</f>
        <v>11124.33</v>
      </c>
      <c r="AM456" s="272"/>
      <c r="AN456" s="270">
        <f t="shared" si="159"/>
        <v>1688.67</v>
      </c>
      <c r="AO456" s="273">
        <f t="shared" si="160"/>
        <v>0.15179970389227937</v>
      </c>
      <c r="AP456" s="250"/>
      <c r="AQ456" s="250"/>
      <c r="AR456" s="250"/>
      <c r="AS456" s="250"/>
      <c r="AT456" s="250"/>
      <c r="AU456" s="250"/>
      <c r="AV456" s="250"/>
      <c r="AW456" s="250"/>
      <c r="AX456" s="250"/>
      <c r="AY456" s="250"/>
      <c r="AZ456" s="250"/>
      <c r="BA456" s="250"/>
      <c r="BB456" s="250"/>
      <c r="BC456" s="250"/>
      <c r="BD456" s="250"/>
      <c r="BE456" s="250"/>
      <c r="BF456" s="250"/>
      <c r="BG456" s="250"/>
      <c r="BH456" s="250"/>
      <c r="BI456" s="250"/>
      <c r="BJ456" s="250"/>
    </row>
    <row r="457" spans="1:62" ht="15.75" customHeight="1">
      <c r="A457" t="str">
        <f t="shared" si="135"/>
        <v>Chauffage, éclairage</v>
      </c>
      <c r="B457" s="7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105" t="s">
        <v>173</v>
      </c>
      <c r="W457" s="290" t="s">
        <v>174</v>
      </c>
      <c r="X457" s="337"/>
      <c r="Y457" s="338"/>
      <c r="Z457" s="284">
        <f>+SUM(START:END!Z457)</f>
        <v>8515.4591250000012</v>
      </c>
      <c r="AA457" s="337"/>
      <c r="AB457" s="338"/>
      <c r="AC457" s="284">
        <f>+SUM(START:END!AC457)</f>
        <v>8515.4591250000012</v>
      </c>
      <c r="AD457" s="292"/>
      <c r="AE457" s="291"/>
      <c r="AF457" s="284">
        <f>+SUM(START:END!AF457)</f>
        <v>5647.18</v>
      </c>
      <c r="AG457" s="285"/>
      <c r="AH457" s="286">
        <f t="shared" si="158"/>
        <v>-2868.2791250000009</v>
      </c>
      <c r="AI457" s="287">
        <f t="shared" si="161"/>
        <v>-0.33683199964863908</v>
      </c>
      <c r="AJ457" s="292"/>
      <c r="AK457" s="283"/>
      <c r="AL457" s="284">
        <f>+SUM(START:END!AL457)</f>
        <v>8795.7000000000007</v>
      </c>
      <c r="AM457" s="288"/>
      <c r="AN457" s="286">
        <f t="shared" si="159"/>
        <v>-3148.5200000000004</v>
      </c>
      <c r="AO457" s="293">
        <f t="shared" si="160"/>
        <v>-0.35796127653285131</v>
      </c>
      <c r="AP457" s="250"/>
      <c r="AQ457" s="250"/>
      <c r="AR457" s="250"/>
      <c r="AS457" s="250"/>
      <c r="AT457" s="250"/>
      <c r="AU457" s="250"/>
      <c r="AV457" s="250"/>
      <c r="AW457" s="250"/>
      <c r="AX457" s="250"/>
      <c r="AY457" s="250"/>
      <c r="AZ457" s="250"/>
      <c r="BA457" s="250"/>
      <c r="BB457" s="250"/>
      <c r="BC457" s="250"/>
      <c r="BD457" s="250"/>
      <c r="BE457" s="250"/>
      <c r="BF457" s="250"/>
      <c r="BG457" s="250"/>
      <c r="BH457" s="250"/>
      <c r="BI457" s="250"/>
      <c r="BJ457" s="250"/>
    </row>
    <row r="458" spans="1:62" ht="15.75" customHeight="1">
      <c r="A458" t="str">
        <f t="shared" si="135"/>
        <v>Honoraires</v>
      </c>
      <c r="B458" s="7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105" t="s">
        <v>175</v>
      </c>
      <c r="W458" s="290" t="s">
        <v>176</v>
      </c>
      <c r="X458" s="283"/>
      <c r="Y458" s="291"/>
      <c r="Z458" s="284">
        <f>+SUM(START:END!Z458)</f>
        <v>18368.5</v>
      </c>
      <c r="AA458" s="283"/>
      <c r="AB458" s="291"/>
      <c r="AC458" s="284">
        <f>+SUM(START:END!AC458)</f>
        <v>18368.5</v>
      </c>
      <c r="AD458" s="292"/>
      <c r="AE458" s="291"/>
      <c r="AF458" s="284">
        <f>+SUM(START:END!AF458)</f>
        <v>18369.989999999998</v>
      </c>
      <c r="AG458" s="285"/>
      <c r="AH458" s="286">
        <f t="shared" si="158"/>
        <v>1.4899999999979627</v>
      </c>
      <c r="AI458" s="287">
        <f t="shared" si="161"/>
        <v>8.1117129868958418E-5</v>
      </c>
      <c r="AJ458" s="292"/>
      <c r="AK458" s="283"/>
      <c r="AL458" s="284">
        <f>+SUM(START:END!AL458)</f>
        <v>19047.769999999997</v>
      </c>
      <c r="AM458" s="288"/>
      <c r="AN458" s="286">
        <f t="shared" si="159"/>
        <v>-677.77999999999884</v>
      </c>
      <c r="AO458" s="293">
        <f t="shared" si="160"/>
        <v>-3.558316800339352E-2</v>
      </c>
      <c r="AP458" s="250"/>
      <c r="AQ458" s="250"/>
      <c r="AR458" s="250"/>
      <c r="AS458" s="250"/>
      <c r="AT458" s="250"/>
      <c r="AU458" s="250"/>
      <c r="AV458" s="250"/>
      <c r="AW458" s="250"/>
      <c r="AX458" s="250"/>
      <c r="AY458" s="250"/>
      <c r="AZ458" s="250"/>
      <c r="BA458" s="250"/>
      <c r="BB458" s="250"/>
      <c r="BC458" s="250"/>
      <c r="BD458" s="250"/>
      <c r="BE458" s="250"/>
      <c r="BF458" s="250"/>
      <c r="BG458" s="250"/>
      <c r="BH458" s="250"/>
      <c r="BI458" s="250"/>
      <c r="BJ458" s="250"/>
    </row>
    <row r="459" spans="1:62" ht="15.75" customHeight="1">
      <c r="A459" t="str">
        <f t="shared" si="135"/>
        <v>Réparation équipement</v>
      </c>
      <c r="B459" s="7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106" t="s">
        <v>177</v>
      </c>
      <c r="W459" s="294" t="s">
        <v>178</v>
      </c>
      <c r="X459" s="267"/>
      <c r="Y459" s="295"/>
      <c r="Z459" s="268">
        <f>+SUM(START:END!Z459)</f>
        <v>3566.5797499999999</v>
      </c>
      <c r="AA459" s="267"/>
      <c r="AB459" s="295"/>
      <c r="AC459" s="268">
        <f>+SUM(START:END!AC459)</f>
        <v>3566.5797499999999</v>
      </c>
      <c r="AD459" s="296"/>
      <c r="AE459" s="295"/>
      <c r="AF459" s="268">
        <f>+SUM(START:END!AF459)</f>
        <v>4846.88</v>
      </c>
      <c r="AG459" s="269"/>
      <c r="AH459" s="270">
        <f t="shared" si="158"/>
        <v>1280.3002500000002</v>
      </c>
      <c r="AI459" s="297">
        <f t="shared" si="161"/>
        <v>0.35897143474781412</v>
      </c>
      <c r="AJ459" s="296"/>
      <c r="AK459" s="267"/>
      <c r="AL459" s="268">
        <f>+SUM(START:END!AL459)</f>
        <v>4701.71</v>
      </c>
      <c r="AM459" s="272"/>
      <c r="AN459" s="270">
        <f t="shared" si="159"/>
        <v>145.17000000000007</v>
      </c>
      <c r="AO459" s="273">
        <f t="shared" si="160"/>
        <v>3.0876000433884707E-2</v>
      </c>
      <c r="AP459" s="250"/>
      <c r="AQ459" s="250"/>
      <c r="AR459" s="250"/>
      <c r="AS459" s="250"/>
      <c r="AT459" s="250"/>
      <c r="AU459" s="250"/>
      <c r="AV459" s="250"/>
      <c r="AW459" s="250"/>
      <c r="AX459" s="250"/>
      <c r="AY459" s="250"/>
      <c r="AZ459" s="250"/>
      <c r="BA459" s="250"/>
      <c r="BB459" s="250"/>
      <c r="BC459" s="250"/>
      <c r="BD459" s="250"/>
      <c r="BE459" s="250"/>
      <c r="BF459" s="250"/>
      <c r="BG459" s="250"/>
      <c r="BH459" s="250"/>
      <c r="BI459" s="250"/>
      <c r="BJ459" s="250"/>
    </row>
    <row r="460" spans="1:62" ht="15.75" customHeight="1">
      <c r="A460" t="str">
        <f t="shared" si="135"/>
        <v>Location équipement</v>
      </c>
      <c r="B460" s="7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339"/>
      <c r="V460" s="105" t="s">
        <v>179</v>
      </c>
      <c r="W460" s="290" t="s">
        <v>180</v>
      </c>
      <c r="X460" s="283"/>
      <c r="Y460" s="291"/>
      <c r="Z460" s="284">
        <f>+SUM(START:END!Z460)</f>
        <v>691.875</v>
      </c>
      <c r="AA460" s="283"/>
      <c r="AB460" s="291"/>
      <c r="AC460" s="284">
        <f>+SUM(START:END!AC460)</f>
        <v>691.875</v>
      </c>
      <c r="AD460" s="292"/>
      <c r="AE460" s="291"/>
      <c r="AF460" s="284">
        <f>+SUM(START:END!AF460)</f>
        <v>0</v>
      </c>
      <c r="AG460" s="285"/>
      <c r="AH460" s="286">
        <f t="shared" si="158"/>
        <v>-691.875</v>
      </c>
      <c r="AI460" s="340">
        <f t="shared" si="161"/>
        <v>-1</v>
      </c>
      <c r="AJ460" s="283"/>
      <c r="AK460" s="283"/>
      <c r="AL460" s="284">
        <f>+SUM(START:END!AL460)</f>
        <v>0</v>
      </c>
      <c r="AM460" s="288"/>
      <c r="AN460" s="286">
        <f t="shared" si="159"/>
        <v>0</v>
      </c>
      <c r="AO460" s="293">
        <f t="shared" si="160"/>
        <v>0</v>
      </c>
      <c r="AP460" s="250"/>
      <c r="AQ460" s="250"/>
      <c r="AR460" s="250"/>
      <c r="AS460" s="250"/>
      <c r="AT460" s="250"/>
      <c r="AU460" s="250"/>
      <c r="AV460" s="250"/>
      <c r="AW460" s="250"/>
      <c r="AX460" s="250"/>
      <c r="AY460" s="250"/>
      <c r="AZ460" s="250"/>
      <c r="BA460" s="250"/>
      <c r="BB460" s="250"/>
      <c r="BC460" s="250"/>
      <c r="BD460" s="250"/>
      <c r="BE460" s="250"/>
      <c r="BF460" s="250"/>
      <c r="BG460" s="250"/>
      <c r="BH460" s="250"/>
      <c r="BI460" s="250"/>
      <c r="BJ460" s="250"/>
    </row>
    <row r="461" spans="1:62" ht="15.75" customHeight="1">
      <c r="A461" t="str">
        <f t="shared" si="135"/>
        <v>Dons</v>
      </c>
      <c r="B461" s="7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339"/>
      <c r="V461" s="105" t="s">
        <v>181</v>
      </c>
      <c r="W461" s="290" t="s">
        <v>182</v>
      </c>
      <c r="X461" s="283"/>
      <c r="Y461" s="291"/>
      <c r="Z461" s="284">
        <f>+SUM(START:END!Z461)</f>
        <v>0</v>
      </c>
      <c r="AA461" s="283"/>
      <c r="AB461" s="291"/>
      <c r="AC461" s="284">
        <f>+SUM(START:END!AC461)</f>
        <v>0</v>
      </c>
      <c r="AD461" s="292"/>
      <c r="AE461" s="291"/>
      <c r="AF461" s="284">
        <f>+SUM(START:END!AF461)</f>
        <v>0</v>
      </c>
      <c r="AG461" s="285"/>
      <c r="AH461" s="286">
        <v>0</v>
      </c>
      <c r="AI461" s="310">
        <v>0</v>
      </c>
      <c r="AJ461" s="283"/>
      <c r="AK461" s="283"/>
      <c r="AL461" s="284">
        <f>+SUM(START:END!AL461)</f>
        <v>0</v>
      </c>
      <c r="AM461" s="288"/>
      <c r="AN461" s="286">
        <v>0</v>
      </c>
      <c r="AO461" s="293">
        <v>0</v>
      </c>
      <c r="AP461" s="250"/>
      <c r="AQ461" s="250"/>
      <c r="AR461" s="250"/>
      <c r="AS461" s="250"/>
      <c r="AT461" s="250"/>
      <c r="AU461" s="250"/>
      <c r="AV461" s="250"/>
      <c r="AW461" s="250"/>
      <c r="AX461" s="250"/>
      <c r="AY461" s="250"/>
      <c r="AZ461" s="250"/>
      <c r="BA461" s="250"/>
      <c r="BB461" s="250"/>
      <c r="BC461" s="250"/>
      <c r="BD461" s="250"/>
      <c r="BE461" s="250"/>
      <c r="BF461" s="250"/>
      <c r="BG461" s="250"/>
      <c r="BH461" s="250"/>
      <c r="BI461" s="250"/>
      <c r="BJ461" s="250"/>
    </row>
    <row r="462" spans="1:62" ht="15.75" hidden="1" customHeight="1">
      <c r="A462" t="str">
        <f t="shared" si="135"/>
        <v>[...]</v>
      </c>
      <c r="B462" s="7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339"/>
      <c r="V462" s="105" t="s">
        <v>21</v>
      </c>
      <c r="W462" s="290"/>
      <c r="X462" s="283"/>
      <c r="Y462" s="291"/>
      <c r="Z462" s="284">
        <f>+SUM(START:END!Z462)</f>
        <v>0</v>
      </c>
      <c r="AA462" s="283"/>
      <c r="AB462" s="291"/>
      <c r="AC462" s="284">
        <f>+SUM(START:END!AC462)</f>
        <v>0</v>
      </c>
      <c r="AD462" s="292"/>
      <c r="AE462" s="291"/>
      <c r="AF462" s="284">
        <f>+SUM(START:END!AF462)</f>
        <v>0</v>
      </c>
      <c r="AG462" s="285"/>
      <c r="AH462" s="286">
        <v>0</v>
      </c>
      <c r="AI462" s="310">
        <v>1</v>
      </c>
      <c r="AJ462" s="283"/>
      <c r="AK462" s="283"/>
      <c r="AL462" s="284">
        <f>+SUM(START:END!AL462)</f>
        <v>0</v>
      </c>
      <c r="AM462" s="288"/>
      <c r="AN462" s="286">
        <v>0</v>
      </c>
      <c r="AO462" s="293">
        <v>1</v>
      </c>
      <c r="AP462" s="250"/>
      <c r="AQ462" s="250"/>
      <c r="AR462" s="250"/>
      <c r="AS462" s="250"/>
      <c r="AT462" s="250"/>
      <c r="AU462" s="250"/>
      <c r="AV462" s="250"/>
      <c r="AW462" s="250"/>
      <c r="AX462" s="250"/>
      <c r="AY462" s="250"/>
      <c r="AZ462" s="250"/>
      <c r="BA462" s="250"/>
      <c r="BB462" s="250"/>
      <c r="BC462" s="250"/>
      <c r="BD462" s="250"/>
      <c r="BE462" s="250"/>
      <c r="BF462" s="250"/>
      <c r="BG462" s="250"/>
      <c r="BH462" s="250"/>
      <c r="BI462" s="250"/>
      <c r="BJ462" s="250"/>
    </row>
    <row r="463" spans="1:62" ht="15.75" hidden="1" customHeight="1">
      <c r="A463" t="str">
        <f t="shared" si="135"/>
        <v>[...]</v>
      </c>
      <c r="B463" s="7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339"/>
      <c r="V463" s="105" t="s">
        <v>21</v>
      </c>
      <c r="W463" s="290"/>
      <c r="X463" s="283"/>
      <c r="Y463" s="291"/>
      <c r="Z463" s="284">
        <f>+SUM(START:END!Z463)</f>
        <v>0</v>
      </c>
      <c r="AA463" s="283"/>
      <c r="AB463" s="291"/>
      <c r="AC463" s="284">
        <f>+SUM(START:END!AC463)</f>
        <v>0</v>
      </c>
      <c r="AD463" s="292"/>
      <c r="AE463" s="291"/>
      <c r="AF463" s="284">
        <f>+SUM(START:END!AF463)</f>
        <v>0</v>
      </c>
      <c r="AG463" s="285"/>
      <c r="AH463" s="286">
        <v>0</v>
      </c>
      <c r="AI463" s="310">
        <v>2</v>
      </c>
      <c r="AJ463" s="283"/>
      <c r="AK463" s="283"/>
      <c r="AL463" s="284">
        <f>+SUM(START:END!AL463)</f>
        <v>0</v>
      </c>
      <c r="AM463" s="288"/>
      <c r="AN463" s="286">
        <v>0</v>
      </c>
      <c r="AO463" s="293">
        <v>2</v>
      </c>
      <c r="AP463" s="250"/>
      <c r="AQ463" s="250"/>
      <c r="AR463" s="250"/>
      <c r="AS463" s="250"/>
      <c r="AT463" s="250"/>
      <c r="AU463" s="250"/>
      <c r="AV463" s="250"/>
      <c r="AW463" s="250"/>
      <c r="AX463" s="250"/>
      <c r="AY463" s="250"/>
      <c r="AZ463" s="250"/>
      <c r="BA463" s="250"/>
      <c r="BB463" s="250"/>
      <c r="BC463" s="250"/>
      <c r="BD463" s="250"/>
      <c r="BE463" s="250"/>
      <c r="BF463" s="250"/>
      <c r="BG463" s="250"/>
      <c r="BH463" s="250"/>
      <c r="BI463" s="250"/>
      <c r="BJ463" s="250"/>
    </row>
    <row r="464" spans="1:62" ht="15.75" hidden="1" customHeight="1">
      <c r="A464" t="str">
        <f t="shared" si="135"/>
        <v>[...]</v>
      </c>
      <c r="B464" s="7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105" t="s">
        <v>21</v>
      </c>
      <c r="W464" s="290"/>
      <c r="X464" s="283"/>
      <c r="Y464" s="291"/>
      <c r="Z464" s="284">
        <f>+SUM(START:END!Z464)</f>
        <v>0</v>
      </c>
      <c r="AA464" s="283"/>
      <c r="AB464" s="291"/>
      <c r="AC464" s="284">
        <f>+SUM(START:END!AC464)</f>
        <v>0</v>
      </c>
      <c r="AD464" s="292"/>
      <c r="AE464" s="291"/>
      <c r="AF464" s="284">
        <f>+SUM(START:END!AF464)</f>
        <v>0</v>
      </c>
      <c r="AG464" s="285"/>
      <c r="AH464" s="286">
        <v>0</v>
      </c>
      <c r="AI464" s="310">
        <v>3</v>
      </c>
      <c r="AJ464" s="283"/>
      <c r="AK464" s="283"/>
      <c r="AL464" s="284">
        <f>+SUM(START:END!AL464)</f>
        <v>0</v>
      </c>
      <c r="AM464" s="288"/>
      <c r="AN464" s="286">
        <v>0</v>
      </c>
      <c r="AO464" s="293">
        <v>3</v>
      </c>
      <c r="AP464" s="250"/>
      <c r="AQ464" s="250"/>
      <c r="AR464" s="250"/>
      <c r="AS464" s="250"/>
      <c r="AT464" s="250"/>
      <c r="AU464" s="250"/>
      <c r="AV464" s="250"/>
      <c r="AW464" s="250"/>
      <c r="AX464" s="250"/>
      <c r="AY464" s="250"/>
      <c r="AZ464" s="250"/>
      <c r="BA464" s="250"/>
      <c r="BB464" s="250"/>
      <c r="BC464" s="250"/>
      <c r="BD464" s="250"/>
      <c r="BE464" s="250"/>
      <c r="BF464" s="250"/>
      <c r="BG464" s="250"/>
      <c r="BH464" s="250"/>
      <c r="BI464" s="250"/>
      <c r="BJ464" s="250"/>
    </row>
    <row r="465" spans="1:62" ht="15.75" customHeight="1">
      <c r="A465" t="str">
        <f t="shared" si="135"/>
        <v>TOTAL DÉPENSES FIXES</v>
      </c>
      <c r="B465" s="7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300" t="s">
        <v>183</v>
      </c>
      <c r="W465" s="301"/>
      <c r="X465" s="302">
        <f>Z465/+Z406</f>
        <v>7.564284509525912E-2</v>
      </c>
      <c r="Y465" s="301"/>
      <c r="Z465" s="303">
        <f>SUM(Z452:Z464)</f>
        <v>146584.913875</v>
      </c>
      <c r="AA465" s="302">
        <f>AC465/+AC406</f>
        <v>7.564284509525912E-2</v>
      </c>
      <c r="AB465" s="301"/>
      <c r="AC465" s="303">
        <f>SUM(AC452:AC464)</f>
        <v>146584.913875</v>
      </c>
      <c r="AD465" s="304">
        <f>AF465/AF406</f>
        <v>6.7695075220753284E-2</v>
      </c>
      <c r="AE465" s="301"/>
      <c r="AF465" s="303">
        <f>SUM(AF452:AF464)</f>
        <v>144307.04999999999</v>
      </c>
      <c r="AG465" s="312"/>
      <c r="AH465" s="341">
        <f>SUM(AH452:AH464)</f>
        <v>-2277.8638749999955</v>
      </c>
      <c r="AI465" s="302">
        <f>IF(AC465=0,0,AH465/AC465)</f>
        <v>-1.5539551886918182E-2</v>
      </c>
      <c r="AJ465" s="304">
        <f>IF($AL$406=0,0,AL465/$AL$406)</f>
        <v>7.7400694057598293E-2</v>
      </c>
      <c r="AK465" s="302"/>
      <c r="AL465" s="303">
        <f>SUM(AL452:AL464)</f>
        <v>145699.50999999998</v>
      </c>
      <c r="AM465" s="313"/>
      <c r="AN465" s="306">
        <f>SUM(AN452:AN464)</f>
        <v>-1392.4600000000009</v>
      </c>
      <c r="AO465" s="336">
        <f>IF(AL465=0,0,AN465/AL465)</f>
        <v>-9.5570671445635007E-3</v>
      </c>
      <c r="AP465" s="250"/>
      <c r="AQ465" s="250"/>
      <c r="AR465" s="250"/>
      <c r="AS465" s="250"/>
      <c r="AT465" s="250"/>
      <c r="AU465" s="250"/>
      <c r="AV465" s="250"/>
      <c r="AW465" s="250"/>
      <c r="AX465" s="250"/>
      <c r="AY465" s="250"/>
      <c r="AZ465" s="250"/>
      <c r="BA465" s="250"/>
      <c r="BB465" s="250"/>
      <c r="BC465" s="250"/>
      <c r="BD465" s="250"/>
      <c r="BE465" s="250"/>
      <c r="BF465" s="250"/>
      <c r="BG465" s="250"/>
      <c r="BH465" s="250"/>
      <c r="BI465" s="250"/>
      <c r="BJ465" s="250"/>
    </row>
    <row r="466" spans="1:62" ht="15.75" customHeight="1">
      <c r="A466" t="str">
        <f t="shared" si="135"/>
        <v/>
      </c>
      <c r="B466" s="7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105"/>
      <c r="W466" s="283"/>
      <c r="X466" s="283"/>
      <c r="Y466" s="283"/>
      <c r="Z466" s="342"/>
      <c r="AA466" s="283"/>
      <c r="AB466" s="283"/>
      <c r="AC466" s="342"/>
      <c r="AD466" s="292"/>
      <c r="AE466" s="283"/>
      <c r="AF466" s="342"/>
      <c r="AG466" s="292"/>
      <c r="AH466" s="286">
        <f t="shared" ref="AH466:AH480" si="162">AF466-AC466</f>
        <v>0</v>
      </c>
      <c r="AI466" s="287"/>
      <c r="AJ466" s="292"/>
      <c r="AK466" s="283"/>
      <c r="AL466" s="342"/>
      <c r="AM466" s="343"/>
      <c r="AN466" s="286">
        <f t="shared" ref="AN466:AN482" si="163">AF466-AL466</f>
        <v>0</v>
      </c>
      <c r="AO466" s="344">
        <f>IF(AL466=0,0,AN466/AL466)</f>
        <v>0</v>
      </c>
      <c r="AP466" s="250"/>
      <c r="AQ466" s="250"/>
      <c r="AR466" s="250"/>
      <c r="AS466" s="250"/>
      <c r="AT466" s="250"/>
      <c r="AU466" s="250"/>
      <c r="AV466" s="250"/>
      <c r="AW466" s="250"/>
      <c r="AX466" s="250"/>
      <c r="AY466" s="250"/>
      <c r="AZ466" s="250"/>
      <c r="BA466" s="250"/>
      <c r="BB466" s="250"/>
      <c r="BC466" s="250"/>
      <c r="BD466" s="250"/>
      <c r="BE466" s="250"/>
      <c r="BF466" s="250"/>
      <c r="BG466" s="250"/>
      <c r="BH466" s="250"/>
      <c r="BI466" s="250"/>
      <c r="BJ466" s="250"/>
    </row>
    <row r="467" spans="1:62" ht="15.75" customHeight="1">
      <c r="A467" t="str">
        <f t="shared" si="135"/>
        <v>TOTAL DES DÉPENSES</v>
      </c>
      <c r="B467" s="7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300" t="s">
        <v>66</v>
      </c>
      <c r="W467" s="301"/>
      <c r="X467" s="302">
        <f>Z467/+Z406</f>
        <v>0.91107144145127927</v>
      </c>
      <c r="Y467" s="301"/>
      <c r="Z467" s="303">
        <f>Z418+Z432+Z451+Z465</f>
        <v>1765524.9298321016</v>
      </c>
      <c r="AA467" s="302">
        <f>AC467/+AC406</f>
        <v>0.91107144145127916</v>
      </c>
      <c r="AB467" s="301"/>
      <c r="AC467" s="303">
        <f>AC418+AC432+AC451+AC465</f>
        <v>1765524.9298321013</v>
      </c>
      <c r="AD467" s="304">
        <f>AF467/AF406</f>
        <v>0.83246955885241969</v>
      </c>
      <c r="AE467" s="301"/>
      <c r="AF467" s="303">
        <f>AF418+AF432+AF451+AF465</f>
        <v>1774593.2900000003</v>
      </c>
      <c r="AG467" s="312"/>
      <c r="AH467" s="306">
        <f t="shared" si="162"/>
        <v>9068.3601678989362</v>
      </c>
      <c r="AI467" s="302">
        <f>AH467/AC467</f>
        <v>5.1363535086198543E-3</v>
      </c>
      <c r="AJ467" s="304">
        <f>IF($AL$406=0,0,AL467/$AL$406)</f>
        <v>0.86827694154968382</v>
      </c>
      <c r="AK467" s="302"/>
      <c r="AL467" s="303">
        <f>AL418+AL432+AL451+AL465</f>
        <v>1634449.49</v>
      </c>
      <c r="AM467" s="313"/>
      <c r="AN467" s="306">
        <f t="shared" si="163"/>
        <v>140143.80000000028</v>
      </c>
      <c r="AO467" s="281">
        <f>IF(AL467=0,0,AN467/AL467)</f>
        <v>8.5743732588518404E-2</v>
      </c>
      <c r="AP467" s="250"/>
      <c r="AQ467" s="250"/>
      <c r="AR467" s="250"/>
      <c r="AS467" s="250"/>
      <c r="AT467" s="250"/>
      <c r="AU467" s="250"/>
      <c r="AV467" s="250"/>
      <c r="AW467" s="250"/>
      <c r="AX467" s="250"/>
      <c r="AY467" s="250"/>
      <c r="AZ467" s="250"/>
      <c r="BA467" s="250"/>
      <c r="BB467" s="250"/>
      <c r="BC467" s="250"/>
      <c r="BD467" s="250"/>
      <c r="BE467" s="250"/>
      <c r="BF467" s="250"/>
      <c r="BG467" s="250"/>
      <c r="BH467" s="250"/>
      <c r="BI467" s="250"/>
      <c r="BJ467" s="250"/>
    </row>
    <row r="468" spans="1:62" ht="15.75" customHeight="1">
      <c r="A468" t="str">
        <f t="shared" si="135"/>
        <v>Revenus autres</v>
      </c>
      <c r="B468" s="7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105" t="s">
        <v>184</v>
      </c>
      <c r="W468" s="338"/>
      <c r="X468" s="338"/>
      <c r="Y468" s="283"/>
      <c r="Z468" s="317">
        <f>+SUM(START:END!Z468)</f>
        <v>27499.800000000003</v>
      </c>
      <c r="AA468" s="345"/>
      <c r="AB468" s="346"/>
      <c r="AC468" s="317">
        <f>+SUM(START:END!AC468)</f>
        <v>27499.800000000003</v>
      </c>
      <c r="AD468" s="347"/>
      <c r="AE468" s="346"/>
      <c r="AF468" s="284">
        <f>+SUM(START:END!AF468)</f>
        <v>91605.02</v>
      </c>
      <c r="AG468" s="348"/>
      <c r="AH468" s="286">
        <f t="shared" si="162"/>
        <v>64105.22</v>
      </c>
      <c r="AI468" s="340">
        <f t="shared" ref="AI468:AI478" si="164">IF(AH468=0,0,AH468/AC468)</f>
        <v>2.3311158626608193</v>
      </c>
      <c r="AJ468" s="347"/>
      <c r="AK468" s="345"/>
      <c r="AL468" s="349">
        <f>+SUM(START:END!AL468)</f>
        <v>19957.47</v>
      </c>
      <c r="AM468" s="350"/>
      <c r="AN468" s="286">
        <f t="shared" si="163"/>
        <v>71647.55</v>
      </c>
      <c r="AO468" s="293">
        <f>IF(AL468=0,0,AN468/AL468)</f>
        <v>3.5900116597945528</v>
      </c>
      <c r="AP468" s="250"/>
      <c r="AQ468" s="250"/>
      <c r="AR468" s="250"/>
      <c r="AS468" s="250"/>
      <c r="AT468" s="250"/>
      <c r="AU468" s="250"/>
      <c r="AV468" s="250"/>
      <c r="AW468" s="250"/>
      <c r="AX468" s="250"/>
      <c r="AY468" s="250"/>
      <c r="AZ468" s="250"/>
      <c r="BA468" s="250"/>
      <c r="BB468" s="250"/>
      <c r="BC468" s="250"/>
      <c r="BD468" s="250"/>
      <c r="BE468" s="250"/>
      <c r="BF468" s="250"/>
      <c r="BG468" s="250"/>
      <c r="BH468" s="250"/>
      <c r="BI468" s="250"/>
      <c r="BJ468" s="250"/>
    </row>
    <row r="469" spans="1:62" ht="30" customHeight="1">
      <c r="A469" t="str">
        <f t="shared" si="135"/>
        <v>Holdbacks</v>
      </c>
      <c r="B469" s="7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105" t="s">
        <v>70</v>
      </c>
      <c r="W469" s="283"/>
      <c r="X469" s="283"/>
      <c r="Y469" s="283"/>
      <c r="Z469" s="284">
        <f>+SUM(START:END!Z469)</f>
        <v>250005.27475301197</v>
      </c>
      <c r="AA469" s="337"/>
      <c r="AB469" s="338"/>
      <c r="AC469" s="284">
        <f>+SUM(START:END!AC469)</f>
        <v>250005.27475301197</v>
      </c>
      <c r="AD469" s="351"/>
      <c r="AE469" s="338"/>
      <c r="AF469" s="284">
        <f>+SUM(START:END!AF469)</f>
        <v>233500.07</v>
      </c>
      <c r="AG469" s="352"/>
      <c r="AH469" s="286">
        <f t="shared" si="162"/>
        <v>-16505.20475301196</v>
      </c>
      <c r="AI469" s="310">
        <f>IF(AC469=0,0,AH469/AC469)</f>
        <v>-6.6019426067381856E-2</v>
      </c>
      <c r="AJ469" s="351"/>
      <c r="AK469" s="337"/>
      <c r="AL469" s="353">
        <f>+SUM(START:END!AL469)</f>
        <v>214826.84999999998</v>
      </c>
      <c r="AM469" s="354"/>
      <c r="AN469" s="286">
        <f t="shared" si="163"/>
        <v>18673.22000000003</v>
      </c>
      <c r="AO469" s="293">
        <f>IF(AL469=0,0,AN469/AL469)</f>
        <v>8.6922188730133285E-2</v>
      </c>
      <c r="AP469" s="250"/>
      <c r="AQ469" s="250"/>
      <c r="AR469" s="250"/>
      <c r="AS469" s="250"/>
      <c r="AT469" s="250"/>
      <c r="AU469" s="250"/>
      <c r="AV469" s="250"/>
      <c r="AW469" s="250"/>
      <c r="AX469" s="250"/>
      <c r="AY469" s="250"/>
      <c r="AZ469" s="250"/>
      <c r="BA469" s="250"/>
      <c r="BB469" s="250"/>
      <c r="BC469" s="250"/>
      <c r="BD469" s="250"/>
      <c r="BE469" s="250"/>
      <c r="BF469" s="250"/>
      <c r="BG469" s="250"/>
      <c r="BH469" s="250"/>
      <c r="BI469" s="250"/>
      <c r="BJ469" s="250"/>
    </row>
    <row r="470" spans="1:62" ht="15.75" customHeight="1">
      <c r="A470" t="str">
        <f t="shared" si="135"/>
        <v>Variable Margin Program</v>
      </c>
      <c r="B470" s="7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105" t="s">
        <v>67</v>
      </c>
      <c r="W470" s="283"/>
      <c r="X470" s="283"/>
      <c r="Y470" s="283"/>
      <c r="Z470" s="284">
        <f>+SUM(START:END!Z470)</f>
        <v>19143.900000000001</v>
      </c>
      <c r="AA470" s="337"/>
      <c r="AB470" s="338"/>
      <c r="AC470" s="284">
        <f>+SUM(START:END!AC470)</f>
        <v>19143.900000000001</v>
      </c>
      <c r="AD470" s="351"/>
      <c r="AE470" s="338"/>
      <c r="AF470" s="284">
        <f>+SUM(START:END!AF470)</f>
        <v>0</v>
      </c>
      <c r="AG470" s="352"/>
      <c r="AH470" s="286">
        <f t="shared" si="162"/>
        <v>-19143.900000000001</v>
      </c>
      <c r="AI470" s="310">
        <f t="shared" si="164"/>
        <v>-1</v>
      </c>
      <c r="AJ470" s="351"/>
      <c r="AK470" s="337"/>
      <c r="AL470" s="353">
        <f>+SUM(START:END!AL470)</f>
        <v>28500</v>
      </c>
      <c r="AM470" s="354"/>
      <c r="AN470" s="286">
        <f t="shared" si="163"/>
        <v>-28500</v>
      </c>
      <c r="AO470" s="293">
        <f t="shared" ref="AO470:AO479" si="165">IF(AL470=0,0,AN470/AL470)</f>
        <v>-1</v>
      </c>
      <c r="AP470" s="250"/>
      <c r="AQ470" s="250"/>
      <c r="AR470" s="250"/>
      <c r="AS470" s="250"/>
      <c r="AT470" s="250"/>
      <c r="AU470" s="250"/>
      <c r="AV470" s="250"/>
      <c r="AW470" s="250"/>
      <c r="AX470" s="250"/>
      <c r="AY470" s="250"/>
      <c r="AZ470" s="250"/>
      <c r="BA470" s="250"/>
      <c r="BB470" s="250"/>
      <c r="BC470" s="250"/>
      <c r="BD470" s="250"/>
      <c r="BE470" s="250"/>
      <c r="BF470" s="250"/>
      <c r="BG470" s="250"/>
      <c r="BH470" s="250"/>
      <c r="BI470" s="250"/>
      <c r="BJ470" s="250"/>
    </row>
    <row r="471" spans="1:62" ht="15.75" customHeight="1">
      <c r="A471" t="str">
        <f t="shared" si="135"/>
        <v>Floorplan assistance 1%</v>
      </c>
      <c r="B471" s="7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105" t="s">
        <v>68</v>
      </c>
      <c r="W471" s="283"/>
      <c r="X471" s="283"/>
      <c r="Y471" s="283"/>
      <c r="Z471" s="284">
        <f>+SUM(START:END!Z471)</f>
        <v>0</v>
      </c>
      <c r="AA471" s="337"/>
      <c r="AB471" s="338"/>
      <c r="AC471" s="284">
        <f>+SUM(START:END!AC471)</f>
        <v>0</v>
      </c>
      <c r="AD471" s="351"/>
      <c r="AE471" s="338"/>
      <c r="AF471" s="284">
        <f>+SUM(START:END!AF471)</f>
        <v>0</v>
      </c>
      <c r="AG471" s="352"/>
      <c r="AH471" s="286">
        <f t="shared" si="162"/>
        <v>0</v>
      </c>
      <c r="AI471" s="310">
        <f t="shared" si="164"/>
        <v>0</v>
      </c>
      <c r="AJ471" s="351"/>
      <c r="AK471" s="337"/>
      <c r="AL471" s="353">
        <f>+SUM(START:END!AL471)</f>
        <v>0</v>
      </c>
      <c r="AM471" s="354"/>
      <c r="AN471" s="286">
        <f t="shared" si="163"/>
        <v>0</v>
      </c>
      <c r="AO471" s="293">
        <f t="shared" si="165"/>
        <v>0</v>
      </c>
      <c r="AP471" s="250"/>
      <c r="AQ471" s="250"/>
      <c r="AR471" s="250"/>
      <c r="AS471" s="250"/>
      <c r="AT471" s="250"/>
      <c r="AU471" s="250"/>
      <c r="AV471" s="250"/>
      <c r="AW471" s="250"/>
      <c r="AX471" s="250"/>
      <c r="AY471" s="250"/>
      <c r="AZ471" s="250"/>
      <c r="BA471" s="250"/>
      <c r="BB471" s="250"/>
      <c r="BC471" s="250"/>
      <c r="BD471" s="250"/>
      <c r="BE471" s="250"/>
      <c r="BF471" s="250"/>
      <c r="BG471" s="250"/>
      <c r="BH471" s="250"/>
      <c r="BI471" s="250"/>
      <c r="BJ471" s="250"/>
    </row>
    <row r="472" spans="1:62" ht="15.75" customHeight="1">
      <c r="A472" t="str">
        <f t="shared" si="135"/>
        <v>Programme neuf 3</v>
      </c>
      <c r="B472" s="7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105" t="s">
        <v>69</v>
      </c>
      <c r="W472" s="283"/>
      <c r="X472" s="283"/>
      <c r="Y472" s="283"/>
      <c r="Z472" s="284">
        <f>+SUM(START:END!Z472)</f>
        <v>0</v>
      </c>
      <c r="AA472" s="337"/>
      <c r="AB472" s="338"/>
      <c r="AC472" s="284">
        <f>+SUM(START:END!AC472)</f>
        <v>0</v>
      </c>
      <c r="AD472" s="351"/>
      <c r="AE472" s="338"/>
      <c r="AF472" s="284">
        <f>+SUM(START:END!AF472)</f>
        <v>0</v>
      </c>
      <c r="AG472" s="352"/>
      <c r="AH472" s="286">
        <f t="shared" si="162"/>
        <v>0</v>
      </c>
      <c r="AI472" s="310">
        <f t="shared" si="164"/>
        <v>0</v>
      </c>
      <c r="AJ472" s="351"/>
      <c r="AK472" s="337"/>
      <c r="AL472" s="353">
        <f>+SUM(START:END!AL472)</f>
        <v>0</v>
      </c>
      <c r="AM472" s="354"/>
      <c r="AN472" s="286">
        <f t="shared" si="163"/>
        <v>0</v>
      </c>
      <c r="AO472" s="293">
        <f t="shared" si="165"/>
        <v>0</v>
      </c>
      <c r="AP472" s="250"/>
      <c r="AQ472" s="250"/>
      <c r="AR472" s="250"/>
      <c r="AS472" s="250"/>
      <c r="AT472" s="250"/>
      <c r="AU472" s="250"/>
      <c r="AV472" s="250"/>
      <c r="AW472" s="250"/>
      <c r="AX472" s="250"/>
      <c r="AY472" s="250"/>
      <c r="AZ472" s="250"/>
      <c r="BA472" s="250"/>
      <c r="BB472" s="250"/>
      <c r="BC472" s="250"/>
      <c r="BD472" s="250"/>
      <c r="BE472" s="250"/>
      <c r="BF472" s="250"/>
      <c r="BG472" s="250"/>
      <c r="BH472" s="250"/>
      <c r="BI472" s="250"/>
      <c r="BJ472" s="250"/>
    </row>
    <row r="473" spans="1:62" ht="15.75" customHeight="1">
      <c r="A473" t="str">
        <f t="shared" si="135"/>
        <v>Remarketing Bonus</v>
      </c>
      <c r="B473" s="7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105" t="s">
        <v>81</v>
      </c>
      <c r="W473" s="283"/>
      <c r="X473" s="283"/>
      <c r="Y473" s="283"/>
      <c r="Z473" s="284">
        <f>+SUM(START:END!Z473)</f>
        <v>0</v>
      </c>
      <c r="AA473" s="337"/>
      <c r="AB473" s="338"/>
      <c r="AC473" s="284">
        <f>+SUM(START:END!AC473)</f>
        <v>0</v>
      </c>
      <c r="AD473" s="351"/>
      <c r="AE473" s="338"/>
      <c r="AF473" s="284">
        <f>+SUM(START:END!AF473)</f>
        <v>0</v>
      </c>
      <c r="AG473" s="352"/>
      <c r="AH473" s="286">
        <f t="shared" si="162"/>
        <v>0</v>
      </c>
      <c r="AI473" s="310">
        <f t="shared" si="164"/>
        <v>0</v>
      </c>
      <c r="AJ473" s="351"/>
      <c r="AK473" s="337"/>
      <c r="AL473" s="353">
        <f>+SUM(START:END!AL473)</f>
        <v>0</v>
      </c>
      <c r="AM473" s="354"/>
      <c r="AN473" s="286">
        <f t="shared" si="163"/>
        <v>0</v>
      </c>
      <c r="AO473" s="293">
        <f t="shared" si="165"/>
        <v>0</v>
      </c>
      <c r="AP473" s="250"/>
      <c r="AQ473" s="250"/>
      <c r="AR473" s="250"/>
      <c r="AS473" s="250"/>
      <c r="AT473" s="250"/>
      <c r="AU473" s="250"/>
      <c r="AV473" s="250"/>
      <c r="AW473" s="250"/>
      <c r="AX473" s="250"/>
      <c r="AY473" s="250"/>
      <c r="AZ473" s="250"/>
      <c r="BA473" s="250"/>
      <c r="BB473" s="250"/>
      <c r="BC473" s="250"/>
      <c r="BD473" s="250"/>
      <c r="BE473" s="250"/>
      <c r="BF473" s="250"/>
      <c r="BG473" s="250"/>
      <c r="BH473" s="250"/>
      <c r="BI473" s="250"/>
      <c r="BJ473" s="250"/>
    </row>
    <row r="474" spans="1:62" ht="15.75" customHeight="1">
      <c r="A474" t="str">
        <f t="shared" si="135"/>
        <v>Programme used 2</v>
      </c>
      <c r="B474" s="7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105" t="s">
        <v>82</v>
      </c>
      <c r="W474" s="283"/>
      <c r="X474" s="283"/>
      <c r="Y474" s="283"/>
      <c r="Z474" s="284">
        <f>+SUM(START:END!Z474)</f>
        <v>0</v>
      </c>
      <c r="AA474" s="337"/>
      <c r="AB474" s="338"/>
      <c r="AC474" s="284">
        <f>+SUM(START:END!AC474)</f>
        <v>0</v>
      </c>
      <c r="AD474" s="351"/>
      <c r="AE474" s="338"/>
      <c r="AF474" s="284">
        <f>+SUM(START:END!AF474)</f>
        <v>0</v>
      </c>
      <c r="AG474" s="352"/>
      <c r="AH474" s="286">
        <f t="shared" si="162"/>
        <v>0</v>
      </c>
      <c r="AI474" s="310">
        <f t="shared" si="164"/>
        <v>0</v>
      </c>
      <c r="AJ474" s="351"/>
      <c r="AK474" s="337"/>
      <c r="AL474" s="353">
        <f>+SUM(START:END!AL474)</f>
        <v>0</v>
      </c>
      <c r="AM474" s="354"/>
      <c r="AN474" s="286">
        <f t="shared" si="163"/>
        <v>0</v>
      </c>
      <c r="AO474" s="293">
        <f t="shared" si="165"/>
        <v>0</v>
      </c>
      <c r="AP474" s="250"/>
      <c r="AQ474" s="250"/>
      <c r="AR474" s="250"/>
      <c r="AS474" s="250"/>
      <c r="AT474" s="250"/>
      <c r="AU474" s="250"/>
      <c r="AV474" s="250"/>
      <c r="AW474" s="250"/>
      <c r="AX474" s="250"/>
      <c r="AY474" s="250"/>
      <c r="AZ474" s="250"/>
      <c r="BA474" s="250"/>
      <c r="BB474" s="250"/>
      <c r="BC474" s="250"/>
      <c r="BD474" s="250"/>
      <c r="BE474" s="250"/>
      <c r="BF474" s="250"/>
      <c r="BG474" s="250"/>
      <c r="BH474" s="250"/>
      <c r="BI474" s="250"/>
      <c r="BJ474" s="250"/>
    </row>
    <row r="475" spans="1:62" ht="15.75" customHeight="1">
      <c r="A475" t="str">
        <f t="shared" si="135"/>
        <v>Programme used 3</v>
      </c>
      <c r="B475" s="7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105" t="s">
        <v>83</v>
      </c>
      <c r="W475" s="283"/>
      <c r="X475" s="283"/>
      <c r="Y475" s="283"/>
      <c r="Z475" s="284">
        <f>+SUM(START:END!Z475)</f>
        <v>0</v>
      </c>
      <c r="AA475" s="337"/>
      <c r="AB475" s="338"/>
      <c r="AC475" s="284">
        <f>+SUM(START:END!AC475)</f>
        <v>0</v>
      </c>
      <c r="AD475" s="351"/>
      <c r="AE475" s="338"/>
      <c r="AF475" s="284">
        <f>+SUM(START:END!AF475)</f>
        <v>0</v>
      </c>
      <c r="AG475" s="352"/>
      <c r="AH475" s="286">
        <f t="shared" si="162"/>
        <v>0</v>
      </c>
      <c r="AI475" s="310">
        <f t="shared" si="164"/>
        <v>0</v>
      </c>
      <c r="AJ475" s="351"/>
      <c r="AK475" s="337"/>
      <c r="AL475" s="353">
        <f>+SUM(START:END!AL475)</f>
        <v>0</v>
      </c>
      <c r="AM475" s="354"/>
      <c r="AN475" s="286">
        <f t="shared" si="163"/>
        <v>0</v>
      </c>
      <c r="AO475" s="293">
        <f t="shared" si="165"/>
        <v>0</v>
      </c>
      <c r="AP475" s="250"/>
      <c r="AQ475" s="250"/>
      <c r="AR475" s="250"/>
      <c r="AS475" s="250"/>
      <c r="AT475" s="250"/>
      <c r="AU475" s="250"/>
      <c r="AV475" s="250"/>
      <c r="AW475" s="250"/>
      <c r="AX475" s="250"/>
      <c r="AY475" s="250"/>
      <c r="AZ475" s="250"/>
      <c r="BA475" s="250"/>
      <c r="BB475" s="250"/>
      <c r="BC475" s="250"/>
      <c r="BD475" s="250"/>
      <c r="BE475" s="250"/>
      <c r="BF475" s="250"/>
      <c r="BG475" s="250"/>
      <c r="BH475" s="250"/>
      <c r="BI475" s="250"/>
      <c r="BJ475" s="250"/>
    </row>
    <row r="476" spans="1:62" ht="15.75" customHeight="1">
      <c r="A476" t="str">
        <f t="shared" si="135"/>
        <v>Facility Fund</v>
      </c>
      <c r="B476" s="7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105" t="s">
        <v>198</v>
      </c>
      <c r="W476" s="283"/>
      <c r="X476" s="283"/>
      <c r="Y476" s="283"/>
      <c r="Z476" s="284">
        <f>+SUM(START:END!Z476)</f>
        <v>0</v>
      </c>
      <c r="AA476" s="337"/>
      <c r="AB476" s="338"/>
      <c r="AC476" s="284">
        <f>+SUM(START:END!AC476)</f>
        <v>0</v>
      </c>
      <c r="AD476" s="351"/>
      <c r="AE476" s="338"/>
      <c r="AF476" s="284">
        <f>+SUM(START:END!AF476)</f>
        <v>0</v>
      </c>
      <c r="AG476" s="352"/>
      <c r="AH476" s="286">
        <f t="shared" si="162"/>
        <v>0</v>
      </c>
      <c r="AI476" s="310">
        <f t="shared" si="164"/>
        <v>0</v>
      </c>
      <c r="AJ476" s="351"/>
      <c r="AK476" s="337"/>
      <c r="AL476" s="353">
        <f>+SUM(START:END!AL476)</f>
        <v>0</v>
      </c>
      <c r="AM476" s="354"/>
      <c r="AN476" s="286">
        <f t="shared" si="163"/>
        <v>0</v>
      </c>
      <c r="AO476" s="293">
        <f t="shared" si="165"/>
        <v>0</v>
      </c>
      <c r="AP476" s="250"/>
      <c r="AQ476" s="250"/>
      <c r="AR476" s="250"/>
      <c r="AS476" s="250"/>
      <c r="AT476" s="250"/>
      <c r="AU476" s="250"/>
      <c r="AV476" s="250"/>
      <c r="AW476" s="250"/>
      <c r="AX476" s="250"/>
      <c r="AY476" s="250"/>
      <c r="AZ476" s="250"/>
      <c r="BA476" s="250"/>
      <c r="BB476" s="250"/>
      <c r="BC476" s="250"/>
      <c r="BD476" s="250"/>
      <c r="BE476" s="250"/>
      <c r="BF476" s="250"/>
      <c r="BG476" s="250"/>
      <c r="BH476" s="250"/>
      <c r="BI476" s="250"/>
      <c r="BJ476" s="250"/>
    </row>
    <row r="477" spans="1:62" ht="15.75" hidden="1" customHeight="1">
      <c r="A477" t="str">
        <f t="shared" si="135"/>
        <v>[...]</v>
      </c>
      <c r="B477" s="7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105" t="s">
        <v>21</v>
      </c>
      <c r="W477" s="283"/>
      <c r="X477" s="283"/>
      <c r="Y477" s="283"/>
      <c r="Z477" s="284">
        <f>+SUM(START:END!Z477)</f>
        <v>0</v>
      </c>
      <c r="AA477" s="337"/>
      <c r="AB477" s="338"/>
      <c r="AC477" s="284">
        <f>+SUM(START:END!AC477)</f>
        <v>0</v>
      </c>
      <c r="AD477" s="351"/>
      <c r="AE477" s="338"/>
      <c r="AF477" s="284">
        <f>+SUM(START:END!AF477)</f>
        <v>0</v>
      </c>
      <c r="AG477" s="352"/>
      <c r="AH477" s="286">
        <f t="shared" si="162"/>
        <v>0</v>
      </c>
      <c r="AI477" s="310">
        <f t="shared" si="164"/>
        <v>0</v>
      </c>
      <c r="AJ477" s="351"/>
      <c r="AK477" s="337"/>
      <c r="AL477" s="353">
        <f>+SUM(START:END!AL477)</f>
        <v>0</v>
      </c>
      <c r="AM477" s="354"/>
      <c r="AN477" s="286">
        <f t="shared" si="163"/>
        <v>0</v>
      </c>
      <c r="AO477" s="293">
        <f t="shared" si="165"/>
        <v>0</v>
      </c>
      <c r="AP477" s="250"/>
      <c r="AQ477" s="250"/>
      <c r="AR477" s="250"/>
      <c r="AS477" s="250"/>
      <c r="AT477" s="250"/>
      <c r="AU477" s="250"/>
      <c r="AV477" s="250"/>
      <c r="AW477" s="250"/>
      <c r="AX477" s="250"/>
      <c r="AY477" s="250"/>
      <c r="AZ477" s="250"/>
      <c r="BA477" s="250"/>
      <c r="BB477" s="250"/>
      <c r="BC477" s="250"/>
      <c r="BD477" s="250"/>
      <c r="BE477" s="250"/>
      <c r="BF477" s="250"/>
      <c r="BG477" s="250"/>
      <c r="BH477" s="250"/>
      <c r="BI477" s="250"/>
      <c r="BJ477" s="250"/>
    </row>
    <row r="478" spans="1:62" ht="15.75" hidden="1" customHeight="1">
      <c r="A478" t="str">
        <f t="shared" si="135"/>
        <v>[...]</v>
      </c>
      <c r="B478" s="7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105" t="s">
        <v>21</v>
      </c>
      <c r="W478" s="283"/>
      <c r="X478" s="283"/>
      <c r="Y478" s="283"/>
      <c r="Z478" s="284">
        <f>+SUM(START:END!Z478)</f>
        <v>0</v>
      </c>
      <c r="AA478" s="337"/>
      <c r="AB478" s="338"/>
      <c r="AC478" s="284">
        <f>+SUM(START:END!AC478)</f>
        <v>0</v>
      </c>
      <c r="AD478" s="351"/>
      <c r="AE478" s="338"/>
      <c r="AF478" s="284">
        <f>+SUM(START:END!AF478)</f>
        <v>0</v>
      </c>
      <c r="AG478" s="352"/>
      <c r="AH478" s="286">
        <f t="shared" si="162"/>
        <v>0</v>
      </c>
      <c r="AI478" s="310">
        <f t="shared" si="164"/>
        <v>0</v>
      </c>
      <c r="AJ478" s="351"/>
      <c r="AK478" s="337"/>
      <c r="AL478" s="353">
        <f>+SUM(START:END!AL478)</f>
        <v>0</v>
      </c>
      <c r="AM478" s="354"/>
      <c r="AN478" s="286">
        <f t="shared" si="163"/>
        <v>0</v>
      </c>
      <c r="AO478" s="293">
        <f t="shared" si="165"/>
        <v>0</v>
      </c>
      <c r="AP478" s="250"/>
      <c r="AQ478" s="250"/>
      <c r="AR478" s="250"/>
      <c r="AS478" s="250"/>
      <c r="AT478" s="250"/>
      <c r="AU478" s="250"/>
      <c r="AV478" s="250"/>
      <c r="AW478" s="250"/>
      <c r="AX478" s="250"/>
      <c r="AY478" s="250"/>
      <c r="AZ478" s="250"/>
      <c r="BA478" s="250"/>
      <c r="BB478" s="250"/>
      <c r="BC478" s="250"/>
      <c r="BD478" s="250"/>
      <c r="BE478" s="250"/>
      <c r="BF478" s="250"/>
      <c r="BG478" s="250"/>
      <c r="BH478" s="250"/>
      <c r="BI478" s="250"/>
      <c r="BJ478" s="250"/>
    </row>
    <row r="479" spans="1:62" ht="15.75" customHeight="1">
      <c r="A479" t="str">
        <f t="shared" si="135"/>
        <v>Frais administration</v>
      </c>
      <c r="B479" s="7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106" t="s">
        <v>71</v>
      </c>
      <c r="W479" s="283"/>
      <c r="X479" s="283"/>
      <c r="Y479" s="283"/>
      <c r="Z479" s="284">
        <f>+SUM(START:END!Z479)</f>
        <v>130128.59387433401</v>
      </c>
      <c r="AA479" s="337"/>
      <c r="AB479" s="338"/>
      <c r="AC479" s="284">
        <f>+SUM(START:END!AC479)</f>
        <v>130128.59387433401</v>
      </c>
      <c r="AD479" s="351"/>
      <c r="AE479" s="338"/>
      <c r="AF479" s="284">
        <f>+SUM(START:END!AF479)</f>
        <v>108322</v>
      </c>
      <c r="AG479" s="352"/>
      <c r="AH479" s="286">
        <f t="shared" si="162"/>
        <v>-21806.593874334008</v>
      </c>
      <c r="AI479" s="310">
        <f>IF(AH479=0,0,AH479/AC479)</f>
        <v>-0.16757726511202273</v>
      </c>
      <c r="AJ479" s="351"/>
      <c r="AK479" s="337"/>
      <c r="AL479" s="353">
        <f>+SUM(START:END!AL479)</f>
        <v>110275.68999999999</v>
      </c>
      <c r="AM479" s="354"/>
      <c r="AN479" s="286">
        <f t="shared" si="163"/>
        <v>-1953.6899999999878</v>
      </c>
      <c r="AO479" s="293">
        <f t="shared" si="165"/>
        <v>-1.7716416011543324E-2</v>
      </c>
      <c r="AP479" s="250"/>
      <c r="AQ479" s="250"/>
      <c r="AR479" s="250"/>
      <c r="AS479" s="250"/>
      <c r="AT479" s="250"/>
      <c r="AU479" s="250"/>
      <c r="AV479" s="250"/>
      <c r="AW479" s="250"/>
      <c r="AX479" s="250"/>
      <c r="AY479" s="250"/>
      <c r="AZ479" s="250"/>
      <c r="BA479" s="250"/>
      <c r="BB479" s="250"/>
      <c r="BC479" s="250"/>
      <c r="BD479" s="250"/>
      <c r="BE479" s="250"/>
      <c r="BF479" s="250"/>
      <c r="BG479" s="250"/>
      <c r="BH479" s="250"/>
      <c r="BI479" s="250"/>
      <c r="BJ479" s="250"/>
    </row>
    <row r="480" spans="1:62" ht="15.75" customHeight="1">
      <c r="A480" t="str">
        <f t="shared" si="135"/>
        <v>TOTAL AUTRES REVENUS</v>
      </c>
      <c r="B480" s="7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300" t="s">
        <v>185</v>
      </c>
      <c r="W480" s="301"/>
      <c r="X480" s="302">
        <f>Z480/+Z406</f>
        <v>0.22023186875382439</v>
      </c>
      <c r="Y480" s="334"/>
      <c r="Z480" s="303">
        <f>SUM(Z468:Z479)</f>
        <v>426777.56862734602</v>
      </c>
      <c r="AA480" s="302">
        <f>AC480/+AC406</f>
        <v>0.22023186875382439</v>
      </c>
      <c r="AB480" s="334"/>
      <c r="AC480" s="303">
        <f>SUM(AC468:AC479)</f>
        <v>426777.56862734602</v>
      </c>
      <c r="AD480" s="302">
        <f>AF480/+AF406</f>
        <v>0.20332256435331611</v>
      </c>
      <c r="AE480" s="334"/>
      <c r="AF480" s="303">
        <f>SUM(AF468:AF479)</f>
        <v>433427.09</v>
      </c>
      <c r="AG480" s="312"/>
      <c r="AH480" s="306">
        <f t="shared" si="162"/>
        <v>6649.5213726540096</v>
      </c>
      <c r="AI480" s="302">
        <f>AH480/AC480</f>
        <v>1.5580765863681659E-2</v>
      </c>
      <c r="AJ480" s="355"/>
      <c r="AK480" s="356"/>
      <c r="AL480" s="303">
        <f>SUM(AL468:AL479)</f>
        <v>373560.00999999995</v>
      </c>
      <c r="AM480" s="357"/>
      <c r="AN480" s="306">
        <f t="shared" si="163"/>
        <v>59867.080000000075</v>
      </c>
      <c r="AO480" s="336">
        <f>IF(AL480=0,0,AN480/AL480)</f>
        <v>0.16026094441961303</v>
      </c>
      <c r="AP480" s="250"/>
      <c r="AQ480" s="358"/>
      <c r="AR480" s="314"/>
      <c r="AS480" s="250"/>
      <c r="AT480" s="250"/>
      <c r="AU480" s="250"/>
      <c r="AV480" s="250"/>
      <c r="AW480" s="250"/>
      <c r="AX480" s="250"/>
      <c r="AY480" s="250"/>
      <c r="AZ480" s="250"/>
      <c r="BA480" s="250"/>
      <c r="BB480" s="250"/>
      <c r="BC480" s="250"/>
      <c r="BD480" s="250"/>
      <c r="BE480" s="250"/>
      <c r="BF480" s="250"/>
      <c r="BG480" s="250"/>
      <c r="BH480" s="250"/>
      <c r="BI480" s="250"/>
      <c r="BJ480" s="250"/>
    </row>
    <row r="481" spans="1:62" ht="15.75" customHeight="1" thickBot="1">
      <c r="A481" t="str">
        <f t="shared" si="135"/>
        <v/>
      </c>
      <c r="B481" s="7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359"/>
      <c r="W481" s="360"/>
      <c r="X481" s="360"/>
      <c r="Y481" s="361"/>
      <c r="Z481" s="362">
        <f>+SUM(START:END!Z480)</f>
        <v>426777.56862734596</v>
      </c>
      <c r="AA481" s="360"/>
      <c r="AB481" s="363"/>
      <c r="AC481" s="362"/>
      <c r="AD481" s="360"/>
      <c r="AE481" s="363"/>
      <c r="AF481" s="364"/>
      <c r="AG481" s="365"/>
      <c r="AH481" s="366"/>
      <c r="AI481" s="367"/>
      <c r="AJ481" s="368"/>
      <c r="AK481" s="369"/>
      <c r="AL481" s="364"/>
      <c r="AM481" s="370"/>
      <c r="AN481" s="366">
        <f t="shared" si="163"/>
        <v>0</v>
      </c>
      <c r="AO481" s="371">
        <f t="shared" ref="AO481" si="166">IF(AL481=0,0,AN481/AL481)</f>
        <v>0</v>
      </c>
      <c r="AP481" s="250"/>
      <c r="AQ481" s="250"/>
      <c r="AR481" s="250"/>
      <c r="AS481" s="250"/>
      <c r="AT481" s="250"/>
      <c r="AU481" s="250"/>
      <c r="AV481" s="250"/>
      <c r="AW481" s="250"/>
      <c r="AX481" s="250"/>
      <c r="AY481" s="250"/>
      <c r="AZ481" s="250"/>
      <c r="BA481" s="250"/>
      <c r="BB481" s="250"/>
      <c r="BC481" s="250"/>
      <c r="BD481" s="250"/>
      <c r="BE481" s="250"/>
      <c r="BF481" s="250"/>
      <c r="BG481" s="250"/>
      <c r="BH481" s="250"/>
      <c r="BI481" s="250"/>
      <c r="BJ481" s="250"/>
    </row>
    <row r="482" spans="1:62" ht="15.75" customHeight="1" thickTop="1" thickBot="1">
      <c r="A482" t="str">
        <f t="shared" si="135"/>
        <v>BAIIA OPÉRATIONNEL</v>
      </c>
      <c r="B482" s="7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372" t="s">
        <v>186</v>
      </c>
      <c r="W482" s="373"/>
      <c r="X482" s="374" t="s">
        <v>187</v>
      </c>
      <c r="Y482" s="375">
        <f>Z482/Z405</f>
        <v>3.8875680721375226E-2</v>
      </c>
      <c r="Z482" s="376">
        <f>Z406-Z467+Z480</f>
        <v>599108.27722874843</v>
      </c>
      <c r="AA482" s="374" t="s">
        <v>187</v>
      </c>
      <c r="AB482" s="375">
        <f>AC482/AC405</f>
        <v>3.887568072137524E-2</v>
      </c>
      <c r="AC482" s="376">
        <f>AC406-AC467+AC480</f>
        <v>599108.27722874866</v>
      </c>
      <c r="AD482" s="374" t="s">
        <v>187</v>
      </c>
      <c r="AE482" s="375">
        <f>AF482/AF405</f>
        <v>4.8665916882753207E-2</v>
      </c>
      <c r="AF482" s="377">
        <f>AF406-AF467+AF480</f>
        <v>790555.33999999939</v>
      </c>
      <c r="AG482" s="378"/>
      <c r="AH482" s="378">
        <f>AF482-AC482</f>
        <v>191447.06277125073</v>
      </c>
      <c r="AI482" s="379">
        <f>AH482/AC482</f>
        <v>0.31955335963110609</v>
      </c>
      <c r="AJ482" s="380" t="s">
        <v>187</v>
      </c>
      <c r="AK482" s="375">
        <f>IF($AL$405=0,0,AL482/$AL$405)</f>
        <v>3.8324848360787575E-2</v>
      </c>
      <c r="AL482" s="377">
        <f>AL406-AL467+AL480</f>
        <v>621516.25</v>
      </c>
      <c r="AM482" s="381"/>
      <c r="AN482" s="377">
        <f t="shared" si="163"/>
        <v>169039.08999999939</v>
      </c>
      <c r="AO482" s="382">
        <f>IF(AL482=0,0,AN482/AL482)</f>
        <v>0.27197855245136293</v>
      </c>
      <c r="AP482" s="250"/>
      <c r="AQ482" s="250"/>
      <c r="AR482" s="250"/>
      <c r="AS482" s="250"/>
      <c r="AT482" s="250"/>
      <c r="AU482" s="250"/>
      <c r="AV482" s="250"/>
      <c r="AW482" s="250"/>
      <c r="AX482" s="250"/>
      <c r="AY482" s="250"/>
      <c r="AZ482" s="250"/>
      <c r="BA482" s="250"/>
      <c r="BB482" s="250"/>
      <c r="BC482" s="250"/>
      <c r="BD482" s="250"/>
      <c r="BE482" s="250"/>
      <c r="BF482" s="250"/>
      <c r="BG482" s="250"/>
      <c r="BH482" s="250"/>
      <c r="BI482" s="250"/>
      <c r="BJ482" s="250"/>
    </row>
    <row r="483" spans="1:62" ht="15.75" customHeight="1" thickTop="1">
      <c r="A483" t="str">
        <f t="shared" si="135"/>
        <v/>
      </c>
      <c r="B483" s="7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6"/>
      <c r="W483" s="6"/>
      <c r="X483" s="6"/>
      <c r="Y483" s="6"/>
      <c r="Z483" s="83">
        <f>+SUM(START:END!Z482)</f>
        <v>599108.27722874808</v>
      </c>
      <c r="AA483" s="14"/>
      <c r="AB483" s="14"/>
      <c r="AC483" s="83"/>
      <c r="AD483" s="14"/>
      <c r="AE483" s="14"/>
      <c r="AF483" s="383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0"/>
      <c r="AQ483" s="250"/>
      <c r="AR483" s="250"/>
      <c r="AS483" s="250"/>
      <c r="AT483" s="250"/>
      <c r="AU483" s="250"/>
      <c r="AV483" s="250"/>
      <c r="AW483" s="250"/>
      <c r="AX483" s="250"/>
      <c r="AY483" s="250"/>
      <c r="AZ483" s="250"/>
      <c r="BA483" s="250"/>
      <c r="BB483" s="250"/>
      <c r="BC483" s="250"/>
      <c r="BD483" s="250"/>
      <c r="BE483" s="250"/>
      <c r="BF483" s="250"/>
      <c r="BG483" s="250"/>
      <c r="BH483" s="250"/>
      <c r="BI483" s="250"/>
      <c r="BJ483" s="250"/>
    </row>
    <row r="484" spans="1:62" ht="35.25" customHeight="1">
      <c r="A484" t="str">
        <f t="shared" ref="A484:A498" si="167">+U484&amp;V484</f>
        <v>Conso</v>
      </c>
      <c r="B484" s="7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6" t="str">
        <f>C1</f>
        <v>Conso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59"/>
      <c r="AK484" s="2"/>
      <c r="AL484" s="1"/>
      <c r="AM484" s="6"/>
      <c r="AN484" s="6"/>
      <c r="AO484" s="5" t="str">
        <f>$S$1</f>
        <v>Réalisé  Volks T3 2022</v>
      </c>
      <c r="AP484" s="250"/>
      <c r="AQ484" s="250"/>
      <c r="AR484" s="250"/>
      <c r="AS484" s="250"/>
      <c r="AT484" s="250"/>
      <c r="AU484" s="250"/>
      <c r="AV484" s="250"/>
      <c r="AW484" s="250"/>
      <c r="AX484" s="250"/>
      <c r="AY484" s="250"/>
      <c r="AZ484" s="250"/>
      <c r="BA484" s="250"/>
      <c r="BB484" s="250"/>
      <c r="BC484" s="250"/>
      <c r="BD484" s="250"/>
      <c r="BE484" s="250"/>
      <c r="BF484" s="250"/>
      <c r="BG484" s="250"/>
      <c r="BH484" s="250"/>
      <c r="BI484" s="250"/>
      <c r="BJ484" s="250"/>
    </row>
    <row r="485" spans="1:62" ht="15.75" customHeight="1">
      <c r="A485" t="str">
        <f t="shared" si="167"/>
        <v/>
      </c>
      <c r="B485" s="7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83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0"/>
      <c r="AQ485" s="250"/>
      <c r="AR485" s="250"/>
      <c r="AS485" s="250"/>
      <c r="AT485" s="250"/>
      <c r="AU485" s="250"/>
      <c r="AV485" s="250"/>
      <c r="AW485" s="250"/>
      <c r="AX485" s="250"/>
      <c r="AY485" s="250"/>
      <c r="AZ485" s="250"/>
      <c r="BA485" s="250"/>
      <c r="BB485" s="250"/>
      <c r="BC485" s="250"/>
      <c r="BD485" s="250"/>
      <c r="BE485" s="250"/>
      <c r="BF485" s="250"/>
      <c r="BG485" s="250"/>
      <c r="BH485" s="250"/>
      <c r="BI485" s="250"/>
      <c r="BJ485" s="250"/>
    </row>
    <row r="486" spans="1:62" ht="15.75" customHeight="1">
      <c r="A486" t="str">
        <f t="shared" si="167"/>
        <v/>
      </c>
      <c r="B486" s="7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83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0"/>
      <c r="AQ486" s="250"/>
      <c r="AR486" s="250"/>
      <c r="AS486" s="250"/>
      <c r="AT486" s="250"/>
      <c r="AU486" s="250"/>
      <c r="AV486" s="250"/>
      <c r="AW486" s="250"/>
      <c r="AX486" s="250"/>
      <c r="AY486" s="250"/>
      <c r="AZ486" s="250"/>
      <c r="BA486" s="250"/>
      <c r="BB486" s="250"/>
      <c r="BC486" s="250"/>
      <c r="BD486" s="250"/>
      <c r="BE486" s="250"/>
      <c r="BF486" s="250"/>
      <c r="BG486" s="250"/>
      <c r="BH486" s="250"/>
      <c r="BI486" s="250"/>
      <c r="BJ486" s="250"/>
    </row>
    <row r="487" spans="1:62" ht="15.75" customHeight="1" thickBot="1">
      <c r="A487" t="str">
        <f t="shared" si="167"/>
        <v/>
      </c>
      <c r="B487" s="7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83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0"/>
      <c r="AQ487" s="250"/>
      <c r="AR487" s="250"/>
      <c r="AS487" s="250"/>
      <c r="AT487" s="250"/>
      <c r="AU487" s="250"/>
      <c r="AV487" s="250"/>
      <c r="AW487" s="250"/>
      <c r="AX487" s="250"/>
      <c r="AY487" s="250"/>
      <c r="AZ487" s="250"/>
      <c r="BA487" s="250"/>
      <c r="BB487" s="250"/>
      <c r="BC487" s="250"/>
      <c r="BD487" s="250"/>
      <c r="BE487" s="250"/>
      <c r="BF487" s="250"/>
      <c r="BG487" s="250"/>
      <c r="BH487" s="250"/>
      <c r="BI487" s="250"/>
      <c r="BJ487" s="250"/>
    </row>
    <row r="488" spans="1:62" ht="15.75" customHeight="1" thickTop="1" thickBot="1">
      <c r="A488" t="str">
        <f t="shared" si="167"/>
        <v>BAIIA OPÉRATIONNEL</v>
      </c>
      <c r="B488" s="7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384" t="s">
        <v>186</v>
      </c>
      <c r="W488" s="385"/>
      <c r="X488" s="386" t="s">
        <v>187</v>
      </c>
      <c r="Y488" s="387">
        <f>Z488/Z405</f>
        <v>3.8875680721375226E-2</v>
      </c>
      <c r="Z488" s="388">
        <f>Z482</f>
        <v>599108.27722874843</v>
      </c>
      <c r="AA488" s="386" t="s">
        <v>187</v>
      </c>
      <c r="AB488" s="387">
        <f>AC488/AC405</f>
        <v>3.887568072137524E-2</v>
      </c>
      <c r="AC488" s="388">
        <f>AC482</f>
        <v>599108.27722874866</v>
      </c>
      <c r="AD488" s="386" t="s">
        <v>187</v>
      </c>
      <c r="AE488" s="387">
        <f>AF488/AF405</f>
        <v>4.8665916882753207E-2</v>
      </c>
      <c r="AF488" s="388">
        <f>AF482</f>
        <v>790555.33999999939</v>
      </c>
      <c r="AG488" s="389"/>
      <c r="AH488" s="378">
        <f>AF488-AC488</f>
        <v>191447.06277125073</v>
      </c>
      <c r="AI488" s="379">
        <f>AH488/AC488</f>
        <v>0.31955335963110609</v>
      </c>
      <c r="AJ488" s="386" t="s">
        <v>187</v>
      </c>
      <c r="AK488" s="387">
        <f>IF($AL$405=0,0,AL488/$AL$405)</f>
        <v>3.8324848360787575E-2</v>
      </c>
      <c r="AL488" s="390">
        <f>AL482</f>
        <v>621516.25</v>
      </c>
      <c r="AM488" s="391"/>
      <c r="AN488" s="392">
        <f>AF488-AL488</f>
        <v>169039.08999999939</v>
      </c>
      <c r="AO488" s="393">
        <f>IF(AL488=0,0,AN488/AL488)</f>
        <v>0.27197855245136293</v>
      </c>
      <c r="AP488" s="250"/>
      <c r="AQ488" s="250"/>
      <c r="AR488" s="250"/>
      <c r="AS488" s="250"/>
      <c r="AT488" s="250"/>
      <c r="AU488" s="250"/>
      <c r="AV488" s="250"/>
      <c r="AW488" s="250"/>
      <c r="AX488" s="250"/>
      <c r="AY488" s="250"/>
      <c r="AZ488" s="250"/>
      <c r="BA488" s="250"/>
      <c r="BB488" s="250"/>
      <c r="BC488" s="250"/>
      <c r="BD488" s="250"/>
      <c r="BE488" s="250"/>
      <c r="BF488" s="250"/>
      <c r="BG488" s="250"/>
      <c r="BH488" s="250"/>
      <c r="BI488" s="250"/>
      <c r="BJ488" s="250"/>
    </row>
    <row r="489" spans="1:62" ht="15.75" customHeight="1" thickTop="1">
      <c r="A489" t="str">
        <f t="shared" si="167"/>
        <v/>
      </c>
      <c r="B489" s="7"/>
      <c r="C489" s="250"/>
      <c r="D489" s="250"/>
      <c r="E489" s="250"/>
      <c r="F489" s="314"/>
      <c r="G489" s="250"/>
      <c r="H489" s="250"/>
      <c r="I489" s="314"/>
      <c r="J489" s="250"/>
      <c r="K489" s="250"/>
      <c r="L489" s="250"/>
      <c r="M489" s="314"/>
      <c r="N489" s="250"/>
      <c r="O489" s="250"/>
      <c r="P489" s="250"/>
      <c r="Q489" s="314"/>
      <c r="R489" s="314"/>
      <c r="S489" s="314"/>
      <c r="T489" s="339"/>
      <c r="U489" s="339"/>
      <c r="V489" s="394"/>
      <c r="W489" s="250"/>
      <c r="X489" s="250"/>
      <c r="Y489" s="250"/>
      <c r="Z489" s="395"/>
      <c r="AA489" s="250"/>
      <c r="AB489" s="250"/>
      <c r="AC489" s="396"/>
      <c r="AD489" s="250"/>
      <c r="AE489" s="250"/>
      <c r="AF489" s="396">
        <f>+SUM(START:END!AF489)</f>
        <v>0</v>
      </c>
      <c r="AG489" s="250"/>
      <c r="AH489" s="250"/>
      <c r="AI489" s="396"/>
      <c r="AJ489" s="250"/>
      <c r="AK489" s="250"/>
      <c r="AL489" s="397"/>
      <c r="AM489" s="398"/>
      <c r="AN489" s="250"/>
      <c r="AO489" s="399"/>
      <c r="AP489" s="250"/>
      <c r="AQ489" s="250"/>
      <c r="AR489" s="250"/>
      <c r="AS489" s="250"/>
      <c r="AT489" s="250"/>
      <c r="AU489" s="250"/>
      <c r="AV489" s="250"/>
      <c r="AW489" s="250"/>
      <c r="AX489" s="250"/>
      <c r="AY489" s="250"/>
      <c r="AZ489" s="250"/>
      <c r="BA489" s="250"/>
      <c r="BB489" s="250"/>
      <c r="BC489" s="250"/>
      <c r="BD489" s="250"/>
      <c r="BE489" s="250"/>
      <c r="BF489" s="250"/>
      <c r="BG489" s="250"/>
      <c r="BH489" s="250"/>
      <c r="BI489" s="250"/>
      <c r="BJ489" s="250"/>
    </row>
    <row r="490" spans="1:62" ht="15.75" customHeight="1">
      <c r="A490" t="str">
        <f t="shared" si="167"/>
        <v>Amortissement</v>
      </c>
      <c r="B490" s="7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105" t="s">
        <v>189</v>
      </c>
      <c r="W490" s="290"/>
      <c r="X490" s="283"/>
      <c r="Y490" s="291"/>
      <c r="Z490" s="284">
        <f>+SUM(START:END!Z490)</f>
        <v>22404.75</v>
      </c>
      <c r="AA490" s="283"/>
      <c r="AB490" s="291"/>
      <c r="AC490" s="284">
        <f>+SUM(START:END!AC490)</f>
        <v>22404.75</v>
      </c>
      <c r="AD490" s="283"/>
      <c r="AE490" s="291"/>
      <c r="AF490" s="284">
        <f>+SUM(START:END!AF490)</f>
        <v>12943.5</v>
      </c>
      <c r="AG490" s="283"/>
      <c r="AH490" s="286">
        <f t="shared" ref="AH490:AH496" si="168">AF490-AC490</f>
        <v>-9461.25</v>
      </c>
      <c r="AI490" s="310">
        <f>IF(AC490=0,0,AH490/AC490)</f>
        <v>-0.42228768453118198</v>
      </c>
      <c r="AJ490" s="283"/>
      <c r="AK490" s="283"/>
      <c r="AL490" s="284">
        <f>+SUM(START:END!AL490)</f>
        <v>12943.5</v>
      </c>
      <c r="AM490" s="288"/>
      <c r="AN490" s="286">
        <f t="shared" ref="AN490:AN496" si="169">AF490-AL490</f>
        <v>0</v>
      </c>
      <c r="AO490" s="293">
        <f>IF(AL490=0,0,AN490/AL490)</f>
        <v>0</v>
      </c>
      <c r="AP490" s="250"/>
      <c r="AQ490" s="250"/>
      <c r="AR490" s="250"/>
      <c r="AS490" s="250"/>
      <c r="AT490" s="250"/>
      <c r="AU490" s="250"/>
      <c r="AV490" s="250"/>
      <c r="AW490" s="250"/>
      <c r="AX490" s="250"/>
      <c r="AY490" s="250"/>
      <c r="AZ490" s="250"/>
      <c r="BA490" s="250"/>
      <c r="BB490" s="250"/>
      <c r="BC490" s="250"/>
      <c r="BD490" s="250"/>
      <c r="BE490" s="250"/>
      <c r="BF490" s="250"/>
      <c r="BG490" s="250"/>
      <c r="BH490" s="250"/>
      <c r="BI490" s="250"/>
      <c r="BJ490" s="250"/>
    </row>
    <row r="491" spans="1:62" ht="15.75" customHeight="1">
      <c r="A491" t="str">
        <f t="shared" si="167"/>
        <v>Intérêts sur marge</v>
      </c>
      <c r="B491" s="7"/>
      <c r="C491" s="250"/>
      <c r="D491" s="250"/>
      <c r="E491" s="250"/>
      <c r="F491" s="314"/>
      <c r="G491" s="250"/>
      <c r="H491" s="250"/>
      <c r="I491" s="314"/>
      <c r="J491" s="250"/>
      <c r="K491" s="250"/>
      <c r="L491" s="250"/>
      <c r="M491" s="314"/>
      <c r="N491" s="250"/>
      <c r="O491" s="250"/>
      <c r="P491" s="250"/>
      <c r="Q491" s="314"/>
      <c r="R491" s="314"/>
      <c r="S491" s="314"/>
      <c r="T491" s="250"/>
      <c r="U491" s="250"/>
      <c r="V491" s="105" t="s">
        <v>190</v>
      </c>
      <c r="W491" s="11"/>
      <c r="X491" s="11"/>
      <c r="Y491" s="11"/>
      <c r="Z491" s="284">
        <f>+SUM(START:END!Z491)</f>
        <v>0</v>
      </c>
      <c r="AA491" s="11"/>
      <c r="AB491" s="11"/>
      <c r="AC491" s="284">
        <f>+SUM(START:END!AC491)</f>
        <v>0</v>
      </c>
      <c r="AD491" s="11"/>
      <c r="AE491" s="14"/>
      <c r="AF491" s="284">
        <f>+SUM(START:END!AF491)</f>
        <v>0</v>
      </c>
      <c r="AG491" s="11"/>
      <c r="AH491" s="286">
        <f t="shared" si="168"/>
        <v>0</v>
      </c>
      <c r="AI491" s="310">
        <f t="shared" ref="AI491:AI496" si="170">IF(AC491=0,0,AH491/AC491)</f>
        <v>0</v>
      </c>
      <c r="AJ491" s="11"/>
      <c r="AK491" s="11"/>
      <c r="AL491" s="284">
        <f>+SUM(START:END!AL491)</f>
        <v>1035.6099999999999</v>
      </c>
      <c r="AM491" s="400"/>
      <c r="AN491" s="286">
        <f t="shared" si="169"/>
        <v>-1035.6099999999999</v>
      </c>
      <c r="AO491" s="293">
        <f t="shared" ref="AO491:AO496" si="171">IF(AL491=0,0,AN491/AL491)</f>
        <v>-1</v>
      </c>
      <c r="AP491" s="250"/>
      <c r="AQ491" s="250"/>
      <c r="AR491" s="250"/>
      <c r="AS491" s="250"/>
      <c r="AT491" s="250"/>
      <c r="AU491" s="250"/>
      <c r="AV491" s="250"/>
      <c r="AW491" s="250"/>
      <c r="AX491" s="250"/>
      <c r="AY491" s="250"/>
      <c r="AZ491" s="250"/>
      <c r="BA491" s="250"/>
      <c r="BB491" s="250"/>
      <c r="BC491" s="250"/>
      <c r="BD491" s="250"/>
      <c r="BE491" s="250"/>
      <c r="BF491" s="250"/>
      <c r="BG491" s="250"/>
      <c r="BH491" s="250"/>
      <c r="BI491" s="250"/>
      <c r="BJ491" s="250"/>
    </row>
    <row r="492" spans="1:62" ht="15.75" customHeight="1">
      <c r="A492" t="str">
        <f t="shared" si="167"/>
        <v>Intérêts sur prêt</v>
      </c>
      <c r="B492" s="7"/>
      <c r="C492" s="250"/>
      <c r="D492" s="250"/>
      <c r="E492" s="250"/>
      <c r="F492" s="314"/>
      <c r="G492" s="250"/>
      <c r="H492" s="250"/>
      <c r="I492" s="314"/>
      <c r="J492" s="250"/>
      <c r="K492" s="250"/>
      <c r="L492" s="250"/>
      <c r="M492" s="314"/>
      <c r="N492" s="250"/>
      <c r="O492" s="250"/>
      <c r="P492" s="250"/>
      <c r="Q492" s="314"/>
      <c r="R492" s="314"/>
      <c r="S492" s="314"/>
      <c r="T492" s="250"/>
      <c r="U492" s="250"/>
      <c r="V492" s="105" t="s">
        <v>191</v>
      </c>
      <c r="W492" s="14"/>
      <c r="X492" s="14"/>
      <c r="Y492" s="14"/>
      <c r="Z492" s="284">
        <f>+SUM(START:END!Z492)</f>
        <v>1266.73</v>
      </c>
      <c r="AA492" s="11"/>
      <c r="AB492" s="11"/>
      <c r="AC492" s="284">
        <f>+SUM(START:END!AC492)</f>
        <v>1266.73</v>
      </c>
      <c r="AD492" s="11"/>
      <c r="AE492" s="14"/>
      <c r="AF492" s="284">
        <f>+SUM(START:END!AF492)</f>
        <v>1280.3700000000001</v>
      </c>
      <c r="AG492" s="11"/>
      <c r="AH492" s="286">
        <f t="shared" si="168"/>
        <v>13.6400000000001</v>
      </c>
      <c r="AI492" s="310">
        <f t="shared" si="170"/>
        <v>1.0767882658498732E-2</v>
      </c>
      <c r="AJ492" s="11"/>
      <c r="AK492" s="11"/>
      <c r="AL492" s="284">
        <f>+SUM(START:END!AL492)</f>
        <v>1711.7699999999998</v>
      </c>
      <c r="AM492" s="400"/>
      <c r="AN492" s="286">
        <f t="shared" si="169"/>
        <v>-431.39999999999964</v>
      </c>
      <c r="AO492" s="293">
        <f t="shared" si="171"/>
        <v>-0.25201983911389947</v>
      </c>
      <c r="AP492" s="250"/>
      <c r="AQ492" s="250"/>
      <c r="AR492" s="250"/>
      <c r="AS492" s="250"/>
      <c r="AT492" s="250"/>
      <c r="AU492" s="250"/>
      <c r="AV492" s="250"/>
      <c r="AW492" s="250"/>
      <c r="AX492" s="250"/>
      <c r="AY492" s="250"/>
      <c r="AZ492" s="250"/>
      <c r="BA492" s="250"/>
      <c r="BB492" s="250"/>
      <c r="BC492" s="250"/>
      <c r="BD492" s="250"/>
      <c r="BE492" s="250"/>
      <c r="BF492" s="250"/>
      <c r="BG492" s="250"/>
      <c r="BH492" s="250"/>
      <c r="BI492" s="250"/>
      <c r="BJ492" s="250"/>
    </row>
    <row r="493" spans="1:62" ht="15.75" customHeight="1">
      <c r="A493" t="str">
        <f t="shared" si="167"/>
        <v>Intérêts sur avance</v>
      </c>
      <c r="B493" s="7"/>
      <c r="C493" s="250"/>
      <c r="D493" s="250"/>
      <c r="E493" s="250"/>
      <c r="F493" s="314"/>
      <c r="G493" s="250"/>
      <c r="H493" s="250"/>
      <c r="I493" s="314"/>
      <c r="J493" s="250"/>
      <c r="K493" s="250"/>
      <c r="L493" s="250"/>
      <c r="M493" s="314"/>
      <c r="N493" s="250"/>
      <c r="O493" s="250"/>
      <c r="P493" s="250"/>
      <c r="Q493" s="314"/>
      <c r="R493" s="314"/>
      <c r="S493" s="314"/>
      <c r="T493" s="250"/>
      <c r="U493" s="250"/>
      <c r="V493" s="105" t="s">
        <v>192</v>
      </c>
      <c r="W493" s="14"/>
      <c r="X493" s="14"/>
      <c r="Y493" s="14"/>
      <c r="Z493" s="284">
        <f>+SUM(START:END!Z493)</f>
        <v>0</v>
      </c>
      <c r="AA493" s="11"/>
      <c r="AB493" s="11"/>
      <c r="AC493" s="284">
        <f>+SUM(START:END!AC493)</f>
        <v>0</v>
      </c>
      <c r="AD493" s="11"/>
      <c r="AE493" s="14"/>
      <c r="AF493" s="284">
        <f>+SUM(START:END!AF493)</f>
        <v>0</v>
      </c>
      <c r="AG493" s="11"/>
      <c r="AH493" s="286">
        <f t="shared" si="168"/>
        <v>0</v>
      </c>
      <c r="AI493" s="310">
        <f t="shared" si="170"/>
        <v>0</v>
      </c>
      <c r="AJ493" s="11"/>
      <c r="AK493" s="11"/>
      <c r="AL493" s="284">
        <f>+SUM(START:END!AL493)</f>
        <v>0</v>
      </c>
      <c r="AM493" s="400"/>
      <c r="AN493" s="286">
        <f t="shared" si="169"/>
        <v>0</v>
      </c>
      <c r="AO493" s="293">
        <f t="shared" si="171"/>
        <v>0</v>
      </c>
      <c r="AP493" s="250"/>
      <c r="AQ493" s="250"/>
      <c r="AR493" s="250"/>
      <c r="AS493" s="250"/>
      <c r="AT493" s="250"/>
      <c r="AU493" s="250"/>
      <c r="AV493" s="250"/>
      <c r="AW493" s="250"/>
      <c r="AX493" s="250"/>
      <c r="AY493" s="250"/>
      <c r="AZ493" s="250"/>
      <c r="BA493" s="250"/>
      <c r="BB493" s="250"/>
      <c r="BC493" s="250"/>
      <c r="BD493" s="250"/>
      <c r="BE493" s="250"/>
      <c r="BF493" s="250"/>
      <c r="BG493" s="250"/>
      <c r="BH493" s="250"/>
      <c r="BI493" s="250"/>
      <c r="BJ493" s="250"/>
    </row>
    <row r="494" spans="1:62" ht="15.75" customHeight="1" thickBot="1">
      <c r="A494" t="str">
        <f t="shared" si="167"/>
        <v>Intérêts sur hypothèque</v>
      </c>
      <c r="B494" s="7"/>
      <c r="C494" s="250"/>
      <c r="D494" s="250"/>
      <c r="E494" s="250"/>
      <c r="F494" s="314"/>
      <c r="G494" s="250"/>
      <c r="H494" s="250"/>
      <c r="I494" s="314"/>
      <c r="J494" s="250"/>
      <c r="K494" s="250"/>
      <c r="L494" s="250"/>
      <c r="M494" s="314"/>
      <c r="N494" s="250"/>
      <c r="O494" s="250"/>
      <c r="P494" s="250"/>
      <c r="Q494" s="314"/>
      <c r="R494" s="314"/>
      <c r="S494" s="314"/>
      <c r="T494" s="250"/>
      <c r="U494" s="250"/>
      <c r="V494" s="105" t="s">
        <v>193</v>
      </c>
      <c r="W494" s="14"/>
      <c r="X494" s="14"/>
      <c r="Y494" s="14"/>
      <c r="Z494" s="284">
        <f>+SUM(START:END!Z494)</f>
        <v>0</v>
      </c>
      <c r="AA494" s="11"/>
      <c r="AB494" s="11"/>
      <c r="AC494" s="284">
        <f>+SUM(START:END!AC494)</f>
        <v>0</v>
      </c>
      <c r="AD494" s="11"/>
      <c r="AE494" s="14"/>
      <c r="AF494" s="284">
        <f>+SUM(START:END!AF494)</f>
        <v>0</v>
      </c>
      <c r="AG494" s="11"/>
      <c r="AH494" s="286">
        <f t="shared" si="168"/>
        <v>0</v>
      </c>
      <c r="AI494" s="310">
        <f t="shared" si="170"/>
        <v>0</v>
      </c>
      <c r="AJ494" s="11"/>
      <c r="AK494" s="11"/>
      <c r="AL494" s="284">
        <f>+SUM(START:END!AL494)</f>
        <v>0</v>
      </c>
      <c r="AM494" s="400"/>
      <c r="AN494" s="286">
        <f t="shared" si="169"/>
        <v>0</v>
      </c>
      <c r="AO494" s="293">
        <f t="shared" si="171"/>
        <v>0</v>
      </c>
      <c r="AP494" s="250"/>
      <c r="AQ494" s="250"/>
      <c r="AR494" s="250"/>
      <c r="AS494" s="250"/>
      <c r="AT494" s="250"/>
      <c r="AU494" s="250"/>
      <c r="AV494" s="250"/>
      <c r="AW494" s="250"/>
      <c r="AX494" s="250"/>
      <c r="AY494" s="250"/>
      <c r="AZ494" s="250"/>
      <c r="BA494" s="250"/>
      <c r="BB494" s="250"/>
      <c r="BC494" s="250"/>
      <c r="BD494" s="250"/>
      <c r="BE494" s="250"/>
      <c r="BF494" s="250"/>
      <c r="BG494" s="250"/>
      <c r="BH494" s="250"/>
      <c r="BI494" s="250"/>
      <c r="BJ494" s="250"/>
    </row>
    <row r="495" spans="1:62" ht="15.75" hidden="1" customHeight="1">
      <c r="A495" t="str">
        <f t="shared" si="167"/>
        <v>[...]</v>
      </c>
      <c r="B495" s="7"/>
      <c r="C495" s="250"/>
      <c r="D495" s="250"/>
      <c r="E495" s="250"/>
      <c r="F495" s="314"/>
      <c r="G495" s="250"/>
      <c r="H495" s="250"/>
      <c r="I495" s="314"/>
      <c r="J495" s="250"/>
      <c r="K495" s="250"/>
      <c r="L495" s="250"/>
      <c r="M495" s="314"/>
      <c r="N495" s="250"/>
      <c r="O495" s="250"/>
      <c r="P495" s="250"/>
      <c r="Q495" s="314"/>
      <c r="R495" s="314"/>
      <c r="S495" s="314"/>
      <c r="T495" s="250"/>
      <c r="U495" s="250"/>
      <c r="V495" s="105" t="s">
        <v>21</v>
      </c>
      <c r="W495" s="14"/>
      <c r="X495" s="14"/>
      <c r="Y495" s="14"/>
      <c r="Z495" s="284">
        <f>+SUM(START:END!Z495)</f>
        <v>0</v>
      </c>
      <c r="AA495" s="11"/>
      <c r="AB495" s="11"/>
      <c r="AC495" s="284">
        <f>+SUM(START:END!AC495)</f>
        <v>0</v>
      </c>
      <c r="AD495" s="11"/>
      <c r="AE495" s="14"/>
      <c r="AF495" s="284">
        <f>+SUM(START:END!AF495)</f>
        <v>0</v>
      </c>
      <c r="AG495" s="11"/>
      <c r="AH495" s="286">
        <f t="shared" si="168"/>
        <v>0</v>
      </c>
      <c r="AI495" s="310">
        <f t="shared" si="170"/>
        <v>0</v>
      </c>
      <c r="AJ495" s="11"/>
      <c r="AK495" s="11"/>
      <c r="AL495" s="284">
        <f>+SUM(START:END!AL495)</f>
        <v>0</v>
      </c>
      <c r="AM495" s="400"/>
      <c r="AN495" s="286">
        <f t="shared" si="169"/>
        <v>0</v>
      </c>
      <c r="AO495" s="293">
        <f t="shared" si="171"/>
        <v>0</v>
      </c>
      <c r="AP495" s="250"/>
      <c r="AQ495" s="250"/>
      <c r="AR495" s="250"/>
      <c r="AS495" s="250"/>
      <c r="AT495" s="250"/>
      <c r="AU495" s="250"/>
      <c r="AV495" s="250"/>
      <c r="AW495" s="250"/>
      <c r="AX495" s="250"/>
      <c r="AY495" s="250"/>
      <c r="AZ495" s="250"/>
      <c r="BA495" s="250"/>
      <c r="BB495" s="250"/>
      <c r="BC495" s="250"/>
      <c r="BD495" s="250"/>
      <c r="BE495" s="250"/>
      <c r="BF495" s="250"/>
      <c r="BG495" s="250"/>
      <c r="BH495" s="250"/>
      <c r="BI495" s="250"/>
      <c r="BJ495" s="250"/>
    </row>
    <row r="496" spans="1:62" ht="15.75" hidden="1" customHeight="1" thickBot="1">
      <c r="A496" t="str">
        <f t="shared" si="167"/>
        <v>[...]</v>
      </c>
      <c r="B496" s="7"/>
      <c r="C496" s="250"/>
      <c r="D496" s="250"/>
      <c r="E496" s="250"/>
      <c r="F496" s="314"/>
      <c r="G496" s="250"/>
      <c r="H496" s="250"/>
      <c r="I496" s="314"/>
      <c r="J496" s="250"/>
      <c r="K496" s="250"/>
      <c r="L496" s="250"/>
      <c r="M496" s="314"/>
      <c r="N496" s="250"/>
      <c r="O496" s="250"/>
      <c r="P496" s="250"/>
      <c r="Q496" s="314"/>
      <c r="R496" s="314"/>
      <c r="S496" s="314"/>
      <c r="T496" s="250"/>
      <c r="U496" s="250"/>
      <c r="V496" s="105" t="s">
        <v>21</v>
      </c>
      <c r="W496" s="14"/>
      <c r="X496" s="250"/>
      <c r="Y496" s="14"/>
      <c r="Z496" s="284">
        <f>+SUM(START:END!Z496)</f>
        <v>0</v>
      </c>
      <c r="AA496" s="11"/>
      <c r="AB496" s="11"/>
      <c r="AC496" s="284">
        <f>+SUM(START:END!AC496)</f>
        <v>0</v>
      </c>
      <c r="AD496" s="11"/>
      <c r="AE496" s="14"/>
      <c r="AF496" s="284">
        <f>+SUM(START:END!AF496)</f>
        <v>0</v>
      </c>
      <c r="AG496" s="11"/>
      <c r="AH496" s="286">
        <f t="shared" si="168"/>
        <v>0</v>
      </c>
      <c r="AI496" s="310">
        <f t="shared" si="170"/>
        <v>0</v>
      </c>
      <c r="AJ496" s="11"/>
      <c r="AK496" s="11"/>
      <c r="AL496" s="284">
        <f>+SUM(START:END!AL496)</f>
        <v>0</v>
      </c>
      <c r="AM496" s="400"/>
      <c r="AN496" s="286">
        <f t="shared" si="169"/>
        <v>0</v>
      </c>
      <c r="AO496" s="293">
        <f t="shared" si="171"/>
        <v>0</v>
      </c>
      <c r="AP496" s="250"/>
      <c r="AQ496" s="250"/>
      <c r="AR496" s="250"/>
      <c r="AS496" s="250"/>
      <c r="AT496" s="250"/>
      <c r="AU496" s="250"/>
      <c r="AV496" s="250"/>
      <c r="AW496" s="250"/>
      <c r="AX496" s="250"/>
      <c r="AY496" s="250"/>
      <c r="AZ496" s="250"/>
      <c r="BA496" s="250"/>
      <c r="BB496" s="250"/>
      <c r="BC496" s="250"/>
      <c r="BD496" s="250"/>
      <c r="BE496" s="250"/>
      <c r="BF496" s="250"/>
      <c r="BG496" s="250"/>
      <c r="BH496" s="250"/>
      <c r="BI496" s="250"/>
      <c r="BJ496" s="250"/>
    </row>
    <row r="497" spans="1:62" ht="15.75" customHeight="1" thickTop="1" thickBot="1">
      <c r="A497" t="str">
        <f t="shared" si="167"/>
        <v>Profit Net</v>
      </c>
      <c r="B497" s="7"/>
      <c r="C497" s="250"/>
      <c r="D497" s="250"/>
      <c r="E497" s="250"/>
      <c r="F497" s="314"/>
      <c r="G497" s="250"/>
      <c r="H497" s="250"/>
      <c r="I497" s="314"/>
      <c r="J497" s="250"/>
      <c r="K497" s="250"/>
      <c r="L497" s="250"/>
      <c r="M497" s="314"/>
      <c r="N497" s="250"/>
      <c r="O497" s="250"/>
      <c r="P497" s="250"/>
      <c r="Q497" s="314"/>
      <c r="R497" s="314"/>
      <c r="S497" s="314"/>
      <c r="T497" s="250"/>
      <c r="U497" s="250"/>
      <c r="V497" s="372" t="s">
        <v>194</v>
      </c>
      <c r="W497" s="373"/>
      <c r="X497" s="374" t="s">
        <v>187</v>
      </c>
      <c r="Y497" s="375">
        <f>Z497/Z405</f>
        <v>3.7339656377096207E-2</v>
      </c>
      <c r="Z497" s="376">
        <f>Z488-Z490-Z491-Z492-Z496-Z493-Z494</f>
        <v>575436.79722874844</v>
      </c>
      <c r="AA497" s="374" t="s">
        <v>187</v>
      </c>
      <c r="AB497" s="375">
        <f>AC497/AC405</f>
        <v>3.7339656377096221E-2</v>
      </c>
      <c r="AC497" s="376">
        <f>AC488-AC490-AC491-AC492-AC496-AC493-AC494</f>
        <v>575436.79722874868</v>
      </c>
      <c r="AD497" s="374" t="s">
        <v>187</v>
      </c>
      <c r="AE497" s="375">
        <f>AF497/AF405</f>
        <v>4.7790307497620109E-2</v>
      </c>
      <c r="AF497" s="377">
        <f>AF488-AF490-AF491-AF492-AF496-AF493-AF494</f>
        <v>776331.46999999939</v>
      </c>
      <c r="AG497" s="378"/>
      <c r="AH497" s="378">
        <f>AH488-AH490-AH491-AH492-AH496-AH493-AH494</f>
        <v>200894.67277125071</v>
      </c>
      <c r="AI497" s="379">
        <f>AH497/AC497</f>
        <v>0.34911683392292814</v>
      </c>
      <c r="AJ497" s="380" t="s">
        <v>187</v>
      </c>
      <c r="AK497" s="375">
        <f>IF($AL$405=0,0,AL497/$AL$405)</f>
        <v>3.7357294259591806E-2</v>
      </c>
      <c r="AL497" s="377">
        <f>AL488-AL490-AL491-AL492-AL496-AL493-AL494</f>
        <v>605825.37</v>
      </c>
      <c r="AM497" s="381"/>
      <c r="AN497" s="377">
        <f>AN488-AN490-AN491-AN492-AN496-AN493-AN494</f>
        <v>170506.09999999937</v>
      </c>
      <c r="AO497" s="401">
        <f>IF(AL497=0,0,AN497/AL497)</f>
        <v>0.2814443046516843</v>
      </c>
      <c r="AP497" s="250"/>
      <c r="AQ497" s="250"/>
      <c r="AR497" s="250"/>
      <c r="AS497" s="250"/>
      <c r="AT497" s="250"/>
      <c r="AU497" s="250"/>
      <c r="AV497" s="250"/>
      <c r="AW497" s="250"/>
      <c r="AX497" s="250"/>
      <c r="AY497" s="250"/>
      <c r="AZ497" s="250"/>
      <c r="BA497" s="250"/>
      <c r="BB497" s="250"/>
      <c r="BC497" s="250"/>
      <c r="BD497" s="250"/>
      <c r="BE497" s="250"/>
      <c r="BF497" s="250"/>
      <c r="BG497" s="250"/>
      <c r="BH497" s="250"/>
      <c r="BI497" s="250"/>
      <c r="BJ497" s="250"/>
    </row>
    <row r="498" spans="1:62" ht="15.75" customHeight="1" thickTop="1">
      <c r="A498" t="str">
        <f t="shared" si="167"/>
        <v/>
      </c>
      <c r="B498" s="7"/>
      <c r="C498" s="250"/>
      <c r="D498" s="250"/>
      <c r="E498" s="250"/>
      <c r="F498" s="314"/>
      <c r="G498" s="250"/>
      <c r="H498" s="250"/>
      <c r="I498" s="314"/>
      <c r="J498" s="250"/>
      <c r="K498" s="250"/>
      <c r="L498" s="250"/>
      <c r="M498" s="314"/>
      <c r="N498" s="250"/>
      <c r="O498" s="250"/>
      <c r="P498" s="250"/>
      <c r="Q498" s="314"/>
      <c r="R498" s="314"/>
      <c r="S498" s="314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402"/>
      <c r="AF498" s="403"/>
      <c r="AG498" s="250"/>
      <c r="AH498" s="250"/>
      <c r="AI498" s="250"/>
      <c r="AJ498" s="250"/>
      <c r="AK498" s="250"/>
      <c r="AL498" s="250"/>
      <c r="AM498" s="250"/>
      <c r="AN498" s="250"/>
      <c r="AO498" s="250"/>
      <c r="AP498" s="250"/>
      <c r="AQ498" s="250"/>
      <c r="AR498" s="250"/>
      <c r="AS498" s="250"/>
      <c r="AT498" s="250"/>
      <c r="AU498" s="250"/>
      <c r="AV498" s="250"/>
      <c r="AW498" s="250"/>
      <c r="AX498" s="250"/>
      <c r="AY498" s="250"/>
      <c r="AZ498" s="250"/>
      <c r="BA498" s="250"/>
      <c r="BB498" s="250"/>
      <c r="BC498" s="250"/>
      <c r="BD498" s="250"/>
      <c r="BE498" s="250"/>
      <c r="BF498" s="250"/>
      <c r="BG498" s="250"/>
      <c r="BH498" s="250"/>
      <c r="BI498" s="250"/>
      <c r="BJ498" s="250"/>
    </row>
    <row r="499" spans="1:62" ht="15.75" customHeight="1">
      <c r="B499" s="7"/>
      <c r="C499" s="250"/>
      <c r="D499" s="250"/>
      <c r="E499" s="250"/>
      <c r="F499" s="314"/>
      <c r="G499" s="250"/>
      <c r="H499" s="250"/>
      <c r="I499" s="314"/>
      <c r="J499" s="250"/>
      <c r="K499" s="250"/>
      <c r="L499" s="250"/>
      <c r="M499" s="314"/>
      <c r="N499" s="250"/>
      <c r="O499" s="250"/>
      <c r="P499" s="250"/>
      <c r="Q499" s="314"/>
      <c r="R499" s="314"/>
      <c r="S499" s="314"/>
      <c r="T499" s="250"/>
      <c r="U499" s="250"/>
      <c r="V499" s="250"/>
      <c r="W499" s="250"/>
      <c r="X499" s="250"/>
      <c r="Y499" s="250"/>
      <c r="Z499" s="314"/>
      <c r="AA499" s="250"/>
      <c r="AB499" s="250"/>
      <c r="AC499" s="250"/>
      <c r="AD499" s="250"/>
      <c r="AE499" s="250"/>
      <c r="AF499" s="354"/>
      <c r="AG499" s="250"/>
      <c r="AH499" s="250"/>
      <c r="AI499" s="250"/>
      <c r="AJ499" s="250"/>
      <c r="AK499" s="250"/>
      <c r="AL499" s="250"/>
      <c r="AM499" s="250"/>
      <c r="AN499" s="250"/>
      <c r="AO499" s="250"/>
      <c r="AP499" s="250"/>
      <c r="AQ499" s="250"/>
      <c r="AR499" s="250"/>
      <c r="AS499" s="250"/>
      <c r="AT499" s="250"/>
      <c r="AU499" s="250"/>
      <c r="AV499" s="250"/>
      <c r="AW499" s="250"/>
      <c r="AX499" s="250"/>
      <c r="AY499" s="250"/>
      <c r="AZ499" s="250"/>
      <c r="BA499" s="250"/>
      <c r="BB499" s="250"/>
      <c r="BC499" s="250"/>
      <c r="BD499" s="250"/>
      <c r="BE499" s="250"/>
      <c r="BF499" s="250"/>
      <c r="BG499" s="250"/>
      <c r="BH499" s="250"/>
      <c r="BI499" s="250"/>
      <c r="BJ499" s="250"/>
    </row>
    <row r="500" spans="1:62" ht="15.75" customHeight="1">
      <c r="B500" s="7"/>
      <c r="C500" s="250"/>
      <c r="D500" s="250"/>
      <c r="E500" s="250"/>
      <c r="F500" s="314"/>
      <c r="G500" s="250"/>
      <c r="H500" s="250"/>
      <c r="I500" s="314"/>
      <c r="J500" s="250"/>
      <c r="K500" s="250"/>
      <c r="L500" s="250"/>
      <c r="M500" s="314"/>
      <c r="N500" s="250"/>
      <c r="O500" s="250"/>
      <c r="P500" s="250"/>
      <c r="Q500" s="314"/>
      <c r="R500" s="314"/>
      <c r="S500" s="314"/>
      <c r="T500" s="339"/>
      <c r="U500" s="339"/>
      <c r="V500" s="250"/>
      <c r="W500" s="250"/>
      <c r="X500" s="250"/>
      <c r="Y500" s="250"/>
      <c r="Z500" s="314"/>
      <c r="AA500" s="250"/>
      <c r="AB500" s="250"/>
      <c r="AC500" s="250"/>
      <c r="AD500" s="250"/>
      <c r="AE500" s="250"/>
      <c r="AF500" s="250"/>
      <c r="AG500" s="250"/>
      <c r="AH500" s="250"/>
      <c r="AI500" s="250"/>
      <c r="AJ500" s="250"/>
      <c r="AK500" s="250"/>
      <c r="AL500" s="250"/>
      <c r="AM500" s="250"/>
      <c r="AN500" s="250"/>
      <c r="AO500" s="250"/>
      <c r="AP500" s="250"/>
      <c r="AQ500" s="250"/>
      <c r="AR500" s="250"/>
      <c r="AS500" s="250"/>
      <c r="AT500" s="250"/>
      <c r="AU500" s="250"/>
      <c r="AV500" s="250"/>
      <c r="AW500" s="250"/>
      <c r="AX500" s="250"/>
      <c r="AY500" s="250"/>
      <c r="AZ500" s="250"/>
      <c r="BA500" s="250"/>
      <c r="BB500" s="250"/>
      <c r="BC500" s="250"/>
      <c r="BD500" s="250"/>
      <c r="BE500" s="250"/>
      <c r="BF500" s="250"/>
      <c r="BG500" s="250"/>
      <c r="BH500" s="250"/>
      <c r="BI500" s="250"/>
      <c r="BJ500" s="250"/>
    </row>
    <row r="501" spans="1:62" ht="15.75" customHeight="1">
      <c r="B501" s="7"/>
      <c r="C501" s="250"/>
      <c r="D501" s="250"/>
      <c r="E501" s="250"/>
      <c r="F501" s="314"/>
      <c r="G501" s="250"/>
      <c r="H501" s="250"/>
      <c r="I501" s="314"/>
      <c r="J501" s="250"/>
      <c r="K501" s="250"/>
      <c r="L501" s="250"/>
      <c r="M501" s="314"/>
      <c r="N501" s="250"/>
      <c r="O501" s="250"/>
      <c r="P501" s="250"/>
      <c r="Q501" s="314"/>
      <c r="R501" s="314"/>
      <c r="S501" s="314"/>
      <c r="T501" s="339"/>
      <c r="U501" s="339"/>
      <c r="V501" s="250"/>
      <c r="W501" s="250"/>
      <c r="X501" s="250"/>
      <c r="Y501" s="250"/>
      <c r="Z501" s="314"/>
      <c r="AA501" s="250"/>
      <c r="AB501" s="250"/>
      <c r="AC501" s="250"/>
      <c r="AD501" s="250"/>
      <c r="AE501" s="250"/>
      <c r="AF501" s="404"/>
      <c r="AG501" s="250"/>
      <c r="AH501" s="250"/>
      <c r="AI501" s="250"/>
      <c r="AJ501" s="250"/>
      <c r="AK501" s="250"/>
      <c r="AL501" s="250"/>
      <c r="AM501" s="250"/>
      <c r="AN501" s="250"/>
      <c r="AO501" s="250"/>
      <c r="AP501" s="250"/>
      <c r="AQ501" s="250"/>
      <c r="AR501" s="250"/>
      <c r="AS501" s="250"/>
      <c r="AT501" s="250"/>
      <c r="AU501" s="250"/>
      <c r="AV501" s="250"/>
      <c r="AW501" s="250"/>
      <c r="AX501" s="250"/>
      <c r="AY501" s="250"/>
      <c r="AZ501" s="250"/>
      <c r="BA501" s="250"/>
      <c r="BB501" s="250"/>
      <c r="BC501" s="250"/>
      <c r="BD501" s="250"/>
      <c r="BE501" s="250"/>
      <c r="BF501" s="250"/>
      <c r="BG501" s="250"/>
      <c r="BH501" s="250"/>
      <c r="BI501" s="250"/>
      <c r="BJ501" s="250"/>
    </row>
    <row r="502" spans="1:62" ht="15.75" customHeight="1">
      <c r="B502" s="7"/>
      <c r="C502" s="250"/>
      <c r="D502" s="250"/>
      <c r="E502" s="250"/>
      <c r="F502" s="314"/>
      <c r="G502" s="250"/>
      <c r="H502" s="250"/>
      <c r="I502" s="314"/>
      <c r="J502" s="250"/>
      <c r="K502" s="250"/>
      <c r="L502" s="250"/>
      <c r="M502" s="314"/>
      <c r="N502" s="250"/>
      <c r="O502" s="250"/>
      <c r="P502" s="250"/>
      <c r="Q502" s="314"/>
      <c r="R502" s="314"/>
      <c r="S502" s="314"/>
      <c r="T502" s="339"/>
      <c r="U502" s="339"/>
      <c r="V502" s="250"/>
      <c r="W502" s="250"/>
      <c r="X502" s="250"/>
      <c r="Y502" s="250"/>
      <c r="Z502" s="250"/>
      <c r="AA502" s="250"/>
      <c r="AB502" s="250"/>
      <c r="AC502" s="250"/>
      <c r="AD502" s="250"/>
      <c r="AE502" s="250"/>
      <c r="AF502" s="314"/>
      <c r="AG502" s="250"/>
      <c r="AH502" s="250"/>
      <c r="AI502" s="250"/>
      <c r="AJ502" s="250"/>
      <c r="AK502" s="250"/>
      <c r="AL502" s="250"/>
      <c r="AM502" s="250"/>
      <c r="AN502" s="250"/>
      <c r="AO502" s="250"/>
      <c r="AP502" s="250"/>
      <c r="AQ502" s="250"/>
      <c r="AR502" s="250"/>
      <c r="AS502" s="250"/>
      <c r="AT502" s="250"/>
      <c r="AU502" s="250"/>
      <c r="AV502" s="250"/>
      <c r="AW502" s="250"/>
      <c r="AX502" s="250"/>
      <c r="AY502" s="250"/>
      <c r="AZ502" s="250"/>
      <c r="BA502" s="250"/>
      <c r="BB502" s="250"/>
      <c r="BC502" s="250"/>
      <c r="BD502" s="250"/>
      <c r="BE502" s="250"/>
      <c r="BF502" s="250"/>
      <c r="BG502" s="250"/>
      <c r="BH502" s="250"/>
      <c r="BI502" s="250"/>
      <c r="BJ502" s="250"/>
    </row>
    <row r="503" spans="1:62" ht="15.75" customHeight="1">
      <c r="B503" s="7"/>
      <c r="C503" s="250"/>
      <c r="D503" s="250"/>
      <c r="E503" s="250"/>
      <c r="F503" s="314"/>
      <c r="G503" s="250"/>
      <c r="H503" s="250"/>
      <c r="I503" s="314"/>
      <c r="J503" s="250"/>
      <c r="K503" s="250"/>
      <c r="L503" s="250"/>
      <c r="M503" s="314"/>
      <c r="N503" s="250"/>
      <c r="O503" s="250"/>
      <c r="P503" s="250"/>
      <c r="Q503" s="314"/>
      <c r="R503" s="314"/>
      <c r="S503" s="314"/>
      <c r="T503" s="339"/>
      <c r="U503" s="339"/>
      <c r="V503" s="250"/>
      <c r="W503" s="250"/>
      <c r="X503" s="250"/>
      <c r="Y503" s="250"/>
      <c r="Z503" s="250"/>
      <c r="AA503" s="250"/>
      <c r="AB503" s="250"/>
      <c r="AC503" s="250"/>
      <c r="AD503" s="250"/>
      <c r="AE503" s="250"/>
      <c r="AF503" s="314"/>
      <c r="AG503" s="250"/>
      <c r="AH503" s="250"/>
      <c r="AI503" s="250"/>
      <c r="AJ503" s="250"/>
      <c r="AK503" s="250"/>
      <c r="AL503" s="250"/>
      <c r="AM503" s="250"/>
      <c r="AN503" s="250"/>
      <c r="AO503" s="250"/>
      <c r="AP503" s="250"/>
      <c r="AQ503" s="250"/>
      <c r="AR503" s="250"/>
      <c r="AS503" s="250"/>
      <c r="AT503" s="250"/>
      <c r="AU503" s="250"/>
      <c r="AV503" s="250"/>
      <c r="AW503" s="250"/>
      <c r="AX503" s="250"/>
      <c r="AY503" s="250"/>
      <c r="AZ503" s="250"/>
      <c r="BA503" s="250"/>
      <c r="BB503" s="250"/>
      <c r="BC503" s="250"/>
      <c r="BD503" s="250"/>
      <c r="BE503" s="250"/>
      <c r="BF503" s="250"/>
      <c r="BG503" s="250"/>
      <c r="BH503" s="250"/>
      <c r="BI503" s="250"/>
      <c r="BJ503" s="250"/>
    </row>
    <row r="504" spans="1:62" ht="15.75" customHeight="1">
      <c r="B504" s="7"/>
      <c r="C504" s="250"/>
      <c r="D504" s="250"/>
      <c r="E504" s="250"/>
      <c r="F504" s="314"/>
      <c r="G504" s="250"/>
      <c r="H504" s="250"/>
      <c r="I504" s="314"/>
      <c r="J504" s="250"/>
      <c r="K504" s="250"/>
      <c r="L504" s="250"/>
      <c r="M504" s="314"/>
      <c r="N504" s="250"/>
      <c r="O504" s="250"/>
      <c r="P504" s="250"/>
      <c r="Q504" s="314"/>
      <c r="R504" s="314"/>
      <c r="S504" s="314"/>
      <c r="T504" s="339"/>
      <c r="U504" s="339"/>
      <c r="V504" s="250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  <c r="AH504" s="250"/>
      <c r="AI504" s="250"/>
      <c r="AJ504" s="250"/>
      <c r="AK504" s="250"/>
      <c r="AL504" s="250"/>
      <c r="AM504" s="250"/>
      <c r="AN504" s="250"/>
      <c r="AO504" s="250"/>
      <c r="AP504" s="250"/>
      <c r="AQ504" s="250"/>
      <c r="AR504" s="250"/>
      <c r="AS504" s="250"/>
      <c r="AT504" s="250"/>
      <c r="AU504" s="250"/>
      <c r="AV504" s="250"/>
      <c r="AW504" s="250"/>
      <c r="AX504" s="250"/>
      <c r="AY504" s="250"/>
      <c r="AZ504" s="250"/>
      <c r="BA504" s="250"/>
      <c r="BB504" s="250"/>
      <c r="BC504" s="250"/>
      <c r="BD504" s="250"/>
      <c r="BE504" s="250"/>
      <c r="BF504" s="250"/>
      <c r="BG504" s="250"/>
      <c r="BH504" s="250"/>
      <c r="BI504" s="250"/>
      <c r="BJ504" s="250"/>
    </row>
    <row r="505" spans="1:62" ht="15.75" customHeight="1">
      <c r="B505" s="7"/>
      <c r="C505" s="250"/>
      <c r="D505" s="250"/>
      <c r="E505" s="250"/>
      <c r="F505" s="314"/>
      <c r="G505" s="250"/>
      <c r="H505" s="250"/>
      <c r="I505" s="314"/>
      <c r="J505" s="250"/>
      <c r="K505" s="250"/>
      <c r="L505" s="250"/>
      <c r="M505" s="314"/>
      <c r="N505" s="250"/>
      <c r="O505" s="250"/>
      <c r="P505" s="250"/>
      <c r="Q505" s="314"/>
      <c r="R505" s="314"/>
      <c r="S505" s="314"/>
      <c r="T505" s="339"/>
      <c r="U505" s="339"/>
      <c r="V505" s="250"/>
      <c r="W505" s="250"/>
      <c r="X505" s="250"/>
      <c r="Y505" s="250"/>
      <c r="Z505" s="250"/>
      <c r="AA505" s="250"/>
      <c r="AB505" s="250"/>
      <c r="AC505" s="250"/>
      <c r="AD505" s="250"/>
      <c r="AE505" s="250"/>
      <c r="AF505" s="314"/>
      <c r="AG505" s="250"/>
      <c r="AH505" s="250"/>
      <c r="AI505" s="250"/>
      <c r="AJ505" s="250"/>
      <c r="AK505" s="250"/>
      <c r="AL505" s="314"/>
      <c r="AM505" s="250"/>
      <c r="AN505" s="250"/>
      <c r="AO505" s="250"/>
      <c r="AP505" s="250"/>
      <c r="AQ505" s="250"/>
      <c r="AR505" s="250"/>
      <c r="AS505" s="250"/>
      <c r="AT505" s="250"/>
      <c r="AU505" s="250"/>
      <c r="AV505" s="250"/>
      <c r="AW505" s="250"/>
      <c r="AX505" s="250"/>
      <c r="AY505" s="250"/>
      <c r="AZ505" s="250"/>
      <c r="BA505" s="250"/>
      <c r="BB505" s="250"/>
      <c r="BC505" s="250"/>
      <c r="BD505" s="250"/>
      <c r="BE505" s="250"/>
      <c r="BF505" s="250"/>
      <c r="BG505" s="250"/>
      <c r="BH505" s="250"/>
      <c r="BI505" s="250"/>
      <c r="BJ505" s="250"/>
    </row>
    <row r="506" spans="1:62" ht="15.75" customHeight="1">
      <c r="B506" s="7"/>
      <c r="C506" s="250"/>
      <c r="D506" s="250"/>
      <c r="E506" s="250"/>
      <c r="F506" s="314"/>
      <c r="G506" s="250"/>
      <c r="H506" s="250"/>
      <c r="I506" s="314"/>
      <c r="J506" s="250"/>
      <c r="K506" s="250"/>
      <c r="L506" s="250"/>
      <c r="M506" s="314"/>
      <c r="N506" s="250"/>
      <c r="O506" s="250"/>
      <c r="P506" s="250"/>
      <c r="Q506" s="314"/>
      <c r="R506" s="314"/>
      <c r="S506" s="314"/>
      <c r="T506" s="339"/>
      <c r="U506" s="339"/>
      <c r="V506" s="250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250"/>
      <c r="AG506" s="250"/>
      <c r="AH506" s="250"/>
      <c r="AI506" s="250"/>
      <c r="AJ506" s="250"/>
      <c r="AK506" s="250"/>
      <c r="AL506" s="250"/>
      <c r="AM506" s="250"/>
      <c r="AN506" s="250"/>
      <c r="AO506" s="250"/>
      <c r="AP506" s="250"/>
      <c r="AQ506" s="250"/>
      <c r="AR506" s="250"/>
      <c r="AS506" s="250"/>
      <c r="AT506" s="250"/>
      <c r="AU506" s="250"/>
      <c r="AV506" s="250"/>
      <c r="AW506" s="250"/>
      <c r="AX506" s="250"/>
      <c r="AY506" s="250"/>
      <c r="AZ506" s="250"/>
      <c r="BA506" s="250"/>
      <c r="BB506" s="250"/>
      <c r="BC506" s="250"/>
      <c r="BD506" s="250"/>
      <c r="BE506" s="250"/>
      <c r="BF506" s="250"/>
      <c r="BG506" s="250"/>
      <c r="BH506" s="250"/>
      <c r="BI506" s="250"/>
      <c r="BJ506" s="250"/>
    </row>
    <row r="507" spans="1:62" ht="15.75" customHeight="1">
      <c r="B507" s="7"/>
      <c r="C507" s="250"/>
      <c r="D507" s="250"/>
      <c r="E507" s="250"/>
      <c r="F507" s="314"/>
      <c r="G507" s="250"/>
      <c r="H507" s="250"/>
      <c r="I507" s="314"/>
      <c r="J507" s="250"/>
      <c r="K507" s="250"/>
      <c r="L507" s="250"/>
      <c r="M507" s="314"/>
      <c r="N507" s="250"/>
      <c r="O507" s="250"/>
      <c r="P507" s="250"/>
      <c r="Q507" s="314"/>
      <c r="R507" s="314"/>
      <c r="S507" s="314"/>
      <c r="T507" s="339"/>
      <c r="U507" s="339"/>
      <c r="V507" s="250"/>
      <c r="W507" s="339"/>
      <c r="X507" s="339"/>
      <c r="Y507" s="250"/>
      <c r="Z507" s="250"/>
      <c r="AA507" s="250"/>
      <c r="AB507" s="250"/>
      <c r="AC507" s="250"/>
      <c r="AD507" s="250"/>
      <c r="AE507" s="250"/>
      <c r="AF507" s="250"/>
      <c r="AG507" s="250"/>
      <c r="AH507" s="250"/>
      <c r="AI507" s="250"/>
      <c r="AJ507" s="250"/>
      <c r="AK507" s="250"/>
      <c r="AL507" s="250"/>
      <c r="AM507" s="250"/>
      <c r="AN507" s="250"/>
      <c r="AO507" s="250"/>
      <c r="AP507" s="250"/>
      <c r="AQ507" s="250"/>
      <c r="AR507" s="250"/>
      <c r="AS507" s="250"/>
      <c r="AT507" s="250"/>
      <c r="AU507" s="250"/>
      <c r="AV507" s="250"/>
      <c r="AW507" s="250"/>
      <c r="AX507" s="250"/>
      <c r="AY507" s="250"/>
      <c r="AZ507" s="250"/>
      <c r="BA507" s="250"/>
      <c r="BB507" s="250"/>
      <c r="BC507" s="250"/>
      <c r="BD507" s="250"/>
      <c r="BE507" s="250"/>
      <c r="BF507" s="250"/>
      <c r="BG507" s="250"/>
      <c r="BH507" s="250"/>
      <c r="BI507" s="250"/>
      <c r="BJ507" s="250"/>
    </row>
    <row r="508" spans="1:62" ht="15.75" customHeight="1">
      <c r="B508" s="7"/>
      <c r="C508" s="250"/>
      <c r="D508" s="250"/>
      <c r="E508" s="250"/>
      <c r="F508" s="314"/>
      <c r="G508" s="250"/>
      <c r="H508" s="250"/>
      <c r="I508" s="314"/>
      <c r="J508" s="250"/>
      <c r="K508" s="250"/>
      <c r="L508" s="250"/>
      <c r="M508" s="314"/>
      <c r="N508" s="250"/>
      <c r="O508" s="250"/>
      <c r="P508" s="250"/>
      <c r="Q508" s="314"/>
      <c r="R508" s="314"/>
      <c r="S508" s="314"/>
      <c r="T508" s="339"/>
      <c r="U508" s="339"/>
      <c r="V508" s="250"/>
      <c r="W508" s="339"/>
      <c r="X508" s="339"/>
      <c r="Y508" s="250"/>
      <c r="Z508" s="250"/>
      <c r="AA508" s="250"/>
      <c r="AB508" s="250"/>
      <c r="AC508" s="250"/>
      <c r="AD508" s="250"/>
      <c r="AE508" s="250"/>
      <c r="AF508" s="250"/>
      <c r="AG508" s="250"/>
      <c r="AH508" s="250"/>
      <c r="AI508" s="250"/>
      <c r="AJ508" s="250"/>
      <c r="AK508" s="250"/>
      <c r="AL508" s="250"/>
      <c r="AM508" s="250"/>
      <c r="AN508" s="250"/>
      <c r="AO508" s="250"/>
      <c r="AP508" s="250"/>
      <c r="AQ508" s="250"/>
      <c r="AR508" s="250"/>
      <c r="AS508" s="250"/>
      <c r="AT508" s="250"/>
      <c r="AU508" s="250"/>
      <c r="AV508" s="250"/>
      <c r="AW508" s="250"/>
      <c r="AX508" s="250"/>
      <c r="AY508" s="250"/>
      <c r="AZ508" s="250"/>
      <c r="BA508" s="250"/>
      <c r="BB508" s="250"/>
      <c r="BC508" s="250"/>
      <c r="BD508" s="250"/>
      <c r="BE508" s="250"/>
      <c r="BF508" s="250"/>
      <c r="BG508" s="250"/>
      <c r="BH508" s="250"/>
      <c r="BI508" s="250"/>
      <c r="BJ508" s="250"/>
    </row>
    <row r="509" spans="1:62" ht="15.75" customHeight="1">
      <c r="B509" s="7"/>
      <c r="C509" s="250"/>
      <c r="D509" s="250"/>
      <c r="E509" s="250"/>
      <c r="F509" s="314"/>
      <c r="G509" s="250"/>
      <c r="H509" s="250"/>
      <c r="I509" s="314"/>
      <c r="J509" s="250"/>
      <c r="K509" s="250"/>
      <c r="L509" s="250"/>
      <c r="M509" s="314"/>
      <c r="N509" s="250"/>
      <c r="O509" s="250"/>
      <c r="P509" s="250"/>
      <c r="Q509" s="314"/>
      <c r="R509" s="314"/>
      <c r="S509" s="314"/>
      <c r="T509" s="339"/>
      <c r="U509" s="339"/>
      <c r="V509" s="250"/>
      <c r="W509" s="339"/>
      <c r="X509" s="339"/>
      <c r="Y509" s="250"/>
      <c r="Z509" s="250"/>
      <c r="AA509" s="250"/>
      <c r="AB509" s="250"/>
      <c r="AC509" s="250"/>
      <c r="AD509" s="250"/>
      <c r="AE509" s="250"/>
      <c r="AF509" s="250"/>
      <c r="AG509" s="250"/>
      <c r="AH509" s="250"/>
      <c r="AI509" s="250"/>
      <c r="AJ509" s="250"/>
      <c r="AK509" s="250"/>
      <c r="AL509" s="250"/>
      <c r="AM509" s="250"/>
      <c r="AN509" s="250"/>
      <c r="AO509" s="250"/>
      <c r="AP509" s="250"/>
      <c r="AQ509" s="250"/>
      <c r="AR509" s="250"/>
      <c r="AS509" s="250"/>
      <c r="AT509" s="250"/>
      <c r="AU509" s="250"/>
      <c r="AV509" s="250"/>
      <c r="AW509" s="250"/>
      <c r="AX509" s="250"/>
      <c r="AY509" s="250"/>
      <c r="AZ509" s="250"/>
      <c r="BA509" s="250"/>
      <c r="BB509" s="250"/>
      <c r="BC509" s="250"/>
      <c r="BD509" s="250"/>
      <c r="BE509" s="250"/>
      <c r="BF509" s="250"/>
      <c r="BG509" s="250"/>
      <c r="BH509" s="250"/>
      <c r="BI509" s="250"/>
      <c r="BJ509" s="250"/>
    </row>
    <row r="510" spans="1:62" ht="15.75" customHeight="1">
      <c r="B510" s="7"/>
      <c r="C510" s="250"/>
      <c r="D510" s="250"/>
      <c r="E510" s="250"/>
      <c r="F510" s="314"/>
      <c r="G510" s="250"/>
      <c r="H510" s="250"/>
      <c r="I510" s="314"/>
      <c r="J510" s="250"/>
      <c r="K510" s="250"/>
      <c r="L510" s="250"/>
      <c r="M510" s="314"/>
      <c r="N510" s="250"/>
      <c r="O510" s="250"/>
      <c r="P510" s="250"/>
      <c r="Q510" s="314"/>
      <c r="R510" s="314"/>
      <c r="S510" s="314"/>
      <c r="T510" s="339"/>
      <c r="U510" s="339"/>
      <c r="V510" s="250"/>
      <c r="W510" s="339"/>
      <c r="X510" s="339"/>
      <c r="Y510" s="250"/>
      <c r="Z510" s="250"/>
      <c r="AA510" s="250"/>
      <c r="AB510" s="250"/>
      <c r="AC510" s="250"/>
      <c r="AD510" s="250"/>
      <c r="AE510" s="250"/>
      <c r="AF510" s="250"/>
      <c r="AG510" s="250"/>
      <c r="AH510" s="250"/>
      <c r="AI510" s="250"/>
      <c r="AJ510" s="250"/>
      <c r="AK510" s="250"/>
      <c r="AL510" s="250"/>
      <c r="AM510" s="250"/>
      <c r="AN510" s="250"/>
      <c r="AO510" s="250"/>
      <c r="AP510" s="250"/>
      <c r="AQ510" s="250"/>
      <c r="AR510" s="250"/>
      <c r="AS510" s="250"/>
      <c r="AT510" s="250"/>
      <c r="AU510" s="250"/>
      <c r="AV510" s="250"/>
      <c r="AW510" s="250"/>
      <c r="AX510" s="250"/>
      <c r="AY510" s="250"/>
      <c r="AZ510" s="250"/>
      <c r="BA510" s="250"/>
      <c r="BB510" s="250"/>
      <c r="BC510" s="250"/>
      <c r="BD510" s="250"/>
      <c r="BE510" s="250"/>
      <c r="BF510" s="250"/>
      <c r="BG510" s="250"/>
      <c r="BH510" s="250"/>
      <c r="BI510" s="250"/>
      <c r="BJ510" s="250"/>
    </row>
    <row r="511" spans="1:62" ht="15.75" customHeight="1">
      <c r="B511" s="7"/>
      <c r="C511" s="250"/>
      <c r="D511" s="250"/>
      <c r="E511" s="250"/>
      <c r="F511" s="314"/>
      <c r="G511" s="250"/>
      <c r="H511" s="250"/>
      <c r="I511" s="314"/>
      <c r="J511" s="250"/>
      <c r="K511" s="250"/>
      <c r="L511" s="250"/>
      <c r="M511" s="314"/>
      <c r="N511" s="250"/>
      <c r="O511" s="250"/>
      <c r="P511" s="250"/>
      <c r="Q511" s="314"/>
      <c r="R511" s="314"/>
      <c r="S511" s="314"/>
      <c r="T511" s="339"/>
      <c r="U511" s="339"/>
      <c r="V511" s="250"/>
      <c r="W511" s="339"/>
      <c r="X511" s="339"/>
      <c r="Y511" s="250"/>
      <c r="Z511" s="250"/>
      <c r="AA511" s="250"/>
      <c r="AB511" s="250"/>
      <c r="AC511" s="250"/>
      <c r="AD511" s="250"/>
      <c r="AE511" s="250"/>
      <c r="AF511" s="250"/>
      <c r="AG511" s="250"/>
      <c r="AH511" s="250"/>
      <c r="AI511" s="250"/>
      <c r="AJ511" s="250"/>
      <c r="AK511" s="250"/>
      <c r="AL511" s="250"/>
      <c r="AM511" s="250"/>
      <c r="AN511" s="250"/>
      <c r="AO511" s="250"/>
      <c r="AP511" s="250"/>
      <c r="AQ511" s="250"/>
      <c r="AR511" s="250"/>
      <c r="AS511" s="250"/>
      <c r="AT511" s="250"/>
      <c r="AU511" s="250"/>
      <c r="AV511" s="250"/>
      <c r="AW511" s="250"/>
      <c r="AX511" s="250"/>
      <c r="AY511" s="250"/>
      <c r="AZ511" s="250"/>
      <c r="BA511" s="250"/>
      <c r="BB511" s="250"/>
      <c r="BC511" s="250"/>
      <c r="BD511" s="250"/>
      <c r="BE511" s="250"/>
      <c r="BF511" s="250"/>
      <c r="BG511" s="250"/>
      <c r="BH511" s="250"/>
      <c r="BI511" s="250"/>
      <c r="BJ511" s="250"/>
    </row>
    <row r="512" spans="1:62" ht="15.75" customHeight="1">
      <c r="B512" s="7"/>
      <c r="C512" s="250"/>
      <c r="D512" s="250"/>
      <c r="E512" s="250"/>
      <c r="F512" s="314"/>
      <c r="G512" s="250"/>
      <c r="H512" s="250"/>
      <c r="I512" s="314"/>
      <c r="J512" s="250"/>
      <c r="K512" s="250"/>
      <c r="L512" s="250"/>
      <c r="M512" s="314"/>
      <c r="N512" s="250"/>
      <c r="O512" s="250"/>
      <c r="P512" s="250"/>
      <c r="Q512" s="314"/>
      <c r="R512" s="314"/>
      <c r="S512" s="314"/>
      <c r="T512" s="339"/>
      <c r="U512" s="339"/>
      <c r="V512" s="339"/>
      <c r="W512" s="339"/>
      <c r="X512" s="339"/>
      <c r="Y512" s="250"/>
      <c r="Z512" s="250"/>
      <c r="AA512" s="250"/>
      <c r="AB512" s="250"/>
      <c r="AC512" s="250"/>
      <c r="AD512" s="250"/>
      <c r="AE512" s="250"/>
      <c r="AF512" s="250"/>
      <c r="AG512" s="250"/>
      <c r="AH512" s="250"/>
      <c r="AI512" s="250"/>
      <c r="AJ512" s="250"/>
      <c r="AK512" s="250"/>
      <c r="AL512" s="250"/>
      <c r="AM512" s="250"/>
      <c r="AN512" s="250"/>
      <c r="AO512" s="250"/>
      <c r="AP512" s="250"/>
      <c r="AQ512" s="250"/>
      <c r="AR512" s="250"/>
      <c r="AS512" s="250"/>
      <c r="AT512" s="250"/>
      <c r="AU512" s="250"/>
      <c r="AV512" s="250"/>
      <c r="AW512" s="250"/>
      <c r="AX512" s="250"/>
      <c r="AY512" s="250"/>
      <c r="AZ512" s="250"/>
      <c r="BA512" s="250"/>
      <c r="BB512" s="250"/>
      <c r="BC512" s="250"/>
      <c r="BD512" s="250"/>
      <c r="BE512" s="250"/>
      <c r="BF512" s="250"/>
      <c r="BG512" s="250"/>
      <c r="BH512" s="250"/>
      <c r="BI512" s="250"/>
      <c r="BJ512" s="250"/>
    </row>
    <row r="513" spans="2:62" ht="15.75" customHeight="1">
      <c r="B513" s="7"/>
      <c r="C513" s="405"/>
      <c r="D513" s="339"/>
      <c r="E513" s="339"/>
      <c r="F513" s="406"/>
      <c r="G513" s="339"/>
      <c r="H513" s="339"/>
      <c r="I513" s="406"/>
      <c r="J513" s="339"/>
      <c r="K513" s="339"/>
      <c r="L513" s="339"/>
      <c r="M513" s="406"/>
      <c r="N513" s="339"/>
      <c r="O513" s="339"/>
      <c r="P513" s="339"/>
      <c r="Q513" s="406"/>
      <c r="R513" s="406"/>
      <c r="S513" s="406"/>
      <c r="T513" s="339"/>
      <c r="U513" s="339"/>
      <c r="V513" s="339"/>
      <c r="W513" s="339"/>
      <c r="X513" s="339"/>
      <c r="Y513" s="250"/>
      <c r="Z513" s="250"/>
      <c r="AA513" s="250"/>
      <c r="AB513" s="250"/>
      <c r="AC513" s="250"/>
      <c r="AD513" s="250"/>
      <c r="AE513" s="250"/>
      <c r="AF513" s="250"/>
      <c r="AG513" s="250"/>
      <c r="AH513" s="250"/>
      <c r="AI513" s="250"/>
      <c r="AJ513" s="250"/>
      <c r="AK513" s="250"/>
      <c r="AL513" s="250"/>
      <c r="AM513" s="250"/>
      <c r="AN513" s="250"/>
      <c r="AO513" s="250"/>
      <c r="AP513" s="250"/>
      <c r="AQ513" s="250"/>
      <c r="AR513" s="250"/>
      <c r="AS513" s="250"/>
      <c r="AT513" s="250"/>
      <c r="AU513" s="250"/>
      <c r="AV513" s="250"/>
      <c r="AW513" s="250"/>
      <c r="AX513" s="250"/>
      <c r="AY513" s="250"/>
      <c r="AZ513" s="250"/>
      <c r="BA513" s="250"/>
      <c r="BB513" s="250"/>
      <c r="BC513" s="250"/>
      <c r="BD513" s="250"/>
      <c r="BE513" s="250"/>
      <c r="BF513" s="250"/>
      <c r="BG513" s="250"/>
      <c r="BH513" s="250"/>
      <c r="BI513" s="250"/>
      <c r="BJ513" s="250"/>
    </row>
    <row r="514" spans="2:62" ht="15.75" customHeight="1">
      <c r="B514" s="7"/>
      <c r="C514" s="407"/>
      <c r="D514" s="339"/>
      <c r="E514" s="339"/>
      <c r="F514" s="406"/>
      <c r="G514" s="339"/>
      <c r="H514" s="339"/>
      <c r="I514" s="406"/>
      <c r="J514" s="339"/>
      <c r="K514" s="339"/>
      <c r="L514" s="339"/>
      <c r="M514" s="406"/>
      <c r="N514" s="339"/>
      <c r="O514" s="339"/>
      <c r="P514" s="339"/>
      <c r="Q514" s="406"/>
      <c r="R514" s="406"/>
      <c r="S514" s="406"/>
      <c r="T514" s="339"/>
      <c r="U514" s="339"/>
      <c r="V514" s="339"/>
      <c r="W514" s="339"/>
      <c r="X514" s="339"/>
      <c r="Y514" s="250"/>
      <c r="Z514" s="250"/>
      <c r="AA514" s="250"/>
      <c r="AB514" s="250"/>
      <c r="AC514" s="250"/>
      <c r="AD514" s="250"/>
      <c r="AE514" s="250"/>
      <c r="AF514" s="250"/>
      <c r="AG514" s="250"/>
      <c r="AH514" s="250"/>
      <c r="AI514" s="250"/>
      <c r="AJ514" s="250"/>
      <c r="AK514" s="250"/>
      <c r="AL514" s="250"/>
      <c r="AM514" s="250"/>
      <c r="AN514" s="250"/>
      <c r="AO514" s="250"/>
      <c r="AP514" s="250"/>
      <c r="AQ514" s="250"/>
      <c r="AR514" s="250"/>
      <c r="AS514" s="250"/>
      <c r="AT514" s="250"/>
      <c r="AU514" s="250"/>
      <c r="AV514" s="250"/>
      <c r="AW514" s="250"/>
      <c r="AX514" s="250"/>
      <c r="AY514" s="250"/>
      <c r="AZ514" s="250"/>
      <c r="BA514" s="250"/>
      <c r="BB514" s="250"/>
      <c r="BC514" s="250"/>
      <c r="BD514" s="250"/>
      <c r="BE514" s="250"/>
      <c r="BF514" s="250"/>
      <c r="BG514" s="250"/>
      <c r="BH514" s="250"/>
      <c r="BI514" s="250"/>
      <c r="BJ514" s="250"/>
    </row>
    <row r="515" spans="2:62" ht="15.75" customHeight="1">
      <c r="B515" s="7"/>
      <c r="C515" s="339"/>
      <c r="D515" s="339"/>
      <c r="E515" s="339"/>
      <c r="F515" s="406"/>
      <c r="G515" s="339"/>
      <c r="H515" s="339"/>
      <c r="I515" s="406"/>
      <c r="J515" s="339"/>
      <c r="K515" s="339"/>
      <c r="L515" s="339"/>
      <c r="M515" s="406"/>
      <c r="N515" s="339"/>
      <c r="O515" s="339"/>
      <c r="P515" s="339"/>
      <c r="Q515" s="406"/>
      <c r="R515" s="406"/>
      <c r="S515" s="406"/>
      <c r="T515" s="339"/>
      <c r="U515" s="339"/>
      <c r="V515" s="339"/>
      <c r="W515" s="339"/>
      <c r="X515" s="339"/>
      <c r="Y515" s="250"/>
      <c r="Z515" s="250"/>
      <c r="AA515" s="250"/>
      <c r="AB515" s="250"/>
      <c r="AC515" s="250"/>
      <c r="AD515" s="250"/>
      <c r="AE515" s="250"/>
      <c r="AF515" s="250"/>
      <c r="AG515" s="250"/>
      <c r="AH515" s="250"/>
      <c r="AI515" s="250"/>
      <c r="AJ515" s="250"/>
      <c r="AK515" s="250"/>
      <c r="AL515" s="250"/>
      <c r="AM515" s="250"/>
      <c r="AN515" s="250"/>
      <c r="AO515" s="250"/>
      <c r="AP515" s="250"/>
      <c r="AQ515" s="250"/>
      <c r="AR515" s="250"/>
      <c r="AS515" s="250"/>
      <c r="AT515" s="250"/>
      <c r="AU515" s="250"/>
      <c r="AV515" s="250"/>
      <c r="AW515" s="250"/>
      <c r="AX515" s="250"/>
      <c r="AY515" s="250"/>
      <c r="AZ515" s="250"/>
      <c r="BA515" s="250"/>
      <c r="BB515" s="250"/>
      <c r="BC515" s="250"/>
      <c r="BD515" s="250"/>
      <c r="BE515" s="250"/>
      <c r="BF515" s="250"/>
      <c r="BG515" s="250"/>
      <c r="BH515" s="250"/>
      <c r="BI515" s="250"/>
      <c r="BJ515" s="250"/>
    </row>
    <row r="516" spans="2:62" ht="15.75" customHeight="1">
      <c r="B516" s="7"/>
      <c r="C516" s="339"/>
      <c r="D516" s="339"/>
      <c r="E516" s="339"/>
      <c r="F516" s="339"/>
      <c r="G516" s="339"/>
      <c r="H516" s="339"/>
      <c r="I516" s="339"/>
      <c r="J516" s="405"/>
      <c r="K516" s="405"/>
      <c r="L516" s="405"/>
      <c r="M516" s="406"/>
      <c r="N516" s="339"/>
      <c r="O516" s="339"/>
      <c r="P516" s="339"/>
      <c r="Q516" s="339"/>
      <c r="R516" s="339"/>
      <c r="S516" s="406"/>
      <c r="T516" s="339"/>
      <c r="U516" s="339"/>
      <c r="V516" s="339"/>
      <c r="W516" s="339"/>
      <c r="X516" s="339"/>
      <c r="Y516" s="250"/>
      <c r="Z516" s="250"/>
      <c r="AA516" s="250"/>
      <c r="AB516" s="250"/>
      <c r="AC516" s="250"/>
      <c r="AD516" s="250"/>
      <c r="AE516" s="250"/>
      <c r="AF516" s="250"/>
      <c r="AG516" s="250"/>
      <c r="AH516" s="250"/>
      <c r="AI516" s="250"/>
      <c r="AJ516" s="250"/>
      <c r="AK516" s="250"/>
      <c r="AL516" s="250"/>
      <c r="AM516" s="250"/>
      <c r="AN516" s="250"/>
      <c r="AO516" s="250"/>
      <c r="AP516" s="250"/>
      <c r="AQ516" s="250"/>
      <c r="AR516" s="250"/>
      <c r="AS516" s="250"/>
      <c r="AT516" s="250"/>
      <c r="AU516" s="250"/>
      <c r="AV516" s="250"/>
      <c r="AW516" s="250"/>
      <c r="AX516" s="250"/>
      <c r="AY516" s="250"/>
      <c r="AZ516" s="250"/>
      <c r="BA516" s="250"/>
      <c r="BB516" s="250"/>
      <c r="BC516" s="250"/>
      <c r="BD516" s="250"/>
      <c r="BE516" s="250"/>
      <c r="BF516" s="250"/>
      <c r="BG516" s="250"/>
      <c r="BH516" s="250"/>
      <c r="BI516" s="250"/>
      <c r="BJ516" s="250"/>
    </row>
    <row r="517" spans="2:62" ht="15.75" customHeight="1">
      <c r="B517" s="7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406"/>
      <c r="N517" s="339"/>
      <c r="O517" s="339"/>
      <c r="P517" s="339"/>
      <c r="Q517" s="339"/>
      <c r="R517" s="339"/>
      <c r="S517" s="406"/>
      <c r="T517" s="339"/>
      <c r="U517" s="339"/>
      <c r="V517" s="339"/>
      <c r="W517" s="339"/>
      <c r="X517" s="339"/>
      <c r="Y517" s="250"/>
      <c r="Z517" s="250"/>
      <c r="AA517" s="250"/>
      <c r="AB517" s="250"/>
      <c r="AC517" s="250"/>
      <c r="AD517" s="250"/>
      <c r="AE517" s="250"/>
      <c r="AF517" s="250"/>
      <c r="AG517" s="250"/>
      <c r="AH517" s="250"/>
      <c r="AI517" s="250"/>
      <c r="AJ517" s="250"/>
      <c r="AK517" s="250"/>
      <c r="AL517" s="250"/>
      <c r="AM517" s="250"/>
      <c r="AN517" s="250"/>
      <c r="AO517" s="250"/>
      <c r="AP517" s="250"/>
      <c r="AQ517" s="250"/>
      <c r="AR517" s="250"/>
      <c r="AS517" s="250"/>
      <c r="AT517" s="250"/>
      <c r="AU517" s="250"/>
      <c r="AV517" s="250"/>
      <c r="AW517" s="250"/>
      <c r="AX517" s="250"/>
      <c r="AY517" s="250"/>
      <c r="AZ517" s="250"/>
      <c r="BA517" s="250"/>
      <c r="BB517" s="250"/>
      <c r="BC517" s="250"/>
      <c r="BD517" s="250"/>
      <c r="BE517" s="250"/>
      <c r="BF517" s="250"/>
      <c r="BG517" s="250"/>
      <c r="BH517" s="250"/>
      <c r="BI517" s="250"/>
      <c r="BJ517" s="250"/>
    </row>
    <row r="518" spans="2:62" ht="15.75" customHeight="1">
      <c r="B518" s="7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406"/>
      <c r="N518" s="339"/>
      <c r="O518" s="339"/>
      <c r="P518" s="339"/>
      <c r="Q518" s="339"/>
      <c r="R518" s="339"/>
      <c r="S518" s="406"/>
      <c r="T518" s="339"/>
      <c r="U518" s="339"/>
      <c r="V518" s="339"/>
      <c r="W518" s="339"/>
      <c r="X518" s="339"/>
      <c r="Y518" s="250"/>
      <c r="Z518" s="250"/>
      <c r="AA518" s="250"/>
      <c r="AB518" s="250"/>
      <c r="AC518" s="250"/>
      <c r="AD518" s="250"/>
      <c r="AE518" s="250"/>
      <c r="AF518" s="250"/>
      <c r="AG518" s="250"/>
      <c r="AH518" s="250"/>
      <c r="AI518" s="250"/>
      <c r="AJ518" s="250"/>
      <c r="AK518" s="250"/>
      <c r="AL518" s="250"/>
      <c r="AM518" s="250"/>
      <c r="AN518" s="250"/>
      <c r="AO518" s="250"/>
      <c r="AP518" s="250"/>
      <c r="AQ518" s="250"/>
      <c r="AR518" s="250"/>
      <c r="AS518" s="250"/>
      <c r="AT518" s="250"/>
      <c r="AU518" s="250"/>
      <c r="AV518" s="250"/>
      <c r="AW518" s="250"/>
      <c r="AX518" s="250"/>
      <c r="AY518" s="250"/>
      <c r="AZ518" s="250"/>
      <c r="BA518" s="250"/>
      <c r="BB518" s="250"/>
      <c r="BC518" s="250"/>
      <c r="BD518" s="250"/>
      <c r="BE518" s="250"/>
      <c r="BF518" s="250"/>
      <c r="BG518" s="250"/>
      <c r="BH518" s="250"/>
      <c r="BI518" s="250"/>
      <c r="BJ518" s="250"/>
    </row>
    <row r="519" spans="2:62" ht="15.75" customHeight="1">
      <c r="B519" s="7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406"/>
      <c r="N519" s="339"/>
      <c r="O519" s="339"/>
      <c r="P519" s="339"/>
      <c r="Q519" s="339"/>
      <c r="R519" s="339"/>
      <c r="S519" s="406"/>
      <c r="T519" s="339"/>
      <c r="U519" s="339"/>
      <c r="V519" s="339"/>
      <c r="W519" s="339"/>
      <c r="X519" s="339"/>
      <c r="Y519" s="250"/>
      <c r="Z519" s="250"/>
      <c r="AA519" s="250"/>
      <c r="AB519" s="250"/>
      <c r="AC519" s="250"/>
      <c r="AD519" s="250"/>
      <c r="AE519" s="250"/>
      <c r="AF519" s="250"/>
      <c r="AG519" s="250"/>
      <c r="AH519" s="250"/>
      <c r="AI519" s="250"/>
      <c r="AJ519" s="250"/>
      <c r="AK519" s="250"/>
      <c r="AL519" s="250"/>
      <c r="AM519" s="250"/>
      <c r="AN519" s="250"/>
      <c r="AO519" s="250"/>
      <c r="AP519" s="250"/>
      <c r="AQ519" s="250"/>
      <c r="AR519" s="250"/>
      <c r="AS519" s="250"/>
      <c r="AT519" s="250"/>
      <c r="AU519" s="250"/>
      <c r="AV519" s="250"/>
      <c r="AW519" s="250"/>
      <c r="AX519" s="250"/>
      <c r="AY519" s="250"/>
      <c r="AZ519" s="250"/>
      <c r="BA519" s="250"/>
      <c r="BB519" s="250"/>
      <c r="BC519" s="250"/>
      <c r="BD519" s="250"/>
      <c r="BE519" s="250"/>
      <c r="BF519" s="250"/>
      <c r="BG519" s="250"/>
      <c r="BH519" s="250"/>
      <c r="BI519" s="250"/>
      <c r="BJ519" s="250"/>
    </row>
    <row r="520" spans="2:62" ht="15.75" customHeight="1">
      <c r="B520" s="7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406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250"/>
      <c r="Z520" s="250"/>
      <c r="AA520" s="250"/>
      <c r="AB520" s="250"/>
      <c r="AC520" s="250"/>
      <c r="AD520" s="250"/>
      <c r="AE520" s="250"/>
      <c r="AF520" s="250"/>
      <c r="AG520" s="250"/>
      <c r="AH520" s="250"/>
      <c r="AI520" s="250"/>
      <c r="AJ520" s="250"/>
      <c r="AK520" s="250"/>
      <c r="AL520" s="250"/>
      <c r="AM520" s="250"/>
      <c r="AN520" s="250"/>
      <c r="AO520" s="250"/>
      <c r="AP520" s="250"/>
      <c r="AQ520" s="250"/>
      <c r="AR520" s="250"/>
      <c r="AS520" s="250"/>
      <c r="AT520" s="250"/>
      <c r="AU520" s="250"/>
      <c r="AV520" s="250"/>
      <c r="AW520" s="250"/>
      <c r="AX520" s="250"/>
      <c r="AY520" s="250"/>
      <c r="AZ520" s="250"/>
      <c r="BA520" s="250"/>
      <c r="BB520" s="250"/>
      <c r="BC520" s="250"/>
      <c r="BD520" s="250"/>
      <c r="BE520" s="250"/>
      <c r="BF520" s="250"/>
      <c r="BG520" s="250"/>
      <c r="BH520" s="250"/>
      <c r="BI520" s="250"/>
      <c r="BJ520" s="250"/>
    </row>
    <row r="521" spans="2:62" ht="15.75" customHeight="1">
      <c r="B521" s="7"/>
      <c r="C521" s="339"/>
      <c r="D521" s="339"/>
      <c r="E521" s="339"/>
      <c r="F521" s="339"/>
      <c r="G521" s="339"/>
      <c r="H521" s="339"/>
      <c r="I521" s="339"/>
      <c r="J521" s="405"/>
      <c r="K521" s="405"/>
      <c r="L521" s="405"/>
      <c r="M521" s="408"/>
      <c r="N521" s="405"/>
      <c r="O521" s="405"/>
      <c r="P521" s="405"/>
      <c r="Q521" s="339"/>
      <c r="R521" s="339"/>
      <c r="S521" s="405"/>
      <c r="T521" s="339"/>
      <c r="U521" s="339"/>
      <c r="V521" s="339"/>
      <c r="W521" s="339"/>
      <c r="X521" s="339"/>
      <c r="Y521" s="250"/>
      <c r="Z521" s="250"/>
      <c r="AA521" s="250"/>
      <c r="AB521" s="250"/>
      <c r="AC521" s="250"/>
      <c r="AD521" s="250"/>
      <c r="AE521" s="250"/>
      <c r="AF521" s="250"/>
      <c r="AG521" s="250"/>
      <c r="AH521" s="250"/>
      <c r="AI521" s="250"/>
      <c r="AJ521" s="250"/>
      <c r="AK521" s="250"/>
      <c r="AL521" s="250"/>
      <c r="AM521" s="250"/>
      <c r="AN521" s="250"/>
      <c r="AO521" s="250"/>
      <c r="AP521" s="250"/>
      <c r="AQ521" s="250"/>
      <c r="AR521" s="250"/>
      <c r="AS521" s="250"/>
      <c r="AT521" s="250"/>
      <c r="AU521" s="250"/>
      <c r="AV521" s="250"/>
      <c r="AW521" s="250"/>
      <c r="AX521" s="250"/>
      <c r="AY521" s="250"/>
      <c r="AZ521" s="250"/>
      <c r="BA521" s="250"/>
      <c r="BB521" s="250"/>
      <c r="BC521" s="250"/>
      <c r="BD521" s="250"/>
      <c r="BE521" s="250"/>
      <c r="BF521" s="250"/>
      <c r="BG521" s="250"/>
      <c r="BH521" s="250"/>
      <c r="BI521" s="250"/>
      <c r="BJ521" s="250"/>
    </row>
    <row r="522" spans="2:62" ht="15.75" customHeight="1">
      <c r="B522" s="7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250"/>
      <c r="Z522" s="250"/>
      <c r="AA522" s="250"/>
      <c r="AB522" s="250"/>
      <c r="AC522" s="250"/>
      <c r="AD522" s="250"/>
      <c r="AE522" s="250"/>
      <c r="AF522" s="250"/>
      <c r="AG522" s="250"/>
      <c r="AH522" s="250"/>
      <c r="AI522" s="250"/>
      <c r="AJ522" s="250"/>
      <c r="AK522" s="250"/>
      <c r="AL522" s="250"/>
      <c r="AM522" s="250"/>
      <c r="AN522" s="250"/>
      <c r="AO522" s="250"/>
      <c r="AP522" s="250"/>
      <c r="AQ522" s="250"/>
      <c r="AR522" s="250"/>
      <c r="AS522" s="250"/>
      <c r="AT522" s="250"/>
      <c r="AU522" s="250"/>
      <c r="AV522" s="250"/>
      <c r="AW522" s="250"/>
      <c r="AX522" s="250"/>
      <c r="AY522" s="250"/>
      <c r="AZ522" s="250"/>
      <c r="BA522" s="250"/>
      <c r="BB522" s="250"/>
      <c r="BC522" s="250"/>
      <c r="BD522" s="250"/>
      <c r="BE522" s="250"/>
      <c r="BF522" s="250"/>
      <c r="BG522" s="250"/>
      <c r="BH522" s="250"/>
      <c r="BI522" s="250"/>
      <c r="BJ522" s="250"/>
    </row>
    <row r="523" spans="2:62" ht="15.75" customHeight="1">
      <c r="B523" s="7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250"/>
      <c r="Z523" s="250"/>
      <c r="AA523" s="250"/>
      <c r="AB523" s="250"/>
      <c r="AC523" s="250"/>
      <c r="AD523" s="250"/>
      <c r="AE523" s="250"/>
      <c r="AF523" s="250"/>
      <c r="AG523" s="250"/>
      <c r="AH523" s="250"/>
      <c r="AI523" s="250"/>
      <c r="AJ523" s="250"/>
      <c r="AK523" s="250"/>
      <c r="AL523" s="250"/>
      <c r="AM523" s="250"/>
      <c r="AN523" s="250"/>
      <c r="AO523" s="250"/>
      <c r="AP523" s="250"/>
      <c r="AQ523" s="250"/>
      <c r="AR523" s="250"/>
      <c r="AS523" s="250"/>
      <c r="AT523" s="250"/>
      <c r="AU523" s="250"/>
      <c r="AV523" s="250"/>
      <c r="AW523" s="250"/>
      <c r="AX523" s="250"/>
      <c r="AY523" s="250"/>
      <c r="AZ523" s="250"/>
      <c r="BA523" s="250"/>
      <c r="BB523" s="250"/>
      <c r="BC523" s="250"/>
      <c r="BD523" s="250"/>
      <c r="BE523" s="250"/>
      <c r="BF523" s="250"/>
      <c r="BG523" s="250"/>
      <c r="BH523" s="250"/>
      <c r="BI523" s="250"/>
      <c r="BJ523" s="250"/>
    </row>
    <row r="524" spans="2:62" ht="15.75" customHeight="1">
      <c r="B524" s="7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250"/>
      <c r="Z524" s="250"/>
      <c r="AA524" s="250"/>
      <c r="AB524" s="250"/>
      <c r="AC524" s="250"/>
      <c r="AD524" s="250"/>
      <c r="AE524" s="250"/>
      <c r="AF524" s="250"/>
      <c r="AG524" s="250"/>
      <c r="AH524" s="250"/>
      <c r="AI524" s="250"/>
      <c r="AJ524" s="250"/>
      <c r="AK524" s="250"/>
      <c r="AL524" s="250"/>
      <c r="AM524" s="250"/>
      <c r="AN524" s="250"/>
      <c r="AO524" s="250"/>
      <c r="AP524" s="250"/>
      <c r="AQ524" s="250"/>
      <c r="AR524" s="250"/>
      <c r="AS524" s="250"/>
      <c r="AT524" s="250"/>
      <c r="AU524" s="250"/>
      <c r="AV524" s="250"/>
      <c r="AW524" s="250"/>
      <c r="AX524" s="250"/>
      <c r="AY524" s="250"/>
      <c r="AZ524" s="250"/>
      <c r="BA524" s="250"/>
      <c r="BB524" s="250"/>
      <c r="BC524" s="250"/>
      <c r="BD524" s="250"/>
      <c r="BE524" s="250"/>
      <c r="BF524" s="250"/>
      <c r="BG524" s="250"/>
      <c r="BH524" s="250"/>
      <c r="BI524" s="250"/>
      <c r="BJ524" s="250"/>
    </row>
    <row r="525" spans="2:62" ht="15.75" customHeight="1">
      <c r="B525" s="7"/>
      <c r="C525" s="409"/>
      <c r="D525" s="410"/>
      <c r="E525" s="410"/>
      <c r="F525" s="410"/>
      <c r="G525" s="410"/>
      <c r="H525" s="410"/>
      <c r="I525" s="410"/>
      <c r="J525" s="410"/>
      <c r="K525" s="410"/>
      <c r="L525" s="410"/>
      <c r="M525" s="410"/>
      <c r="N525" s="410"/>
      <c r="O525" s="410"/>
      <c r="P525" s="410"/>
      <c r="Q525" s="410"/>
      <c r="R525" s="410"/>
      <c r="S525" s="410"/>
      <c r="T525" s="339"/>
      <c r="U525" s="339"/>
      <c r="V525" s="339"/>
      <c r="W525" s="339"/>
      <c r="X525" s="339"/>
      <c r="Y525" s="250"/>
      <c r="Z525" s="250"/>
      <c r="AA525" s="250"/>
      <c r="AB525" s="250"/>
      <c r="AC525" s="250"/>
      <c r="AD525" s="250"/>
      <c r="AE525" s="250"/>
      <c r="AF525" s="250"/>
      <c r="AG525" s="250"/>
      <c r="AH525" s="250"/>
      <c r="AI525" s="250"/>
      <c r="AJ525" s="250"/>
      <c r="AK525" s="250"/>
      <c r="AL525" s="250"/>
      <c r="AM525" s="250"/>
      <c r="AN525" s="250"/>
      <c r="AO525" s="250"/>
      <c r="AP525" s="250"/>
      <c r="AQ525" s="250"/>
      <c r="AR525" s="250"/>
      <c r="AS525" s="250"/>
      <c r="AT525" s="250"/>
      <c r="AU525" s="250"/>
      <c r="AV525" s="250"/>
      <c r="AW525" s="250"/>
      <c r="AX525" s="250"/>
      <c r="AY525" s="250"/>
      <c r="AZ525" s="250"/>
      <c r="BA525" s="250"/>
      <c r="BB525" s="250"/>
      <c r="BC525" s="250"/>
      <c r="BD525" s="250"/>
      <c r="BE525" s="250"/>
      <c r="BF525" s="250"/>
      <c r="BG525" s="250"/>
      <c r="BH525" s="250"/>
      <c r="BI525" s="250"/>
      <c r="BJ525" s="250"/>
    </row>
    <row r="526" spans="2:62" ht="15.75" customHeight="1">
      <c r="B526" s="7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411"/>
      <c r="R526" s="339"/>
      <c r="S526" s="339"/>
      <c r="T526" s="339"/>
      <c r="U526" s="339"/>
      <c r="V526" s="339"/>
      <c r="W526" s="339"/>
      <c r="X526" s="339"/>
      <c r="Y526" s="250"/>
      <c r="Z526" s="250"/>
      <c r="AA526" s="250"/>
      <c r="AB526" s="250"/>
      <c r="AC526" s="250"/>
      <c r="AD526" s="250"/>
      <c r="AE526" s="250"/>
      <c r="AF526" s="250"/>
      <c r="AG526" s="250"/>
      <c r="AH526" s="250"/>
      <c r="AI526" s="250"/>
      <c r="AJ526" s="250"/>
      <c r="AK526" s="250"/>
      <c r="AL526" s="250"/>
      <c r="AM526" s="250"/>
      <c r="AN526" s="250"/>
      <c r="AO526" s="250"/>
      <c r="AP526" s="250"/>
      <c r="AQ526" s="250"/>
      <c r="AR526" s="250"/>
      <c r="AS526" s="250"/>
      <c r="AT526" s="250"/>
      <c r="AU526" s="250"/>
      <c r="AV526" s="250"/>
      <c r="AW526" s="250"/>
      <c r="AX526" s="250"/>
      <c r="AY526" s="250"/>
      <c r="AZ526" s="250"/>
      <c r="BA526" s="250"/>
      <c r="BB526" s="250"/>
      <c r="BC526" s="250"/>
      <c r="BD526" s="250"/>
      <c r="BE526" s="250"/>
      <c r="BF526" s="250"/>
      <c r="BG526" s="250"/>
      <c r="BH526" s="250"/>
      <c r="BI526" s="250"/>
      <c r="BJ526" s="250"/>
    </row>
    <row r="527" spans="2:62" ht="15.75" customHeight="1">
      <c r="B527" s="7"/>
      <c r="C527" s="339"/>
      <c r="D527" s="339"/>
      <c r="E527" s="339"/>
      <c r="F527" s="339"/>
      <c r="G527" s="339"/>
      <c r="H527" s="339"/>
      <c r="I527" s="339"/>
      <c r="J527" s="339"/>
      <c r="K527" s="339"/>
      <c r="L527" s="412"/>
      <c r="M527" s="413"/>
      <c r="N527" s="413"/>
      <c r="O527" s="339"/>
      <c r="P527" s="412"/>
      <c r="Q527" s="413"/>
      <c r="R527" s="413"/>
      <c r="S527" s="412"/>
      <c r="T527" s="339"/>
      <c r="U527" s="339"/>
      <c r="V527" s="339"/>
      <c r="W527" s="339"/>
      <c r="X527" s="339"/>
      <c r="Y527" s="250"/>
      <c r="Z527" s="250"/>
      <c r="AA527" s="250"/>
      <c r="AB527" s="250"/>
      <c r="AC527" s="250"/>
      <c r="AD527" s="250"/>
      <c r="AE527" s="250"/>
      <c r="AF527" s="250"/>
      <c r="AG527" s="250"/>
      <c r="AH527" s="250"/>
      <c r="AI527" s="250"/>
      <c r="AJ527" s="250"/>
      <c r="AK527" s="250"/>
      <c r="AL527" s="250"/>
      <c r="AM527" s="250"/>
      <c r="AN527" s="250"/>
      <c r="AO527" s="250"/>
      <c r="AP527" s="250"/>
      <c r="AQ527" s="250"/>
      <c r="AR527" s="250"/>
      <c r="AS527" s="250"/>
      <c r="AT527" s="250"/>
      <c r="AU527" s="250"/>
      <c r="AV527" s="250"/>
      <c r="AW527" s="250"/>
      <c r="AX527" s="250"/>
      <c r="AY527" s="250"/>
      <c r="AZ527" s="250"/>
      <c r="BA527" s="250"/>
      <c r="BB527" s="250"/>
      <c r="BC527" s="250"/>
      <c r="BD527" s="250"/>
      <c r="BE527" s="250"/>
      <c r="BF527" s="250"/>
      <c r="BG527" s="250"/>
      <c r="BH527" s="250"/>
      <c r="BI527" s="250"/>
      <c r="BJ527" s="250"/>
    </row>
    <row r="528" spans="2:62" ht="15.75" customHeight="1">
      <c r="B528" s="7"/>
      <c r="C528" s="339"/>
      <c r="D528" s="339"/>
      <c r="E528" s="412"/>
      <c r="F528" s="414"/>
      <c r="G528" s="339"/>
      <c r="H528" s="412"/>
      <c r="I528" s="414"/>
      <c r="J528" s="413"/>
      <c r="K528" s="405"/>
      <c r="L528" s="412"/>
      <c r="M528" s="413"/>
      <c r="N528" s="413"/>
      <c r="O528" s="405"/>
      <c r="P528" s="412"/>
      <c r="Q528" s="413"/>
      <c r="R528" s="413"/>
      <c r="S528" s="412"/>
      <c r="T528" s="339"/>
      <c r="U528" s="339"/>
      <c r="V528" s="339"/>
      <c r="W528" s="339"/>
      <c r="X528" s="339"/>
      <c r="Y528" s="250"/>
      <c r="Z528" s="250"/>
      <c r="AA528" s="250"/>
      <c r="AB528" s="250"/>
      <c r="AC528" s="250"/>
      <c r="AD528" s="250"/>
      <c r="AE528" s="250"/>
      <c r="AF528" s="250"/>
      <c r="AG528" s="250"/>
      <c r="AH528" s="250"/>
      <c r="AI528" s="250"/>
      <c r="AJ528" s="250"/>
      <c r="AK528" s="250"/>
      <c r="AL528" s="250"/>
      <c r="AM528" s="250"/>
      <c r="AN528" s="250"/>
      <c r="AO528" s="250"/>
      <c r="AP528" s="250"/>
      <c r="AQ528" s="250"/>
      <c r="AR528" s="250"/>
      <c r="AS528" s="250"/>
      <c r="AT528" s="250"/>
      <c r="AU528" s="250"/>
      <c r="AV528" s="250"/>
      <c r="AW528" s="250"/>
      <c r="AX528" s="250"/>
      <c r="AY528" s="250"/>
      <c r="AZ528" s="250"/>
      <c r="BA528" s="250"/>
      <c r="BB528" s="250"/>
      <c r="BC528" s="250"/>
      <c r="BD528" s="250"/>
      <c r="BE528" s="250"/>
      <c r="BF528" s="250"/>
      <c r="BG528" s="250"/>
      <c r="BH528" s="250"/>
      <c r="BI528" s="250"/>
      <c r="BJ528" s="250"/>
    </row>
    <row r="529" spans="2:62" ht="15.75" customHeight="1">
      <c r="B529" s="7"/>
      <c r="C529" s="339"/>
      <c r="D529" s="415"/>
      <c r="E529" s="414"/>
      <c r="F529" s="414"/>
      <c r="G529" s="415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339"/>
      <c r="U529" s="339"/>
      <c r="V529" s="339"/>
      <c r="W529" s="339"/>
      <c r="X529" s="339"/>
      <c r="Y529" s="250"/>
      <c r="Z529" s="250"/>
      <c r="AA529" s="250"/>
      <c r="AB529" s="250"/>
      <c r="AC529" s="250"/>
      <c r="AD529" s="250"/>
      <c r="AE529" s="250"/>
      <c r="AF529" s="250"/>
      <c r="AG529" s="250"/>
      <c r="AH529" s="250"/>
      <c r="AI529" s="250"/>
      <c r="AJ529" s="250"/>
      <c r="AK529" s="250"/>
      <c r="AL529" s="250"/>
      <c r="AM529" s="250"/>
      <c r="AN529" s="250"/>
      <c r="AO529" s="250"/>
      <c r="AP529" s="250"/>
      <c r="AQ529" s="250"/>
      <c r="AR529" s="250"/>
      <c r="AS529" s="250"/>
      <c r="AT529" s="250"/>
      <c r="AU529" s="250"/>
      <c r="AV529" s="250"/>
      <c r="AW529" s="250"/>
      <c r="AX529" s="250"/>
      <c r="AY529" s="250"/>
      <c r="AZ529" s="250"/>
      <c r="BA529" s="250"/>
      <c r="BB529" s="250"/>
      <c r="BC529" s="250"/>
      <c r="BD529" s="250"/>
      <c r="BE529" s="250"/>
      <c r="BF529" s="250"/>
      <c r="BG529" s="250"/>
      <c r="BH529" s="250"/>
      <c r="BI529" s="250"/>
      <c r="BJ529" s="250"/>
    </row>
    <row r="530" spans="2:62" ht="15.75" customHeight="1">
      <c r="B530" s="7"/>
      <c r="C530" s="405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250"/>
      <c r="Z530" s="250"/>
      <c r="AA530" s="250"/>
      <c r="AB530" s="250"/>
      <c r="AC530" s="250"/>
      <c r="AD530" s="250"/>
      <c r="AE530" s="250"/>
      <c r="AF530" s="250"/>
      <c r="AG530" s="250"/>
      <c r="AH530" s="250"/>
      <c r="AI530" s="250"/>
      <c r="AJ530" s="250"/>
      <c r="AK530" s="250"/>
      <c r="AL530" s="250"/>
      <c r="AM530" s="250"/>
      <c r="AN530" s="250"/>
      <c r="AO530" s="250"/>
      <c r="AP530" s="250"/>
      <c r="AQ530" s="250"/>
      <c r="AR530" s="250"/>
      <c r="AS530" s="250"/>
      <c r="AT530" s="250"/>
      <c r="AU530" s="250"/>
      <c r="AV530" s="250"/>
      <c r="AW530" s="250"/>
      <c r="AX530" s="250"/>
      <c r="AY530" s="250"/>
      <c r="AZ530" s="250"/>
      <c r="BA530" s="250"/>
      <c r="BB530" s="250"/>
      <c r="BC530" s="250"/>
      <c r="BD530" s="250"/>
      <c r="BE530" s="250"/>
      <c r="BF530" s="250"/>
      <c r="BG530" s="250"/>
      <c r="BH530" s="250"/>
      <c r="BI530" s="250"/>
      <c r="BJ530" s="250"/>
    </row>
    <row r="531" spans="2:62" ht="15.75" customHeight="1">
      <c r="B531" s="7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250"/>
      <c r="Z531" s="250"/>
      <c r="AA531" s="250"/>
      <c r="AB531" s="250"/>
      <c r="AC531" s="250"/>
      <c r="AD531" s="250"/>
      <c r="AE531" s="250"/>
      <c r="AF531" s="250"/>
      <c r="AG531" s="250"/>
      <c r="AH531" s="250"/>
      <c r="AI531" s="250"/>
      <c r="AJ531" s="250"/>
      <c r="AK531" s="250"/>
      <c r="AL531" s="250"/>
      <c r="AM531" s="250"/>
      <c r="AN531" s="250"/>
      <c r="AO531" s="250"/>
      <c r="AP531" s="250"/>
      <c r="AQ531" s="250"/>
      <c r="AR531" s="250"/>
      <c r="AS531" s="250"/>
      <c r="AT531" s="250"/>
      <c r="AU531" s="250"/>
      <c r="AV531" s="250"/>
      <c r="AW531" s="250"/>
      <c r="AX531" s="250"/>
      <c r="AY531" s="250"/>
      <c r="AZ531" s="250"/>
      <c r="BA531" s="250"/>
      <c r="BB531" s="250"/>
      <c r="BC531" s="250"/>
      <c r="BD531" s="250"/>
      <c r="BE531" s="250"/>
      <c r="BF531" s="250"/>
      <c r="BG531" s="250"/>
      <c r="BH531" s="250"/>
      <c r="BI531" s="250"/>
      <c r="BJ531" s="250"/>
    </row>
    <row r="532" spans="2:62" ht="15.75" customHeight="1">
      <c r="B532" s="7"/>
      <c r="C532" s="339"/>
      <c r="D532" s="339"/>
      <c r="E532" s="406"/>
      <c r="F532" s="416"/>
      <c r="G532" s="339"/>
      <c r="H532" s="406"/>
      <c r="I532" s="416"/>
      <c r="J532" s="416"/>
      <c r="K532" s="406"/>
      <c r="L532" s="416"/>
      <c r="M532" s="406"/>
      <c r="N532" s="416"/>
      <c r="O532" s="406"/>
      <c r="P532" s="416"/>
      <c r="Q532" s="406"/>
      <c r="R532" s="406"/>
      <c r="S532" s="406"/>
      <c r="T532" s="339"/>
      <c r="U532" s="339"/>
      <c r="V532" s="339"/>
      <c r="W532" s="339"/>
      <c r="X532" s="339"/>
      <c r="Y532" s="250"/>
      <c r="Z532" s="250"/>
      <c r="AA532" s="250"/>
      <c r="AB532" s="250"/>
      <c r="AC532" s="250"/>
      <c r="AD532" s="250"/>
      <c r="AE532" s="250"/>
      <c r="AF532" s="250"/>
      <c r="AG532" s="250"/>
      <c r="AH532" s="250"/>
      <c r="AI532" s="250"/>
      <c r="AJ532" s="250"/>
      <c r="AK532" s="250"/>
      <c r="AL532" s="250"/>
      <c r="AM532" s="250"/>
      <c r="AN532" s="250"/>
      <c r="AO532" s="250"/>
      <c r="AP532" s="250"/>
      <c r="AQ532" s="250"/>
      <c r="AR532" s="250"/>
      <c r="AS532" s="250"/>
      <c r="AT532" s="250"/>
      <c r="AU532" s="250"/>
      <c r="AV532" s="250"/>
      <c r="AW532" s="250"/>
      <c r="AX532" s="250"/>
      <c r="AY532" s="250"/>
      <c r="AZ532" s="250"/>
      <c r="BA532" s="250"/>
      <c r="BB532" s="250"/>
      <c r="BC532" s="250"/>
      <c r="BD532" s="250"/>
      <c r="BE532" s="250"/>
      <c r="BF532" s="250"/>
      <c r="BG532" s="250"/>
      <c r="BH532" s="250"/>
      <c r="BI532" s="250"/>
      <c r="BJ532" s="250"/>
    </row>
    <row r="533" spans="2:62" ht="15.75" customHeight="1">
      <c r="B533" s="7"/>
      <c r="C533" s="339"/>
      <c r="D533" s="339"/>
      <c r="E533" s="406"/>
      <c r="F533" s="416"/>
      <c r="G533" s="339"/>
      <c r="H533" s="406"/>
      <c r="I533" s="416"/>
      <c r="J533" s="416"/>
      <c r="K533" s="406"/>
      <c r="L533" s="416"/>
      <c r="M533" s="406"/>
      <c r="N533" s="416"/>
      <c r="O533" s="406"/>
      <c r="P533" s="416"/>
      <c r="Q533" s="406"/>
      <c r="R533" s="406"/>
      <c r="S533" s="406"/>
      <c r="T533" s="339"/>
      <c r="U533" s="339"/>
      <c r="V533" s="339"/>
      <c r="W533" s="339"/>
      <c r="X533" s="339"/>
      <c r="Y533" s="250"/>
      <c r="Z533" s="250"/>
      <c r="AA533" s="250"/>
      <c r="AB533" s="250"/>
      <c r="AC533" s="250"/>
      <c r="AD533" s="250"/>
      <c r="AE533" s="250"/>
      <c r="AF533" s="250"/>
      <c r="AG533" s="250"/>
      <c r="AH533" s="250"/>
      <c r="AI533" s="250"/>
      <c r="AJ533" s="250"/>
      <c r="AK533" s="250"/>
      <c r="AL533" s="250"/>
      <c r="AM533" s="250"/>
      <c r="AN533" s="250"/>
      <c r="AO533" s="250"/>
      <c r="AP533" s="250"/>
      <c r="AQ533" s="250"/>
      <c r="AR533" s="250"/>
      <c r="AS533" s="250"/>
      <c r="AT533" s="250"/>
      <c r="AU533" s="250"/>
      <c r="AV533" s="250"/>
      <c r="AW533" s="250"/>
      <c r="AX533" s="250"/>
      <c r="AY533" s="250"/>
      <c r="AZ533" s="250"/>
      <c r="BA533" s="250"/>
      <c r="BB533" s="250"/>
      <c r="BC533" s="250"/>
      <c r="BD533" s="250"/>
      <c r="BE533" s="250"/>
      <c r="BF533" s="250"/>
      <c r="BG533" s="250"/>
      <c r="BH533" s="250"/>
      <c r="BI533" s="250"/>
      <c r="BJ533" s="250"/>
    </row>
    <row r="534" spans="2:62" ht="15.75" customHeight="1">
      <c r="B534" s="7"/>
      <c r="C534" s="339"/>
      <c r="D534" s="339"/>
      <c r="E534" s="406"/>
      <c r="F534" s="416"/>
      <c r="G534" s="339"/>
      <c r="H534" s="406"/>
      <c r="I534" s="416"/>
      <c r="J534" s="416"/>
      <c r="K534" s="406"/>
      <c r="L534" s="416"/>
      <c r="M534" s="406"/>
      <c r="N534" s="416"/>
      <c r="O534" s="406"/>
      <c r="P534" s="416"/>
      <c r="Q534" s="406"/>
      <c r="R534" s="406"/>
      <c r="S534" s="406"/>
      <c r="T534" s="339"/>
      <c r="U534" s="339"/>
      <c r="V534" s="339"/>
      <c r="W534" s="339"/>
      <c r="X534" s="339"/>
      <c r="Y534" s="250"/>
      <c r="Z534" s="250"/>
      <c r="AA534" s="250"/>
      <c r="AB534" s="250"/>
      <c r="AC534" s="250"/>
      <c r="AD534" s="250"/>
      <c r="AE534" s="250"/>
      <c r="AF534" s="250"/>
      <c r="AG534" s="250"/>
      <c r="AH534" s="250"/>
      <c r="AI534" s="250"/>
      <c r="AJ534" s="250"/>
      <c r="AK534" s="250"/>
      <c r="AL534" s="250"/>
      <c r="AM534" s="250"/>
      <c r="AN534" s="250"/>
      <c r="AO534" s="250"/>
      <c r="AP534" s="250"/>
      <c r="AQ534" s="250"/>
      <c r="AR534" s="250"/>
      <c r="AS534" s="250"/>
      <c r="AT534" s="250"/>
      <c r="AU534" s="250"/>
      <c r="AV534" s="250"/>
      <c r="AW534" s="250"/>
      <c r="AX534" s="250"/>
      <c r="AY534" s="250"/>
      <c r="AZ534" s="250"/>
      <c r="BA534" s="250"/>
      <c r="BB534" s="250"/>
      <c r="BC534" s="250"/>
      <c r="BD534" s="250"/>
      <c r="BE534" s="250"/>
      <c r="BF534" s="250"/>
      <c r="BG534" s="250"/>
      <c r="BH534" s="250"/>
      <c r="BI534" s="250"/>
      <c r="BJ534" s="250"/>
    </row>
    <row r="535" spans="2:62" ht="15.75" customHeight="1">
      <c r="B535" s="7"/>
      <c r="C535" s="339"/>
      <c r="D535" s="339"/>
      <c r="E535" s="406"/>
      <c r="F535" s="416"/>
      <c r="G535" s="339"/>
      <c r="H535" s="406"/>
      <c r="I535" s="416"/>
      <c r="J535" s="416"/>
      <c r="K535" s="406"/>
      <c r="L535" s="416"/>
      <c r="M535" s="406"/>
      <c r="N535" s="416"/>
      <c r="O535" s="406"/>
      <c r="P535" s="416"/>
      <c r="Q535" s="406"/>
      <c r="R535" s="406"/>
      <c r="S535" s="406"/>
      <c r="T535" s="339"/>
      <c r="U535" s="339"/>
      <c r="V535" s="339"/>
      <c r="W535" s="339"/>
      <c r="X535" s="339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  <c r="AI535" s="250"/>
      <c r="AJ535" s="250"/>
      <c r="AK535" s="250"/>
      <c r="AL535" s="250"/>
      <c r="AM535" s="250"/>
      <c r="AN535" s="250"/>
      <c r="AO535" s="250"/>
      <c r="AP535" s="250"/>
      <c r="AQ535" s="250"/>
      <c r="AR535" s="250"/>
      <c r="AS535" s="250"/>
      <c r="AT535" s="250"/>
      <c r="AU535" s="250"/>
      <c r="AV535" s="250"/>
      <c r="AW535" s="250"/>
      <c r="AX535" s="250"/>
      <c r="AY535" s="250"/>
      <c r="AZ535" s="250"/>
      <c r="BA535" s="250"/>
      <c r="BB535" s="250"/>
      <c r="BC535" s="250"/>
      <c r="BD535" s="250"/>
      <c r="BE535" s="250"/>
      <c r="BF535" s="250"/>
      <c r="BG535" s="250"/>
      <c r="BH535" s="250"/>
      <c r="BI535" s="250"/>
      <c r="BJ535" s="250"/>
    </row>
    <row r="536" spans="2:62" ht="15.75" customHeight="1">
      <c r="B536" s="7"/>
      <c r="C536" s="339"/>
      <c r="D536" s="339"/>
      <c r="E536" s="406"/>
      <c r="F536" s="416"/>
      <c r="G536" s="339"/>
      <c r="H536" s="406"/>
      <c r="I536" s="416"/>
      <c r="J536" s="416"/>
      <c r="K536" s="406"/>
      <c r="L536" s="416"/>
      <c r="M536" s="406"/>
      <c r="N536" s="416"/>
      <c r="O536" s="406"/>
      <c r="P536" s="416"/>
      <c r="Q536" s="406"/>
      <c r="R536" s="406"/>
      <c r="S536" s="339"/>
      <c r="T536" s="339"/>
      <c r="U536" s="339"/>
      <c r="V536" s="339"/>
      <c r="W536" s="339"/>
      <c r="X536" s="339"/>
      <c r="Y536" s="250"/>
      <c r="Z536" s="250"/>
      <c r="AA536" s="250"/>
      <c r="AB536" s="250"/>
      <c r="AC536" s="250"/>
      <c r="AD536" s="250"/>
      <c r="AE536" s="250"/>
      <c r="AF536" s="250"/>
      <c r="AG536" s="250"/>
      <c r="AH536" s="250"/>
      <c r="AI536" s="250"/>
      <c r="AJ536" s="250"/>
      <c r="AK536" s="250"/>
      <c r="AL536" s="250"/>
      <c r="AM536" s="250"/>
      <c r="AN536" s="250"/>
      <c r="AO536" s="250"/>
      <c r="AP536" s="250"/>
      <c r="AQ536" s="250"/>
      <c r="AR536" s="250"/>
      <c r="AS536" s="250"/>
      <c r="AT536" s="250"/>
      <c r="AU536" s="250"/>
      <c r="AV536" s="250"/>
      <c r="AW536" s="250"/>
      <c r="AX536" s="250"/>
      <c r="AY536" s="250"/>
      <c r="AZ536" s="250"/>
      <c r="BA536" s="250"/>
      <c r="BB536" s="250"/>
      <c r="BC536" s="250"/>
      <c r="BD536" s="250"/>
      <c r="BE536" s="250"/>
      <c r="BF536" s="250"/>
      <c r="BG536" s="250"/>
      <c r="BH536" s="250"/>
      <c r="BI536" s="250"/>
      <c r="BJ536" s="250"/>
    </row>
    <row r="537" spans="2:62" ht="15.75" customHeight="1">
      <c r="B537" s="7"/>
      <c r="C537" s="339"/>
      <c r="D537" s="339"/>
      <c r="E537" s="406"/>
      <c r="F537" s="416"/>
      <c r="G537" s="339"/>
      <c r="H537" s="406"/>
      <c r="I537" s="416"/>
      <c r="J537" s="416"/>
      <c r="K537" s="406"/>
      <c r="L537" s="416"/>
      <c r="M537" s="406"/>
      <c r="N537" s="416"/>
      <c r="O537" s="406"/>
      <c r="P537" s="416"/>
      <c r="Q537" s="406"/>
      <c r="R537" s="406"/>
      <c r="S537" s="406"/>
      <c r="T537" s="339"/>
      <c r="U537" s="339"/>
      <c r="V537" s="339"/>
      <c r="W537" s="339"/>
      <c r="X537" s="339"/>
      <c r="Y537" s="250"/>
      <c r="Z537" s="250"/>
      <c r="AA537" s="250"/>
      <c r="AB537" s="250"/>
      <c r="AC537" s="250"/>
      <c r="AD537" s="250"/>
      <c r="AE537" s="250"/>
      <c r="AF537" s="250"/>
      <c r="AG537" s="250"/>
      <c r="AH537" s="250"/>
      <c r="AI537" s="250"/>
      <c r="AJ537" s="250"/>
      <c r="AK537" s="250"/>
      <c r="AL537" s="250"/>
      <c r="AM537" s="250"/>
      <c r="AN537" s="250"/>
      <c r="AO537" s="250"/>
      <c r="AP537" s="250"/>
      <c r="AQ537" s="250"/>
      <c r="AR537" s="250"/>
      <c r="AS537" s="250"/>
      <c r="AT537" s="250"/>
      <c r="AU537" s="250"/>
      <c r="AV537" s="250"/>
      <c r="AW537" s="250"/>
      <c r="AX537" s="250"/>
      <c r="AY537" s="250"/>
      <c r="AZ537" s="250"/>
      <c r="BA537" s="250"/>
      <c r="BB537" s="250"/>
      <c r="BC537" s="250"/>
      <c r="BD537" s="250"/>
      <c r="BE537" s="250"/>
      <c r="BF537" s="250"/>
      <c r="BG537" s="250"/>
      <c r="BH537" s="250"/>
      <c r="BI537" s="250"/>
      <c r="BJ537" s="250"/>
    </row>
    <row r="538" spans="2:62" ht="15.75" customHeight="1">
      <c r="B538" s="7"/>
      <c r="C538" s="339"/>
      <c r="D538" s="339"/>
      <c r="E538" s="406"/>
      <c r="F538" s="417"/>
      <c r="G538" s="339"/>
      <c r="H538" s="406"/>
      <c r="I538" s="417"/>
      <c r="J538" s="416"/>
      <c r="K538" s="406"/>
      <c r="L538" s="416"/>
      <c r="M538" s="406"/>
      <c r="N538" s="416"/>
      <c r="O538" s="406"/>
      <c r="P538" s="339"/>
      <c r="Q538" s="339"/>
      <c r="R538" s="406"/>
      <c r="S538" s="406"/>
      <c r="T538" s="339"/>
      <c r="U538" s="339"/>
      <c r="V538" s="339"/>
      <c r="W538" s="339"/>
      <c r="X538" s="339"/>
      <c r="Y538" s="250"/>
      <c r="Z538" s="250"/>
      <c r="AA538" s="250"/>
      <c r="AB538" s="250"/>
      <c r="AC538" s="250"/>
      <c r="AD538" s="250"/>
      <c r="AE538" s="250"/>
      <c r="AF538" s="250"/>
      <c r="AG538" s="250"/>
      <c r="AH538" s="250"/>
      <c r="AI538" s="250"/>
      <c r="AJ538" s="250"/>
      <c r="AK538" s="250"/>
      <c r="AL538" s="250"/>
      <c r="AM538" s="250"/>
      <c r="AN538" s="250"/>
      <c r="AO538" s="250"/>
      <c r="AP538" s="250"/>
      <c r="AQ538" s="250"/>
      <c r="AR538" s="250"/>
      <c r="AS538" s="250"/>
      <c r="AT538" s="250"/>
      <c r="AU538" s="250"/>
      <c r="AV538" s="250"/>
      <c r="AW538" s="250"/>
      <c r="AX538" s="250"/>
      <c r="AY538" s="250"/>
      <c r="AZ538" s="250"/>
      <c r="BA538" s="250"/>
      <c r="BB538" s="250"/>
      <c r="BC538" s="250"/>
      <c r="BD538" s="250"/>
      <c r="BE538" s="250"/>
      <c r="BF538" s="250"/>
      <c r="BG538" s="250"/>
      <c r="BH538" s="250"/>
      <c r="BI538" s="250"/>
      <c r="BJ538" s="250"/>
    </row>
    <row r="539" spans="2:62" ht="15.75" customHeight="1">
      <c r="B539" s="7"/>
      <c r="C539" s="405"/>
      <c r="D539" s="405"/>
      <c r="E539" s="408"/>
      <c r="F539" s="418"/>
      <c r="G539" s="405"/>
      <c r="H539" s="408"/>
      <c r="I539" s="418"/>
      <c r="J539" s="418"/>
      <c r="K539" s="408"/>
      <c r="L539" s="418"/>
      <c r="M539" s="408"/>
      <c r="N539" s="418"/>
      <c r="O539" s="408"/>
      <c r="P539" s="418"/>
      <c r="Q539" s="408"/>
      <c r="R539" s="408"/>
      <c r="S539" s="405"/>
      <c r="T539" s="339"/>
      <c r="U539" s="339"/>
      <c r="V539" s="339"/>
      <c r="W539" s="339"/>
      <c r="X539" s="339"/>
      <c r="Y539" s="250"/>
      <c r="Z539" s="250"/>
      <c r="AA539" s="250"/>
      <c r="AB539" s="250"/>
      <c r="AC539" s="250"/>
      <c r="AD539" s="250"/>
      <c r="AE539" s="250"/>
      <c r="AF539" s="250"/>
      <c r="AG539" s="250"/>
      <c r="AH539" s="250"/>
      <c r="AI539" s="250"/>
      <c r="AJ539" s="250"/>
      <c r="AK539" s="250"/>
      <c r="AL539" s="250"/>
      <c r="AM539" s="250"/>
      <c r="AN539" s="250"/>
      <c r="AO539" s="250"/>
      <c r="AP539" s="250"/>
      <c r="AQ539" s="250"/>
      <c r="AR539" s="250"/>
      <c r="AS539" s="250"/>
      <c r="AT539" s="250"/>
      <c r="AU539" s="250"/>
      <c r="AV539" s="250"/>
      <c r="AW539" s="250"/>
      <c r="AX539" s="250"/>
      <c r="AY539" s="250"/>
      <c r="AZ539" s="250"/>
      <c r="BA539" s="250"/>
      <c r="BB539" s="250"/>
      <c r="BC539" s="250"/>
      <c r="BD539" s="250"/>
      <c r="BE539" s="250"/>
      <c r="BF539" s="250"/>
      <c r="BG539" s="250"/>
      <c r="BH539" s="250"/>
      <c r="BI539" s="250"/>
      <c r="BJ539" s="250"/>
    </row>
    <row r="540" spans="2:62" ht="15.75" customHeight="1">
      <c r="B540" s="7"/>
      <c r="C540" s="339"/>
      <c r="D540" s="339"/>
      <c r="E540" s="406"/>
      <c r="F540" s="339"/>
      <c r="G540" s="339"/>
      <c r="H540" s="406"/>
      <c r="I540" s="339"/>
      <c r="J540" s="416"/>
      <c r="K540" s="406"/>
      <c r="L540" s="416"/>
      <c r="M540" s="406"/>
      <c r="N540" s="416"/>
      <c r="O540" s="406"/>
      <c r="P540" s="405"/>
      <c r="Q540" s="418"/>
      <c r="R540" s="418"/>
      <c r="S540" s="339"/>
      <c r="T540" s="339"/>
      <c r="U540" s="339"/>
      <c r="V540" s="339"/>
      <c r="W540" s="339"/>
      <c r="X540" s="339"/>
      <c r="Y540" s="250"/>
      <c r="Z540" s="250"/>
      <c r="AA540" s="250"/>
      <c r="AB540" s="250"/>
      <c r="AC540" s="250"/>
      <c r="AD540" s="250"/>
      <c r="AE540" s="250"/>
      <c r="AF540" s="250"/>
      <c r="AG540" s="250"/>
      <c r="AH540" s="250"/>
      <c r="AI540" s="250"/>
      <c r="AJ540" s="250"/>
      <c r="AK540" s="250"/>
      <c r="AL540" s="250"/>
      <c r="AM540" s="250"/>
      <c r="AN540" s="250"/>
      <c r="AO540" s="250"/>
      <c r="AP540" s="250"/>
      <c r="AQ540" s="250"/>
      <c r="AR540" s="250"/>
      <c r="AS540" s="250"/>
      <c r="AT540" s="250"/>
      <c r="AU540" s="250"/>
      <c r="AV540" s="250"/>
      <c r="AW540" s="250"/>
      <c r="AX540" s="250"/>
      <c r="AY540" s="250"/>
      <c r="AZ540" s="250"/>
      <c r="BA540" s="250"/>
      <c r="BB540" s="250"/>
      <c r="BC540" s="250"/>
      <c r="BD540" s="250"/>
      <c r="BE540" s="250"/>
      <c r="BF540" s="250"/>
      <c r="BG540" s="250"/>
      <c r="BH540" s="250"/>
      <c r="BI540" s="250"/>
      <c r="BJ540" s="250"/>
    </row>
    <row r="541" spans="2:62" ht="15.75" customHeight="1">
      <c r="B541" s="7"/>
      <c r="C541" s="339"/>
      <c r="D541" s="339"/>
      <c r="E541" s="406"/>
      <c r="F541" s="339"/>
      <c r="G541" s="339"/>
      <c r="H541" s="406"/>
      <c r="I541" s="339"/>
      <c r="J541" s="416"/>
      <c r="K541" s="406"/>
      <c r="L541" s="416"/>
      <c r="M541" s="406"/>
      <c r="N541" s="416"/>
      <c r="O541" s="406"/>
      <c r="P541" s="339"/>
      <c r="Q541" s="339"/>
      <c r="R541" s="406"/>
      <c r="S541" s="339"/>
      <c r="T541" s="339"/>
      <c r="U541" s="339"/>
      <c r="V541" s="339"/>
      <c r="W541" s="339"/>
      <c r="X541" s="339"/>
      <c r="Y541" s="250"/>
      <c r="Z541" s="250"/>
      <c r="AA541" s="250"/>
      <c r="AB541" s="250"/>
      <c r="AC541" s="250"/>
      <c r="AD541" s="250"/>
      <c r="AE541" s="250"/>
      <c r="AF541" s="250"/>
      <c r="AG541" s="250"/>
      <c r="AH541" s="250"/>
      <c r="AI541" s="250"/>
      <c r="AJ541" s="250"/>
      <c r="AK541" s="250"/>
      <c r="AL541" s="250"/>
      <c r="AM541" s="250"/>
      <c r="AN541" s="250"/>
      <c r="AO541" s="250"/>
      <c r="AP541" s="250"/>
      <c r="AQ541" s="250"/>
      <c r="AR541" s="250"/>
      <c r="AS541" s="250"/>
      <c r="AT541" s="250"/>
      <c r="AU541" s="250"/>
      <c r="AV541" s="250"/>
      <c r="AW541" s="250"/>
      <c r="AX541" s="250"/>
      <c r="AY541" s="250"/>
      <c r="AZ541" s="250"/>
      <c r="BA541" s="250"/>
      <c r="BB541" s="250"/>
      <c r="BC541" s="250"/>
      <c r="BD541" s="250"/>
      <c r="BE541" s="250"/>
      <c r="BF541" s="250"/>
      <c r="BG541" s="250"/>
      <c r="BH541" s="250"/>
      <c r="BI541" s="250"/>
      <c r="BJ541" s="250"/>
    </row>
    <row r="542" spans="2:62" ht="15.75" customHeight="1">
      <c r="B542" s="7"/>
      <c r="C542" s="405"/>
      <c r="D542" s="339"/>
      <c r="E542" s="406"/>
      <c r="F542" s="339"/>
      <c r="G542" s="339"/>
      <c r="H542" s="406"/>
      <c r="I542" s="339"/>
      <c r="J542" s="416"/>
      <c r="K542" s="406"/>
      <c r="L542" s="416"/>
      <c r="M542" s="406"/>
      <c r="N542" s="416"/>
      <c r="O542" s="406"/>
      <c r="P542" s="339"/>
      <c r="Q542" s="339"/>
      <c r="R542" s="406"/>
      <c r="S542" s="339"/>
      <c r="T542" s="339"/>
      <c r="U542" s="339"/>
      <c r="V542" s="339"/>
      <c r="W542" s="339"/>
      <c r="X542" s="339"/>
      <c r="Y542" s="250"/>
      <c r="Z542" s="250"/>
      <c r="AA542" s="250"/>
      <c r="AB542" s="250"/>
      <c r="AC542" s="250"/>
      <c r="AD542" s="250"/>
      <c r="AE542" s="250"/>
      <c r="AF542" s="250"/>
      <c r="AG542" s="250"/>
      <c r="AH542" s="250"/>
      <c r="AI542" s="250"/>
      <c r="AJ542" s="250"/>
      <c r="AK542" s="250"/>
      <c r="AL542" s="250"/>
      <c r="AM542" s="250"/>
      <c r="AN542" s="250"/>
      <c r="AO542" s="250"/>
      <c r="AP542" s="250"/>
      <c r="AQ542" s="250"/>
      <c r="AR542" s="250"/>
      <c r="AS542" s="250"/>
      <c r="AT542" s="250"/>
      <c r="AU542" s="250"/>
      <c r="AV542" s="250"/>
      <c r="AW542" s="250"/>
      <c r="AX542" s="250"/>
      <c r="AY542" s="250"/>
      <c r="AZ542" s="250"/>
      <c r="BA542" s="250"/>
      <c r="BB542" s="250"/>
      <c r="BC542" s="250"/>
      <c r="BD542" s="250"/>
      <c r="BE542" s="250"/>
      <c r="BF542" s="250"/>
      <c r="BG542" s="250"/>
      <c r="BH542" s="250"/>
      <c r="BI542" s="250"/>
      <c r="BJ542" s="250"/>
    </row>
    <row r="543" spans="2:62" ht="15.75" customHeight="1">
      <c r="B543" s="7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250"/>
      <c r="Z543" s="250"/>
      <c r="AA543" s="250"/>
      <c r="AB543" s="250"/>
      <c r="AC543" s="250"/>
      <c r="AD543" s="250"/>
      <c r="AE543" s="250"/>
      <c r="AF543" s="250"/>
      <c r="AG543" s="250"/>
      <c r="AH543" s="250"/>
      <c r="AI543" s="250"/>
      <c r="AJ543" s="250"/>
      <c r="AK543" s="250"/>
      <c r="AL543" s="250"/>
      <c r="AM543" s="250"/>
      <c r="AN543" s="250"/>
      <c r="AO543" s="250"/>
      <c r="AP543" s="250"/>
      <c r="AQ543" s="250"/>
      <c r="AR543" s="250"/>
      <c r="AS543" s="250"/>
      <c r="AT543" s="250"/>
      <c r="AU543" s="250"/>
      <c r="AV543" s="250"/>
      <c r="AW543" s="250"/>
      <c r="AX543" s="250"/>
      <c r="AY543" s="250"/>
      <c r="AZ543" s="250"/>
      <c r="BA543" s="250"/>
      <c r="BB543" s="250"/>
      <c r="BC543" s="250"/>
      <c r="BD543" s="250"/>
      <c r="BE543" s="250"/>
      <c r="BF543" s="250"/>
      <c r="BG543" s="250"/>
      <c r="BH543" s="250"/>
      <c r="BI543" s="250"/>
      <c r="BJ543" s="250"/>
    </row>
    <row r="544" spans="2:62" ht="15.75" customHeight="1">
      <c r="B544" s="7"/>
      <c r="C544" s="339"/>
      <c r="D544" s="339"/>
      <c r="E544" s="406"/>
      <c r="F544" s="416"/>
      <c r="G544" s="339"/>
      <c r="H544" s="406"/>
      <c r="I544" s="416"/>
      <c r="J544" s="416"/>
      <c r="K544" s="339"/>
      <c r="L544" s="416"/>
      <c r="M544" s="339"/>
      <c r="N544" s="416"/>
      <c r="O544" s="339"/>
      <c r="P544" s="416"/>
      <c r="Q544" s="406"/>
      <c r="R544" s="406"/>
      <c r="S544" s="339"/>
      <c r="T544" s="339"/>
      <c r="U544" s="339"/>
      <c r="V544" s="339"/>
      <c r="W544" s="339"/>
      <c r="X544" s="339"/>
      <c r="Y544" s="250"/>
      <c r="Z544" s="250"/>
      <c r="AA544" s="250"/>
      <c r="AB544" s="250"/>
      <c r="AC544" s="250"/>
      <c r="AD544" s="250"/>
      <c r="AE544" s="250"/>
      <c r="AF544" s="250"/>
      <c r="AG544" s="250"/>
      <c r="AH544" s="250"/>
      <c r="AI544" s="250"/>
      <c r="AJ544" s="250"/>
      <c r="AK544" s="250"/>
      <c r="AL544" s="250"/>
      <c r="AM544" s="250"/>
      <c r="AN544" s="250"/>
      <c r="AO544" s="250"/>
      <c r="AP544" s="250"/>
      <c r="AQ544" s="250"/>
      <c r="AR544" s="250"/>
      <c r="AS544" s="250"/>
      <c r="AT544" s="250"/>
      <c r="AU544" s="250"/>
      <c r="AV544" s="250"/>
      <c r="AW544" s="250"/>
      <c r="AX544" s="250"/>
      <c r="AY544" s="250"/>
      <c r="AZ544" s="250"/>
      <c r="BA544" s="250"/>
      <c r="BB544" s="250"/>
      <c r="BC544" s="250"/>
      <c r="BD544" s="250"/>
      <c r="BE544" s="250"/>
      <c r="BF544" s="250"/>
      <c r="BG544" s="250"/>
      <c r="BH544" s="250"/>
      <c r="BI544" s="250"/>
      <c r="BJ544" s="250"/>
    </row>
    <row r="545" spans="2:62" ht="15.75" customHeight="1">
      <c r="B545" s="7"/>
      <c r="C545" s="339"/>
      <c r="D545" s="339"/>
      <c r="E545" s="406"/>
      <c r="F545" s="417"/>
      <c r="G545" s="339"/>
      <c r="H545" s="406"/>
      <c r="I545" s="417"/>
      <c r="J545" s="416"/>
      <c r="K545" s="406"/>
      <c r="L545" s="416"/>
      <c r="M545" s="406"/>
      <c r="N545" s="416"/>
      <c r="O545" s="406"/>
      <c r="P545" s="339"/>
      <c r="Q545" s="416"/>
      <c r="R545" s="416"/>
      <c r="S545" s="406"/>
      <c r="T545" s="339"/>
      <c r="U545" s="339"/>
      <c r="V545" s="339"/>
      <c r="W545" s="339"/>
      <c r="X545" s="339"/>
      <c r="Y545" s="250"/>
      <c r="Z545" s="250"/>
      <c r="AA545" s="250"/>
      <c r="AB545" s="250"/>
      <c r="AC545" s="250"/>
      <c r="AD545" s="250"/>
      <c r="AE545" s="250"/>
      <c r="AF545" s="250"/>
      <c r="AG545" s="250"/>
      <c r="AH545" s="250"/>
      <c r="AI545" s="250"/>
      <c r="AJ545" s="250"/>
      <c r="AK545" s="250"/>
      <c r="AL545" s="250"/>
      <c r="AM545" s="250"/>
      <c r="AN545" s="250"/>
      <c r="AO545" s="250"/>
      <c r="AP545" s="250"/>
      <c r="AQ545" s="250"/>
      <c r="AR545" s="250"/>
      <c r="AS545" s="250"/>
      <c r="AT545" s="250"/>
      <c r="AU545" s="250"/>
      <c r="AV545" s="250"/>
      <c r="AW545" s="250"/>
      <c r="AX545" s="250"/>
      <c r="AY545" s="250"/>
      <c r="AZ545" s="250"/>
      <c r="BA545" s="250"/>
      <c r="BB545" s="250"/>
      <c r="BC545" s="250"/>
      <c r="BD545" s="250"/>
      <c r="BE545" s="250"/>
      <c r="BF545" s="250"/>
      <c r="BG545" s="250"/>
      <c r="BH545" s="250"/>
      <c r="BI545" s="250"/>
      <c r="BJ545" s="250"/>
    </row>
    <row r="546" spans="2:62" ht="15.75" customHeight="1">
      <c r="B546" s="7"/>
      <c r="C546" s="339"/>
      <c r="D546" s="339"/>
      <c r="E546" s="406"/>
      <c r="F546" s="417"/>
      <c r="G546" s="339"/>
      <c r="H546" s="406"/>
      <c r="I546" s="417"/>
      <c r="J546" s="416"/>
      <c r="K546" s="406"/>
      <c r="L546" s="416"/>
      <c r="M546" s="406"/>
      <c r="N546" s="416"/>
      <c r="O546" s="406"/>
      <c r="P546" s="339"/>
      <c r="Q546" s="339"/>
      <c r="R546" s="406"/>
      <c r="S546" s="406"/>
      <c r="T546" s="339"/>
      <c r="U546" s="339"/>
      <c r="V546" s="339"/>
      <c r="W546" s="339"/>
      <c r="X546" s="339"/>
      <c r="Y546" s="250"/>
      <c r="Z546" s="250"/>
      <c r="AA546" s="250"/>
      <c r="AB546" s="250"/>
      <c r="AC546" s="250"/>
      <c r="AD546" s="250"/>
      <c r="AE546" s="250"/>
      <c r="AF546" s="250"/>
      <c r="AG546" s="250"/>
      <c r="AH546" s="250"/>
      <c r="AI546" s="250"/>
      <c r="AJ546" s="250"/>
      <c r="AK546" s="250"/>
      <c r="AL546" s="250"/>
      <c r="AM546" s="250"/>
      <c r="AN546" s="250"/>
      <c r="AO546" s="250"/>
      <c r="AP546" s="250"/>
      <c r="AQ546" s="250"/>
      <c r="AR546" s="250"/>
      <c r="AS546" s="250"/>
      <c r="AT546" s="250"/>
      <c r="AU546" s="250"/>
      <c r="AV546" s="250"/>
      <c r="AW546" s="250"/>
      <c r="AX546" s="250"/>
      <c r="AY546" s="250"/>
      <c r="AZ546" s="250"/>
      <c r="BA546" s="250"/>
      <c r="BB546" s="250"/>
      <c r="BC546" s="250"/>
      <c r="BD546" s="250"/>
      <c r="BE546" s="250"/>
      <c r="BF546" s="250"/>
      <c r="BG546" s="250"/>
      <c r="BH546" s="250"/>
      <c r="BI546" s="250"/>
      <c r="BJ546" s="250"/>
    </row>
    <row r="547" spans="2:62" ht="15.75" customHeight="1">
      <c r="B547" s="7"/>
      <c r="C547" s="339"/>
      <c r="D547" s="339"/>
      <c r="E547" s="406"/>
      <c r="F547" s="416"/>
      <c r="G547" s="339"/>
      <c r="H547" s="406"/>
      <c r="I547" s="416"/>
      <c r="J547" s="416"/>
      <c r="K547" s="406"/>
      <c r="L547" s="416"/>
      <c r="M547" s="406"/>
      <c r="N547" s="416"/>
      <c r="O547" s="406"/>
      <c r="P547" s="339"/>
      <c r="Q547" s="339"/>
      <c r="R547" s="406"/>
      <c r="S547" s="339"/>
      <c r="T547" s="339"/>
      <c r="U547" s="339"/>
      <c r="V547" s="339"/>
      <c r="W547" s="339"/>
      <c r="X547" s="339"/>
      <c r="Y547" s="250"/>
      <c r="Z547" s="250"/>
      <c r="AA547" s="250"/>
      <c r="AB547" s="250"/>
      <c r="AC547" s="250"/>
      <c r="AD547" s="250"/>
      <c r="AE547" s="250"/>
      <c r="AF547" s="250"/>
      <c r="AG547" s="250"/>
      <c r="AH547" s="250"/>
      <c r="AI547" s="250"/>
      <c r="AJ547" s="250"/>
      <c r="AK547" s="250"/>
      <c r="AL547" s="250"/>
      <c r="AM547" s="250"/>
      <c r="AN547" s="250"/>
      <c r="AO547" s="250"/>
      <c r="AP547" s="250"/>
      <c r="AQ547" s="250"/>
      <c r="AR547" s="250"/>
      <c r="AS547" s="250"/>
      <c r="AT547" s="250"/>
      <c r="AU547" s="250"/>
      <c r="AV547" s="250"/>
      <c r="AW547" s="250"/>
      <c r="AX547" s="250"/>
      <c r="AY547" s="250"/>
      <c r="AZ547" s="250"/>
      <c r="BA547" s="250"/>
      <c r="BB547" s="250"/>
      <c r="BC547" s="250"/>
      <c r="BD547" s="250"/>
      <c r="BE547" s="250"/>
      <c r="BF547" s="250"/>
      <c r="BG547" s="250"/>
      <c r="BH547" s="250"/>
      <c r="BI547" s="250"/>
      <c r="BJ547" s="250"/>
    </row>
    <row r="548" spans="2:62" ht="15.75" customHeight="1">
      <c r="B548" s="7"/>
      <c r="C548" s="405"/>
      <c r="D548" s="405"/>
      <c r="E548" s="408"/>
      <c r="F548" s="418"/>
      <c r="G548" s="405"/>
      <c r="H548" s="408"/>
      <c r="I548" s="418"/>
      <c r="J548" s="418"/>
      <c r="K548" s="408"/>
      <c r="L548" s="418"/>
      <c r="M548" s="408"/>
      <c r="N548" s="418"/>
      <c r="O548" s="408"/>
      <c r="P548" s="418"/>
      <c r="Q548" s="405"/>
      <c r="R548" s="408"/>
      <c r="S548" s="405"/>
      <c r="T548" s="339"/>
      <c r="U548" s="339"/>
      <c r="V548" s="339"/>
      <c r="W548" s="339"/>
      <c r="X548" s="339"/>
      <c r="Y548" s="250"/>
      <c r="Z548" s="250"/>
      <c r="AA548" s="250"/>
      <c r="AB548" s="250"/>
      <c r="AC548" s="250"/>
      <c r="AD548" s="250"/>
      <c r="AE548" s="250"/>
      <c r="AF548" s="250"/>
      <c r="AG548" s="250"/>
      <c r="AH548" s="250"/>
      <c r="AI548" s="250"/>
      <c r="AJ548" s="250"/>
      <c r="AK548" s="250"/>
      <c r="AL548" s="250"/>
      <c r="AM548" s="250"/>
      <c r="AN548" s="250"/>
      <c r="AO548" s="250"/>
      <c r="AP548" s="250"/>
      <c r="AQ548" s="250"/>
      <c r="AR548" s="250"/>
      <c r="AS548" s="250"/>
      <c r="AT548" s="250"/>
      <c r="AU548" s="250"/>
      <c r="AV548" s="250"/>
      <c r="AW548" s="250"/>
      <c r="AX548" s="250"/>
      <c r="AY548" s="250"/>
      <c r="AZ548" s="250"/>
      <c r="BA548" s="250"/>
      <c r="BB548" s="250"/>
      <c r="BC548" s="250"/>
      <c r="BD548" s="250"/>
      <c r="BE548" s="250"/>
      <c r="BF548" s="250"/>
      <c r="BG548" s="250"/>
      <c r="BH548" s="250"/>
      <c r="BI548" s="250"/>
      <c r="BJ548" s="250"/>
    </row>
    <row r="549" spans="2:62" ht="15.75" customHeight="1">
      <c r="B549" s="7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405"/>
      <c r="Q549" s="418"/>
      <c r="R549" s="418"/>
      <c r="S549" s="339"/>
      <c r="T549" s="339"/>
      <c r="U549" s="339"/>
      <c r="V549" s="339"/>
      <c r="W549" s="339"/>
      <c r="X549" s="339"/>
      <c r="Y549" s="250"/>
      <c r="Z549" s="250"/>
      <c r="AA549" s="250"/>
      <c r="AB549" s="250"/>
      <c r="AC549" s="250"/>
      <c r="AD549" s="250"/>
      <c r="AE549" s="250"/>
      <c r="AF549" s="250"/>
      <c r="AG549" s="250"/>
      <c r="AH549" s="250"/>
      <c r="AI549" s="250"/>
      <c r="AJ549" s="250"/>
      <c r="AK549" s="250"/>
      <c r="AL549" s="250"/>
      <c r="AM549" s="250"/>
      <c r="AN549" s="250"/>
      <c r="AO549" s="250"/>
      <c r="AP549" s="250"/>
      <c r="AQ549" s="250"/>
      <c r="AR549" s="250"/>
      <c r="AS549" s="250"/>
      <c r="AT549" s="250"/>
      <c r="AU549" s="250"/>
      <c r="AV549" s="250"/>
      <c r="AW549" s="250"/>
      <c r="AX549" s="250"/>
      <c r="AY549" s="250"/>
      <c r="AZ549" s="250"/>
      <c r="BA549" s="250"/>
      <c r="BB549" s="250"/>
      <c r="BC549" s="250"/>
      <c r="BD549" s="250"/>
      <c r="BE549" s="250"/>
      <c r="BF549" s="250"/>
      <c r="BG549" s="250"/>
      <c r="BH549" s="250"/>
      <c r="BI549" s="250"/>
      <c r="BJ549" s="250"/>
    </row>
    <row r="550" spans="2:62" ht="15.75" customHeight="1">
      <c r="B550" s="7"/>
      <c r="C550" s="339"/>
      <c r="D550" s="339"/>
      <c r="E550" s="406"/>
      <c r="F550" s="416"/>
      <c r="G550" s="339"/>
      <c r="H550" s="406"/>
      <c r="I550" s="416"/>
      <c r="J550" s="416"/>
      <c r="K550" s="406"/>
      <c r="L550" s="416"/>
      <c r="M550" s="406"/>
      <c r="N550" s="416"/>
      <c r="O550" s="406"/>
      <c r="P550" s="339"/>
      <c r="Q550" s="339"/>
      <c r="R550" s="406"/>
      <c r="S550" s="339"/>
      <c r="T550" s="339"/>
      <c r="U550" s="339"/>
      <c r="V550" s="339"/>
      <c r="W550" s="339"/>
      <c r="X550" s="339"/>
      <c r="Y550" s="250"/>
      <c r="Z550" s="250"/>
      <c r="AA550" s="250"/>
      <c r="AB550" s="250"/>
      <c r="AC550" s="250"/>
      <c r="AD550" s="250"/>
      <c r="AE550" s="250"/>
      <c r="AF550" s="250"/>
      <c r="AG550" s="250"/>
      <c r="AH550" s="250"/>
      <c r="AI550" s="250"/>
      <c r="AJ550" s="250"/>
      <c r="AK550" s="250"/>
      <c r="AL550" s="250"/>
      <c r="AM550" s="250"/>
      <c r="AN550" s="250"/>
      <c r="AO550" s="250"/>
      <c r="AP550" s="250"/>
      <c r="AQ550" s="250"/>
      <c r="AR550" s="250"/>
      <c r="AS550" s="250"/>
      <c r="AT550" s="250"/>
      <c r="AU550" s="250"/>
      <c r="AV550" s="250"/>
      <c r="AW550" s="250"/>
      <c r="AX550" s="250"/>
      <c r="AY550" s="250"/>
      <c r="AZ550" s="250"/>
      <c r="BA550" s="250"/>
      <c r="BB550" s="250"/>
      <c r="BC550" s="250"/>
      <c r="BD550" s="250"/>
      <c r="BE550" s="250"/>
      <c r="BF550" s="250"/>
      <c r="BG550" s="250"/>
      <c r="BH550" s="250"/>
      <c r="BI550" s="250"/>
      <c r="BJ550" s="250"/>
    </row>
    <row r="551" spans="2:62" ht="15.75" customHeight="1">
      <c r="B551" s="7"/>
      <c r="C551" s="405"/>
      <c r="D551" s="339"/>
      <c r="E551" s="406"/>
      <c r="F551" s="416"/>
      <c r="G551" s="339"/>
      <c r="H551" s="406"/>
      <c r="I551" s="416"/>
      <c r="J551" s="416"/>
      <c r="K551" s="406"/>
      <c r="L551" s="416"/>
      <c r="M551" s="406"/>
      <c r="N551" s="416"/>
      <c r="O551" s="406"/>
      <c r="P551" s="339"/>
      <c r="Q551" s="339"/>
      <c r="R551" s="406"/>
      <c r="S551" s="339"/>
      <c r="T551" s="339"/>
      <c r="U551" s="339"/>
      <c r="V551" s="339"/>
      <c r="W551" s="339"/>
      <c r="X551" s="339"/>
      <c r="Y551" s="250"/>
      <c r="Z551" s="250"/>
      <c r="AA551" s="250"/>
      <c r="AB551" s="250"/>
      <c r="AC551" s="250"/>
      <c r="AD551" s="250"/>
      <c r="AE551" s="250"/>
      <c r="AF551" s="250"/>
      <c r="AG551" s="250"/>
      <c r="AH551" s="250"/>
      <c r="AI551" s="250"/>
      <c r="AJ551" s="250"/>
      <c r="AK551" s="250"/>
      <c r="AL551" s="250"/>
      <c r="AM551" s="250"/>
      <c r="AN551" s="250"/>
      <c r="AO551" s="250"/>
      <c r="AP551" s="250"/>
      <c r="AQ551" s="250"/>
      <c r="AR551" s="250"/>
      <c r="AS551" s="250"/>
      <c r="AT551" s="250"/>
      <c r="AU551" s="250"/>
      <c r="AV551" s="250"/>
      <c r="AW551" s="250"/>
      <c r="AX551" s="250"/>
      <c r="AY551" s="250"/>
      <c r="AZ551" s="250"/>
      <c r="BA551" s="250"/>
      <c r="BB551" s="250"/>
      <c r="BC551" s="250"/>
      <c r="BD551" s="250"/>
      <c r="BE551" s="250"/>
      <c r="BF551" s="250"/>
      <c r="BG551" s="250"/>
      <c r="BH551" s="250"/>
      <c r="BI551" s="250"/>
      <c r="BJ551" s="250"/>
    </row>
    <row r="552" spans="2:62" ht="15.75" customHeight="1">
      <c r="B552" s="7"/>
      <c r="C552" s="339"/>
      <c r="D552" s="339"/>
      <c r="E552" s="406"/>
      <c r="F552" s="416"/>
      <c r="G552" s="339"/>
      <c r="H552" s="406"/>
      <c r="I552" s="416"/>
      <c r="J552" s="416"/>
      <c r="K552" s="406"/>
      <c r="L552" s="416"/>
      <c r="M552" s="406"/>
      <c r="N552" s="416"/>
      <c r="O552" s="406"/>
      <c r="P552" s="339"/>
      <c r="Q552" s="339"/>
      <c r="R552" s="406"/>
      <c r="S552" s="339"/>
      <c r="T552" s="339"/>
      <c r="U552" s="339"/>
      <c r="V552" s="339"/>
      <c r="W552" s="339"/>
      <c r="X552" s="339"/>
      <c r="Y552" s="250"/>
      <c r="Z552" s="250"/>
      <c r="AA552" s="250"/>
      <c r="AB552" s="250"/>
      <c r="AC552" s="250"/>
      <c r="AD552" s="250"/>
      <c r="AE552" s="250"/>
      <c r="AF552" s="250"/>
      <c r="AG552" s="250"/>
      <c r="AH552" s="250"/>
      <c r="AI552" s="250"/>
      <c r="AJ552" s="250"/>
      <c r="AK552" s="250"/>
      <c r="AL552" s="250"/>
      <c r="AM552" s="250"/>
      <c r="AN552" s="250"/>
      <c r="AO552" s="250"/>
      <c r="AP552" s="250"/>
      <c r="AQ552" s="250"/>
      <c r="AR552" s="250"/>
      <c r="AS552" s="250"/>
      <c r="AT552" s="250"/>
      <c r="AU552" s="250"/>
      <c r="AV552" s="250"/>
      <c r="AW552" s="250"/>
      <c r="AX552" s="250"/>
      <c r="AY552" s="250"/>
      <c r="AZ552" s="250"/>
      <c r="BA552" s="250"/>
      <c r="BB552" s="250"/>
      <c r="BC552" s="250"/>
      <c r="BD552" s="250"/>
      <c r="BE552" s="250"/>
      <c r="BF552" s="250"/>
      <c r="BG552" s="250"/>
      <c r="BH552" s="250"/>
      <c r="BI552" s="250"/>
      <c r="BJ552" s="250"/>
    </row>
    <row r="553" spans="2:62" ht="15.75" customHeight="1">
      <c r="B553" s="7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416"/>
      <c r="Q553" s="406"/>
      <c r="R553" s="339"/>
      <c r="S553" s="406"/>
      <c r="T553" s="339"/>
      <c r="U553" s="339"/>
      <c r="V553" s="339"/>
      <c r="W553" s="339"/>
      <c r="X553" s="339"/>
      <c r="Y553" s="250"/>
      <c r="Z553" s="250"/>
      <c r="AA553" s="250"/>
      <c r="AB553" s="250"/>
      <c r="AC553" s="250"/>
      <c r="AD553" s="250"/>
      <c r="AE553" s="250"/>
      <c r="AF553" s="250"/>
      <c r="AG553" s="250"/>
      <c r="AH553" s="250"/>
      <c r="AI553" s="250"/>
      <c r="AJ553" s="250"/>
      <c r="AK553" s="250"/>
      <c r="AL553" s="250"/>
      <c r="AM553" s="250"/>
      <c r="AN553" s="250"/>
      <c r="AO553" s="250"/>
      <c r="AP553" s="250"/>
      <c r="AQ553" s="250"/>
      <c r="AR553" s="250"/>
      <c r="AS553" s="250"/>
      <c r="AT553" s="250"/>
      <c r="AU553" s="250"/>
      <c r="AV553" s="250"/>
      <c r="AW553" s="250"/>
      <c r="AX553" s="250"/>
      <c r="AY553" s="250"/>
      <c r="AZ553" s="250"/>
      <c r="BA553" s="250"/>
      <c r="BB553" s="250"/>
      <c r="BC553" s="250"/>
      <c r="BD553" s="250"/>
      <c r="BE553" s="250"/>
      <c r="BF553" s="250"/>
      <c r="BG553" s="250"/>
      <c r="BH553" s="250"/>
      <c r="BI553" s="250"/>
      <c r="BJ553" s="250"/>
    </row>
    <row r="554" spans="2:62" ht="15.75" customHeight="1">
      <c r="B554" s="7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416"/>
      <c r="Q554" s="406"/>
      <c r="R554" s="339"/>
      <c r="S554" s="406"/>
      <c r="T554" s="339"/>
      <c r="U554" s="339"/>
      <c r="V554" s="339"/>
      <c r="W554" s="339"/>
      <c r="X554" s="339"/>
      <c r="Y554" s="250"/>
      <c r="Z554" s="250"/>
      <c r="AA554" s="250"/>
      <c r="AB554" s="250"/>
      <c r="AC554" s="250"/>
      <c r="AD554" s="250"/>
      <c r="AE554" s="250"/>
      <c r="AF554" s="250"/>
      <c r="AG554" s="250"/>
      <c r="AH554" s="250"/>
      <c r="AI554" s="250"/>
      <c r="AJ554" s="250"/>
      <c r="AK554" s="250"/>
      <c r="AL554" s="250"/>
      <c r="AM554" s="250"/>
      <c r="AN554" s="250"/>
      <c r="AO554" s="250"/>
      <c r="AP554" s="250"/>
      <c r="AQ554" s="250"/>
      <c r="AR554" s="250"/>
      <c r="AS554" s="250"/>
      <c r="AT554" s="250"/>
      <c r="AU554" s="250"/>
      <c r="AV554" s="250"/>
      <c r="AW554" s="250"/>
      <c r="AX554" s="250"/>
      <c r="AY554" s="250"/>
      <c r="AZ554" s="250"/>
      <c r="BA554" s="250"/>
      <c r="BB554" s="250"/>
      <c r="BC554" s="250"/>
      <c r="BD554" s="250"/>
      <c r="BE554" s="250"/>
      <c r="BF554" s="250"/>
      <c r="BG554" s="250"/>
      <c r="BH554" s="250"/>
      <c r="BI554" s="250"/>
      <c r="BJ554" s="250"/>
    </row>
    <row r="555" spans="2:62" ht="15.75" customHeight="1">
      <c r="B555" s="7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416"/>
      <c r="Q555" s="406"/>
      <c r="R555" s="339"/>
      <c r="S555" s="406"/>
      <c r="T555" s="339"/>
      <c r="U555" s="339"/>
      <c r="V555" s="339"/>
      <c r="W555" s="339"/>
      <c r="X555" s="339"/>
      <c r="Y555" s="250"/>
      <c r="Z555" s="250"/>
      <c r="AA555" s="250"/>
      <c r="AB555" s="250"/>
      <c r="AC555" s="250"/>
      <c r="AD555" s="250"/>
      <c r="AE555" s="250"/>
      <c r="AF555" s="250"/>
      <c r="AG555" s="250"/>
      <c r="AH555" s="250"/>
      <c r="AI555" s="250"/>
      <c r="AJ555" s="250"/>
      <c r="AK555" s="250"/>
      <c r="AL555" s="250"/>
      <c r="AM555" s="250"/>
      <c r="AN555" s="250"/>
      <c r="AO555" s="250"/>
      <c r="AP555" s="250"/>
      <c r="AQ555" s="250"/>
      <c r="AR555" s="250"/>
      <c r="AS555" s="250"/>
      <c r="AT555" s="250"/>
      <c r="AU555" s="250"/>
      <c r="AV555" s="250"/>
      <c r="AW555" s="250"/>
      <c r="AX555" s="250"/>
      <c r="AY555" s="250"/>
      <c r="AZ555" s="250"/>
      <c r="BA555" s="250"/>
      <c r="BB555" s="250"/>
      <c r="BC555" s="250"/>
      <c r="BD555" s="250"/>
      <c r="BE555" s="250"/>
      <c r="BF555" s="250"/>
      <c r="BG555" s="250"/>
      <c r="BH555" s="250"/>
      <c r="BI555" s="250"/>
      <c r="BJ555" s="250"/>
    </row>
    <row r="556" spans="2:62" ht="15.75" customHeight="1">
      <c r="B556" s="7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416"/>
      <c r="Q556" s="406"/>
      <c r="R556" s="339"/>
      <c r="S556" s="406"/>
      <c r="T556" s="339"/>
      <c r="U556" s="339"/>
      <c r="V556" s="339"/>
      <c r="W556" s="339"/>
      <c r="X556" s="339"/>
      <c r="Y556" s="250"/>
      <c r="Z556" s="250"/>
      <c r="AA556" s="250"/>
      <c r="AB556" s="250"/>
      <c r="AC556" s="250"/>
      <c r="AD556" s="250"/>
      <c r="AE556" s="250"/>
      <c r="AF556" s="250"/>
      <c r="AG556" s="250"/>
      <c r="AH556" s="250"/>
      <c r="AI556" s="250"/>
      <c r="AJ556" s="250"/>
      <c r="AK556" s="250"/>
      <c r="AL556" s="250"/>
      <c r="AM556" s="250"/>
      <c r="AN556" s="250"/>
      <c r="AO556" s="250"/>
      <c r="AP556" s="250"/>
      <c r="AQ556" s="250"/>
      <c r="AR556" s="250"/>
      <c r="AS556" s="250"/>
      <c r="AT556" s="250"/>
      <c r="AU556" s="250"/>
      <c r="AV556" s="250"/>
      <c r="AW556" s="250"/>
      <c r="AX556" s="250"/>
      <c r="AY556" s="250"/>
      <c r="AZ556" s="250"/>
      <c r="BA556" s="250"/>
      <c r="BB556" s="250"/>
      <c r="BC556" s="250"/>
      <c r="BD556" s="250"/>
      <c r="BE556" s="250"/>
      <c r="BF556" s="250"/>
      <c r="BG556" s="250"/>
      <c r="BH556" s="250"/>
      <c r="BI556" s="250"/>
      <c r="BJ556" s="250"/>
    </row>
    <row r="557" spans="2:62" ht="15.75" customHeight="1">
      <c r="B557" s="7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416"/>
      <c r="Q557" s="406"/>
      <c r="R557" s="339"/>
      <c r="S557" s="406"/>
      <c r="T557" s="339"/>
      <c r="U557" s="339"/>
      <c r="V557" s="339"/>
      <c r="W557" s="339"/>
      <c r="X557" s="339"/>
      <c r="Y557" s="250"/>
      <c r="Z557" s="250"/>
      <c r="AA557" s="250"/>
      <c r="AB557" s="250"/>
      <c r="AC557" s="250"/>
      <c r="AD557" s="250"/>
      <c r="AE557" s="250"/>
      <c r="AF557" s="250"/>
      <c r="AG557" s="250"/>
      <c r="AH557" s="250"/>
      <c r="AI557" s="250"/>
      <c r="AJ557" s="250"/>
      <c r="AK557" s="250"/>
      <c r="AL557" s="250"/>
      <c r="AM557" s="250"/>
      <c r="AN557" s="250"/>
      <c r="AO557" s="250"/>
      <c r="AP557" s="250"/>
      <c r="AQ557" s="250"/>
      <c r="AR557" s="250"/>
      <c r="AS557" s="250"/>
      <c r="AT557" s="250"/>
      <c r="AU557" s="250"/>
      <c r="AV557" s="250"/>
      <c r="AW557" s="250"/>
      <c r="AX557" s="250"/>
      <c r="AY557" s="250"/>
      <c r="AZ557" s="250"/>
      <c r="BA557" s="250"/>
      <c r="BB557" s="250"/>
      <c r="BC557" s="250"/>
      <c r="BD557" s="250"/>
      <c r="BE557" s="250"/>
      <c r="BF557" s="250"/>
      <c r="BG557" s="250"/>
      <c r="BH557" s="250"/>
      <c r="BI557" s="250"/>
      <c r="BJ557" s="250"/>
    </row>
    <row r="558" spans="2:62" ht="15.75" customHeight="1">
      <c r="B558" s="7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416"/>
      <c r="Q558" s="406"/>
      <c r="R558" s="339"/>
      <c r="S558" s="406"/>
      <c r="T558" s="339"/>
      <c r="U558" s="339"/>
      <c r="V558" s="339"/>
      <c r="W558" s="339"/>
      <c r="X558" s="339"/>
      <c r="Y558" s="250"/>
      <c r="Z558" s="250"/>
      <c r="AA558" s="250"/>
      <c r="AB558" s="250"/>
      <c r="AC558" s="250"/>
      <c r="AD558" s="250"/>
      <c r="AE558" s="250"/>
      <c r="AF558" s="250"/>
      <c r="AG558" s="250"/>
      <c r="AH558" s="250"/>
      <c r="AI558" s="250"/>
      <c r="AJ558" s="250"/>
      <c r="AK558" s="250"/>
      <c r="AL558" s="250"/>
      <c r="AM558" s="250"/>
      <c r="AN558" s="250"/>
      <c r="AO558" s="250"/>
      <c r="AP558" s="250"/>
      <c r="AQ558" s="250"/>
      <c r="AR558" s="250"/>
      <c r="AS558" s="250"/>
      <c r="AT558" s="250"/>
      <c r="AU558" s="250"/>
      <c r="AV558" s="250"/>
      <c r="AW558" s="250"/>
      <c r="AX558" s="250"/>
      <c r="AY558" s="250"/>
      <c r="AZ558" s="250"/>
      <c r="BA558" s="250"/>
      <c r="BB558" s="250"/>
      <c r="BC558" s="250"/>
      <c r="BD558" s="250"/>
      <c r="BE558" s="250"/>
      <c r="BF558" s="250"/>
      <c r="BG558" s="250"/>
      <c r="BH558" s="250"/>
      <c r="BI558" s="250"/>
      <c r="BJ558" s="250"/>
    </row>
    <row r="559" spans="2:62" ht="15.75" customHeight="1">
      <c r="B559" s="7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416"/>
      <c r="Q559" s="406"/>
      <c r="R559" s="339"/>
      <c r="S559" s="406"/>
      <c r="T559" s="339"/>
      <c r="U559" s="339"/>
      <c r="V559" s="339"/>
      <c r="W559" s="339"/>
      <c r="X559" s="339"/>
      <c r="Y559" s="250"/>
      <c r="Z559" s="250"/>
      <c r="AA559" s="250"/>
      <c r="AB559" s="250"/>
      <c r="AC559" s="250"/>
      <c r="AD559" s="250"/>
      <c r="AE559" s="250"/>
      <c r="AF559" s="250"/>
      <c r="AG559" s="250"/>
      <c r="AH559" s="250"/>
      <c r="AI559" s="250"/>
      <c r="AJ559" s="250"/>
      <c r="AK559" s="250"/>
      <c r="AL559" s="250"/>
      <c r="AM559" s="250"/>
      <c r="AN559" s="250"/>
      <c r="AO559" s="250"/>
      <c r="AP559" s="250"/>
      <c r="AQ559" s="250"/>
      <c r="AR559" s="250"/>
      <c r="AS559" s="250"/>
      <c r="AT559" s="250"/>
      <c r="AU559" s="250"/>
      <c r="AV559" s="250"/>
      <c r="AW559" s="250"/>
      <c r="AX559" s="250"/>
      <c r="AY559" s="250"/>
      <c r="AZ559" s="250"/>
      <c r="BA559" s="250"/>
      <c r="BB559" s="250"/>
      <c r="BC559" s="250"/>
      <c r="BD559" s="250"/>
      <c r="BE559" s="250"/>
      <c r="BF559" s="250"/>
      <c r="BG559" s="250"/>
      <c r="BH559" s="250"/>
      <c r="BI559" s="250"/>
      <c r="BJ559" s="250"/>
    </row>
    <row r="560" spans="2:62" ht="15.75" customHeight="1">
      <c r="B560" s="7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416"/>
      <c r="Q560" s="406"/>
      <c r="R560" s="339"/>
      <c r="S560" s="406"/>
      <c r="T560" s="339"/>
      <c r="U560" s="339"/>
      <c r="V560" s="339"/>
      <c r="W560" s="339"/>
      <c r="X560" s="339"/>
      <c r="Y560" s="250"/>
      <c r="Z560" s="250"/>
      <c r="AA560" s="250"/>
      <c r="AB560" s="250"/>
      <c r="AC560" s="250"/>
      <c r="AD560" s="250"/>
      <c r="AE560" s="250"/>
      <c r="AF560" s="250"/>
      <c r="AG560" s="250"/>
      <c r="AH560" s="250"/>
      <c r="AI560" s="250"/>
      <c r="AJ560" s="250"/>
      <c r="AK560" s="250"/>
      <c r="AL560" s="250"/>
      <c r="AM560" s="250"/>
      <c r="AN560" s="250"/>
      <c r="AO560" s="250"/>
      <c r="AP560" s="250"/>
      <c r="AQ560" s="250"/>
      <c r="AR560" s="250"/>
      <c r="AS560" s="250"/>
      <c r="AT560" s="250"/>
      <c r="AU560" s="250"/>
      <c r="AV560" s="250"/>
      <c r="AW560" s="250"/>
      <c r="AX560" s="250"/>
      <c r="AY560" s="250"/>
      <c r="AZ560" s="250"/>
      <c r="BA560" s="250"/>
      <c r="BB560" s="250"/>
      <c r="BC560" s="250"/>
      <c r="BD560" s="250"/>
      <c r="BE560" s="250"/>
      <c r="BF560" s="250"/>
      <c r="BG560" s="250"/>
      <c r="BH560" s="250"/>
      <c r="BI560" s="250"/>
      <c r="BJ560" s="250"/>
    </row>
    <row r="561" spans="2:62" ht="15.75" customHeight="1">
      <c r="B561" s="7"/>
      <c r="C561" s="405"/>
      <c r="D561" s="405"/>
      <c r="E561" s="339"/>
      <c r="F561" s="339"/>
      <c r="G561" s="405"/>
      <c r="H561" s="339"/>
      <c r="I561" s="339"/>
      <c r="J561" s="339"/>
      <c r="K561" s="339"/>
      <c r="L561" s="339"/>
      <c r="M561" s="339"/>
      <c r="N561" s="339"/>
      <c r="O561" s="339"/>
      <c r="P561" s="418"/>
      <c r="Q561" s="408"/>
      <c r="R561" s="339"/>
      <c r="S561" s="408"/>
      <c r="T561" s="339"/>
      <c r="U561" s="339"/>
      <c r="V561" s="339"/>
      <c r="W561" s="339"/>
      <c r="X561" s="339"/>
      <c r="Y561" s="250"/>
      <c r="Z561" s="250"/>
      <c r="AA561" s="250"/>
      <c r="AB561" s="250"/>
      <c r="AC561" s="250"/>
      <c r="AD561" s="250"/>
      <c r="AE561" s="250"/>
      <c r="AF561" s="250"/>
      <c r="AG561" s="250"/>
      <c r="AH561" s="250"/>
      <c r="AI561" s="250"/>
      <c r="AJ561" s="250"/>
      <c r="AK561" s="250"/>
      <c r="AL561" s="250"/>
      <c r="AM561" s="250"/>
      <c r="AN561" s="250"/>
      <c r="AO561" s="250"/>
      <c r="AP561" s="250"/>
      <c r="AQ561" s="250"/>
      <c r="AR561" s="250"/>
      <c r="AS561" s="250"/>
      <c r="AT561" s="250"/>
      <c r="AU561" s="250"/>
      <c r="AV561" s="250"/>
      <c r="AW561" s="250"/>
      <c r="AX561" s="250"/>
      <c r="AY561" s="250"/>
      <c r="AZ561" s="250"/>
      <c r="BA561" s="250"/>
      <c r="BB561" s="250"/>
      <c r="BC561" s="250"/>
      <c r="BD561" s="250"/>
      <c r="BE561" s="250"/>
      <c r="BF561" s="250"/>
      <c r="BG561" s="250"/>
      <c r="BH561" s="250"/>
      <c r="BI561" s="250"/>
      <c r="BJ561" s="250"/>
    </row>
    <row r="562" spans="2:62" ht="15.75" customHeight="1">
      <c r="B562" s="7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418"/>
      <c r="Q562" s="418"/>
      <c r="R562" s="339"/>
      <c r="S562" s="339"/>
      <c r="T562" s="339"/>
      <c r="U562" s="339"/>
      <c r="V562" s="339"/>
      <c r="W562" s="339"/>
      <c r="X562" s="339"/>
      <c r="Y562" s="250"/>
      <c r="Z562" s="250"/>
      <c r="AA562" s="250"/>
      <c r="AB562" s="250"/>
      <c r="AC562" s="250"/>
      <c r="AD562" s="250"/>
      <c r="AE562" s="250"/>
      <c r="AF562" s="250"/>
      <c r="AG562" s="250"/>
      <c r="AH562" s="250"/>
      <c r="AI562" s="250"/>
      <c r="AJ562" s="250"/>
      <c r="AK562" s="250"/>
      <c r="AL562" s="250"/>
      <c r="AM562" s="250"/>
      <c r="AN562" s="250"/>
      <c r="AO562" s="250"/>
      <c r="AP562" s="250"/>
      <c r="AQ562" s="250"/>
      <c r="AR562" s="250"/>
      <c r="AS562" s="250"/>
      <c r="AT562" s="250"/>
      <c r="AU562" s="250"/>
      <c r="AV562" s="250"/>
      <c r="AW562" s="250"/>
      <c r="AX562" s="250"/>
      <c r="AY562" s="250"/>
      <c r="AZ562" s="250"/>
      <c r="BA562" s="250"/>
      <c r="BB562" s="250"/>
      <c r="BC562" s="250"/>
      <c r="BD562" s="250"/>
      <c r="BE562" s="250"/>
      <c r="BF562" s="250"/>
      <c r="BG562" s="250"/>
      <c r="BH562" s="250"/>
      <c r="BI562" s="250"/>
      <c r="BJ562" s="250"/>
    </row>
    <row r="563" spans="2:62" ht="15.75" customHeight="1">
      <c r="B563" s="7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416"/>
      <c r="Q563" s="406"/>
      <c r="R563" s="339"/>
      <c r="S563" s="406"/>
      <c r="T563" s="339"/>
      <c r="U563" s="339"/>
      <c r="V563" s="339"/>
      <c r="W563" s="339"/>
      <c r="X563" s="339"/>
      <c r="Y563" s="250"/>
      <c r="Z563" s="250"/>
      <c r="AA563" s="250"/>
      <c r="AB563" s="250"/>
      <c r="AC563" s="250"/>
      <c r="AD563" s="250"/>
      <c r="AE563" s="250"/>
      <c r="AF563" s="250"/>
      <c r="AG563" s="250"/>
      <c r="AH563" s="250"/>
      <c r="AI563" s="250"/>
      <c r="AJ563" s="250"/>
      <c r="AK563" s="250"/>
      <c r="AL563" s="250"/>
      <c r="AM563" s="250"/>
      <c r="AN563" s="250"/>
      <c r="AO563" s="250"/>
      <c r="AP563" s="250"/>
      <c r="AQ563" s="250"/>
      <c r="AR563" s="250"/>
      <c r="AS563" s="250"/>
      <c r="AT563" s="250"/>
      <c r="AU563" s="250"/>
      <c r="AV563" s="250"/>
      <c r="AW563" s="250"/>
      <c r="AX563" s="250"/>
      <c r="AY563" s="250"/>
      <c r="AZ563" s="250"/>
      <c r="BA563" s="250"/>
      <c r="BB563" s="250"/>
      <c r="BC563" s="250"/>
      <c r="BD563" s="250"/>
      <c r="BE563" s="250"/>
      <c r="BF563" s="250"/>
      <c r="BG563" s="250"/>
      <c r="BH563" s="250"/>
      <c r="BI563" s="250"/>
      <c r="BJ563" s="250"/>
    </row>
    <row r="564" spans="2:62" ht="15.75" customHeight="1">
      <c r="B564" s="7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416"/>
      <c r="Q564" s="406"/>
      <c r="R564" s="339"/>
      <c r="S564" s="406"/>
      <c r="T564" s="339"/>
      <c r="U564" s="339"/>
      <c r="V564" s="339"/>
      <c r="W564" s="339"/>
      <c r="X564" s="339"/>
      <c r="Y564" s="250"/>
      <c r="Z564" s="250"/>
      <c r="AA564" s="250"/>
      <c r="AB564" s="250"/>
      <c r="AC564" s="250"/>
      <c r="AD564" s="250"/>
      <c r="AE564" s="250"/>
      <c r="AF564" s="250"/>
      <c r="AG564" s="250"/>
      <c r="AH564" s="250"/>
      <c r="AI564" s="250"/>
      <c r="AJ564" s="250"/>
      <c r="AK564" s="250"/>
      <c r="AL564" s="250"/>
      <c r="AM564" s="250"/>
      <c r="AN564" s="250"/>
      <c r="AO564" s="250"/>
      <c r="AP564" s="250"/>
      <c r="AQ564" s="250"/>
      <c r="AR564" s="250"/>
      <c r="AS564" s="250"/>
      <c r="AT564" s="250"/>
      <c r="AU564" s="250"/>
      <c r="AV564" s="250"/>
      <c r="AW564" s="250"/>
      <c r="AX564" s="250"/>
      <c r="AY564" s="250"/>
      <c r="AZ564" s="250"/>
      <c r="BA564" s="250"/>
      <c r="BB564" s="250"/>
      <c r="BC564" s="250"/>
      <c r="BD564" s="250"/>
      <c r="BE564" s="250"/>
      <c r="BF564" s="250"/>
      <c r="BG564" s="250"/>
      <c r="BH564" s="250"/>
      <c r="BI564" s="250"/>
      <c r="BJ564" s="250"/>
    </row>
    <row r="565" spans="2:62" ht="15.75" customHeight="1">
      <c r="B565" s="7"/>
      <c r="C565" s="405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418"/>
      <c r="Q565" s="408"/>
      <c r="R565" s="339"/>
      <c r="S565" s="408"/>
      <c r="T565" s="339"/>
      <c r="U565" s="339"/>
      <c r="V565" s="339"/>
      <c r="W565" s="339"/>
      <c r="X565" s="339"/>
      <c r="Y565" s="250"/>
      <c r="Z565" s="250"/>
      <c r="AA565" s="250"/>
      <c r="AB565" s="250"/>
      <c r="AC565" s="250"/>
      <c r="AD565" s="250"/>
      <c r="AE565" s="250"/>
      <c r="AF565" s="250"/>
      <c r="AG565" s="250"/>
      <c r="AH565" s="250"/>
      <c r="AI565" s="250"/>
      <c r="AJ565" s="250"/>
      <c r="AK565" s="250"/>
      <c r="AL565" s="250"/>
      <c r="AM565" s="250"/>
      <c r="AN565" s="250"/>
      <c r="AO565" s="250"/>
      <c r="AP565" s="250"/>
      <c r="AQ565" s="250"/>
      <c r="AR565" s="250"/>
      <c r="AS565" s="250"/>
      <c r="AT565" s="250"/>
      <c r="AU565" s="250"/>
      <c r="AV565" s="250"/>
      <c r="AW565" s="250"/>
      <c r="AX565" s="250"/>
      <c r="AY565" s="250"/>
      <c r="AZ565" s="250"/>
      <c r="BA565" s="250"/>
      <c r="BB565" s="250"/>
      <c r="BC565" s="250"/>
      <c r="BD565" s="250"/>
      <c r="BE565" s="250"/>
      <c r="BF565" s="250"/>
      <c r="BG565" s="250"/>
      <c r="BH565" s="250"/>
      <c r="BI565" s="250"/>
      <c r="BJ565" s="250"/>
    </row>
    <row r="566" spans="2:62" ht="15.75" customHeight="1">
      <c r="B566" s="7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418"/>
      <c r="Q566" s="418"/>
      <c r="R566" s="339"/>
      <c r="S566" s="339"/>
      <c r="T566" s="339"/>
      <c r="U566" s="339"/>
      <c r="V566" s="339"/>
      <c r="W566" s="339"/>
      <c r="X566" s="339"/>
      <c r="Y566" s="250"/>
      <c r="Z566" s="250"/>
      <c r="AA566" s="250"/>
      <c r="AB566" s="250"/>
      <c r="AC566" s="250"/>
      <c r="AD566" s="250"/>
      <c r="AE566" s="250"/>
      <c r="AF566" s="250"/>
      <c r="AG566" s="250"/>
      <c r="AH566" s="250"/>
      <c r="AI566" s="250"/>
      <c r="AJ566" s="250"/>
      <c r="AK566" s="250"/>
      <c r="AL566" s="250"/>
      <c r="AM566" s="250"/>
      <c r="AN566" s="250"/>
      <c r="AO566" s="250"/>
      <c r="AP566" s="250"/>
      <c r="AQ566" s="250"/>
      <c r="AR566" s="250"/>
      <c r="AS566" s="250"/>
      <c r="AT566" s="250"/>
      <c r="AU566" s="250"/>
      <c r="AV566" s="250"/>
      <c r="AW566" s="250"/>
      <c r="AX566" s="250"/>
      <c r="AY566" s="250"/>
      <c r="AZ566" s="250"/>
      <c r="BA566" s="250"/>
      <c r="BB566" s="250"/>
      <c r="BC566" s="250"/>
      <c r="BD566" s="250"/>
      <c r="BE566" s="250"/>
      <c r="BF566" s="250"/>
      <c r="BG566" s="250"/>
      <c r="BH566" s="250"/>
      <c r="BI566" s="250"/>
      <c r="BJ566" s="250"/>
    </row>
    <row r="567" spans="2:62" ht="15.75" customHeight="1">
      <c r="B567" s="7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416"/>
      <c r="Q567" s="406"/>
      <c r="R567" s="339"/>
      <c r="S567" s="406"/>
      <c r="T567" s="339"/>
      <c r="U567" s="339"/>
      <c r="V567" s="339"/>
      <c r="W567" s="339"/>
      <c r="X567" s="339"/>
      <c r="Y567" s="250"/>
      <c r="Z567" s="250"/>
      <c r="AA567" s="250"/>
      <c r="AB567" s="250"/>
      <c r="AC567" s="250"/>
      <c r="AD567" s="250"/>
      <c r="AE567" s="250"/>
      <c r="AF567" s="250"/>
      <c r="AG567" s="250"/>
      <c r="AH567" s="250"/>
      <c r="AI567" s="250"/>
      <c r="AJ567" s="250"/>
      <c r="AK567" s="250"/>
      <c r="AL567" s="250"/>
      <c r="AM567" s="250"/>
      <c r="AN567" s="250"/>
      <c r="AO567" s="250"/>
      <c r="AP567" s="250"/>
      <c r="AQ567" s="250"/>
      <c r="AR567" s="250"/>
      <c r="AS567" s="250"/>
      <c r="AT567" s="250"/>
      <c r="AU567" s="250"/>
      <c r="AV567" s="250"/>
      <c r="AW567" s="250"/>
      <c r="AX567" s="250"/>
      <c r="AY567" s="250"/>
      <c r="AZ567" s="250"/>
      <c r="BA567" s="250"/>
      <c r="BB567" s="250"/>
      <c r="BC567" s="250"/>
      <c r="BD567" s="250"/>
      <c r="BE567" s="250"/>
      <c r="BF567" s="250"/>
      <c r="BG567" s="250"/>
      <c r="BH567" s="250"/>
      <c r="BI567" s="250"/>
      <c r="BJ567" s="250"/>
    </row>
    <row r="568" spans="2:62" ht="15.75" customHeight="1">
      <c r="B568" s="7"/>
      <c r="C568" s="405"/>
      <c r="D568" s="405"/>
      <c r="E568" s="339"/>
      <c r="F568" s="339"/>
      <c r="G568" s="405"/>
      <c r="H568" s="339"/>
      <c r="I568" s="339"/>
      <c r="J568" s="339"/>
      <c r="K568" s="339"/>
      <c r="L568" s="339"/>
      <c r="M568" s="339"/>
      <c r="N568" s="339"/>
      <c r="O568" s="339"/>
      <c r="P568" s="418"/>
      <c r="Q568" s="408"/>
      <c r="R568" s="339"/>
      <c r="S568" s="408"/>
      <c r="T568" s="339"/>
      <c r="U568" s="339"/>
      <c r="V568" s="339"/>
      <c r="W568" s="339"/>
      <c r="X568" s="339"/>
      <c r="Y568" s="250"/>
      <c r="Z568" s="250"/>
      <c r="AA568" s="250"/>
      <c r="AB568" s="250"/>
      <c r="AC568" s="250"/>
      <c r="AD568" s="250"/>
      <c r="AE568" s="250"/>
      <c r="AF568" s="250"/>
      <c r="AG568" s="250"/>
      <c r="AH568" s="250"/>
      <c r="AI568" s="250"/>
      <c r="AJ568" s="250"/>
      <c r="AK568" s="250"/>
      <c r="AL568" s="250"/>
      <c r="AM568" s="250"/>
      <c r="AN568" s="250"/>
      <c r="AO568" s="250"/>
      <c r="AP568" s="250"/>
      <c r="AQ568" s="250"/>
      <c r="AR568" s="250"/>
      <c r="AS568" s="250"/>
      <c r="AT568" s="250"/>
      <c r="AU568" s="250"/>
      <c r="AV568" s="250"/>
      <c r="AW568" s="250"/>
      <c r="AX568" s="250"/>
      <c r="AY568" s="250"/>
      <c r="AZ568" s="250"/>
      <c r="BA568" s="250"/>
      <c r="BB568" s="250"/>
      <c r="BC568" s="250"/>
      <c r="BD568" s="250"/>
      <c r="BE568" s="250"/>
      <c r="BF568" s="250"/>
      <c r="BG568" s="250"/>
      <c r="BH568" s="250"/>
      <c r="BI568" s="250"/>
      <c r="BJ568" s="250"/>
    </row>
    <row r="569" spans="2:62" ht="15.75" customHeight="1">
      <c r="B569" s="7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418"/>
      <c r="Q569" s="418"/>
      <c r="R569" s="339"/>
      <c r="S569" s="339"/>
      <c r="T569" s="339"/>
      <c r="U569" s="339"/>
      <c r="V569" s="339"/>
      <c r="W569" s="339"/>
      <c r="X569" s="339"/>
      <c r="Y569" s="250"/>
      <c r="Z569" s="250"/>
      <c r="AA569" s="250"/>
      <c r="AB569" s="250"/>
      <c r="AC569" s="250"/>
      <c r="AD569" s="250"/>
      <c r="AE569" s="250"/>
      <c r="AF569" s="250"/>
      <c r="AG569" s="250"/>
      <c r="AH569" s="250"/>
      <c r="AI569" s="250"/>
      <c r="AJ569" s="250"/>
      <c r="AK569" s="250"/>
      <c r="AL569" s="250"/>
      <c r="AM569" s="250"/>
      <c r="AN569" s="250"/>
      <c r="AO569" s="250"/>
      <c r="AP569" s="250"/>
      <c r="AQ569" s="250"/>
      <c r="AR569" s="250"/>
      <c r="AS569" s="250"/>
      <c r="AT569" s="250"/>
      <c r="AU569" s="250"/>
      <c r="AV569" s="250"/>
      <c r="AW569" s="250"/>
      <c r="AX569" s="250"/>
      <c r="AY569" s="250"/>
      <c r="AZ569" s="250"/>
      <c r="BA569" s="250"/>
      <c r="BB569" s="250"/>
      <c r="BC569" s="250"/>
      <c r="BD569" s="250"/>
      <c r="BE569" s="250"/>
      <c r="BF569" s="250"/>
      <c r="BG569" s="250"/>
      <c r="BH569" s="250"/>
      <c r="BI569" s="250"/>
      <c r="BJ569" s="250"/>
    </row>
    <row r="570" spans="2:62" ht="15.75" customHeight="1">
      <c r="B570" s="7"/>
      <c r="C570" s="339"/>
      <c r="D570" s="339"/>
      <c r="E570" s="406"/>
      <c r="F570" s="416"/>
      <c r="G570" s="339"/>
      <c r="H570" s="406"/>
      <c r="I570" s="416"/>
      <c r="J570" s="416"/>
      <c r="K570" s="406"/>
      <c r="L570" s="416"/>
      <c r="M570" s="406"/>
      <c r="N570" s="416"/>
      <c r="O570" s="406"/>
      <c r="P570" s="416"/>
      <c r="Q570" s="406"/>
      <c r="R570" s="406"/>
      <c r="S570" s="339"/>
      <c r="T570" s="339"/>
      <c r="U570" s="339"/>
      <c r="V570" s="339"/>
      <c r="W570" s="339"/>
      <c r="X570" s="339"/>
      <c r="Y570" s="250"/>
      <c r="Z570" s="250"/>
      <c r="AA570" s="250"/>
      <c r="AB570" s="250"/>
      <c r="AC570" s="250"/>
      <c r="AD570" s="250"/>
      <c r="AE570" s="250"/>
      <c r="AF570" s="250"/>
      <c r="AG570" s="250"/>
      <c r="AH570" s="250"/>
      <c r="AI570" s="250"/>
      <c r="AJ570" s="250"/>
      <c r="AK570" s="250"/>
      <c r="AL570" s="250"/>
      <c r="AM570" s="250"/>
      <c r="AN570" s="250"/>
      <c r="AO570" s="250"/>
      <c r="AP570" s="250"/>
      <c r="AQ570" s="250"/>
      <c r="AR570" s="250"/>
      <c r="AS570" s="250"/>
      <c r="AT570" s="250"/>
      <c r="AU570" s="250"/>
      <c r="AV570" s="250"/>
      <c r="AW570" s="250"/>
      <c r="AX570" s="250"/>
      <c r="AY570" s="250"/>
      <c r="AZ570" s="250"/>
      <c r="BA570" s="250"/>
      <c r="BB570" s="250"/>
      <c r="BC570" s="250"/>
      <c r="BD570" s="250"/>
      <c r="BE570" s="250"/>
      <c r="BF570" s="250"/>
      <c r="BG570" s="250"/>
      <c r="BH570" s="250"/>
      <c r="BI570" s="250"/>
      <c r="BJ570" s="250"/>
    </row>
    <row r="571" spans="2:62" ht="15.75" customHeight="1">
      <c r="B571" s="7"/>
      <c r="C571" s="405"/>
      <c r="D571" s="405"/>
      <c r="E571" s="408"/>
      <c r="F571" s="418"/>
      <c r="G571" s="405"/>
      <c r="H571" s="408"/>
      <c r="I571" s="418"/>
      <c r="J571" s="418"/>
      <c r="K571" s="408"/>
      <c r="L571" s="418"/>
      <c r="M571" s="408"/>
      <c r="N571" s="418"/>
      <c r="O571" s="408"/>
      <c r="P571" s="418"/>
      <c r="Q571" s="408"/>
      <c r="R571" s="408"/>
      <c r="S571" s="408"/>
      <c r="T571" s="339"/>
      <c r="U571" s="339"/>
      <c r="V571" s="339"/>
      <c r="W571" s="339"/>
      <c r="X571" s="339"/>
      <c r="Y571" s="250"/>
      <c r="Z571" s="250"/>
      <c r="AA571" s="250"/>
      <c r="AB571" s="250"/>
      <c r="AC571" s="250"/>
      <c r="AD571" s="250"/>
      <c r="AE571" s="250"/>
      <c r="AF571" s="250"/>
      <c r="AG571" s="250"/>
      <c r="AH571" s="250"/>
      <c r="AI571" s="250"/>
      <c r="AJ571" s="250"/>
      <c r="AK571" s="250"/>
      <c r="AL571" s="250"/>
      <c r="AM571" s="250"/>
      <c r="AN571" s="250"/>
      <c r="AO571" s="250"/>
      <c r="AP571" s="250"/>
      <c r="AQ571" s="250"/>
      <c r="AR571" s="250"/>
      <c r="AS571" s="250"/>
      <c r="AT571" s="250"/>
      <c r="AU571" s="250"/>
      <c r="AV571" s="250"/>
      <c r="AW571" s="250"/>
      <c r="AX571" s="250"/>
      <c r="AY571" s="250"/>
      <c r="AZ571" s="250"/>
      <c r="BA571" s="250"/>
      <c r="BB571" s="250"/>
      <c r="BC571" s="250"/>
      <c r="BD571" s="250"/>
      <c r="BE571" s="250"/>
      <c r="BF571" s="250"/>
      <c r="BG571" s="250"/>
      <c r="BH571" s="250"/>
      <c r="BI571" s="250"/>
      <c r="BJ571" s="250"/>
    </row>
    <row r="572" spans="2:62" ht="15.75" customHeight="1">
      <c r="B572" s="7"/>
      <c r="C572" s="339"/>
      <c r="D572" s="339"/>
      <c r="E572" s="406"/>
      <c r="F572" s="416"/>
      <c r="G572" s="339"/>
      <c r="H572" s="406"/>
      <c r="I572" s="416"/>
      <c r="J572" s="406"/>
      <c r="K572" s="416"/>
      <c r="L572" s="406"/>
      <c r="M572" s="339"/>
      <c r="N572" s="406"/>
      <c r="O572" s="416"/>
      <c r="P572" s="408"/>
      <c r="Q572" s="418"/>
      <c r="R572" s="418"/>
      <c r="S572" s="406"/>
      <c r="T572" s="339"/>
      <c r="U572" s="339"/>
      <c r="V572" s="339"/>
      <c r="W572" s="339"/>
      <c r="X572" s="339"/>
      <c r="Y572" s="250"/>
      <c r="Z572" s="250"/>
      <c r="AA572" s="250"/>
      <c r="AB572" s="250"/>
      <c r="AC572" s="250"/>
      <c r="AD572" s="250"/>
      <c r="AE572" s="250"/>
      <c r="AF572" s="250"/>
      <c r="AG572" s="250"/>
      <c r="AH572" s="250"/>
      <c r="AI572" s="250"/>
      <c r="AJ572" s="250"/>
      <c r="AK572" s="250"/>
      <c r="AL572" s="250"/>
      <c r="AM572" s="250"/>
      <c r="AN572" s="250"/>
      <c r="AO572" s="250"/>
      <c r="AP572" s="250"/>
      <c r="AQ572" s="250"/>
      <c r="AR572" s="250"/>
      <c r="AS572" s="250"/>
      <c r="AT572" s="250"/>
      <c r="AU572" s="250"/>
      <c r="AV572" s="250"/>
      <c r="AW572" s="250"/>
      <c r="AX572" s="250"/>
      <c r="AY572" s="250"/>
      <c r="AZ572" s="250"/>
      <c r="BA572" s="250"/>
      <c r="BB572" s="250"/>
      <c r="BC572" s="250"/>
      <c r="BD572" s="250"/>
      <c r="BE572" s="250"/>
      <c r="BF572" s="250"/>
      <c r="BG572" s="250"/>
      <c r="BH572" s="250"/>
      <c r="BI572" s="250"/>
      <c r="BJ572" s="250"/>
    </row>
    <row r="573" spans="2:62" ht="15.75" customHeight="1">
      <c r="B573" s="7"/>
      <c r="C573" s="339"/>
      <c r="D573" s="339"/>
      <c r="E573" s="406"/>
      <c r="F573" s="416"/>
      <c r="G573" s="339"/>
      <c r="H573" s="406"/>
      <c r="I573" s="416"/>
      <c r="J573" s="406"/>
      <c r="K573" s="416"/>
      <c r="L573" s="406"/>
      <c r="M573" s="339"/>
      <c r="N573" s="406"/>
      <c r="O573" s="416"/>
      <c r="P573" s="406"/>
      <c r="Q573" s="339"/>
      <c r="R573" s="416"/>
      <c r="S573" s="406"/>
      <c r="T573" s="339"/>
      <c r="U573" s="339"/>
      <c r="V573" s="339"/>
      <c r="W573" s="339"/>
      <c r="X573" s="339"/>
      <c r="Y573" s="250"/>
      <c r="Z573" s="250"/>
      <c r="AA573" s="250"/>
      <c r="AB573" s="250"/>
      <c r="AC573" s="250"/>
      <c r="AD573" s="250"/>
      <c r="AE573" s="250"/>
      <c r="AF573" s="250"/>
      <c r="AG573" s="250"/>
      <c r="AH573" s="250"/>
      <c r="AI573" s="250"/>
      <c r="AJ573" s="250"/>
      <c r="AK573" s="250"/>
      <c r="AL573" s="250"/>
      <c r="AM573" s="250"/>
      <c r="AN573" s="250"/>
      <c r="AO573" s="250"/>
      <c r="AP573" s="250"/>
      <c r="AQ573" s="250"/>
      <c r="AR573" s="250"/>
      <c r="AS573" s="250"/>
      <c r="AT573" s="250"/>
      <c r="AU573" s="250"/>
      <c r="AV573" s="250"/>
      <c r="AW573" s="250"/>
      <c r="AX573" s="250"/>
      <c r="AY573" s="250"/>
      <c r="AZ573" s="250"/>
      <c r="BA573" s="250"/>
      <c r="BB573" s="250"/>
      <c r="BC573" s="250"/>
      <c r="BD573" s="250"/>
      <c r="BE573" s="250"/>
      <c r="BF573" s="250"/>
      <c r="BG573" s="250"/>
      <c r="BH573" s="250"/>
      <c r="BI573" s="250"/>
      <c r="BJ573" s="250"/>
    </row>
    <row r="574" spans="2:62" ht="15.75" customHeight="1">
      <c r="B574" s="7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416"/>
      <c r="S574" s="406"/>
      <c r="T574" s="339"/>
      <c r="U574" s="339"/>
      <c r="V574" s="339"/>
      <c r="W574" s="339"/>
      <c r="X574" s="339"/>
      <c r="Y574" s="250"/>
      <c r="Z574" s="250"/>
      <c r="AA574" s="250"/>
      <c r="AB574" s="250"/>
      <c r="AC574" s="250"/>
      <c r="AD574" s="250"/>
      <c r="AE574" s="250"/>
      <c r="AF574" s="250"/>
      <c r="AG574" s="250"/>
      <c r="AH574" s="250"/>
      <c r="AI574" s="250"/>
      <c r="AJ574" s="250"/>
      <c r="AK574" s="250"/>
      <c r="AL574" s="250"/>
      <c r="AM574" s="250"/>
      <c r="AN574" s="250"/>
      <c r="AO574" s="250"/>
      <c r="AP574" s="250"/>
      <c r="AQ574" s="250"/>
      <c r="AR574" s="250"/>
      <c r="AS574" s="250"/>
      <c r="AT574" s="250"/>
      <c r="AU574" s="250"/>
      <c r="AV574" s="250"/>
      <c r="AW574" s="250"/>
      <c r="AX574" s="250"/>
      <c r="AY574" s="250"/>
      <c r="AZ574" s="250"/>
      <c r="BA574" s="250"/>
      <c r="BB574" s="250"/>
      <c r="BC574" s="250"/>
      <c r="BD574" s="250"/>
      <c r="BE574" s="250"/>
      <c r="BF574" s="250"/>
      <c r="BG574" s="250"/>
      <c r="BH574" s="250"/>
      <c r="BI574" s="250"/>
      <c r="BJ574" s="250"/>
    </row>
    <row r="575" spans="2:62" ht="15.75" customHeight="1">
      <c r="B575" s="7"/>
      <c r="C575" s="339"/>
      <c r="D575" s="339"/>
      <c r="E575" s="406"/>
      <c r="F575" s="416"/>
      <c r="G575" s="339"/>
      <c r="H575" s="406"/>
      <c r="I575" s="416"/>
      <c r="J575" s="406"/>
      <c r="K575" s="416"/>
      <c r="L575" s="406"/>
      <c r="M575" s="339"/>
      <c r="N575" s="406"/>
      <c r="O575" s="416"/>
      <c r="P575" s="406"/>
      <c r="Q575" s="339"/>
      <c r="R575" s="416"/>
      <c r="S575" s="406"/>
      <c r="T575" s="339"/>
      <c r="U575" s="339"/>
      <c r="V575" s="339"/>
      <c r="W575" s="339"/>
      <c r="X575" s="339"/>
      <c r="Y575" s="250"/>
      <c r="Z575" s="250"/>
      <c r="AA575" s="250"/>
      <c r="AB575" s="250"/>
      <c r="AC575" s="250"/>
      <c r="AD575" s="250"/>
      <c r="AE575" s="250"/>
      <c r="AF575" s="250"/>
      <c r="AG575" s="250"/>
      <c r="AH575" s="250"/>
      <c r="AI575" s="250"/>
      <c r="AJ575" s="250"/>
      <c r="AK575" s="250"/>
      <c r="AL575" s="250"/>
      <c r="AM575" s="250"/>
      <c r="AN575" s="250"/>
      <c r="AO575" s="250"/>
      <c r="AP575" s="250"/>
      <c r="AQ575" s="250"/>
      <c r="AR575" s="250"/>
      <c r="AS575" s="250"/>
      <c r="AT575" s="250"/>
      <c r="AU575" s="250"/>
      <c r="AV575" s="250"/>
      <c r="AW575" s="250"/>
      <c r="AX575" s="250"/>
      <c r="AY575" s="250"/>
      <c r="AZ575" s="250"/>
      <c r="BA575" s="250"/>
      <c r="BB575" s="250"/>
      <c r="BC575" s="250"/>
      <c r="BD575" s="250"/>
      <c r="BE575" s="250"/>
      <c r="BF575" s="250"/>
      <c r="BG575" s="250"/>
      <c r="BH575" s="250"/>
      <c r="BI575" s="250"/>
      <c r="BJ575" s="250"/>
    </row>
    <row r="576" spans="2:62" ht="15.75" customHeight="1">
      <c r="B576" s="7"/>
      <c r="C576" s="339"/>
      <c r="D576" s="339"/>
      <c r="E576" s="406"/>
      <c r="F576" s="416"/>
      <c r="G576" s="339"/>
      <c r="H576" s="406"/>
      <c r="I576" s="416"/>
      <c r="J576" s="406"/>
      <c r="K576" s="416"/>
      <c r="L576" s="406"/>
      <c r="M576" s="339"/>
      <c r="N576" s="406"/>
      <c r="O576" s="416"/>
      <c r="P576" s="406"/>
      <c r="Q576" s="339"/>
      <c r="R576" s="416"/>
      <c r="S576" s="406"/>
      <c r="T576" s="339"/>
      <c r="U576" s="339"/>
      <c r="V576" s="339"/>
      <c r="W576" s="339"/>
      <c r="X576" s="339"/>
      <c r="Y576" s="250"/>
      <c r="Z576" s="250"/>
      <c r="AA576" s="250"/>
      <c r="AB576" s="250"/>
      <c r="AC576" s="250"/>
      <c r="AD576" s="250"/>
      <c r="AE576" s="250"/>
      <c r="AF576" s="250"/>
      <c r="AG576" s="250"/>
      <c r="AH576" s="250"/>
      <c r="AI576" s="250"/>
      <c r="AJ576" s="250"/>
      <c r="AK576" s="250"/>
      <c r="AL576" s="250"/>
      <c r="AM576" s="250"/>
      <c r="AN576" s="250"/>
      <c r="AO576" s="250"/>
      <c r="AP576" s="250"/>
      <c r="AQ576" s="250"/>
      <c r="AR576" s="250"/>
      <c r="AS576" s="250"/>
      <c r="AT576" s="250"/>
      <c r="AU576" s="250"/>
      <c r="AV576" s="250"/>
      <c r="AW576" s="250"/>
      <c r="AX576" s="250"/>
      <c r="AY576" s="250"/>
      <c r="AZ576" s="250"/>
      <c r="BA576" s="250"/>
      <c r="BB576" s="250"/>
      <c r="BC576" s="250"/>
      <c r="BD576" s="250"/>
      <c r="BE576" s="250"/>
      <c r="BF576" s="250"/>
      <c r="BG576" s="250"/>
      <c r="BH576" s="250"/>
      <c r="BI576" s="250"/>
      <c r="BJ576" s="250"/>
    </row>
    <row r="577" spans="2:62" ht="15.75" customHeight="1">
      <c r="B577" s="7"/>
      <c r="C577" s="339"/>
      <c r="D577" s="339"/>
      <c r="E577" s="406"/>
      <c r="F577" s="416"/>
      <c r="G577" s="339"/>
      <c r="H577" s="406"/>
      <c r="I577" s="416"/>
      <c r="J577" s="406"/>
      <c r="K577" s="416"/>
      <c r="L577" s="406"/>
      <c r="M577" s="339"/>
      <c r="N577" s="406"/>
      <c r="O577" s="416"/>
      <c r="P577" s="406"/>
      <c r="Q577" s="339"/>
      <c r="R577" s="416"/>
      <c r="S577" s="406"/>
      <c r="T577" s="339"/>
      <c r="U577" s="339"/>
      <c r="V577" s="339"/>
      <c r="W577" s="339"/>
      <c r="X577" s="339"/>
      <c r="Y577" s="250"/>
      <c r="Z577" s="250"/>
      <c r="AA577" s="250"/>
      <c r="AB577" s="250"/>
      <c r="AC577" s="250"/>
      <c r="AD577" s="250"/>
      <c r="AE577" s="250"/>
      <c r="AF577" s="250"/>
      <c r="AG577" s="250"/>
      <c r="AH577" s="250"/>
      <c r="AI577" s="250"/>
      <c r="AJ577" s="250"/>
      <c r="AK577" s="250"/>
      <c r="AL577" s="250"/>
      <c r="AM577" s="250"/>
      <c r="AN577" s="250"/>
      <c r="AO577" s="250"/>
      <c r="AP577" s="250"/>
      <c r="AQ577" s="250"/>
      <c r="AR577" s="250"/>
      <c r="AS577" s="250"/>
      <c r="AT577" s="250"/>
      <c r="AU577" s="250"/>
      <c r="AV577" s="250"/>
      <c r="AW577" s="250"/>
      <c r="AX577" s="250"/>
      <c r="AY577" s="250"/>
      <c r="AZ577" s="250"/>
      <c r="BA577" s="250"/>
      <c r="BB577" s="250"/>
      <c r="BC577" s="250"/>
      <c r="BD577" s="250"/>
      <c r="BE577" s="250"/>
      <c r="BF577" s="250"/>
      <c r="BG577" s="250"/>
      <c r="BH577" s="250"/>
      <c r="BI577" s="250"/>
      <c r="BJ577" s="250"/>
    </row>
    <row r="578" spans="2:62" ht="15.75" customHeight="1">
      <c r="B578" s="7"/>
      <c r="C578" s="339"/>
      <c r="D578" s="339"/>
      <c r="E578" s="406"/>
      <c r="F578" s="416"/>
      <c r="G578" s="339"/>
      <c r="H578" s="406"/>
      <c r="I578" s="416"/>
      <c r="J578" s="406"/>
      <c r="K578" s="416"/>
      <c r="L578" s="406"/>
      <c r="M578" s="339"/>
      <c r="N578" s="406"/>
      <c r="O578" s="416"/>
      <c r="P578" s="406"/>
      <c r="Q578" s="339"/>
      <c r="R578" s="416"/>
      <c r="S578" s="406"/>
      <c r="T578" s="339"/>
      <c r="U578" s="339"/>
      <c r="V578" s="339"/>
      <c r="W578" s="339"/>
      <c r="X578" s="339"/>
      <c r="Y578" s="250"/>
      <c r="Z578" s="250"/>
      <c r="AA578" s="250"/>
      <c r="AB578" s="250"/>
      <c r="AC578" s="250"/>
      <c r="AD578" s="250"/>
      <c r="AE578" s="250"/>
      <c r="AF578" s="250"/>
      <c r="AG578" s="250"/>
      <c r="AH578" s="250"/>
      <c r="AI578" s="250"/>
      <c r="AJ578" s="250"/>
      <c r="AK578" s="250"/>
      <c r="AL578" s="250"/>
      <c r="AM578" s="250"/>
      <c r="AN578" s="250"/>
      <c r="AO578" s="250"/>
      <c r="AP578" s="250"/>
      <c r="AQ578" s="250"/>
      <c r="AR578" s="250"/>
      <c r="AS578" s="250"/>
      <c r="AT578" s="250"/>
      <c r="AU578" s="250"/>
      <c r="AV578" s="250"/>
      <c r="AW578" s="250"/>
      <c r="AX578" s="250"/>
      <c r="AY578" s="250"/>
      <c r="AZ578" s="250"/>
      <c r="BA578" s="250"/>
      <c r="BB578" s="250"/>
      <c r="BC578" s="250"/>
      <c r="BD578" s="250"/>
      <c r="BE578" s="250"/>
      <c r="BF578" s="250"/>
      <c r="BG578" s="250"/>
      <c r="BH578" s="250"/>
      <c r="BI578" s="250"/>
      <c r="BJ578" s="250"/>
    </row>
    <row r="579" spans="2:62" ht="15.75" customHeight="1">
      <c r="B579" s="7"/>
      <c r="C579" s="339"/>
      <c r="D579" s="339"/>
      <c r="E579" s="406"/>
      <c r="F579" s="416"/>
      <c r="G579" s="339"/>
      <c r="H579" s="406"/>
      <c r="I579" s="416"/>
      <c r="J579" s="406"/>
      <c r="K579" s="416"/>
      <c r="L579" s="406"/>
      <c r="M579" s="339"/>
      <c r="N579" s="406"/>
      <c r="O579" s="416"/>
      <c r="P579" s="406"/>
      <c r="Q579" s="339"/>
      <c r="R579" s="416"/>
      <c r="S579" s="406"/>
      <c r="T579" s="339"/>
      <c r="U579" s="339"/>
      <c r="V579" s="339"/>
      <c r="W579" s="339"/>
      <c r="X579" s="339"/>
      <c r="Y579" s="250"/>
      <c r="Z579" s="250"/>
      <c r="AA579" s="250"/>
      <c r="AB579" s="250"/>
      <c r="AC579" s="250"/>
      <c r="AD579" s="250"/>
      <c r="AE579" s="250"/>
      <c r="AF579" s="250"/>
      <c r="AG579" s="250"/>
      <c r="AH579" s="250"/>
      <c r="AI579" s="250"/>
      <c r="AJ579" s="250"/>
      <c r="AK579" s="250"/>
      <c r="AL579" s="250"/>
      <c r="AM579" s="250"/>
      <c r="AN579" s="250"/>
      <c r="AO579" s="250"/>
      <c r="AP579" s="250"/>
      <c r="AQ579" s="250"/>
      <c r="AR579" s="250"/>
      <c r="AS579" s="250"/>
      <c r="AT579" s="250"/>
      <c r="AU579" s="250"/>
      <c r="AV579" s="250"/>
      <c r="AW579" s="250"/>
      <c r="AX579" s="250"/>
      <c r="AY579" s="250"/>
      <c r="AZ579" s="250"/>
      <c r="BA579" s="250"/>
      <c r="BB579" s="250"/>
      <c r="BC579" s="250"/>
      <c r="BD579" s="250"/>
      <c r="BE579" s="250"/>
      <c r="BF579" s="250"/>
      <c r="BG579" s="250"/>
      <c r="BH579" s="250"/>
      <c r="BI579" s="250"/>
      <c r="BJ579" s="250"/>
    </row>
    <row r="580" spans="2:62" ht="15.75" customHeight="1">
      <c r="B580" s="7"/>
      <c r="C580" s="339"/>
      <c r="D580" s="339"/>
      <c r="E580" s="406"/>
      <c r="F580" s="416"/>
      <c r="G580" s="339"/>
      <c r="H580" s="406"/>
      <c r="I580" s="416"/>
      <c r="J580" s="406"/>
      <c r="K580" s="416"/>
      <c r="L580" s="406"/>
      <c r="M580" s="339"/>
      <c r="N580" s="406"/>
      <c r="O580" s="416"/>
      <c r="P580" s="406"/>
      <c r="Q580" s="339"/>
      <c r="R580" s="416"/>
      <c r="S580" s="406"/>
      <c r="T580" s="339"/>
      <c r="U580" s="339"/>
      <c r="V580" s="339"/>
      <c r="W580" s="339"/>
      <c r="X580" s="339"/>
      <c r="Y580" s="250"/>
      <c r="Z580" s="250"/>
      <c r="AA580" s="250"/>
      <c r="AB580" s="250"/>
      <c r="AC580" s="250"/>
      <c r="AD580" s="250"/>
      <c r="AE580" s="250"/>
      <c r="AF580" s="250"/>
      <c r="AG580" s="250"/>
      <c r="AH580" s="250"/>
      <c r="AI580" s="250"/>
      <c r="AJ580" s="250"/>
      <c r="AK580" s="250"/>
      <c r="AL580" s="250"/>
      <c r="AM580" s="250"/>
      <c r="AN580" s="250"/>
      <c r="AO580" s="250"/>
      <c r="AP580" s="250"/>
      <c r="AQ580" s="250"/>
      <c r="AR580" s="250"/>
      <c r="AS580" s="250"/>
      <c r="AT580" s="250"/>
      <c r="AU580" s="250"/>
      <c r="AV580" s="250"/>
      <c r="AW580" s="250"/>
      <c r="AX580" s="250"/>
      <c r="AY580" s="250"/>
      <c r="AZ580" s="250"/>
      <c r="BA580" s="250"/>
      <c r="BB580" s="250"/>
      <c r="BC580" s="250"/>
      <c r="BD580" s="250"/>
      <c r="BE580" s="250"/>
      <c r="BF580" s="250"/>
      <c r="BG580" s="250"/>
      <c r="BH580" s="250"/>
      <c r="BI580" s="250"/>
      <c r="BJ580" s="250"/>
    </row>
    <row r="581" spans="2:62" ht="15.75" customHeight="1">
      <c r="B581" s="7"/>
      <c r="C581" s="339"/>
      <c r="D581" s="339"/>
      <c r="E581" s="406"/>
      <c r="F581" s="416"/>
      <c r="G581" s="339"/>
      <c r="H581" s="406"/>
      <c r="I581" s="416"/>
      <c r="J581" s="406"/>
      <c r="K581" s="416"/>
      <c r="L581" s="406"/>
      <c r="M581" s="339"/>
      <c r="N581" s="406"/>
      <c r="O581" s="416"/>
      <c r="P581" s="406"/>
      <c r="Q581" s="339"/>
      <c r="R581" s="416"/>
      <c r="S581" s="406"/>
      <c r="T581" s="339"/>
      <c r="U581" s="339"/>
      <c r="V581" s="339"/>
      <c r="W581" s="339"/>
      <c r="X581" s="339"/>
      <c r="Y581" s="250"/>
      <c r="Z581" s="250"/>
      <c r="AA581" s="250"/>
      <c r="AB581" s="250"/>
      <c r="AC581" s="250"/>
      <c r="AD581" s="250"/>
      <c r="AE581" s="250"/>
      <c r="AF581" s="250"/>
      <c r="AG581" s="250"/>
      <c r="AH581" s="250"/>
      <c r="AI581" s="250"/>
      <c r="AJ581" s="250"/>
      <c r="AK581" s="250"/>
      <c r="AL581" s="250"/>
      <c r="AM581" s="250"/>
      <c r="AN581" s="250"/>
      <c r="AO581" s="250"/>
      <c r="AP581" s="250"/>
      <c r="AQ581" s="250"/>
      <c r="AR581" s="250"/>
      <c r="AS581" s="250"/>
      <c r="AT581" s="250"/>
      <c r="AU581" s="250"/>
      <c r="AV581" s="250"/>
      <c r="AW581" s="250"/>
      <c r="AX581" s="250"/>
      <c r="AY581" s="250"/>
      <c r="AZ581" s="250"/>
      <c r="BA581" s="250"/>
      <c r="BB581" s="250"/>
      <c r="BC581" s="250"/>
      <c r="BD581" s="250"/>
      <c r="BE581" s="250"/>
      <c r="BF581" s="250"/>
      <c r="BG581" s="250"/>
      <c r="BH581" s="250"/>
      <c r="BI581" s="250"/>
      <c r="BJ581" s="250"/>
    </row>
    <row r="582" spans="2:62" ht="15.75" customHeight="1">
      <c r="B582" s="7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250"/>
      <c r="Z582" s="250"/>
      <c r="AA582" s="250"/>
      <c r="AB582" s="250"/>
      <c r="AC582" s="250"/>
      <c r="AD582" s="250"/>
      <c r="AE582" s="250"/>
      <c r="AF582" s="250"/>
      <c r="AG582" s="250"/>
      <c r="AH582" s="250"/>
      <c r="AI582" s="250"/>
      <c r="AJ582" s="250"/>
      <c r="AK582" s="250"/>
      <c r="AL582" s="250"/>
      <c r="AM582" s="250"/>
      <c r="AN582" s="250"/>
      <c r="AO582" s="250"/>
      <c r="AP582" s="250"/>
      <c r="AQ582" s="250"/>
      <c r="AR582" s="250"/>
      <c r="AS582" s="250"/>
      <c r="AT582" s="250"/>
      <c r="AU582" s="250"/>
      <c r="AV582" s="250"/>
      <c r="AW582" s="250"/>
      <c r="AX582" s="250"/>
      <c r="AY582" s="250"/>
      <c r="AZ582" s="250"/>
      <c r="BA582" s="250"/>
      <c r="BB582" s="250"/>
      <c r="BC582" s="250"/>
      <c r="BD582" s="250"/>
      <c r="BE582" s="250"/>
      <c r="BF582" s="250"/>
      <c r="BG582" s="250"/>
      <c r="BH582" s="250"/>
      <c r="BI582" s="250"/>
      <c r="BJ582" s="250"/>
    </row>
    <row r="583" spans="2:62" ht="15.75" customHeight="1">
      <c r="B583" s="7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250"/>
      <c r="Z583" s="250"/>
      <c r="AA583" s="250"/>
      <c r="AB583" s="250"/>
      <c r="AC583" s="250"/>
      <c r="AD583" s="250"/>
      <c r="AE583" s="250"/>
      <c r="AF583" s="250"/>
      <c r="AG583" s="250"/>
      <c r="AH583" s="250"/>
      <c r="AI583" s="250"/>
      <c r="AJ583" s="250"/>
      <c r="AK583" s="250"/>
      <c r="AL583" s="250"/>
      <c r="AM583" s="250"/>
      <c r="AN583" s="250"/>
      <c r="AO583" s="250"/>
      <c r="AP583" s="250"/>
      <c r="AQ583" s="250"/>
      <c r="AR583" s="250"/>
      <c r="AS583" s="250"/>
      <c r="AT583" s="250"/>
      <c r="AU583" s="250"/>
      <c r="AV583" s="250"/>
      <c r="AW583" s="250"/>
      <c r="AX583" s="250"/>
      <c r="AY583" s="250"/>
      <c r="AZ583" s="250"/>
      <c r="BA583" s="250"/>
      <c r="BB583" s="250"/>
      <c r="BC583" s="250"/>
      <c r="BD583" s="250"/>
      <c r="BE583" s="250"/>
      <c r="BF583" s="250"/>
      <c r="BG583" s="250"/>
      <c r="BH583" s="250"/>
      <c r="BI583" s="250"/>
      <c r="BJ583" s="250"/>
    </row>
    <row r="584" spans="2:62" ht="15.75" customHeight="1">
      <c r="B584" s="7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250"/>
      <c r="Z584" s="250"/>
      <c r="AA584" s="250"/>
      <c r="AB584" s="250"/>
      <c r="AC584" s="250"/>
      <c r="AD584" s="250"/>
      <c r="AE584" s="250"/>
      <c r="AF584" s="250"/>
      <c r="AG584" s="250"/>
      <c r="AH584" s="250"/>
      <c r="AI584" s="250"/>
      <c r="AJ584" s="250"/>
      <c r="AK584" s="250"/>
      <c r="AL584" s="250"/>
      <c r="AM584" s="250"/>
      <c r="AN584" s="250"/>
      <c r="AO584" s="250"/>
      <c r="AP584" s="250"/>
      <c r="AQ584" s="250"/>
      <c r="AR584" s="250"/>
      <c r="AS584" s="250"/>
      <c r="AT584" s="250"/>
      <c r="AU584" s="250"/>
      <c r="AV584" s="250"/>
      <c r="AW584" s="250"/>
      <c r="AX584" s="250"/>
      <c r="AY584" s="250"/>
      <c r="AZ584" s="250"/>
      <c r="BA584" s="250"/>
      <c r="BB584" s="250"/>
      <c r="BC584" s="250"/>
      <c r="BD584" s="250"/>
      <c r="BE584" s="250"/>
      <c r="BF584" s="250"/>
      <c r="BG584" s="250"/>
      <c r="BH584" s="250"/>
      <c r="BI584" s="250"/>
      <c r="BJ584" s="250"/>
    </row>
    <row r="585" spans="2:62" ht="15.75" customHeight="1">
      <c r="B585" s="7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250"/>
      <c r="Z585" s="250"/>
      <c r="AA585" s="250"/>
      <c r="AB585" s="250"/>
      <c r="AC585" s="250"/>
      <c r="AD585" s="250"/>
      <c r="AE585" s="250"/>
      <c r="AF585" s="250"/>
      <c r="AG585" s="250"/>
      <c r="AH585" s="250"/>
      <c r="AI585" s="250"/>
      <c r="AJ585" s="250"/>
      <c r="AK585" s="250"/>
      <c r="AL585" s="250"/>
      <c r="AM585" s="250"/>
      <c r="AN585" s="250"/>
      <c r="AO585" s="250"/>
      <c r="AP585" s="250"/>
      <c r="AQ585" s="250"/>
      <c r="AR585" s="250"/>
      <c r="AS585" s="250"/>
      <c r="AT585" s="250"/>
      <c r="AU585" s="250"/>
      <c r="AV585" s="250"/>
      <c r="AW585" s="250"/>
      <c r="AX585" s="250"/>
      <c r="AY585" s="250"/>
      <c r="AZ585" s="250"/>
      <c r="BA585" s="250"/>
      <c r="BB585" s="250"/>
      <c r="BC585" s="250"/>
      <c r="BD585" s="250"/>
      <c r="BE585" s="250"/>
      <c r="BF585" s="250"/>
      <c r="BG585" s="250"/>
      <c r="BH585" s="250"/>
      <c r="BI585" s="250"/>
      <c r="BJ585" s="250"/>
    </row>
    <row r="586" spans="2:62" ht="15.75" customHeight="1">
      <c r="B586" s="7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250"/>
      <c r="Z586" s="250"/>
      <c r="AA586" s="250"/>
      <c r="AB586" s="250"/>
      <c r="AC586" s="250"/>
      <c r="AD586" s="250"/>
      <c r="AE586" s="250"/>
      <c r="AF586" s="250"/>
      <c r="AG586" s="250"/>
      <c r="AH586" s="250"/>
      <c r="AI586" s="250"/>
      <c r="AJ586" s="250"/>
      <c r="AK586" s="250"/>
      <c r="AL586" s="250"/>
      <c r="AM586" s="250"/>
      <c r="AN586" s="250"/>
      <c r="AO586" s="250"/>
      <c r="AP586" s="250"/>
      <c r="AQ586" s="250"/>
      <c r="AR586" s="250"/>
      <c r="AS586" s="250"/>
      <c r="AT586" s="250"/>
      <c r="AU586" s="250"/>
      <c r="AV586" s="250"/>
      <c r="AW586" s="250"/>
      <c r="AX586" s="250"/>
      <c r="AY586" s="250"/>
      <c r="AZ586" s="250"/>
      <c r="BA586" s="250"/>
      <c r="BB586" s="250"/>
      <c r="BC586" s="250"/>
      <c r="BD586" s="250"/>
      <c r="BE586" s="250"/>
      <c r="BF586" s="250"/>
      <c r="BG586" s="250"/>
      <c r="BH586" s="250"/>
      <c r="BI586" s="250"/>
      <c r="BJ586" s="250"/>
    </row>
    <row r="587" spans="2:62" ht="15.75" customHeight="1">
      <c r="B587" s="7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250"/>
      <c r="Z587" s="250"/>
      <c r="AA587" s="250"/>
      <c r="AB587" s="250"/>
      <c r="AC587" s="250"/>
      <c r="AD587" s="250"/>
      <c r="AE587" s="250"/>
      <c r="AF587" s="250"/>
      <c r="AG587" s="250"/>
      <c r="AH587" s="250"/>
      <c r="AI587" s="250"/>
      <c r="AJ587" s="250"/>
      <c r="AK587" s="250"/>
      <c r="AL587" s="250"/>
      <c r="AM587" s="250"/>
      <c r="AN587" s="250"/>
      <c r="AO587" s="250"/>
      <c r="AP587" s="250"/>
      <c r="AQ587" s="250"/>
      <c r="AR587" s="250"/>
      <c r="AS587" s="250"/>
      <c r="AT587" s="250"/>
      <c r="AU587" s="250"/>
      <c r="AV587" s="250"/>
      <c r="AW587" s="250"/>
      <c r="AX587" s="250"/>
      <c r="AY587" s="250"/>
      <c r="AZ587" s="250"/>
      <c r="BA587" s="250"/>
      <c r="BB587" s="250"/>
      <c r="BC587" s="250"/>
      <c r="BD587" s="250"/>
      <c r="BE587" s="250"/>
      <c r="BF587" s="250"/>
      <c r="BG587" s="250"/>
      <c r="BH587" s="250"/>
      <c r="BI587" s="250"/>
      <c r="BJ587" s="250"/>
    </row>
    <row r="588" spans="2:62" ht="15.75" customHeight="1">
      <c r="B588" s="7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250"/>
      <c r="Z588" s="250"/>
      <c r="AA588" s="250"/>
      <c r="AB588" s="250"/>
      <c r="AC588" s="250"/>
      <c r="AD588" s="250"/>
      <c r="AE588" s="250"/>
      <c r="AF588" s="250"/>
      <c r="AG588" s="250"/>
      <c r="AH588" s="250"/>
      <c r="AI588" s="250"/>
      <c r="AJ588" s="250"/>
      <c r="AK588" s="250"/>
      <c r="AL588" s="250"/>
      <c r="AM588" s="250"/>
      <c r="AN588" s="250"/>
      <c r="AO588" s="250"/>
      <c r="AP588" s="250"/>
      <c r="AQ588" s="250"/>
      <c r="AR588" s="250"/>
      <c r="AS588" s="250"/>
      <c r="AT588" s="250"/>
      <c r="AU588" s="250"/>
      <c r="AV588" s="250"/>
      <c r="AW588" s="250"/>
      <c r="AX588" s="250"/>
      <c r="AY588" s="250"/>
      <c r="AZ588" s="250"/>
      <c r="BA588" s="250"/>
      <c r="BB588" s="250"/>
      <c r="BC588" s="250"/>
      <c r="BD588" s="250"/>
      <c r="BE588" s="250"/>
      <c r="BF588" s="250"/>
      <c r="BG588" s="250"/>
      <c r="BH588" s="250"/>
      <c r="BI588" s="250"/>
      <c r="BJ588" s="250"/>
    </row>
    <row r="589" spans="2:62" ht="15.75" customHeight="1">
      <c r="B589" s="7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250"/>
      <c r="Z589" s="250"/>
      <c r="AA589" s="250"/>
      <c r="AB589" s="250"/>
      <c r="AC589" s="250"/>
      <c r="AD589" s="250"/>
      <c r="AE589" s="250"/>
      <c r="AF589" s="250"/>
      <c r="AG589" s="250"/>
      <c r="AH589" s="250"/>
      <c r="AI589" s="250"/>
      <c r="AJ589" s="250"/>
      <c r="AK589" s="250"/>
      <c r="AL589" s="250"/>
      <c r="AM589" s="250"/>
      <c r="AN589" s="250"/>
      <c r="AO589" s="250"/>
      <c r="AP589" s="250"/>
      <c r="AQ589" s="250"/>
      <c r="AR589" s="250"/>
      <c r="AS589" s="250"/>
      <c r="AT589" s="250"/>
      <c r="AU589" s="250"/>
      <c r="AV589" s="250"/>
      <c r="AW589" s="250"/>
      <c r="AX589" s="250"/>
      <c r="AY589" s="250"/>
      <c r="AZ589" s="250"/>
      <c r="BA589" s="250"/>
      <c r="BB589" s="250"/>
      <c r="BC589" s="250"/>
      <c r="BD589" s="250"/>
      <c r="BE589" s="250"/>
      <c r="BF589" s="250"/>
      <c r="BG589" s="250"/>
      <c r="BH589" s="250"/>
      <c r="BI589" s="250"/>
      <c r="BJ589" s="250"/>
    </row>
    <row r="590" spans="2:62" ht="15.75" customHeight="1">
      <c r="B590" s="7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250"/>
      <c r="Z590" s="250"/>
      <c r="AA590" s="250"/>
      <c r="AB590" s="250"/>
      <c r="AC590" s="250"/>
      <c r="AD590" s="250"/>
      <c r="AE590" s="250"/>
      <c r="AF590" s="250"/>
      <c r="AG590" s="250"/>
      <c r="AH590" s="250"/>
      <c r="AI590" s="250"/>
      <c r="AJ590" s="250"/>
      <c r="AK590" s="250"/>
      <c r="AL590" s="250"/>
      <c r="AM590" s="250"/>
      <c r="AN590" s="250"/>
      <c r="AO590" s="250"/>
      <c r="AP590" s="250"/>
      <c r="AQ590" s="250"/>
      <c r="AR590" s="250"/>
      <c r="AS590" s="250"/>
      <c r="AT590" s="250"/>
      <c r="AU590" s="250"/>
      <c r="AV590" s="250"/>
      <c r="AW590" s="250"/>
      <c r="AX590" s="250"/>
      <c r="AY590" s="250"/>
      <c r="AZ590" s="250"/>
      <c r="BA590" s="250"/>
      <c r="BB590" s="250"/>
      <c r="BC590" s="250"/>
      <c r="BD590" s="250"/>
      <c r="BE590" s="250"/>
      <c r="BF590" s="250"/>
      <c r="BG590" s="250"/>
      <c r="BH590" s="250"/>
      <c r="BI590" s="250"/>
      <c r="BJ590" s="250"/>
    </row>
    <row r="591" spans="2:62" ht="15.75" customHeight="1">
      <c r="B591" s="7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250"/>
      <c r="Z591" s="250"/>
      <c r="AA591" s="250"/>
      <c r="AB591" s="250"/>
      <c r="AC591" s="250"/>
      <c r="AD591" s="250"/>
      <c r="AE591" s="250"/>
      <c r="AF591" s="250"/>
      <c r="AG591" s="250"/>
      <c r="AH591" s="250"/>
      <c r="AI591" s="250"/>
      <c r="AJ591" s="250"/>
      <c r="AK591" s="250"/>
      <c r="AL591" s="250"/>
      <c r="AM591" s="250"/>
      <c r="AN591" s="250"/>
      <c r="AO591" s="250"/>
      <c r="AP591" s="250"/>
      <c r="AQ591" s="250"/>
      <c r="AR591" s="250"/>
      <c r="AS591" s="250"/>
      <c r="AT591" s="250"/>
      <c r="AU591" s="250"/>
      <c r="AV591" s="250"/>
      <c r="AW591" s="250"/>
      <c r="AX591" s="250"/>
      <c r="AY591" s="250"/>
      <c r="AZ591" s="250"/>
      <c r="BA591" s="250"/>
      <c r="BB591" s="250"/>
      <c r="BC591" s="250"/>
      <c r="BD591" s="250"/>
      <c r="BE591" s="250"/>
      <c r="BF591" s="250"/>
      <c r="BG591" s="250"/>
      <c r="BH591" s="250"/>
      <c r="BI591" s="250"/>
      <c r="BJ591" s="250"/>
    </row>
    <row r="592" spans="2:62" ht="15.75" customHeight="1">
      <c r="B592" s="7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250"/>
      <c r="Z592" s="250"/>
      <c r="AA592" s="250"/>
      <c r="AB592" s="250"/>
      <c r="AC592" s="250"/>
      <c r="AD592" s="250"/>
      <c r="AE592" s="250"/>
      <c r="AF592" s="250"/>
      <c r="AG592" s="250"/>
      <c r="AH592" s="250"/>
      <c r="AI592" s="250"/>
      <c r="AJ592" s="250"/>
      <c r="AK592" s="250"/>
      <c r="AL592" s="250"/>
      <c r="AM592" s="250"/>
      <c r="AN592" s="250"/>
      <c r="AO592" s="250"/>
      <c r="AP592" s="250"/>
      <c r="AQ592" s="250"/>
      <c r="AR592" s="250"/>
      <c r="AS592" s="250"/>
      <c r="AT592" s="250"/>
      <c r="AU592" s="250"/>
      <c r="AV592" s="250"/>
      <c r="AW592" s="250"/>
      <c r="AX592" s="250"/>
      <c r="AY592" s="250"/>
      <c r="AZ592" s="250"/>
      <c r="BA592" s="250"/>
      <c r="BB592" s="250"/>
      <c r="BC592" s="250"/>
      <c r="BD592" s="250"/>
      <c r="BE592" s="250"/>
      <c r="BF592" s="250"/>
      <c r="BG592" s="250"/>
      <c r="BH592" s="250"/>
      <c r="BI592" s="250"/>
      <c r="BJ592" s="250"/>
    </row>
    <row r="593" spans="2:62" ht="15.75" customHeight="1">
      <c r="B593" s="7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250"/>
      <c r="Z593" s="250"/>
      <c r="AA593" s="250"/>
      <c r="AB593" s="250"/>
      <c r="AC593" s="250"/>
      <c r="AD593" s="250"/>
      <c r="AE593" s="250"/>
      <c r="AF593" s="250"/>
      <c r="AG593" s="250"/>
      <c r="AH593" s="250"/>
      <c r="AI593" s="250"/>
      <c r="AJ593" s="250"/>
      <c r="AK593" s="250"/>
      <c r="AL593" s="250"/>
      <c r="AM593" s="250"/>
      <c r="AN593" s="250"/>
      <c r="AO593" s="250"/>
      <c r="AP593" s="250"/>
      <c r="AQ593" s="250"/>
      <c r="AR593" s="250"/>
      <c r="AS593" s="250"/>
      <c r="AT593" s="250"/>
      <c r="AU593" s="250"/>
      <c r="AV593" s="250"/>
      <c r="AW593" s="250"/>
      <c r="AX593" s="250"/>
      <c r="AY593" s="250"/>
      <c r="AZ593" s="250"/>
      <c r="BA593" s="250"/>
      <c r="BB593" s="250"/>
      <c r="BC593" s="250"/>
      <c r="BD593" s="250"/>
      <c r="BE593" s="250"/>
      <c r="BF593" s="250"/>
      <c r="BG593" s="250"/>
      <c r="BH593" s="250"/>
      <c r="BI593" s="250"/>
      <c r="BJ593" s="250"/>
    </row>
    <row r="594" spans="2:62" ht="15.75" customHeight="1">
      <c r="B594" s="7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250"/>
      <c r="Z594" s="250"/>
      <c r="AA594" s="250"/>
      <c r="AB594" s="250"/>
      <c r="AC594" s="250"/>
      <c r="AD594" s="250"/>
      <c r="AE594" s="250"/>
      <c r="AF594" s="250"/>
      <c r="AG594" s="250"/>
      <c r="AH594" s="250"/>
      <c r="AI594" s="250"/>
      <c r="AJ594" s="250"/>
      <c r="AK594" s="250"/>
      <c r="AL594" s="250"/>
      <c r="AM594" s="250"/>
      <c r="AN594" s="250"/>
      <c r="AO594" s="250"/>
      <c r="AP594" s="250"/>
      <c r="AQ594" s="250"/>
      <c r="AR594" s="250"/>
      <c r="AS594" s="250"/>
      <c r="AT594" s="250"/>
      <c r="AU594" s="250"/>
      <c r="AV594" s="250"/>
      <c r="AW594" s="250"/>
      <c r="AX594" s="250"/>
      <c r="AY594" s="250"/>
      <c r="AZ594" s="250"/>
      <c r="BA594" s="250"/>
      <c r="BB594" s="250"/>
      <c r="BC594" s="250"/>
      <c r="BD594" s="250"/>
      <c r="BE594" s="250"/>
      <c r="BF594" s="250"/>
      <c r="BG594" s="250"/>
      <c r="BH594" s="250"/>
      <c r="BI594" s="250"/>
      <c r="BJ594" s="250"/>
    </row>
    <row r="595" spans="2:62" ht="15.75" customHeight="1">
      <c r="B595" s="7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250"/>
      <c r="Z595" s="250"/>
      <c r="AA595" s="250"/>
      <c r="AB595" s="250"/>
      <c r="AC595" s="250"/>
      <c r="AD595" s="250"/>
      <c r="AE595" s="250"/>
      <c r="AF595" s="250"/>
      <c r="AG595" s="250"/>
      <c r="AH595" s="250"/>
      <c r="AI595" s="250"/>
      <c r="AJ595" s="250"/>
      <c r="AK595" s="250"/>
      <c r="AL595" s="250"/>
      <c r="AM595" s="250"/>
      <c r="AN595" s="250"/>
      <c r="AO595" s="250"/>
      <c r="AP595" s="250"/>
      <c r="AQ595" s="250"/>
      <c r="AR595" s="250"/>
      <c r="AS595" s="250"/>
      <c r="AT595" s="250"/>
      <c r="AU595" s="250"/>
      <c r="AV595" s="250"/>
      <c r="AW595" s="250"/>
      <c r="AX595" s="250"/>
      <c r="AY595" s="250"/>
      <c r="AZ595" s="250"/>
      <c r="BA595" s="250"/>
      <c r="BB595" s="250"/>
      <c r="BC595" s="250"/>
      <c r="BD595" s="250"/>
      <c r="BE595" s="250"/>
      <c r="BF595" s="250"/>
      <c r="BG595" s="250"/>
      <c r="BH595" s="250"/>
      <c r="BI595" s="250"/>
      <c r="BJ595" s="250"/>
    </row>
    <row r="596" spans="2:62" ht="15.75" customHeight="1">
      <c r="B596" s="7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250"/>
      <c r="Z596" s="250"/>
      <c r="AA596" s="250"/>
      <c r="AB596" s="250"/>
      <c r="AC596" s="250"/>
      <c r="AD596" s="250"/>
      <c r="AE596" s="250"/>
      <c r="AF596" s="250"/>
      <c r="AG596" s="250"/>
      <c r="AH596" s="250"/>
      <c r="AI596" s="250"/>
      <c r="AJ596" s="250"/>
      <c r="AK596" s="250"/>
      <c r="AL596" s="250"/>
      <c r="AM596" s="250"/>
      <c r="AN596" s="250"/>
      <c r="AO596" s="250"/>
      <c r="AP596" s="250"/>
      <c r="AQ596" s="250"/>
      <c r="AR596" s="250"/>
      <c r="AS596" s="250"/>
      <c r="AT596" s="250"/>
      <c r="AU596" s="250"/>
      <c r="AV596" s="250"/>
      <c r="AW596" s="250"/>
      <c r="AX596" s="250"/>
      <c r="AY596" s="250"/>
      <c r="AZ596" s="250"/>
      <c r="BA596" s="250"/>
      <c r="BB596" s="250"/>
      <c r="BC596" s="250"/>
      <c r="BD596" s="250"/>
      <c r="BE596" s="250"/>
      <c r="BF596" s="250"/>
      <c r="BG596" s="250"/>
      <c r="BH596" s="250"/>
      <c r="BI596" s="250"/>
      <c r="BJ596" s="250"/>
    </row>
    <row r="597" spans="2:62" ht="15.75" customHeight="1">
      <c r="B597" s="7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250"/>
      <c r="Z597" s="250"/>
      <c r="AA597" s="250"/>
      <c r="AB597" s="250"/>
      <c r="AC597" s="250"/>
      <c r="AD597" s="250"/>
      <c r="AE597" s="250"/>
      <c r="AF597" s="250"/>
      <c r="AG597" s="250"/>
      <c r="AH597" s="250"/>
      <c r="AI597" s="250"/>
      <c r="AJ597" s="250"/>
      <c r="AK597" s="250"/>
      <c r="AL597" s="250"/>
      <c r="AM597" s="250"/>
      <c r="AN597" s="250"/>
      <c r="AO597" s="250"/>
      <c r="AP597" s="250"/>
      <c r="AQ597" s="250"/>
      <c r="AR597" s="250"/>
      <c r="AS597" s="250"/>
      <c r="AT597" s="250"/>
      <c r="AU597" s="250"/>
      <c r="AV597" s="250"/>
      <c r="AW597" s="250"/>
      <c r="AX597" s="250"/>
      <c r="AY597" s="250"/>
      <c r="AZ597" s="250"/>
      <c r="BA597" s="250"/>
      <c r="BB597" s="250"/>
      <c r="BC597" s="250"/>
      <c r="BD597" s="250"/>
      <c r="BE597" s="250"/>
      <c r="BF597" s="250"/>
      <c r="BG597" s="250"/>
      <c r="BH597" s="250"/>
      <c r="BI597" s="250"/>
      <c r="BJ597" s="250"/>
    </row>
    <row r="598" spans="2:62" ht="15.75" customHeight="1">
      <c r="B598" s="7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250"/>
      <c r="Z598" s="250"/>
      <c r="AA598" s="250"/>
      <c r="AB598" s="250"/>
      <c r="AC598" s="250"/>
      <c r="AD598" s="250"/>
      <c r="AE598" s="250"/>
      <c r="AF598" s="250"/>
      <c r="AG598" s="250"/>
      <c r="AH598" s="250"/>
      <c r="AI598" s="250"/>
      <c r="AJ598" s="250"/>
      <c r="AK598" s="250"/>
      <c r="AL598" s="250"/>
      <c r="AM598" s="250"/>
      <c r="AN598" s="250"/>
      <c r="AO598" s="250"/>
      <c r="AP598" s="250"/>
      <c r="AQ598" s="250"/>
      <c r="AR598" s="250"/>
      <c r="AS598" s="250"/>
      <c r="AT598" s="250"/>
      <c r="AU598" s="250"/>
      <c r="AV598" s="250"/>
      <c r="AW598" s="250"/>
      <c r="AX598" s="250"/>
      <c r="AY598" s="250"/>
      <c r="AZ598" s="250"/>
      <c r="BA598" s="250"/>
      <c r="BB598" s="250"/>
      <c r="BC598" s="250"/>
      <c r="BD598" s="250"/>
      <c r="BE598" s="250"/>
      <c r="BF598" s="250"/>
      <c r="BG598" s="250"/>
      <c r="BH598" s="250"/>
      <c r="BI598" s="250"/>
      <c r="BJ598" s="250"/>
    </row>
    <row r="599" spans="2:62" ht="15.75" customHeight="1">
      <c r="B599" s="7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250"/>
      <c r="Z599" s="250"/>
      <c r="AA599" s="250"/>
      <c r="AB599" s="250"/>
      <c r="AC599" s="250"/>
      <c r="AD599" s="250"/>
      <c r="AE599" s="250"/>
      <c r="AF599" s="250"/>
      <c r="AG599" s="250"/>
      <c r="AH599" s="250"/>
      <c r="AI599" s="250"/>
      <c r="AJ599" s="250"/>
      <c r="AK599" s="250"/>
      <c r="AL599" s="250"/>
      <c r="AM599" s="250"/>
      <c r="AN599" s="250"/>
      <c r="AO599" s="250"/>
      <c r="AP599" s="250"/>
      <c r="AQ599" s="250"/>
      <c r="AR599" s="250"/>
      <c r="AS599" s="250"/>
      <c r="AT599" s="250"/>
      <c r="AU599" s="250"/>
      <c r="AV599" s="250"/>
      <c r="AW599" s="250"/>
      <c r="AX599" s="250"/>
      <c r="AY599" s="250"/>
      <c r="AZ599" s="250"/>
      <c r="BA599" s="250"/>
      <c r="BB599" s="250"/>
      <c r="BC599" s="250"/>
      <c r="BD599" s="250"/>
      <c r="BE599" s="250"/>
      <c r="BF599" s="250"/>
      <c r="BG599" s="250"/>
      <c r="BH599" s="250"/>
      <c r="BI599" s="250"/>
      <c r="BJ599" s="250"/>
    </row>
    <row r="600" spans="2:62" ht="15.75" customHeight="1">
      <c r="B600" s="7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250"/>
      <c r="Z600" s="250"/>
      <c r="AA600" s="250"/>
      <c r="AB600" s="250"/>
      <c r="AC600" s="250"/>
      <c r="AD600" s="250"/>
      <c r="AE600" s="250"/>
      <c r="AF600" s="250"/>
      <c r="AG600" s="250"/>
      <c r="AH600" s="250"/>
      <c r="AI600" s="250"/>
      <c r="AJ600" s="250"/>
      <c r="AK600" s="250"/>
      <c r="AL600" s="250"/>
      <c r="AM600" s="250"/>
      <c r="AN600" s="250"/>
      <c r="AO600" s="250"/>
      <c r="AP600" s="250"/>
      <c r="AQ600" s="250"/>
      <c r="AR600" s="250"/>
      <c r="AS600" s="250"/>
      <c r="AT600" s="250"/>
      <c r="AU600" s="250"/>
      <c r="AV600" s="250"/>
      <c r="AW600" s="250"/>
      <c r="AX600" s="250"/>
      <c r="AY600" s="250"/>
      <c r="AZ600" s="250"/>
      <c r="BA600" s="250"/>
      <c r="BB600" s="250"/>
      <c r="BC600" s="250"/>
      <c r="BD600" s="250"/>
      <c r="BE600" s="250"/>
      <c r="BF600" s="250"/>
      <c r="BG600" s="250"/>
      <c r="BH600" s="250"/>
      <c r="BI600" s="250"/>
      <c r="BJ600" s="250"/>
    </row>
    <row r="601" spans="2:62" ht="15.75" customHeight="1">
      <c r="B601" s="7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250"/>
      <c r="Z601" s="250"/>
      <c r="AA601" s="250"/>
      <c r="AB601" s="250"/>
      <c r="AC601" s="250"/>
      <c r="AD601" s="250"/>
      <c r="AE601" s="250"/>
      <c r="AF601" s="250"/>
      <c r="AG601" s="250"/>
      <c r="AH601" s="250"/>
      <c r="AI601" s="250"/>
      <c r="AJ601" s="250"/>
      <c r="AK601" s="250"/>
      <c r="AL601" s="250"/>
      <c r="AM601" s="250"/>
      <c r="AN601" s="250"/>
      <c r="AO601" s="250"/>
      <c r="AP601" s="250"/>
      <c r="AQ601" s="250"/>
      <c r="AR601" s="250"/>
      <c r="AS601" s="250"/>
      <c r="AT601" s="250"/>
      <c r="AU601" s="250"/>
      <c r="AV601" s="250"/>
      <c r="AW601" s="250"/>
      <c r="AX601" s="250"/>
      <c r="AY601" s="250"/>
      <c r="AZ601" s="250"/>
      <c r="BA601" s="250"/>
      <c r="BB601" s="250"/>
      <c r="BC601" s="250"/>
      <c r="BD601" s="250"/>
      <c r="BE601" s="250"/>
      <c r="BF601" s="250"/>
      <c r="BG601" s="250"/>
      <c r="BH601" s="250"/>
      <c r="BI601" s="250"/>
      <c r="BJ601" s="250"/>
    </row>
    <row r="602" spans="2:62" ht="15.75" customHeight="1">
      <c r="B602" s="7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250"/>
      <c r="Z602" s="250"/>
      <c r="AA602" s="250"/>
      <c r="AB602" s="250"/>
      <c r="AC602" s="250"/>
      <c r="AD602" s="250"/>
      <c r="AE602" s="250"/>
      <c r="AF602" s="250"/>
      <c r="AG602" s="250"/>
      <c r="AH602" s="250"/>
      <c r="AI602" s="250"/>
      <c r="AJ602" s="250"/>
      <c r="AK602" s="250"/>
      <c r="AL602" s="250"/>
      <c r="AM602" s="250"/>
      <c r="AN602" s="250"/>
      <c r="AO602" s="250"/>
      <c r="AP602" s="250"/>
      <c r="AQ602" s="250"/>
      <c r="AR602" s="250"/>
      <c r="AS602" s="250"/>
      <c r="AT602" s="250"/>
      <c r="AU602" s="250"/>
      <c r="AV602" s="250"/>
      <c r="AW602" s="250"/>
      <c r="AX602" s="250"/>
      <c r="AY602" s="250"/>
      <c r="AZ602" s="250"/>
      <c r="BA602" s="250"/>
      <c r="BB602" s="250"/>
      <c r="BC602" s="250"/>
      <c r="BD602" s="250"/>
      <c r="BE602" s="250"/>
      <c r="BF602" s="250"/>
      <c r="BG602" s="250"/>
      <c r="BH602" s="250"/>
      <c r="BI602" s="250"/>
      <c r="BJ602" s="250"/>
    </row>
    <row r="603" spans="2:62" ht="15.75" customHeight="1">
      <c r="B603" s="7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250"/>
      <c r="Z603" s="250"/>
      <c r="AA603" s="250"/>
      <c r="AB603" s="250"/>
      <c r="AC603" s="250"/>
      <c r="AD603" s="250"/>
      <c r="AE603" s="250"/>
      <c r="AF603" s="250"/>
      <c r="AG603" s="250"/>
      <c r="AH603" s="250"/>
      <c r="AI603" s="250"/>
      <c r="AJ603" s="250"/>
      <c r="AK603" s="250"/>
      <c r="AL603" s="250"/>
      <c r="AM603" s="250"/>
      <c r="AN603" s="250"/>
      <c r="AO603" s="250"/>
      <c r="AP603" s="250"/>
      <c r="AQ603" s="250"/>
      <c r="AR603" s="250"/>
      <c r="AS603" s="250"/>
      <c r="AT603" s="250"/>
      <c r="AU603" s="250"/>
      <c r="AV603" s="250"/>
      <c r="AW603" s="250"/>
      <c r="AX603" s="250"/>
      <c r="AY603" s="250"/>
      <c r="AZ603" s="250"/>
      <c r="BA603" s="250"/>
      <c r="BB603" s="250"/>
      <c r="BC603" s="250"/>
      <c r="BD603" s="250"/>
      <c r="BE603" s="250"/>
      <c r="BF603" s="250"/>
      <c r="BG603" s="250"/>
      <c r="BH603" s="250"/>
      <c r="BI603" s="250"/>
      <c r="BJ603" s="250"/>
    </row>
    <row r="604" spans="2:62" ht="15.75" customHeight="1">
      <c r="B604" s="7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250"/>
      <c r="Z604" s="250"/>
      <c r="AA604" s="250"/>
      <c r="AB604" s="250"/>
      <c r="AC604" s="250"/>
      <c r="AD604" s="250"/>
      <c r="AE604" s="250"/>
      <c r="AF604" s="250"/>
      <c r="AG604" s="250"/>
      <c r="AH604" s="250"/>
      <c r="AI604" s="250"/>
      <c r="AJ604" s="250"/>
      <c r="AK604" s="250"/>
      <c r="AL604" s="250"/>
      <c r="AM604" s="250"/>
      <c r="AN604" s="250"/>
      <c r="AO604" s="250"/>
      <c r="AP604" s="250"/>
      <c r="AQ604" s="250"/>
      <c r="AR604" s="250"/>
      <c r="AS604" s="250"/>
      <c r="AT604" s="250"/>
      <c r="AU604" s="250"/>
      <c r="AV604" s="250"/>
      <c r="AW604" s="250"/>
      <c r="AX604" s="250"/>
      <c r="AY604" s="250"/>
      <c r="AZ604" s="250"/>
      <c r="BA604" s="250"/>
      <c r="BB604" s="250"/>
      <c r="BC604" s="250"/>
      <c r="BD604" s="250"/>
      <c r="BE604" s="250"/>
      <c r="BF604" s="250"/>
      <c r="BG604" s="250"/>
      <c r="BH604" s="250"/>
      <c r="BI604" s="250"/>
      <c r="BJ604" s="250"/>
    </row>
    <row r="605" spans="2:62" ht="15.75" customHeight="1">
      <c r="B605" s="7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250"/>
      <c r="Z605" s="250"/>
      <c r="AA605" s="250"/>
      <c r="AB605" s="250"/>
      <c r="AC605" s="250"/>
      <c r="AD605" s="250"/>
      <c r="AE605" s="250"/>
      <c r="AF605" s="250"/>
      <c r="AG605" s="250"/>
      <c r="AH605" s="250"/>
      <c r="AI605" s="250"/>
      <c r="AJ605" s="250"/>
      <c r="AK605" s="250"/>
      <c r="AL605" s="250"/>
      <c r="AM605" s="250"/>
      <c r="AN605" s="250"/>
      <c r="AO605" s="250"/>
      <c r="AP605" s="250"/>
      <c r="AQ605" s="250"/>
      <c r="AR605" s="250"/>
      <c r="AS605" s="250"/>
      <c r="AT605" s="250"/>
      <c r="AU605" s="250"/>
      <c r="AV605" s="250"/>
      <c r="AW605" s="250"/>
      <c r="AX605" s="250"/>
      <c r="AY605" s="250"/>
      <c r="AZ605" s="250"/>
      <c r="BA605" s="250"/>
      <c r="BB605" s="250"/>
      <c r="BC605" s="250"/>
      <c r="BD605" s="250"/>
      <c r="BE605" s="250"/>
      <c r="BF605" s="250"/>
      <c r="BG605" s="250"/>
      <c r="BH605" s="250"/>
      <c r="BI605" s="250"/>
      <c r="BJ605" s="250"/>
    </row>
    <row r="606" spans="2:62" ht="15.75" customHeight="1">
      <c r="B606" s="7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250"/>
      <c r="Z606" s="250"/>
      <c r="AA606" s="250"/>
      <c r="AB606" s="250"/>
      <c r="AC606" s="250"/>
      <c r="AD606" s="250"/>
      <c r="AE606" s="250"/>
      <c r="AF606" s="250"/>
      <c r="AG606" s="250"/>
      <c r="AH606" s="250"/>
      <c r="AI606" s="250"/>
      <c r="AJ606" s="250"/>
      <c r="AK606" s="250"/>
      <c r="AL606" s="250"/>
      <c r="AM606" s="250"/>
      <c r="AN606" s="250"/>
      <c r="AO606" s="250"/>
      <c r="AP606" s="250"/>
      <c r="AQ606" s="250"/>
      <c r="AR606" s="250"/>
      <c r="AS606" s="250"/>
      <c r="AT606" s="250"/>
      <c r="AU606" s="250"/>
      <c r="AV606" s="250"/>
      <c r="AW606" s="250"/>
      <c r="AX606" s="250"/>
      <c r="AY606" s="250"/>
      <c r="AZ606" s="250"/>
      <c r="BA606" s="250"/>
      <c r="BB606" s="250"/>
      <c r="BC606" s="250"/>
      <c r="BD606" s="250"/>
      <c r="BE606" s="250"/>
      <c r="BF606" s="250"/>
      <c r="BG606" s="250"/>
      <c r="BH606" s="250"/>
      <c r="BI606" s="250"/>
      <c r="BJ606" s="250"/>
    </row>
    <row r="607" spans="2:62" ht="15.75" customHeight="1">
      <c r="B607" s="7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250"/>
      <c r="Z607" s="250"/>
      <c r="AA607" s="250"/>
      <c r="AB607" s="250"/>
      <c r="AC607" s="250"/>
      <c r="AD607" s="250"/>
      <c r="AE607" s="250"/>
      <c r="AF607" s="250"/>
      <c r="AG607" s="250"/>
      <c r="AH607" s="250"/>
      <c r="AI607" s="250"/>
      <c r="AJ607" s="250"/>
      <c r="AK607" s="250"/>
      <c r="AL607" s="250"/>
      <c r="AM607" s="250"/>
      <c r="AN607" s="250"/>
      <c r="AO607" s="250"/>
      <c r="AP607" s="250"/>
      <c r="AQ607" s="250"/>
      <c r="AR607" s="250"/>
      <c r="AS607" s="250"/>
      <c r="AT607" s="250"/>
      <c r="AU607" s="250"/>
      <c r="AV607" s="250"/>
      <c r="AW607" s="250"/>
      <c r="AX607" s="250"/>
      <c r="AY607" s="250"/>
      <c r="AZ607" s="250"/>
      <c r="BA607" s="250"/>
      <c r="BB607" s="250"/>
      <c r="BC607" s="250"/>
      <c r="BD607" s="250"/>
      <c r="BE607" s="250"/>
      <c r="BF607" s="250"/>
      <c r="BG607" s="250"/>
      <c r="BH607" s="250"/>
      <c r="BI607" s="250"/>
      <c r="BJ607" s="250"/>
    </row>
    <row r="608" spans="2:62" ht="15.75" customHeight="1">
      <c r="B608" s="7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250"/>
      <c r="Z608" s="250"/>
      <c r="AA608" s="250"/>
      <c r="AB608" s="250"/>
      <c r="AC608" s="250"/>
      <c r="AD608" s="250"/>
      <c r="AE608" s="250"/>
      <c r="AF608" s="250"/>
      <c r="AG608" s="250"/>
      <c r="AH608" s="250"/>
      <c r="AI608" s="250"/>
      <c r="AJ608" s="250"/>
      <c r="AK608" s="250"/>
      <c r="AL608" s="250"/>
      <c r="AM608" s="250"/>
      <c r="AN608" s="250"/>
      <c r="AO608" s="250"/>
      <c r="AP608" s="250"/>
      <c r="AQ608" s="250"/>
      <c r="AR608" s="250"/>
      <c r="AS608" s="250"/>
      <c r="AT608" s="250"/>
      <c r="AU608" s="250"/>
      <c r="AV608" s="250"/>
      <c r="AW608" s="250"/>
      <c r="AX608" s="250"/>
      <c r="AY608" s="250"/>
      <c r="AZ608" s="250"/>
      <c r="BA608" s="250"/>
      <c r="BB608" s="250"/>
      <c r="BC608" s="250"/>
      <c r="BD608" s="250"/>
      <c r="BE608" s="250"/>
      <c r="BF608" s="250"/>
      <c r="BG608" s="250"/>
      <c r="BH608" s="250"/>
      <c r="BI608" s="250"/>
      <c r="BJ608" s="250"/>
    </row>
    <row r="609" spans="2:62" ht="15.75" customHeight="1">
      <c r="B609" s="7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250"/>
      <c r="Z609" s="250"/>
      <c r="AA609" s="250"/>
      <c r="AB609" s="250"/>
      <c r="AC609" s="250"/>
      <c r="AD609" s="250"/>
      <c r="AE609" s="250"/>
      <c r="AF609" s="250"/>
      <c r="AG609" s="250"/>
      <c r="AH609" s="250"/>
      <c r="AI609" s="250"/>
      <c r="AJ609" s="250"/>
      <c r="AK609" s="250"/>
      <c r="AL609" s="250"/>
      <c r="AM609" s="250"/>
      <c r="AN609" s="250"/>
      <c r="AO609" s="250"/>
      <c r="AP609" s="250"/>
      <c r="AQ609" s="250"/>
      <c r="AR609" s="250"/>
      <c r="AS609" s="250"/>
      <c r="AT609" s="250"/>
      <c r="AU609" s="250"/>
      <c r="AV609" s="250"/>
      <c r="AW609" s="250"/>
      <c r="AX609" s="250"/>
      <c r="AY609" s="250"/>
      <c r="AZ609" s="250"/>
      <c r="BA609" s="250"/>
      <c r="BB609" s="250"/>
      <c r="BC609" s="250"/>
      <c r="BD609" s="250"/>
      <c r="BE609" s="250"/>
      <c r="BF609" s="250"/>
      <c r="BG609" s="250"/>
      <c r="BH609" s="250"/>
      <c r="BI609" s="250"/>
      <c r="BJ609" s="250"/>
    </row>
    <row r="610" spans="2:62" ht="15.75" customHeight="1">
      <c r="B610" s="7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250"/>
      <c r="Z610" s="250"/>
      <c r="AA610" s="250"/>
      <c r="AB610" s="250"/>
      <c r="AC610" s="250"/>
      <c r="AD610" s="250"/>
      <c r="AE610" s="250"/>
      <c r="AF610" s="250"/>
      <c r="AG610" s="250"/>
      <c r="AH610" s="250"/>
      <c r="AI610" s="250"/>
      <c r="AJ610" s="250"/>
      <c r="AK610" s="250"/>
      <c r="AL610" s="250"/>
      <c r="AM610" s="250"/>
      <c r="AN610" s="250"/>
      <c r="AO610" s="250"/>
      <c r="AP610" s="250"/>
      <c r="AQ610" s="250"/>
      <c r="AR610" s="250"/>
      <c r="AS610" s="250"/>
      <c r="AT610" s="250"/>
      <c r="AU610" s="250"/>
      <c r="AV610" s="250"/>
      <c r="AW610" s="250"/>
      <c r="AX610" s="250"/>
      <c r="AY610" s="250"/>
      <c r="AZ610" s="250"/>
      <c r="BA610" s="250"/>
      <c r="BB610" s="250"/>
      <c r="BC610" s="250"/>
      <c r="BD610" s="250"/>
      <c r="BE610" s="250"/>
      <c r="BF610" s="250"/>
      <c r="BG610" s="250"/>
      <c r="BH610" s="250"/>
      <c r="BI610" s="250"/>
      <c r="BJ610" s="250"/>
    </row>
    <row r="611" spans="2:62" ht="15.75" customHeight="1">
      <c r="B611" s="7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250"/>
      <c r="Z611" s="250"/>
      <c r="AA611" s="250"/>
      <c r="AB611" s="250"/>
      <c r="AC611" s="250"/>
      <c r="AD611" s="250"/>
      <c r="AE611" s="250"/>
      <c r="AF611" s="250"/>
      <c r="AG611" s="250"/>
      <c r="AH611" s="250"/>
      <c r="AI611" s="250"/>
      <c r="AJ611" s="250"/>
      <c r="AK611" s="250"/>
      <c r="AL611" s="250"/>
      <c r="AM611" s="250"/>
      <c r="AN611" s="250"/>
      <c r="AO611" s="250"/>
      <c r="AP611" s="250"/>
      <c r="AQ611" s="250"/>
      <c r="AR611" s="250"/>
      <c r="AS611" s="250"/>
      <c r="AT611" s="250"/>
      <c r="AU611" s="250"/>
      <c r="AV611" s="250"/>
      <c r="AW611" s="250"/>
      <c r="AX611" s="250"/>
      <c r="AY611" s="250"/>
      <c r="AZ611" s="250"/>
      <c r="BA611" s="250"/>
      <c r="BB611" s="250"/>
      <c r="BC611" s="250"/>
      <c r="BD611" s="250"/>
      <c r="BE611" s="250"/>
      <c r="BF611" s="250"/>
      <c r="BG611" s="250"/>
      <c r="BH611" s="250"/>
      <c r="BI611" s="250"/>
      <c r="BJ611" s="250"/>
    </row>
    <row r="612" spans="2:62" ht="15.75" customHeight="1">
      <c r="B612" s="7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250"/>
      <c r="Z612" s="250"/>
      <c r="AA612" s="250"/>
      <c r="AB612" s="250"/>
      <c r="AC612" s="250"/>
      <c r="AD612" s="250"/>
      <c r="AE612" s="250"/>
      <c r="AF612" s="250"/>
      <c r="AG612" s="250"/>
      <c r="AH612" s="250"/>
      <c r="AI612" s="250"/>
      <c r="AJ612" s="250"/>
      <c r="AK612" s="250"/>
      <c r="AL612" s="250"/>
      <c r="AM612" s="250"/>
      <c r="AN612" s="250"/>
      <c r="AO612" s="250"/>
      <c r="AP612" s="250"/>
      <c r="AQ612" s="250"/>
      <c r="AR612" s="250"/>
      <c r="AS612" s="250"/>
      <c r="AT612" s="250"/>
      <c r="AU612" s="250"/>
      <c r="AV612" s="250"/>
      <c r="AW612" s="250"/>
      <c r="AX612" s="250"/>
      <c r="AY612" s="250"/>
      <c r="AZ612" s="250"/>
      <c r="BA612" s="250"/>
      <c r="BB612" s="250"/>
      <c r="BC612" s="250"/>
      <c r="BD612" s="250"/>
      <c r="BE612" s="250"/>
      <c r="BF612" s="250"/>
      <c r="BG612" s="250"/>
      <c r="BH612" s="250"/>
      <c r="BI612" s="250"/>
      <c r="BJ612" s="250"/>
    </row>
    <row r="613" spans="2:62" ht="15.75" customHeight="1">
      <c r="B613" s="7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250"/>
      <c r="Z613" s="250"/>
      <c r="AA613" s="250"/>
      <c r="AB613" s="250"/>
      <c r="AC613" s="250"/>
      <c r="AD613" s="250"/>
      <c r="AE613" s="250"/>
      <c r="AF613" s="250"/>
      <c r="AG613" s="250"/>
      <c r="AH613" s="250"/>
      <c r="AI613" s="250"/>
      <c r="AJ613" s="250"/>
      <c r="AK613" s="250"/>
      <c r="AL613" s="250"/>
      <c r="AM613" s="250"/>
      <c r="AN613" s="250"/>
      <c r="AO613" s="250"/>
      <c r="AP613" s="250"/>
      <c r="AQ613" s="250"/>
      <c r="AR613" s="250"/>
      <c r="AS613" s="250"/>
      <c r="AT613" s="250"/>
      <c r="AU613" s="250"/>
      <c r="AV613" s="250"/>
      <c r="AW613" s="250"/>
      <c r="AX613" s="250"/>
      <c r="AY613" s="250"/>
      <c r="AZ613" s="250"/>
      <c r="BA613" s="250"/>
      <c r="BB613" s="250"/>
      <c r="BC613" s="250"/>
      <c r="BD613" s="250"/>
      <c r="BE613" s="250"/>
      <c r="BF613" s="250"/>
      <c r="BG613" s="250"/>
      <c r="BH613" s="250"/>
      <c r="BI613" s="250"/>
      <c r="BJ613" s="250"/>
    </row>
    <row r="614" spans="2:62" ht="15.75" customHeight="1">
      <c r="B614" s="7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250"/>
      <c r="Z614" s="250"/>
      <c r="AA614" s="250"/>
      <c r="AB614" s="250"/>
      <c r="AC614" s="250"/>
      <c r="AD614" s="250"/>
      <c r="AE614" s="250"/>
      <c r="AF614" s="250"/>
      <c r="AG614" s="250"/>
      <c r="AH614" s="250"/>
      <c r="AI614" s="250"/>
      <c r="AJ614" s="250"/>
      <c r="AK614" s="250"/>
      <c r="AL614" s="250"/>
      <c r="AM614" s="250"/>
      <c r="AN614" s="250"/>
      <c r="AO614" s="250"/>
      <c r="AP614" s="250"/>
      <c r="AQ614" s="250"/>
      <c r="AR614" s="250"/>
      <c r="AS614" s="250"/>
      <c r="AT614" s="250"/>
      <c r="AU614" s="250"/>
      <c r="AV614" s="250"/>
      <c r="AW614" s="250"/>
      <c r="AX614" s="250"/>
      <c r="AY614" s="250"/>
      <c r="AZ614" s="250"/>
      <c r="BA614" s="250"/>
      <c r="BB614" s="250"/>
      <c r="BC614" s="250"/>
      <c r="BD614" s="250"/>
      <c r="BE614" s="250"/>
      <c r="BF614" s="250"/>
      <c r="BG614" s="250"/>
      <c r="BH614" s="250"/>
      <c r="BI614" s="250"/>
      <c r="BJ614" s="250"/>
    </row>
    <row r="615" spans="2:62" ht="15.75" customHeight="1">
      <c r="B615" s="7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250"/>
      <c r="Z615" s="250"/>
      <c r="AA615" s="250"/>
      <c r="AB615" s="250"/>
      <c r="AC615" s="250"/>
      <c r="AD615" s="250"/>
      <c r="AE615" s="250"/>
      <c r="AF615" s="250"/>
      <c r="AG615" s="250"/>
      <c r="AH615" s="250"/>
      <c r="AI615" s="250"/>
      <c r="AJ615" s="250"/>
      <c r="AK615" s="250"/>
      <c r="AL615" s="250"/>
      <c r="AM615" s="250"/>
      <c r="AN615" s="250"/>
      <c r="AO615" s="250"/>
      <c r="AP615" s="250"/>
      <c r="AQ615" s="250"/>
      <c r="AR615" s="250"/>
      <c r="AS615" s="250"/>
      <c r="AT615" s="250"/>
      <c r="AU615" s="250"/>
      <c r="AV615" s="250"/>
      <c r="AW615" s="250"/>
      <c r="AX615" s="250"/>
      <c r="AY615" s="250"/>
      <c r="AZ615" s="250"/>
      <c r="BA615" s="250"/>
      <c r="BB615" s="250"/>
      <c r="BC615" s="250"/>
      <c r="BD615" s="250"/>
      <c r="BE615" s="250"/>
      <c r="BF615" s="250"/>
      <c r="BG615" s="250"/>
      <c r="BH615" s="250"/>
      <c r="BI615" s="250"/>
      <c r="BJ615" s="250"/>
    </row>
    <row r="616" spans="2:62" ht="15.75" customHeight="1">
      <c r="B616" s="7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250"/>
      <c r="Z616" s="250"/>
      <c r="AA616" s="250"/>
      <c r="AB616" s="250"/>
      <c r="AC616" s="250"/>
      <c r="AD616" s="250"/>
      <c r="AE616" s="250"/>
      <c r="AF616" s="250"/>
      <c r="AG616" s="250"/>
      <c r="AH616" s="250"/>
      <c r="AI616" s="250"/>
      <c r="AJ616" s="250"/>
      <c r="AK616" s="250"/>
      <c r="AL616" s="250"/>
      <c r="AM616" s="250"/>
      <c r="AN616" s="250"/>
      <c r="AO616" s="250"/>
      <c r="AP616" s="250"/>
      <c r="AQ616" s="250"/>
      <c r="AR616" s="250"/>
      <c r="AS616" s="250"/>
      <c r="AT616" s="250"/>
      <c r="AU616" s="250"/>
      <c r="AV616" s="250"/>
      <c r="AW616" s="250"/>
      <c r="AX616" s="250"/>
      <c r="AY616" s="250"/>
      <c r="AZ616" s="250"/>
      <c r="BA616" s="250"/>
      <c r="BB616" s="250"/>
      <c r="BC616" s="250"/>
      <c r="BD616" s="250"/>
      <c r="BE616" s="250"/>
      <c r="BF616" s="250"/>
      <c r="BG616" s="250"/>
      <c r="BH616" s="250"/>
      <c r="BI616" s="250"/>
      <c r="BJ616" s="250"/>
    </row>
    <row r="617" spans="2:62" ht="15.75" customHeight="1">
      <c r="B617" s="7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250"/>
      <c r="Z617" s="250"/>
      <c r="AA617" s="250"/>
      <c r="AB617" s="250"/>
      <c r="AC617" s="250"/>
      <c r="AD617" s="250"/>
      <c r="AE617" s="250"/>
      <c r="AF617" s="250"/>
      <c r="AG617" s="250"/>
      <c r="AH617" s="250"/>
      <c r="AI617" s="250"/>
      <c r="AJ617" s="250"/>
      <c r="AK617" s="250"/>
      <c r="AL617" s="250"/>
      <c r="AM617" s="250"/>
      <c r="AN617" s="250"/>
      <c r="AO617" s="250"/>
      <c r="AP617" s="250"/>
      <c r="AQ617" s="250"/>
      <c r="AR617" s="250"/>
      <c r="AS617" s="250"/>
      <c r="AT617" s="250"/>
      <c r="AU617" s="250"/>
      <c r="AV617" s="250"/>
      <c r="AW617" s="250"/>
      <c r="AX617" s="250"/>
      <c r="AY617" s="250"/>
      <c r="AZ617" s="250"/>
      <c r="BA617" s="250"/>
      <c r="BB617" s="250"/>
      <c r="BC617" s="250"/>
      <c r="BD617" s="250"/>
      <c r="BE617" s="250"/>
      <c r="BF617" s="250"/>
      <c r="BG617" s="250"/>
      <c r="BH617" s="250"/>
      <c r="BI617" s="250"/>
      <c r="BJ617" s="250"/>
    </row>
    <row r="618" spans="2:62" ht="15.75" customHeight="1">
      <c r="B618" s="7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250"/>
      <c r="Z618" s="250"/>
      <c r="AA618" s="250"/>
      <c r="AB618" s="250"/>
      <c r="AC618" s="250"/>
      <c r="AD618" s="250"/>
      <c r="AE618" s="250"/>
      <c r="AF618" s="250"/>
      <c r="AG618" s="250"/>
      <c r="AH618" s="250"/>
      <c r="AI618" s="250"/>
      <c r="AJ618" s="250"/>
      <c r="AK618" s="250"/>
      <c r="AL618" s="250"/>
      <c r="AM618" s="250"/>
      <c r="AN618" s="250"/>
      <c r="AO618" s="250"/>
      <c r="AP618" s="250"/>
      <c r="AQ618" s="250"/>
      <c r="AR618" s="250"/>
      <c r="AS618" s="250"/>
      <c r="AT618" s="250"/>
      <c r="AU618" s="250"/>
      <c r="AV618" s="250"/>
      <c r="AW618" s="250"/>
      <c r="AX618" s="250"/>
      <c r="AY618" s="250"/>
      <c r="AZ618" s="250"/>
      <c r="BA618" s="250"/>
      <c r="BB618" s="250"/>
      <c r="BC618" s="250"/>
      <c r="BD618" s="250"/>
      <c r="BE618" s="250"/>
      <c r="BF618" s="250"/>
      <c r="BG618" s="250"/>
      <c r="BH618" s="250"/>
      <c r="BI618" s="250"/>
      <c r="BJ618" s="250"/>
    </row>
    <row r="619" spans="2:62" ht="15.75" customHeight="1">
      <c r="B619" s="7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250"/>
      <c r="Z619" s="250"/>
      <c r="AA619" s="250"/>
      <c r="AB619" s="250"/>
      <c r="AC619" s="250"/>
      <c r="AD619" s="250"/>
      <c r="AE619" s="250"/>
      <c r="AF619" s="250"/>
      <c r="AG619" s="250"/>
      <c r="AH619" s="250"/>
      <c r="AI619" s="250"/>
      <c r="AJ619" s="250"/>
      <c r="AK619" s="250"/>
      <c r="AL619" s="250"/>
      <c r="AM619" s="250"/>
      <c r="AN619" s="250"/>
      <c r="AO619" s="250"/>
      <c r="AP619" s="250"/>
      <c r="AQ619" s="250"/>
      <c r="AR619" s="250"/>
      <c r="AS619" s="250"/>
      <c r="AT619" s="250"/>
      <c r="AU619" s="250"/>
      <c r="AV619" s="250"/>
      <c r="AW619" s="250"/>
      <c r="AX619" s="250"/>
      <c r="AY619" s="250"/>
      <c r="AZ619" s="250"/>
      <c r="BA619" s="250"/>
      <c r="BB619" s="250"/>
      <c r="BC619" s="250"/>
      <c r="BD619" s="250"/>
      <c r="BE619" s="250"/>
      <c r="BF619" s="250"/>
      <c r="BG619" s="250"/>
      <c r="BH619" s="250"/>
      <c r="BI619" s="250"/>
      <c r="BJ619" s="250"/>
    </row>
    <row r="620" spans="2:62" ht="15.75" customHeight="1">
      <c r="B620" s="7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250"/>
      <c r="Z620" s="250"/>
      <c r="AA620" s="250"/>
      <c r="AB620" s="250"/>
      <c r="AC620" s="250"/>
      <c r="AD620" s="250"/>
      <c r="AE620" s="250"/>
      <c r="AF620" s="250"/>
      <c r="AG620" s="250"/>
      <c r="AH620" s="250"/>
      <c r="AI620" s="250"/>
      <c r="AJ620" s="250"/>
      <c r="AK620" s="250"/>
      <c r="AL620" s="250"/>
      <c r="AM620" s="250"/>
      <c r="AN620" s="250"/>
      <c r="AO620" s="250"/>
      <c r="AP620" s="250"/>
      <c r="AQ620" s="250"/>
      <c r="AR620" s="250"/>
      <c r="AS620" s="250"/>
      <c r="AT620" s="250"/>
      <c r="AU620" s="250"/>
      <c r="AV620" s="250"/>
      <c r="AW620" s="250"/>
      <c r="AX620" s="250"/>
      <c r="AY620" s="250"/>
      <c r="AZ620" s="250"/>
      <c r="BA620" s="250"/>
      <c r="BB620" s="250"/>
      <c r="BC620" s="250"/>
      <c r="BD620" s="250"/>
      <c r="BE620" s="250"/>
      <c r="BF620" s="250"/>
      <c r="BG620" s="250"/>
      <c r="BH620" s="250"/>
      <c r="BI620" s="250"/>
      <c r="BJ620" s="250"/>
    </row>
    <row r="621" spans="2:62" ht="15.75" customHeight="1">
      <c r="B621" s="7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250"/>
      <c r="Z621" s="250"/>
      <c r="AA621" s="250"/>
      <c r="AB621" s="250"/>
      <c r="AC621" s="250"/>
      <c r="AD621" s="250"/>
      <c r="AE621" s="250"/>
      <c r="AF621" s="250"/>
      <c r="AG621" s="250"/>
      <c r="AH621" s="250"/>
      <c r="AI621" s="250"/>
      <c r="AJ621" s="250"/>
      <c r="AK621" s="250"/>
      <c r="AL621" s="250"/>
      <c r="AM621" s="250"/>
      <c r="AN621" s="250"/>
      <c r="AO621" s="250"/>
      <c r="AP621" s="250"/>
      <c r="AQ621" s="250"/>
      <c r="AR621" s="250"/>
      <c r="AS621" s="250"/>
      <c r="AT621" s="250"/>
      <c r="AU621" s="250"/>
      <c r="AV621" s="250"/>
      <c r="AW621" s="250"/>
      <c r="AX621" s="250"/>
      <c r="AY621" s="250"/>
      <c r="AZ621" s="250"/>
      <c r="BA621" s="250"/>
      <c r="BB621" s="250"/>
      <c r="BC621" s="250"/>
      <c r="BD621" s="250"/>
      <c r="BE621" s="250"/>
      <c r="BF621" s="250"/>
      <c r="BG621" s="250"/>
      <c r="BH621" s="250"/>
      <c r="BI621" s="250"/>
      <c r="BJ621" s="250"/>
    </row>
    <row r="622" spans="2:62" ht="15.75" customHeight="1">
      <c r="B622" s="7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250"/>
      <c r="Z622" s="250"/>
      <c r="AA622" s="250"/>
      <c r="AB622" s="250"/>
      <c r="AC622" s="250"/>
      <c r="AD622" s="250"/>
      <c r="AE622" s="250"/>
      <c r="AF622" s="250"/>
      <c r="AG622" s="250"/>
      <c r="AH622" s="250"/>
      <c r="AI622" s="250"/>
      <c r="AJ622" s="250"/>
      <c r="AK622" s="250"/>
      <c r="AL622" s="250"/>
      <c r="AM622" s="250"/>
      <c r="AN622" s="250"/>
      <c r="AO622" s="250"/>
      <c r="AP622" s="250"/>
      <c r="AQ622" s="250"/>
      <c r="AR622" s="250"/>
      <c r="AS622" s="250"/>
      <c r="AT622" s="250"/>
      <c r="AU622" s="250"/>
      <c r="AV622" s="250"/>
      <c r="AW622" s="250"/>
      <c r="AX622" s="250"/>
      <c r="AY622" s="250"/>
      <c r="AZ622" s="250"/>
      <c r="BA622" s="250"/>
      <c r="BB622" s="250"/>
      <c r="BC622" s="250"/>
      <c r="BD622" s="250"/>
      <c r="BE622" s="250"/>
      <c r="BF622" s="250"/>
      <c r="BG622" s="250"/>
      <c r="BH622" s="250"/>
      <c r="BI622" s="250"/>
      <c r="BJ622" s="250"/>
    </row>
    <row r="623" spans="2:62" ht="15.75" customHeight="1">
      <c r="B623" s="7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250"/>
      <c r="Z623" s="250"/>
      <c r="AA623" s="250"/>
      <c r="AB623" s="250"/>
      <c r="AC623" s="250"/>
      <c r="AD623" s="250"/>
      <c r="AE623" s="250"/>
      <c r="AF623" s="250"/>
      <c r="AG623" s="250"/>
      <c r="AH623" s="250"/>
      <c r="AI623" s="250"/>
      <c r="AJ623" s="250"/>
      <c r="AK623" s="250"/>
      <c r="AL623" s="250"/>
      <c r="AM623" s="250"/>
      <c r="AN623" s="250"/>
      <c r="AO623" s="250"/>
      <c r="AP623" s="250"/>
      <c r="AQ623" s="250"/>
      <c r="AR623" s="250"/>
      <c r="AS623" s="250"/>
      <c r="AT623" s="250"/>
      <c r="AU623" s="250"/>
      <c r="AV623" s="250"/>
      <c r="AW623" s="250"/>
      <c r="AX623" s="250"/>
      <c r="AY623" s="250"/>
      <c r="AZ623" s="250"/>
      <c r="BA623" s="250"/>
      <c r="BB623" s="250"/>
      <c r="BC623" s="250"/>
      <c r="BD623" s="250"/>
      <c r="BE623" s="250"/>
      <c r="BF623" s="250"/>
      <c r="BG623" s="250"/>
      <c r="BH623" s="250"/>
      <c r="BI623" s="250"/>
      <c r="BJ623" s="250"/>
    </row>
    <row r="624" spans="2:62" ht="15.75" customHeight="1">
      <c r="B624" s="7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250"/>
      <c r="Z624" s="250"/>
      <c r="AA624" s="250"/>
      <c r="AB624" s="250"/>
      <c r="AC624" s="250"/>
      <c r="AD624" s="250"/>
      <c r="AE624" s="250"/>
      <c r="AF624" s="250"/>
      <c r="AG624" s="250"/>
      <c r="AH624" s="250"/>
      <c r="AI624" s="250"/>
      <c r="AJ624" s="250"/>
      <c r="AK624" s="250"/>
      <c r="AL624" s="250"/>
      <c r="AM624" s="250"/>
      <c r="AN624" s="250"/>
      <c r="AO624" s="250"/>
      <c r="AP624" s="250"/>
      <c r="AQ624" s="250"/>
      <c r="AR624" s="250"/>
      <c r="AS624" s="250"/>
      <c r="AT624" s="250"/>
      <c r="AU624" s="250"/>
      <c r="AV624" s="250"/>
      <c r="AW624" s="250"/>
      <c r="AX624" s="250"/>
      <c r="AY624" s="250"/>
      <c r="AZ624" s="250"/>
      <c r="BA624" s="250"/>
      <c r="BB624" s="250"/>
      <c r="BC624" s="250"/>
      <c r="BD624" s="250"/>
      <c r="BE624" s="250"/>
      <c r="BF624" s="250"/>
      <c r="BG624" s="250"/>
      <c r="BH624" s="250"/>
      <c r="BI624" s="250"/>
      <c r="BJ624" s="250"/>
    </row>
    <row r="625" spans="2:62" ht="15.75" customHeight="1">
      <c r="B625" s="7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250"/>
      <c r="Z625" s="250"/>
      <c r="AA625" s="250"/>
      <c r="AB625" s="250"/>
      <c r="AC625" s="250"/>
      <c r="AD625" s="250"/>
      <c r="AE625" s="250"/>
      <c r="AF625" s="250"/>
      <c r="AG625" s="250"/>
      <c r="AH625" s="250"/>
      <c r="AI625" s="250"/>
      <c r="AJ625" s="250"/>
      <c r="AK625" s="250"/>
      <c r="AL625" s="250"/>
      <c r="AM625" s="250"/>
      <c r="AN625" s="250"/>
      <c r="AO625" s="250"/>
      <c r="AP625" s="250"/>
      <c r="AQ625" s="250"/>
      <c r="AR625" s="250"/>
      <c r="AS625" s="250"/>
      <c r="AT625" s="250"/>
      <c r="AU625" s="250"/>
      <c r="AV625" s="250"/>
      <c r="AW625" s="250"/>
      <c r="AX625" s="250"/>
      <c r="AY625" s="250"/>
      <c r="AZ625" s="250"/>
      <c r="BA625" s="250"/>
      <c r="BB625" s="250"/>
      <c r="BC625" s="250"/>
      <c r="BD625" s="250"/>
      <c r="BE625" s="250"/>
      <c r="BF625" s="250"/>
      <c r="BG625" s="250"/>
      <c r="BH625" s="250"/>
      <c r="BI625" s="250"/>
      <c r="BJ625" s="250"/>
    </row>
    <row r="626" spans="2:62" ht="15.75" customHeight="1">
      <c r="B626" s="7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250"/>
      <c r="Z626" s="250"/>
      <c r="AA626" s="250"/>
      <c r="AB626" s="250"/>
      <c r="AC626" s="250"/>
      <c r="AD626" s="250"/>
      <c r="AE626" s="250"/>
      <c r="AF626" s="250"/>
      <c r="AG626" s="250"/>
      <c r="AH626" s="250"/>
      <c r="AI626" s="250"/>
      <c r="AJ626" s="250"/>
      <c r="AK626" s="250"/>
      <c r="AL626" s="250"/>
      <c r="AM626" s="250"/>
      <c r="AN626" s="250"/>
      <c r="AO626" s="250"/>
      <c r="AP626" s="250"/>
      <c r="AQ626" s="250"/>
      <c r="AR626" s="250"/>
      <c r="AS626" s="250"/>
      <c r="AT626" s="250"/>
      <c r="AU626" s="250"/>
      <c r="AV626" s="250"/>
      <c r="AW626" s="250"/>
      <c r="AX626" s="250"/>
      <c r="AY626" s="250"/>
      <c r="AZ626" s="250"/>
      <c r="BA626" s="250"/>
      <c r="BB626" s="250"/>
      <c r="BC626" s="250"/>
      <c r="BD626" s="250"/>
      <c r="BE626" s="250"/>
      <c r="BF626" s="250"/>
      <c r="BG626" s="250"/>
      <c r="BH626" s="250"/>
      <c r="BI626" s="250"/>
      <c r="BJ626" s="250"/>
    </row>
    <row r="627" spans="2:62" ht="15.75" customHeight="1">
      <c r="B627" s="7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250"/>
      <c r="Z627" s="250"/>
      <c r="AA627" s="250"/>
      <c r="AB627" s="250"/>
      <c r="AC627" s="250"/>
      <c r="AD627" s="250"/>
      <c r="AE627" s="250"/>
      <c r="AF627" s="250"/>
      <c r="AG627" s="250"/>
      <c r="AH627" s="250"/>
      <c r="AI627" s="250"/>
      <c r="AJ627" s="250"/>
      <c r="AK627" s="250"/>
      <c r="AL627" s="250"/>
      <c r="AM627" s="250"/>
      <c r="AN627" s="250"/>
      <c r="AO627" s="250"/>
      <c r="AP627" s="250"/>
      <c r="AQ627" s="250"/>
      <c r="AR627" s="250"/>
      <c r="AS627" s="250"/>
      <c r="AT627" s="250"/>
      <c r="AU627" s="250"/>
      <c r="AV627" s="250"/>
      <c r="AW627" s="250"/>
      <c r="AX627" s="250"/>
      <c r="AY627" s="250"/>
      <c r="AZ627" s="250"/>
      <c r="BA627" s="250"/>
      <c r="BB627" s="250"/>
      <c r="BC627" s="250"/>
      <c r="BD627" s="250"/>
      <c r="BE627" s="250"/>
      <c r="BF627" s="250"/>
      <c r="BG627" s="250"/>
      <c r="BH627" s="250"/>
      <c r="BI627" s="250"/>
      <c r="BJ627" s="250"/>
    </row>
    <row r="628" spans="2:62" ht="15.75" customHeight="1">
      <c r="B628" s="7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250"/>
      <c r="Z628" s="250"/>
      <c r="AA628" s="250"/>
      <c r="AB628" s="250"/>
      <c r="AC628" s="250"/>
      <c r="AD628" s="250"/>
      <c r="AE628" s="250"/>
      <c r="AF628" s="250"/>
      <c r="AG628" s="250"/>
      <c r="AH628" s="250"/>
      <c r="AI628" s="250"/>
      <c r="AJ628" s="250"/>
      <c r="AK628" s="250"/>
      <c r="AL628" s="250"/>
      <c r="AM628" s="250"/>
      <c r="AN628" s="250"/>
      <c r="AO628" s="250"/>
      <c r="AP628" s="250"/>
      <c r="AQ628" s="250"/>
      <c r="AR628" s="250"/>
      <c r="AS628" s="250"/>
      <c r="AT628" s="250"/>
      <c r="AU628" s="250"/>
      <c r="AV628" s="250"/>
      <c r="AW628" s="250"/>
      <c r="AX628" s="250"/>
      <c r="AY628" s="250"/>
      <c r="AZ628" s="250"/>
      <c r="BA628" s="250"/>
      <c r="BB628" s="250"/>
      <c r="BC628" s="250"/>
      <c r="BD628" s="250"/>
      <c r="BE628" s="250"/>
      <c r="BF628" s="250"/>
      <c r="BG628" s="250"/>
      <c r="BH628" s="250"/>
      <c r="BI628" s="250"/>
      <c r="BJ628" s="250"/>
    </row>
    <row r="629" spans="2:62" ht="15.75" customHeight="1">
      <c r="B629" s="7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250"/>
      <c r="Z629" s="250"/>
      <c r="AA629" s="250"/>
      <c r="AB629" s="250"/>
      <c r="AC629" s="250"/>
      <c r="AD629" s="250"/>
      <c r="AE629" s="250"/>
      <c r="AF629" s="250"/>
      <c r="AG629" s="250"/>
      <c r="AH629" s="250"/>
      <c r="AI629" s="250"/>
      <c r="AJ629" s="250"/>
      <c r="AK629" s="250"/>
      <c r="AL629" s="250"/>
      <c r="AM629" s="250"/>
      <c r="AN629" s="250"/>
      <c r="AO629" s="250"/>
      <c r="AP629" s="250"/>
      <c r="AQ629" s="250"/>
      <c r="AR629" s="250"/>
      <c r="AS629" s="250"/>
      <c r="AT629" s="250"/>
      <c r="AU629" s="250"/>
      <c r="AV629" s="250"/>
      <c r="AW629" s="250"/>
      <c r="AX629" s="250"/>
      <c r="AY629" s="250"/>
      <c r="AZ629" s="250"/>
      <c r="BA629" s="250"/>
      <c r="BB629" s="250"/>
      <c r="BC629" s="250"/>
      <c r="BD629" s="250"/>
      <c r="BE629" s="250"/>
      <c r="BF629" s="250"/>
      <c r="BG629" s="250"/>
      <c r="BH629" s="250"/>
      <c r="BI629" s="250"/>
      <c r="BJ629" s="250"/>
    </row>
    <row r="630" spans="2:62" ht="15.75" customHeight="1">
      <c r="B630" s="7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250"/>
      <c r="Z630" s="250"/>
      <c r="AA630" s="250"/>
      <c r="AB630" s="250"/>
      <c r="AC630" s="250"/>
      <c r="AD630" s="250"/>
      <c r="AE630" s="250"/>
      <c r="AF630" s="250"/>
      <c r="AG630" s="250"/>
      <c r="AH630" s="250"/>
      <c r="AI630" s="250"/>
      <c r="AJ630" s="250"/>
      <c r="AK630" s="250"/>
      <c r="AL630" s="250"/>
      <c r="AM630" s="250"/>
      <c r="AN630" s="250"/>
      <c r="AO630" s="250"/>
      <c r="AP630" s="250"/>
      <c r="AQ630" s="250"/>
      <c r="AR630" s="250"/>
      <c r="AS630" s="250"/>
      <c r="AT630" s="250"/>
      <c r="AU630" s="250"/>
      <c r="AV630" s="250"/>
      <c r="AW630" s="250"/>
      <c r="AX630" s="250"/>
      <c r="AY630" s="250"/>
      <c r="AZ630" s="250"/>
      <c r="BA630" s="250"/>
      <c r="BB630" s="250"/>
      <c r="BC630" s="250"/>
      <c r="BD630" s="250"/>
      <c r="BE630" s="250"/>
      <c r="BF630" s="250"/>
      <c r="BG630" s="250"/>
      <c r="BH630" s="250"/>
      <c r="BI630" s="250"/>
      <c r="BJ630" s="250"/>
    </row>
    <row r="631" spans="2:62" ht="15.75" customHeight="1">
      <c r="B631" s="7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250"/>
      <c r="Z631" s="250"/>
      <c r="AA631" s="250"/>
      <c r="AB631" s="250"/>
      <c r="AC631" s="250"/>
      <c r="AD631" s="250"/>
      <c r="AE631" s="250"/>
      <c r="AF631" s="250"/>
      <c r="AG631" s="250"/>
      <c r="AH631" s="250"/>
      <c r="AI631" s="250"/>
      <c r="AJ631" s="250"/>
      <c r="AK631" s="250"/>
      <c r="AL631" s="250"/>
      <c r="AM631" s="250"/>
      <c r="AN631" s="250"/>
      <c r="AO631" s="250"/>
      <c r="AP631" s="250"/>
      <c r="AQ631" s="250"/>
      <c r="AR631" s="250"/>
      <c r="AS631" s="250"/>
      <c r="AT631" s="250"/>
      <c r="AU631" s="250"/>
      <c r="AV631" s="250"/>
      <c r="AW631" s="250"/>
      <c r="AX631" s="250"/>
      <c r="AY631" s="250"/>
      <c r="AZ631" s="250"/>
      <c r="BA631" s="250"/>
      <c r="BB631" s="250"/>
      <c r="BC631" s="250"/>
      <c r="BD631" s="250"/>
      <c r="BE631" s="250"/>
      <c r="BF631" s="250"/>
      <c r="BG631" s="250"/>
      <c r="BH631" s="250"/>
      <c r="BI631" s="250"/>
      <c r="BJ631" s="250"/>
    </row>
    <row r="632" spans="2:62" ht="15.75" customHeight="1">
      <c r="B632" s="7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250"/>
      <c r="Z632" s="250"/>
      <c r="AA632" s="250"/>
      <c r="AB632" s="250"/>
      <c r="AC632" s="250"/>
      <c r="AD632" s="250"/>
      <c r="AE632" s="250"/>
      <c r="AF632" s="250"/>
      <c r="AG632" s="250"/>
      <c r="AH632" s="250"/>
      <c r="AI632" s="250"/>
      <c r="AJ632" s="250"/>
      <c r="AK632" s="250"/>
      <c r="AL632" s="250"/>
      <c r="AM632" s="250"/>
      <c r="AN632" s="250"/>
      <c r="AO632" s="250"/>
      <c r="AP632" s="250"/>
      <c r="AQ632" s="250"/>
      <c r="AR632" s="250"/>
      <c r="AS632" s="250"/>
      <c r="AT632" s="250"/>
      <c r="AU632" s="250"/>
      <c r="AV632" s="250"/>
      <c r="AW632" s="250"/>
      <c r="AX632" s="250"/>
      <c r="AY632" s="250"/>
      <c r="AZ632" s="250"/>
      <c r="BA632" s="250"/>
      <c r="BB632" s="250"/>
      <c r="BC632" s="250"/>
      <c r="BD632" s="250"/>
      <c r="BE632" s="250"/>
      <c r="BF632" s="250"/>
      <c r="BG632" s="250"/>
      <c r="BH632" s="250"/>
      <c r="BI632" s="250"/>
      <c r="BJ632" s="250"/>
    </row>
    <row r="633" spans="2:62" ht="15.75" customHeight="1">
      <c r="B633" s="7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250"/>
      <c r="Z633" s="250"/>
      <c r="AA633" s="250"/>
      <c r="AB633" s="250"/>
      <c r="AC633" s="250"/>
      <c r="AD633" s="250"/>
      <c r="AE633" s="250"/>
      <c r="AF633" s="250"/>
      <c r="AG633" s="250"/>
      <c r="AH633" s="250"/>
      <c r="AI633" s="250"/>
      <c r="AJ633" s="250"/>
      <c r="AK633" s="250"/>
      <c r="AL633" s="250"/>
      <c r="AM633" s="250"/>
      <c r="AN633" s="250"/>
      <c r="AO633" s="250"/>
      <c r="AP633" s="250"/>
      <c r="AQ633" s="250"/>
      <c r="AR633" s="250"/>
      <c r="AS633" s="250"/>
      <c r="AT633" s="250"/>
      <c r="AU633" s="250"/>
      <c r="AV633" s="250"/>
      <c r="AW633" s="250"/>
      <c r="AX633" s="250"/>
      <c r="AY633" s="250"/>
      <c r="AZ633" s="250"/>
      <c r="BA633" s="250"/>
      <c r="BB633" s="250"/>
      <c r="BC633" s="250"/>
      <c r="BD633" s="250"/>
      <c r="BE633" s="250"/>
      <c r="BF633" s="250"/>
      <c r="BG633" s="250"/>
      <c r="BH633" s="250"/>
      <c r="BI633" s="250"/>
      <c r="BJ633" s="250"/>
    </row>
    <row r="634" spans="2:62" ht="15.75" customHeight="1">
      <c r="B634" s="7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250"/>
      <c r="Z634" s="250"/>
      <c r="AA634" s="250"/>
      <c r="AB634" s="250"/>
      <c r="AC634" s="250"/>
      <c r="AD634" s="250"/>
      <c r="AE634" s="250"/>
      <c r="AF634" s="250"/>
      <c r="AG634" s="250"/>
      <c r="AH634" s="250"/>
      <c r="AI634" s="250"/>
      <c r="AJ634" s="250"/>
      <c r="AK634" s="250"/>
      <c r="AL634" s="250"/>
      <c r="AM634" s="250"/>
      <c r="AN634" s="250"/>
      <c r="AO634" s="250"/>
      <c r="AP634" s="250"/>
      <c r="AQ634" s="250"/>
      <c r="AR634" s="250"/>
      <c r="AS634" s="250"/>
      <c r="AT634" s="250"/>
      <c r="AU634" s="250"/>
      <c r="AV634" s="250"/>
      <c r="AW634" s="250"/>
      <c r="AX634" s="250"/>
      <c r="AY634" s="250"/>
      <c r="AZ634" s="250"/>
      <c r="BA634" s="250"/>
      <c r="BB634" s="250"/>
      <c r="BC634" s="250"/>
      <c r="BD634" s="250"/>
      <c r="BE634" s="250"/>
      <c r="BF634" s="250"/>
      <c r="BG634" s="250"/>
      <c r="BH634" s="250"/>
      <c r="BI634" s="250"/>
      <c r="BJ634" s="250"/>
    </row>
    <row r="635" spans="2:62" ht="15.75" customHeight="1">
      <c r="B635" s="7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250"/>
      <c r="Z635" s="250"/>
      <c r="AA635" s="250"/>
      <c r="AB635" s="250"/>
      <c r="AC635" s="250"/>
      <c r="AD635" s="250"/>
      <c r="AE635" s="250"/>
      <c r="AF635" s="250"/>
      <c r="AG635" s="250"/>
      <c r="AH635" s="250"/>
      <c r="AI635" s="250"/>
      <c r="AJ635" s="250"/>
      <c r="AK635" s="250"/>
      <c r="AL635" s="250"/>
      <c r="AM635" s="250"/>
      <c r="AN635" s="250"/>
      <c r="AO635" s="250"/>
      <c r="AP635" s="250"/>
      <c r="AQ635" s="250"/>
      <c r="AR635" s="250"/>
      <c r="AS635" s="250"/>
      <c r="AT635" s="250"/>
      <c r="AU635" s="250"/>
      <c r="AV635" s="250"/>
      <c r="AW635" s="250"/>
      <c r="AX635" s="250"/>
      <c r="AY635" s="250"/>
      <c r="AZ635" s="250"/>
      <c r="BA635" s="250"/>
      <c r="BB635" s="250"/>
      <c r="BC635" s="250"/>
      <c r="BD635" s="250"/>
      <c r="BE635" s="250"/>
      <c r="BF635" s="250"/>
      <c r="BG635" s="250"/>
      <c r="BH635" s="250"/>
      <c r="BI635" s="250"/>
      <c r="BJ635" s="250"/>
    </row>
    <row r="636" spans="2:62" ht="15.75" customHeight="1">
      <c r="B636" s="7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250"/>
      <c r="Z636" s="250"/>
      <c r="AA636" s="250"/>
      <c r="AB636" s="250"/>
      <c r="AC636" s="250"/>
      <c r="AD636" s="250"/>
      <c r="AE636" s="250"/>
      <c r="AF636" s="250"/>
      <c r="AG636" s="250"/>
      <c r="AH636" s="250"/>
      <c r="AI636" s="250"/>
      <c r="AJ636" s="250"/>
      <c r="AK636" s="250"/>
      <c r="AL636" s="250"/>
      <c r="AM636" s="250"/>
      <c r="AN636" s="250"/>
      <c r="AO636" s="250"/>
      <c r="AP636" s="250"/>
      <c r="AQ636" s="250"/>
      <c r="AR636" s="250"/>
      <c r="AS636" s="250"/>
      <c r="AT636" s="250"/>
      <c r="AU636" s="250"/>
      <c r="AV636" s="250"/>
      <c r="AW636" s="250"/>
      <c r="AX636" s="250"/>
      <c r="AY636" s="250"/>
      <c r="AZ636" s="250"/>
      <c r="BA636" s="250"/>
      <c r="BB636" s="250"/>
      <c r="BC636" s="250"/>
      <c r="BD636" s="250"/>
      <c r="BE636" s="250"/>
      <c r="BF636" s="250"/>
      <c r="BG636" s="250"/>
      <c r="BH636" s="250"/>
      <c r="BI636" s="250"/>
      <c r="BJ636" s="250"/>
    </row>
    <row r="637" spans="2:62" ht="15.75" customHeight="1">
      <c r="B637" s="7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250"/>
      <c r="Z637" s="250"/>
      <c r="AA637" s="250"/>
      <c r="AB637" s="250"/>
      <c r="AC637" s="250"/>
      <c r="AD637" s="250"/>
      <c r="AE637" s="250"/>
      <c r="AF637" s="250"/>
      <c r="AG637" s="250"/>
      <c r="AH637" s="250"/>
      <c r="AI637" s="250"/>
      <c r="AJ637" s="250"/>
      <c r="AK637" s="250"/>
      <c r="AL637" s="250"/>
      <c r="AM637" s="250"/>
      <c r="AN637" s="250"/>
      <c r="AO637" s="250"/>
      <c r="AP637" s="250"/>
      <c r="AQ637" s="250"/>
      <c r="AR637" s="250"/>
      <c r="AS637" s="250"/>
      <c r="AT637" s="250"/>
      <c r="AU637" s="250"/>
      <c r="AV637" s="250"/>
      <c r="AW637" s="250"/>
      <c r="AX637" s="250"/>
      <c r="AY637" s="250"/>
      <c r="AZ637" s="250"/>
      <c r="BA637" s="250"/>
      <c r="BB637" s="250"/>
      <c r="BC637" s="250"/>
      <c r="BD637" s="250"/>
      <c r="BE637" s="250"/>
      <c r="BF637" s="250"/>
      <c r="BG637" s="250"/>
      <c r="BH637" s="250"/>
      <c r="BI637" s="250"/>
      <c r="BJ637" s="250"/>
    </row>
    <row r="638" spans="2:62" ht="15.75" customHeight="1">
      <c r="B638" s="7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250"/>
      <c r="Z638" s="250"/>
      <c r="AA638" s="250"/>
      <c r="AB638" s="250"/>
      <c r="AC638" s="250"/>
      <c r="AD638" s="250"/>
      <c r="AE638" s="250"/>
      <c r="AF638" s="250"/>
      <c r="AG638" s="250"/>
      <c r="AH638" s="250"/>
      <c r="AI638" s="250"/>
      <c r="AJ638" s="250"/>
      <c r="AK638" s="250"/>
      <c r="AL638" s="250"/>
      <c r="AM638" s="250"/>
      <c r="AN638" s="250"/>
      <c r="AO638" s="250"/>
      <c r="AP638" s="250"/>
      <c r="AQ638" s="250"/>
      <c r="AR638" s="250"/>
      <c r="AS638" s="250"/>
      <c r="AT638" s="250"/>
      <c r="AU638" s="250"/>
      <c r="AV638" s="250"/>
      <c r="AW638" s="250"/>
      <c r="AX638" s="250"/>
      <c r="AY638" s="250"/>
      <c r="AZ638" s="250"/>
      <c r="BA638" s="250"/>
      <c r="BB638" s="250"/>
      <c r="BC638" s="250"/>
      <c r="BD638" s="250"/>
      <c r="BE638" s="250"/>
      <c r="BF638" s="250"/>
      <c r="BG638" s="250"/>
      <c r="BH638" s="250"/>
      <c r="BI638" s="250"/>
      <c r="BJ638" s="250"/>
    </row>
    <row r="639" spans="2:62" ht="15.75" customHeight="1">
      <c r="B639" s="7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250"/>
      <c r="Z639" s="250"/>
      <c r="AA639" s="250"/>
      <c r="AB639" s="250"/>
      <c r="AC639" s="250"/>
      <c r="AD639" s="250"/>
      <c r="AE639" s="250"/>
      <c r="AF639" s="250"/>
      <c r="AG639" s="250"/>
      <c r="AH639" s="250"/>
      <c r="AI639" s="250"/>
      <c r="AJ639" s="250"/>
      <c r="AK639" s="250"/>
      <c r="AL639" s="250"/>
      <c r="AM639" s="250"/>
      <c r="AN639" s="250"/>
      <c r="AO639" s="250"/>
      <c r="AP639" s="250"/>
      <c r="AQ639" s="250"/>
      <c r="AR639" s="250"/>
      <c r="AS639" s="250"/>
      <c r="AT639" s="250"/>
      <c r="AU639" s="250"/>
      <c r="AV639" s="250"/>
      <c r="AW639" s="250"/>
      <c r="AX639" s="250"/>
      <c r="AY639" s="250"/>
      <c r="AZ639" s="250"/>
      <c r="BA639" s="250"/>
      <c r="BB639" s="250"/>
      <c r="BC639" s="250"/>
      <c r="BD639" s="250"/>
      <c r="BE639" s="250"/>
      <c r="BF639" s="250"/>
      <c r="BG639" s="250"/>
      <c r="BH639" s="250"/>
      <c r="BI639" s="250"/>
      <c r="BJ639" s="250"/>
    </row>
    <row r="640" spans="2:62" ht="15.75" customHeight="1">
      <c r="B640" s="7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250"/>
      <c r="Z640" s="250"/>
      <c r="AA640" s="250"/>
      <c r="AB640" s="250"/>
      <c r="AC640" s="250"/>
      <c r="AD640" s="250"/>
      <c r="AE640" s="250"/>
      <c r="AF640" s="250"/>
      <c r="AG640" s="250"/>
      <c r="AH640" s="250"/>
      <c r="AI640" s="250"/>
      <c r="AJ640" s="250"/>
      <c r="AK640" s="250"/>
      <c r="AL640" s="250"/>
      <c r="AM640" s="250"/>
      <c r="AN640" s="250"/>
      <c r="AO640" s="250"/>
      <c r="AP640" s="250"/>
      <c r="AQ640" s="250"/>
      <c r="AR640" s="250"/>
      <c r="AS640" s="250"/>
      <c r="AT640" s="250"/>
      <c r="AU640" s="250"/>
      <c r="AV640" s="250"/>
      <c r="AW640" s="250"/>
      <c r="AX640" s="250"/>
      <c r="AY640" s="250"/>
      <c r="AZ640" s="250"/>
      <c r="BA640" s="250"/>
      <c r="BB640" s="250"/>
      <c r="BC640" s="250"/>
      <c r="BD640" s="250"/>
      <c r="BE640" s="250"/>
      <c r="BF640" s="250"/>
      <c r="BG640" s="250"/>
      <c r="BH640" s="250"/>
      <c r="BI640" s="250"/>
      <c r="BJ640" s="250"/>
    </row>
    <row r="641" spans="2:62" ht="15.75" customHeight="1">
      <c r="B641" s="7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250"/>
      <c r="Z641" s="250"/>
      <c r="AA641" s="250"/>
      <c r="AB641" s="250"/>
      <c r="AC641" s="250"/>
      <c r="AD641" s="250"/>
      <c r="AE641" s="250"/>
      <c r="AF641" s="250"/>
      <c r="AG641" s="250"/>
      <c r="AH641" s="250"/>
      <c r="AI641" s="250"/>
      <c r="AJ641" s="250"/>
      <c r="AK641" s="250"/>
      <c r="AL641" s="250"/>
      <c r="AM641" s="250"/>
      <c r="AN641" s="250"/>
      <c r="AO641" s="250"/>
      <c r="AP641" s="250"/>
      <c r="AQ641" s="250"/>
      <c r="AR641" s="250"/>
      <c r="AS641" s="250"/>
      <c r="AT641" s="250"/>
      <c r="AU641" s="250"/>
      <c r="AV641" s="250"/>
      <c r="AW641" s="250"/>
      <c r="AX641" s="250"/>
      <c r="AY641" s="250"/>
      <c r="AZ641" s="250"/>
      <c r="BA641" s="250"/>
      <c r="BB641" s="250"/>
      <c r="BC641" s="250"/>
      <c r="BD641" s="250"/>
      <c r="BE641" s="250"/>
      <c r="BF641" s="250"/>
      <c r="BG641" s="250"/>
      <c r="BH641" s="250"/>
      <c r="BI641" s="250"/>
      <c r="BJ641" s="250"/>
    </row>
    <row r="642" spans="2:62" ht="15.75" customHeight="1">
      <c r="B642" s="7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250"/>
      <c r="Z642" s="250"/>
      <c r="AA642" s="250"/>
      <c r="AB642" s="250"/>
      <c r="AC642" s="250"/>
      <c r="AD642" s="250"/>
      <c r="AE642" s="250"/>
      <c r="AF642" s="250"/>
      <c r="AG642" s="250"/>
      <c r="AH642" s="250"/>
      <c r="AI642" s="250"/>
      <c r="AJ642" s="250"/>
      <c r="AK642" s="250"/>
      <c r="AL642" s="250"/>
      <c r="AM642" s="250"/>
      <c r="AN642" s="250"/>
      <c r="AO642" s="250"/>
      <c r="AP642" s="250"/>
      <c r="AQ642" s="250"/>
      <c r="AR642" s="250"/>
      <c r="AS642" s="250"/>
      <c r="AT642" s="250"/>
      <c r="AU642" s="250"/>
      <c r="AV642" s="250"/>
      <c r="AW642" s="250"/>
      <c r="AX642" s="250"/>
      <c r="AY642" s="250"/>
      <c r="AZ642" s="250"/>
      <c r="BA642" s="250"/>
      <c r="BB642" s="250"/>
      <c r="BC642" s="250"/>
      <c r="BD642" s="250"/>
      <c r="BE642" s="250"/>
      <c r="BF642" s="250"/>
      <c r="BG642" s="250"/>
      <c r="BH642" s="250"/>
      <c r="BI642" s="250"/>
      <c r="BJ642" s="250"/>
    </row>
    <row r="643" spans="2:62" ht="15.75" customHeight="1">
      <c r="B643" s="7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250"/>
      <c r="Z643" s="250"/>
      <c r="AA643" s="250"/>
      <c r="AB643" s="250"/>
      <c r="AC643" s="250"/>
      <c r="AD643" s="250"/>
      <c r="AE643" s="250"/>
      <c r="AF643" s="250"/>
      <c r="AG643" s="250"/>
      <c r="AH643" s="250"/>
      <c r="AI643" s="250"/>
      <c r="AJ643" s="250"/>
      <c r="AK643" s="250"/>
      <c r="AL643" s="250"/>
      <c r="AM643" s="250"/>
      <c r="AN643" s="250"/>
      <c r="AO643" s="250"/>
      <c r="AP643" s="250"/>
      <c r="AQ643" s="250"/>
      <c r="AR643" s="250"/>
      <c r="AS643" s="250"/>
      <c r="AT643" s="250"/>
      <c r="AU643" s="250"/>
      <c r="AV643" s="250"/>
      <c r="AW643" s="250"/>
      <c r="AX643" s="250"/>
      <c r="AY643" s="250"/>
      <c r="AZ643" s="250"/>
      <c r="BA643" s="250"/>
      <c r="BB643" s="250"/>
      <c r="BC643" s="250"/>
      <c r="BD643" s="250"/>
      <c r="BE643" s="250"/>
      <c r="BF643" s="250"/>
      <c r="BG643" s="250"/>
      <c r="BH643" s="250"/>
      <c r="BI643" s="250"/>
      <c r="BJ643" s="250"/>
    </row>
    <row r="644" spans="2:62" ht="15.75" customHeight="1">
      <c r="B644" s="7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250"/>
      <c r="Z644" s="250"/>
      <c r="AA644" s="250"/>
      <c r="AB644" s="250"/>
      <c r="AC644" s="250"/>
      <c r="AD644" s="250"/>
      <c r="AE644" s="250"/>
      <c r="AF644" s="250"/>
      <c r="AG644" s="250"/>
      <c r="AH644" s="250"/>
      <c r="AI644" s="250"/>
      <c r="AJ644" s="250"/>
      <c r="AK644" s="250"/>
      <c r="AL644" s="250"/>
      <c r="AM644" s="250"/>
      <c r="AN644" s="250"/>
      <c r="AO644" s="250"/>
      <c r="AP644" s="250"/>
      <c r="AQ644" s="250"/>
      <c r="AR644" s="250"/>
      <c r="AS644" s="250"/>
      <c r="AT644" s="250"/>
      <c r="AU644" s="250"/>
      <c r="AV644" s="250"/>
      <c r="AW644" s="250"/>
      <c r="AX644" s="250"/>
      <c r="AY644" s="250"/>
      <c r="AZ644" s="250"/>
      <c r="BA644" s="250"/>
      <c r="BB644" s="250"/>
      <c r="BC644" s="250"/>
      <c r="BD644" s="250"/>
      <c r="BE644" s="250"/>
      <c r="BF644" s="250"/>
      <c r="BG644" s="250"/>
      <c r="BH644" s="250"/>
      <c r="BI644" s="250"/>
      <c r="BJ644" s="250"/>
    </row>
    <row r="645" spans="2:62" ht="15.75" customHeight="1">
      <c r="B645" s="7"/>
      <c r="C645" s="41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420"/>
      <c r="P645" s="339"/>
      <c r="Q645" s="339"/>
      <c r="R645" s="339"/>
      <c r="S645" s="339"/>
      <c r="T645" s="339"/>
      <c r="U645" s="339"/>
      <c r="V645" s="339"/>
      <c r="W645" s="339"/>
      <c r="X645" s="339"/>
      <c r="Y645" s="250"/>
      <c r="Z645" s="250"/>
      <c r="AA645" s="250"/>
      <c r="AB645" s="250"/>
      <c r="AC645" s="250"/>
      <c r="AD645" s="250"/>
      <c r="AE645" s="250"/>
      <c r="AF645" s="250"/>
      <c r="AG645" s="250"/>
      <c r="AH645" s="250"/>
      <c r="AI645" s="250"/>
      <c r="AJ645" s="250"/>
      <c r="AK645" s="250"/>
      <c r="AL645" s="250"/>
      <c r="AM645" s="250"/>
      <c r="AN645" s="250"/>
      <c r="AO645" s="250"/>
      <c r="AP645" s="250"/>
      <c r="AQ645" s="250"/>
      <c r="AR645" s="250"/>
      <c r="AS645" s="250"/>
      <c r="AT645" s="250"/>
      <c r="AU645" s="250"/>
      <c r="AV645" s="250"/>
      <c r="AW645" s="250"/>
      <c r="AX645" s="250"/>
      <c r="AY645" s="250"/>
      <c r="AZ645" s="250"/>
      <c r="BA645" s="250"/>
      <c r="BB645" s="250"/>
      <c r="BC645" s="250"/>
      <c r="BD645" s="250"/>
      <c r="BE645" s="250"/>
      <c r="BF645" s="250"/>
      <c r="BG645" s="250"/>
      <c r="BH645" s="250"/>
      <c r="BI645" s="250"/>
      <c r="BJ645" s="250"/>
    </row>
    <row r="646" spans="2:62" ht="15.75" customHeight="1">
      <c r="B646" s="7"/>
      <c r="C646" s="409"/>
      <c r="D646" s="413"/>
      <c r="E646" s="413"/>
      <c r="F646" s="413"/>
      <c r="G646" s="413"/>
      <c r="H646" s="413"/>
      <c r="I646" s="413"/>
      <c r="J646" s="413"/>
      <c r="K646" s="413"/>
      <c r="L646" s="413"/>
      <c r="M646" s="413"/>
      <c r="N646" s="413"/>
      <c r="O646" s="413"/>
      <c r="P646" s="413"/>
      <c r="Q646" s="421"/>
      <c r="R646" s="413"/>
      <c r="S646" s="413"/>
      <c r="T646" s="339"/>
      <c r="U646" s="339"/>
      <c r="V646" s="339"/>
      <c r="W646" s="339"/>
      <c r="X646" s="339"/>
      <c r="Y646" s="250"/>
      <c r="Z646" s="250"/>
      <c r="AA646" s="250"/>
      <c r="AB646" s="250"/>
      <c r="AC646" s="250"/>
      <c r="AD646" s="250"/>
      <c r="AE646" s="250"/>
      <c r="AF646" s="250"/>
      <c r="AG646" s="250"/>
      <c r="AH646" s="250"/>
      <c r="AI646" s="250"/>
      <c r="AJ646" s="250"/>
      <c r="AK646" s="250"/>
      <c r="AL646" s="250"/>
      <c r="AM646" s="250"/>
      <c r="AN646" s="250"/>
      <c r="AO646" s="250"/>
      <c r="AP646" s="250"/>
      <c r="AQ646" s="250"/>
      <c r="AR646" s="250"/>
      <c r="AS646" s="250"/>
      <c r="AT646" s="250"/>
      <c r="AU646" s="250"/>
      <c r="AV646" s="250"/>
      <c r="AW646" s="250"/>
      <c r="AX646" s="250"/>
      <c r="AY646" s="250"/>
      <c r="AZ646" s="250"/>
      <c r="BA646" s="250"/>
      <c r="BB646" s="250"/>
      <c r="BC646" s="250"/>
      <c r="BD646" s="250"/>
      <c r="BE646" s="250"/>
      <c r="BF646" s="250"/>
      <c r="BG646" s="250"/>
      <c r="BH646" s="250"/>
      <c r="BI646" s="250"/>
      <c r="BJ646" s="250"/>
    </row>
    <row r="647" spans="2:62" ht="15.75" customHeight="1">
      <c r="B647" s="7"/>
      <c r="C647" s="339"/>
      <c r="D647" s="410"/>
      <c r="E647" s="410"/>
      <c r="F647" s="422"/>
      <c r="G647" s="410"/>
      <c r="H647" s="410"/>
      <c r="I647" s="422"/>
      <c r="J647" s="414"/>
      <c r="K647" s="414"/>
      <c r="L647" s="423"/>
      <c r="M647" s="414"/>
      <c r="N647" s="414"/>
      <c r="O647" s="414"/>
      <c r="P647" s="414"/>
      <c r="Q647" s="411"/>
      <c r="R647" s="410"/>
      <c r="S647" s="422"/>
      <c r="T647" s="339"/>
      <c r="U647" s="339"/>
      <c r="V647" s="339"/>
      <c r="W647" s="339"/>
      <c r="X647" s="339"/>
      <c r="Y647" s="250"/>
      <c r="Z647" s="250"/>
      <c r="AA647" s="250"/>
      <c r="AB647" s="250"/>
      <c r="AC647" s="250"/>
      <c r="AD647" s="250"/>
      <c r="AE647" s="250"/>
      <c r="AF647" s="250"/>
      <c r="AG647" s="250"/>
      <c r="AH647" s="250"/>
      <c r="AI647" s="250"/>
      <c r="AJ647" s="250"/>
      <c r="AK647" s="250"/>
      <c r="AL647" s="250"/>
      <c r="AM647" s="250"/>
      <c r="AN647" s="250"/>
      <c r="AO647" s="250"/>
      <c r="AP647" s="250"/>
      <c r="AQ647" s="250"/>
      <c r="AR647" s="250"/>
      <c r="AS647" s="250"/>
      <c r="AT647" s="250"/>
      <c r="AU647" s="250"/>
      <c r="AV647" s="250"/>
      <c r="AW647" s="250"/>
      <c r="AX647" s="250"/>
      <c r="AY647" s="250"/>
      <c r="AZ647" s="250"/>
      <c r="BA647" s="250"/>
      <c r="BB647" s="250"/>
      <c r="BC647" s="250"/>
      <c r="BD647" s="250"/>
      <c r="BE647" s="250"/>
      <c r="BF647" s="250"/>
      <c r="BG647" s="250"/>
      <c r="BH647" s="250"/>
      <c r="BI647" s="250"/>
      <c r="BJ647" s="250"/>
    </row>
    <row r="648" spans="2:62" ht="15.75" customHeight="1">
      <c r="B648" s="7"/>
      <c r="C648" s="424"/>
      <c r="D648" s="339"/>
      <c r="E648" s="339"/>
      <c r="F648" s="413"/>
      <c r="G648" s="339"/>
      <c r="H648" s="339"/>
      <c r="I648" s="413"/>
      <c r="J648" s="413"/>
      <c r="K648" s="413"/>
      <c r="L648" s="339"/>
      <c r="M648" s="413"/>
      <c r="N648" s="413"/>
      <c r="O648" s="339"/>
      <c r="P648" s="413"/>
      <c r="Q648" s="413"/>
      <c r="R648" s="339"/>
      <c r="S648" s="413"/>
      <c r="T648" s="339"/>
      <c r="U648" s="339"/>
      <c r="V648" s="339"/>
      <c r="W648" s="339"/>
      <c r="X648" s="339"/>
      <c r="Y648" s="250"/>
      <c r="Z648" s="250"/>
      <c r="AA648" s="250"/>
      <c r="AB648" s="250"/>
      <c r="AC648" s="250"/>
      <c r="AD648" s="250"/>
      <c r="AE648" s="250"/>
      <c r="AF648" s="250"/>
      <c r="AG648" s="250"/>
      <c r="AH648" s="250"/>
      <c r="AI648" s="250"/>
      <c r="AJ648" s="250"/>
      <c r="AK648" s="250"/>
      <c r="AL648" s="250"/>
      <c r="AM648" s="250"/>
      <c r="AN648" s="250"/>
      <c r="AO648" s="250"/>
      <c r="AP648" s="250"/>
      <c r="AQ648" s="250"/>
      <c r="AR648" s="250"/>
      <c r="AS648" s="250"/>
      <c r="AT648" s="250"/>
      <c r="AU648" s="250"/>
      <c r="AV648" s="250"/>
      <c r="AW648" s="250"/>
      <c r="AX648" s="250"/>
      <c r="AY648" s="250"/>
      <c r="AZ648" s="250"/>
      <c r="BA648" s="250"/>
      <c r="BB648" s="250"/>
      <c r="BC648" s="250"/>
      <c r="BD648" s="250"/>
      <c r="BE648" s="250"/>
      <c r="BF648" s="250"/>
      <c r="BG648" s="250"/>
      <c r="BH648" s="250"/>
      <c r="BI648" s="250"/>
      <c r="BJ648" s="250"/>
    </row>
    <row r="649" spans="2:62" ht="15.75" customHeight="1">
      <c r="B649" s="7"/>
      <c r="C649" s="339"/>
      <c r="D649" s="339"/>
      <c r="E649" s="339"/>
      <c r="F649" s="406"/>
      <c r="G649" s="339"/>
      <c r="H649" s="339"/>
      <c r="I649" s="406"/>
      <c r="J649" s="406"/>
      <c r="K649" s="406"/>
      <c r="L649" s="406"/>
      <c r="M649" s="406"/>
      <c r="N649" s="406"/>
      <c r="O649" s="406"/>
      <c r="P649" s="406"/>
      <c r="Q649" s="406"/>
      <c r="R649" s="406"/>
      <c r="S649" s="406"/>
      <c r="T649" s="339"/>
      <c r="U649" s="339"/>
      <c r="V649" s="339"/>
      <c r="W649" s="339"/>
      <c r="X649" s="339"/>
      <c r="Y649" s="250"/>
      <c r="Z649" s="250"/>
      <c r="AA649" s="250"/>
      <c r="AB649" s="250"/>
      <c r="AC649" s="250"/>
      <c r="AD649" s="250"/>
      <c r="AE649" s="250"/>
      <c r="AF649" s="250"/>
      <c r="AG649" s="250"/>
      <c r="AH649" s="250"/>
      <c r="AI649" s="250"/>
      <c r="AJ649" s="250"/>
      <c r="AK649" s="250"/>
      <c r="AL649" s="250"/>
      <c r="AM649" s="250"/>
      <c r="AN649" s="250"/>
      <c r="AO649" s="250"/>
      <c r="AP649" s="250"/>
      <c r="AQ649" s="250"/>
      <c r="AR649" s="250"/>
      <c r="AS649" s="250"/>
      <c r="AT649" s="250"/>
      <c r="AU649" s="250"/>
      <c r="AV649" s="250"/>
      <c r="AW649" s="250"/>
      <c r="AX649" s="250"/>
      <c r="AY649" s="250"/>
      <c r="AZ649" s="250"/>
      <c r="BA649" s="250"/>
      <c r="BB649" s="250"/>
      <c r="BC649" s="250"/>
      <c r="BD649" s="250"/>
      <c r="BE649" s="250"/>
      <c r="BF649" s="250"/>
      <c r="BG649" s="250"/>
      <c r="BH649" s="250"/>
      <c r="BI649" s="250"/>
      <c r="BJ649" s="250"/>
    </row>
    <row r="650" spans="2:62" ht="15.75" customHeight="1">
      <c r="B650" s="7"/>
      <c r="C650" s="405"/>
      <c r="D650" s="405"/>
      <c r="E650" s="405"/>
      <c r="F650" s="408"/>
      <c r="G650" s="405"/>
      <c r="H650" s="405"/>
      <c r="I650" s="408"/>
      <c r="J650" s="408"/>
      <c r="K650" s="408"/>
      <c r="L650" s="408"/>
      <c r="M650" s="408"/>
      <c r="N650" s="408"/>
      <c r="O650" s="408"/>
      <c r="P650" s="408"/>
      <c r="Q650" s="408"/>
      <c r="R650" s="408"/>
      <c r="S650" s="408"/>
      <c r="T650" s="339"/>
      <c r="U650" s="339"/>
      <c r="V650" s="339"/>
      <c r="W650" s="339"/>
      <c r="X650" s="339"/>
      <c r="Y650" s="250"/>
      <c r="Z650" s="250"/>
      <c r="AA650" s="250"/>
      <c r="AB650" s="250"/>
      <c r="AC650" s="250"/>
      <c r="AD650" s="250"/>
      <c r="AE650" s="250"/>
      <c r="AF650" s="250"/>
      <c r="AG650" s="250"/>
      <c r="AH650" s="250"/>
      <c r="AI650" s="250"/>
      <c r="AJ650" s="250"/>
      <c r="AK650" s="250"/>
      <c r="AL650" s="250"/>
      <c r="AM650" s="250"/>
      <c r="AN650" s="250"/>
      <c r="AO650" s="250"/>
      <c r="AP650" s="250"/>
      <c r="AQ650" s="250"/>
      <c r="AR650" s="250"/>
      <c r="AS650" s="250"/>
      <c r="AT650" s="250"/>
      <c r="AU650" s="250"/>
      <c r="AV650" s="250"/>
      <c r="AW650" s="250"/>
      <c r="AX650" s="250"/>
      <c r="AY650" s="250"/>
      <c r="AZ650" s="250"/>
      <c r="BA650" s="250"/>
      <c r="BB650" s="250"/>
      <c r="BC650" s="250"/>
      <c r="BD650" s="250"/>
      <c r="BE650" s="250"/>
      <c r="BF650" s="250"/>
      <c r="BG650" s="250"/>
      <c r="BH650" s="250"/>
      <c r="BI650" s="250"/>
      <c r="BJ650" s="250"/>
    </row>
    <row r="651" spans="2:62" ht="15.75" customHeight="1">
      <c r="B651" s="7"/>
      <c r="C651" s="339"/>
      <c r="D651" s="339"/>
      <c r="E651" s="339"/>
      <c r="F651" s="339"/>
      <c r="G651" s="339"/>
      <c r="H651" s="339"/>
      <c r="I651" s="339"/>
      <c r="J651" s="406"/>
      <c r="K651" s="406"/>
      <c r="L651" s="406"/>
      <c r="M651" s="406"/>
      <c r="N651" s="406"/>
      <c r="O651" s="406"/>
      <c r="P651" s="406"/>
      <c r="Q651" s="406"/>
      <c r="R651" s="406"/>
      <c r="S651" s="406"/>
      <c r="T651" s="339"/>
      <c r="U651" s="339"/>
      <c r="V651" s="339"/>
      <c r="W651" s="339"/>
      <c r="X651" s="339"/>
      <c r="Y651" s="250"/>
      <c r="Z651" s="250"/>
      <c r="AA651" s="250"/>
      <c r="AB651" s="250"/>
      <c r="AC651" s="250"/>
      <c r="AD651" s="250"/>
      <c r="AE651" s="250"/>
      <c r="AF651" s="250"/>
      <c r="AG651" s="250"/>
      <c r="AH651" s="250"/>
      <c r="AI651" s="250"/>
      <c r="AJ651" s="250"/>
      <c r="AK651" s="250"/>
      <c r="AL651" s="250"/>
      <c r="AM651" s="250"/>
      <c r="AN651" s="250"/>
      <c r="AO651" s="250"/>
      <c r="AP651" s="250"/>
      <c r="AQ651" s="250"/>
      <c r="AR651" s="250"/>
      <c r="AS651" s="250"/>
      <c r="AT651" s="250"/>
      <c r="AU651" s="250"/>
      <c r="AV651" s="250"/>
      <c r="AW651" s="250"/>
      <c r="AX651" s="250"/>
      <c r="AY651" s="250"/>
      <c r="AZ651" s="250"/>
      <c r="BA651" s="250"/>
      <c r="BB651" s="250"/>
      <c r="BC651" s="250"/>
      <c r="BD651" s="250"/>
      <c r="BE651" s="250"/>
      <c r="BF651" s="250"/>
      <c r="BG651" s="250"/>
      <c r="BH651" s="250"/>
      <c r="BI651" s="250"/>
      <c r="BJ651" s="250"/>
    </row>
    <row r="652" spans="2:62" ht="15.75" customHeight="1">
      <c r="B652" s="7"/>
      <c r="C652" s="339"/>
      <c r="D652" s="339"/>
      <c r="E652" s="339"/>
      <c r="F652" s="339"/>
      <c r="G652" s="339"/>
      <c r="H652" s="339"/>
      <c r="I652" s="339"/>
      <c r="J652" s="339"/>
      <c r="K652" s="406"/>
      <c r="L652" s="406"/>
      <c r="M652" s="339"/>
      <c r="N652" s="406"/>
      <c r="O652" s="406"/>
      <c r="P652" s="339"/>
      <c r="Q652" s="406"/>
      <c r="R652" s="406"/>
      <c r="S652" s="339"/>
      <c r="T652" s="339"/>
      <c r="U652" s="339"/>
      <c r="V652" s="339"/>
      <c r="W652" s="339"/>
      <c r="X652" s="339"/>
      <c r="Y652" s="250"/>
      <c r="Z652" s="250"/>
      <c r="AA652" s="250"/>
      <c r="AB652" s="250"/>
      <c r="AC652" s="250"/>
      <c r="AD652" s="250"/>
      <c r="AE652" s="250"/>
      <c r="AF652" s="250"/>
      <c r="AG652" s="250"/>
      <c r="AH652" s="250"/>
      <c r="AI652" s="250"/>
      <c r="AJ652" s="250"/>
      <c r="AK652" s="250"/>
      <c r="AL652" s="250"/>
      <c r="AM652" s="250"/>
      <c r="AN652" s="250"/>
      <c r="AO652" s="250"/>
      <c r="AP652" s="250"/>
      <c r="AQ652" s="250"/>
      <c r="AR652" s="250"/>
      <c r="AS652" s="250"/>
      <c r="AT652" s="250"/>
      <c r="AU652" s="250"/>
      <c r="AV652" s="250"/>
      <c r="AW652" s="250"/>
      <c r="AX652" s="250"/>
      <c r="AY652" s="250"/>
      <c r="AZ652" s="250"/>
      <c r="BA652" s="250"/>
      <c r="BB652" s="250"/>
      <c r="BC652" s="250"/>
      <c r="BD652" s="250"/>
      <c r="BE652" s="250"/>
      <c r="BF652" s="250"/>
      <c r="BG652" s="250"/>
      <c r="BH652" s="250"/>
      <c r="BI652" s="250"/>
      <c r="BJ652" s="250"/>
    </row>
    <row r="653" spans="2:62" ht="15.75" customHeight="1">
      <c r="B653" s="7"/>
      <c r="C653" s="339"/>
      <c r="D653" s="339"/>
      <c r="E653" s="339"/>
      <c r="F653" s="339"/>
      <c r="G653" s="339"/>
      <c r="H653" s="339"/>
      <c r="I653" s="339"/>
      <c r="J653" s="339"/>
      <c r="K653" s="406"/>
      <c r="L653" s="406"/>
      <c r="M653" s="339"/>
      <c r="N653" s="406"/>
      <c r="O653" s="406"/>
      <c r="P653" s="339"/>
      <c r="Q653" s="406"/>
      <c r="R653" s="406"/>
      <c r="S653" s="339"/>
      <c r="T653" s="339"/>
      <c r="U653" s="339"/>
      <c r="V653" s="339"/>
      <c r="W653" s="339"/>
      <c r="X653" s="339"/>
      <c r="Y653" s="250"/>
      <c r="Z653" s="250"/>
      <c r="AA653" s="250"/>
      <c r="AB653" s="250"/>
      <c r="AC653" s="250"/>
      <c r="AD653" s="250"/>
      <c r="AE653" s="250"/>
      <c r="AF653" s="250"/>
      <c r="AG653" s="250"/>
      <c r="AH653" s="250"/>
      <c r="AI653" s="250"/>
      <c r="AJ653" s="250"/>
      <c r="AK653" s="250"/>
      <c r="AL653" s="250"/>
      <c r="AM653" s="250"/>
      <c r="AN653" s="250"/>
      <c r="AO653" s="250"/>
      <c r="AP653" s="250"/>
      <c r="AQ653" s="250"/>
      <c r="AR653" s="250"/>
      <c r="AS653" s="250"/>
      <c r="AT653" s="250"/>
      <c r="AU653" s="250"/>
      <c r="AV653" s="250"/>
      <c r="AW653" s="250"/>
      <c r="AX653" s="250"/>
      <c r="AY653" s="250"/>
      <c r="AZ653" s="250"/>
      <c r="BA653" s="250"/>
      <c r="BB653" s="250"/>
      <c r="BC653" s="250"/>
      <c r="BD653" s="250"/>
      <c r="BE653" s="250"/>
      <c r="BF653" s="250"/>
      <c r="BG653" s="250"/>
      <c r="BH653" s="250"/>
      <c r="BI653" s="250"/>
      <c r="BJ653" s="250"/>
    </row>
    <row r="654" spans="2:62" ht="15.75" customHeight="1">
      <c r="B654" s="7"/>
      <c r="C654" s="339"/>
      <c r="D654" s="339"/>
      <c r="E654" s="339"/>
      <c r="F654" s="339"/>
      <c r="G654" s="339"/>
      <c r="H654" s="339"/>
      <c r="I654" s="339"/>
      <c r="J654" s="339"/>
      <c r="K654" s="406"/>
      <c r="L654" s="406"/>
      <c r="M654" s="339"/>
      <c r="N654" s="406"/>
      <c r="O654" s="406"/>
      <c r="P654" s="339"/>
      <c r="Q654" s="406"/>
      <c r="R654" s="406"/>
      <c r="S654" s="339"/>
      <c r="T654" s="339"/>
      <c r="U654" s="339"/>
      <c r="V654" s="339"/>
      <c r="W654" s="339"/>
      <c r="X654" s="339"/>
      <c r="Y654" s="250"/>
      <c r="Z654" s="250"/>
      <c r="AA654" s="250"/>
      <c r="AB654" s="250"/>
      <c r="AC654" s="250"/>
      <c r="AD654" s="250"/>
      <c r="AE654" s="250"/>
      <c r="AF654" s="250"/>
      <c r="AG654" s="250"/>
      <c r="AH654" s="250"/>
      <c r="AI654" s="250"/>
      <c r="AJ654" s="250"/>
      <c r="AK654" s="250"/>
      <c r="AL654" s="250"/>
      <c r="AM654" s="250"/>
      <c r="AN654" s="250"/>
      <c r="AO654" s="250"/>
      <c r="AP654" s="250"/>
      <c r="AQ654" s="250"/>
      <c r="AR654" s="250"/>
      <c r="AS654" s="250"/>
      <c r="AT654" s="250"/>
      <c r="AU654" s="250"/>
      <c r="AV654" s="250"/>
      <c r="AW654" s="250"/>
      <c r="AX654" s="250"/>
      <c r="AY654" s="250"/>
      <c r="AZ654" s="250"/>
      <c r="BA654" s="250"/>
      <c r="BB654" s="250"/>
      <c r="BC654" s="250"/>
      <c r="BD654" s="250"/>
      <c r="BE654" s="250"/>
      <c r="BF654" s="250"/>
      <c r="BG654" s="250"/>
      <c r="BH654" s="250"/>
      <c r="BI654" s="250"/>
      <c r="BJ654" s="250"/>
    </row>
    <row r="655" spans="2:62" ht="15.75" customHeight="1">
      <c r="B655" s="7"/>
      <c r="C655" s="339"/>
      <c r="D655" s="339"/>
      <c r="E655" s="339"/>
      <c r="F655" s="339"/>
      <c r="G655" s="339"/>
      <c r="H655" s="339"/>
      <c r="I655" s="339"/>
      <c r="J655" s="339"/>
      <c r="K655" s="406"/>
      <c r="L655" s="406"/>
      <c r="M655" s="339"/>
      <c r="N655" s="406"/>
      <c r="O655" s="406"/>
      <c r="P655" s="339"/>
      <c r="Q655" s="406"/>
      <c r="R655" s="406"/>
      <c r="S655" s="339"/>
      <c r="T655" s="339"/>
      <c r="U655" s="339"/>
      <c r="V655" s="339"/>
      <c r="W655" s="339"/>
      <c r="X655" s="339"/>
      <c r="Y655" s="250"/>
      <c r="Z655" s="250"/>
      <c r="AA655" s="250"/>
      <c r="AB655" s="250"/>
      <c r="AC655" s="250"/>
      <c r="AD655" s="250"/>
      <c r="AE655" s="250"/>
      <c r="AF655" s="250"/>
      <c r="AG655" s="250"/>
      <c r="AH655" s="250"/>
      <c r="AI655" s="250"/>
      <c r="AJ655" s="250"/>
      <c r="AK655" s="250"/>
      <c r="AL655" s="250"/>
      <c r="AM655" s="250"/>
      <c r="AN655" s="250"/>
      <c r="AO655" s="250"/>
      <c r="AP655" s="250"/>
      <c r="AQ655" s="250"/>
      <c r="AR655" s="250"/>
      <c r="AS655" s="250"/>
      <c r="AT655" s="250"/>
      <c r="AU655" s="250"/>
      <c r="AV655" s="250"/>
      <c r="AW655" s="250"/>
      <c r="AX655" s="250"/>
      <c r="AY655" s="250"/>
      <c r="AZ655" s="250"/>
      <c r="BA655" s="250"/>
      <c r="BB655" s="250"/>
      <c r="BC655" s="250"/>
      <c r="BD655" s="250"/>
      <c r="BE655" s="250"/>
      <c r="BF655" s="250"/>
      <c r="BG655" s="250"/>
      <c r="BH655" s="250"/>
      <c r="BI655" s="250"/>
      <c r="BJ655" s="250"/>
    </row>
    <row r="656" spans="2:62" ht="15.75" customHeight="1">
      <c r="B656" s="7"/>
      <c r="C656" s="339"/>
      <c r="D656" s="339"/>
      <c r="E656" s="339"/>
      <c r="F656" s="339"/>
      <c r="G656" s="339"/>
      <c r="H656" s="339"/>
      <c r="I656" s="339"/>
      <c r="J656" s="339"/>
      <c r="K656" s="406"/>
      <c r="L656" s="406"/>
      <c r="M656" s="339"/>
      <c r="N656" s="406"/>
      <c r="O656" s="406"/>
      <c r="P656" s="339"/>
      <c r="Q656" s="406"/>
      <c r="R656" s="406"/>
      <c r="S656" s="339"/>
      <c r="T656" s="339"/>
      <c r="U656" s="339"/>
      <c r="V656" s="339"/>
      <c r="W656" s="339"/>
      <c r="X656" s="339"/>
      <c r="Y656" s="250"/>
      <c r="Z656" s="250"/>
      <c r="AA656" s="250"/>
      <c r="AB656" s="250"/>
      <c r="AC656" s="250"/>
      <c r="AD656" s="250"/>
      <c r="AE656" s="250"/>
      <c r="AF656" s="250"/>
      <c r="AG656" s="250"/>
      <c r="AH656" s="250"/>
      <c r="AI656" s="250"/>
      <c r="AJ656" s="250"/>
      <c r="AK656" s="250"/>
      <c r="AL656" s="250"/>
      <c r="AM656" s="250"/>
      <c r="AN656" s="250"/>
      <c r="AO656" s="250"/>
      <c r="AP656" s="250"/>
      <c r="AQ656" s="250"/>
      <c r="AR656" s="250"/>
      <c r="AS656" s="250"/>
      <c r="AT656" s="250"/>
      <c r="AU656" s="250"/>
      <c r="AV656" s="250"/>
      <c r="AW656" s="250"/>
      <c r="AX656" s="250"/>
      <c r="AY656" s="250"/>
      <c r="AZ656" s="250"/>
      <c r="BA656" s="250"/>
      <c r="BB656" s="250"/>
      <c r="BC656" s="250"/>
      <c r="BD656" s="250"/>
      <c r="BE656" s="250"/>
      <c r="BF656" s="250"/>
      <c r="BG656" s="250"/>
      <c r="BH656" s="250"/>
      <c r="BI656" s="250"/>
      <c r="BJ656" s="250"/>
    </row>
    <row r="657" spans="2:62" ht="15.75" customHeight="1">
      <c r="B657" s="7"/>
      <c r="C657" s="339"/>
      <c r="D657" s="339"/>
      <c r="E657" s="339"/>
      <c r="F657" s="339"/>
      <c r="G657" s="339"/>
      <c r="H657" s="339"/>
      <c r="I657" s="339"/>
      <c r="J657" s="339"/>
      <c r="K657" s="406"/>
      <c r="L657" s="408"/>
      <c r="M657" s="339"/>
      <c r="N657" s="406"/>
      <c r="O657" s="406"/>
      <c r="P657" s="339"/>
      <c r="Q657" s="406"/>
      <c r="R657" s="408"/>
      <c r="S657" s="339"/>
      <c r="T657" s="339"/>
      <c r="U657" s="339"/>
      <c r="V657" s="339"/>
      <c r="W657" s="339"/>
      <c r="X657" s="339"/>
      <c r="Y657" s="250"/>
      <c r="Z657" s="250"/>
      <c r="AA657" s="250"/>
      <c r="AB657" s="250"/>
      <c r="AC657" s="250"/>
      <c r="AD657" s="250"/>
      <c r="AE657" s="250"/>
      <c r="AF657" s="250"/>
      <c r="AG657" s="250"/>
      <c r="AH657" s="250"/>
      <c r="AI657" s="250"/>
      <c r="AJ657" s="250"/>
      <c r="AK657" s="250"/>
      <c r="AL657" s="250"/>
      <c r="AM657" s="250"/>
      <c r="AN657" s="250"/>
      <c r="AO657" s="250"/>
      <c r="AP657" s="250"/>
      <c r="AQ657" s="250"/>
      <c r="AR657" s="250"/>
      <c r="AS657" s="250"/>
      <c r="AT657" s="250"/>
      <c r="AU657" s="250"/>
      <c r="AV657" s="250"/>
      <c r="AW657" s="250"/>
      <c r="AX657" s="250"/>
      <c r="AY657" s="250"/>
      <c r="AZ657" s="250"/>
      <c r="BA657" s="250"/>
      <c r="BB657" s="250"/>
      <c r="BC657" s="250"/>
      <c r="BD657" s="250"/>
      <c r="BE657" s="250"/>
      <c r="BF657" s="250"/>
      <c r="BG657" s="250"/>
      <c r="BH657" s="250"/>
      <c r="BI657" s="250"/>
      <c r="BJ657" s="250"/>
    </row>
    <row r="658" spans="2:62" ht="15.75" customHeight="1">
      <c r="B658" s="7"/>
      <c r="C658" s="339"/>
      <c r="D658" s="339"/>
      <c r="E658" s="339"/>
      <c r="F658" s="339"/>
      <c r="G658" s="339"/>
      <c r="H658" s="339"/>
      <c r="I658" s="339"/>
      <c r="J658" s="339"/>
      <c r="K658" s="406"/>
      <c r="L658" s="406"/>
      <c r="M658" s="339"/>
      <c r="N658" s="406"/>
      <c r="O658" s="406"/>
      <c r="P658" s="339"/>
      <c r="Q658" s="406"/>
      <c r="R658" s="406"/>
      <c r="S658" s="339"/>
      <c r="T658" s="339"/>
      <c r="U658" s="339"/>
      <c r="V658" s="339"/>
      <c r="W658" s="339"/>
      <c r="X658" s="339"/>
      <c r="Y658" s="250"/>
      <c r="Z658" s="250"/>
      <c r="AA658" s="250"/>
      <c r="AB658" s="250"/>
      <c r="AC658" s="250"/>
      <c r="AD658" s="250"/>
      <c r="AE658" s="250"/>
      <c r="AF658" s="250"/>
      <c r="AG658" s="250"/>
      <c r="AH658" s="250"/>
      <c r="AI658" s="250"/>
      <c r="AJ658" s="250"/>
      <c r="AK658" s="250"/>
      <c r="AL658" s="250"/>
      <c r="AM658" s="250"/>
      <c r="AN658" s="250"/>
      <c r="AO658" s="250"/>
      <c r="AP658" s="250"/>
      <c r="AQ658" s="250"/>
      <c r="AR658" s="250"/>
      <c r="AS658" s="250"/>
      <c r="AT658" s="250"/>
      <c r="AU658" s="250"/>
      <c r="AV658" s="250"/>
      <c r="AW658" s="250"/>
      <c r="AX658" s="250"/>
      <c r="AY658" s="250"/>
      <c r="AZ658" s="250"/>
      <c r="BA658" s="250"/>
      <c r="BB658" s="250"/>
      <c r="BC658" s="250"/>
      <c r="BD658" s="250"/>
      <c r="BE658" s="250"/>
      <c r="BF658" s="250"/>
      <c r="BG658" s="250"/>
      <c r="BH658" s="250"/>
      <c r="BI658" s="250"/>
      <c r="BJ658" s="250"/>
    </row>
    <row r="659" spans="2:62" ht="15.75" customHeight="1">
      <c r="B659" s="7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408"/>
      <c r="O659" s="408"/>
      <c r="P659" s="339"/>
      <c r="Q659" s="408"/>
      <c r="R659" s="339"/>
      <c r="S659" s="339"/>
      <c r="T659" s="339"/>
      <c r="U659" s="339"/>
      <c r="V659" s="339"/>
      <c r="W659" s="339"/>
      <c r="X659" s="339"/>
      <c r="Y659" s="250"/>
      <c r="Z659" s="250"/>
      <c r="AA659" s="250"/>
      <c r="AB659" s="250"/>
      <c r="AC659" s="250"/>
      <c r="AD659" s="250"/>
      <c r="AE659" s="250"/>
      <c r="AF659" s="250"/>
      <c r="AG659" s="250"/>
      <c r="AH659" s="250"/>
      <c r="AI659" s="250"/>
      <c r="AJ659" s="250"/>
      <c r="AK659" s="250"/>
      <c r="AL659" s="250"/>
      <c r="AM659" s="250"/>
      <c r="AN659" s="250"/>
      <c r="AO659" s="250"/>
      <c r="AP659" s="250"/>
      <c r="AQ659" s="250"/>
      <c r="AR659" s="250"/>
      <c r="AS659" s="250"/>
      <c r="AT659" s="250"/>
      <c r="AU659" s="250"/>
      <c r="AV659" s="250"/>
      <c r="AW659" s="250"/>
      <c r="AX659" s="250"/>
      <c r="AY659" s="250"/>
      <c r="AZ659" s="250"/>
      <c r="BA659" s="250"/>
      <c r="BB659" s="250"/>
      <c r="BC659" s="250"/>
      <c r="BD659" s="250"/>
      <c r="BE659" s="250"/>
      <c r="BF659" s="250"/>
      <c r="BG659" s="250"/>
      <c r="BH659" s="250"/>
      <c r="BI659" s="250"/>
      <c r="BJ659" s="250"/>
    </row>
    <row r="660" spans="2:62" ht="15.75" customHeight="1">
      <c r="B660" s="7"/>
      <c r="C660" s="339"/>
      <c r="D660" s="339"/>
      <c r="E660" s="339"/>
      <c r="F660" s="339"/>
      <c r="G660" s="339"/>
      <c r="H660" s="339"/>
      <c r="I660" s="339"/>
      <c r="J660" s="339"/>
      <c r="K660" s="408"/>
      <c r="L660" s="408"/>
      <c r="M660" s="339"/>
      <c r="N660" s="406"/>
      <c r="O660" s="406"/>
      <c r="P660" s="339"/>
      <c r="Q660" s="406"/>
      <c r="R660" s="408"/>
      <c r="S660" s="339"/>
      <c r="T660" s="339"/>
      <c r="U660" s="339"/>
      <c r="V660" s="339"/>
      <c r="W660" s="339"/>
      <c r="X660" s="339"/>
      <c r="Y660" s="250"/>
      <c r="Z660" s="250"/>
      <c r="AA660" s="250"/>
      <c r="AB660" s="250"/>
      <c r="AC660" s="250"/>
      <c r="AD660" s="250"/>
      <c r="AE660" s="250"/>
      <c r="AF660" s="250"/>
      <c r="AG660" s="250"/>
      <c r="AH660" s="250"/>
      <c r="AI660" s="250"/>
      <c r="AJ660" s="250"/>
      <c r="AK660" s="250"/>
      <c r="AL660" s="250"/>
      <c r="AM660" s="250"/>
      <c r="AN660" s="250"/>
      <c r="AO660" s="250"/>
      <c r="AP660" s="250"/>
      <c r="AQ660" s="250"/>
      <c r="AR660" s="250"/>
      <c r="AS660" s="250"/>
      <c r="AT660" s="250"/>
      <c r="AU660" s="250"/>
      <c r="AV660" s="250"/>
      <c r="AW660" s="250"/>
      <c r="AX660" s="250"/>
      <c r="AY660" s="250"/>
      <c r="AZ660" s="250"/>
      <c r="BA660" s="250"/>
      <c r="BB660" s="250"/>
      <c r="BC660" s="250"/>
      <c r="BD660" s="250"/>
      <c r="BE660" s="250"/>
      <c r="BF660" s="250"/>
      <c r="BG660" s="250"/>
      <c r="BH660" s="250"/>
      <c r="BI660" s="250"/>
      <c r="BJ660" s="250"/>
    </row>
    <row r="661" spans="2:62" ht="15.75" customHeight="1">
      <c r="B661" s="7"/>
      <c r="C661" s="339"/>
      <c r="D661" s="339"/>
      <c r="E661" s="339"/>
      <c r="F661" s="339"/>
      <c r="G661" s="339"/>
      <c r="H661" s="339"/>
      <c r="I661" s="339"/>
      <c r="J661" s="339"/>
      <c r="K661" s="406"/>
      <c r="L661" s="406"/>
      <c r="M661" s="339"/>
      <c r="N661" s="406"/>
      <c r="O661" s="406"/>
      <c r="P661" s="339"/>
      <c r="Q661" s="406"/>
      <c r="R661" s="406"/>
      <c r="S661" s="339"/>
      <c r="T661" s="339"/>
      <c r="U661" s="339"/>
      <c r="V661" s="339"/>
      <c r="W661" s="339"/>
      <c r="X661" s="339"/>
      <c r="Y661" s="250"/>
      <c r="Z661" s="250"/>
      <c r="AA661" s="250"/>
      <c r="AB661" s="250"/>
      <c r="AC661" s="250"/>
      <c r="AD661" s="250"/>
      <c r="AE661" s="250"/>
      <c r="AF661" s="250"/>
      <c r="AG661" s="250"/>
      <c r="AH661" s="250"/>
      <c r="AI661" s="250"/>
      <c r="AJ661" s="250"/>
      <c r="AK661" s="250"/>
      <c r="AL661" s="250"/>
      <c r="AM661" s="250"/>
      <c r="AN661" s="250"/>
      <c r="AO661" s="250"/>
      <c r="AP661" s="250"/>
      <c r="AQ661" s="250"/>
      <c r="AR661" s="250"/>
      <c r="AS661" s="250"/>
      <c r="AT661" s="250"/>
      <c r="AU661" s="250"/>
      <c r="AV661" s="250"/>
      <c r="AW661" s="250"/>
      <c r="AX661" s="250"/>
      <c r="AY661" s="250"/>
      <c r="AZ661" s="250"/>
      <c r="BA661" s="250"/>
      <c r="BB661" s="250"/>
      <c r="BC661" s="250"/>
      <c r="BD661" s="250"/>
      <c r="BE661" s="250"/>
      <c r="BF661" s="250"/>
      <c r="BG661" s="250"/>
      <c r="BH661" s="250"/>
      <c r="BI661" s="250"/>
      <c r="BJ661" s="250"/>
    </row>
    <row r="662" spans="2:62" ht="15.75" customHeight="1">
      <c r="B662" s="7"/>
      <c r="C662" s="339"/>
      <c r="D662" s="339"/>
      <c r="E662" s="339"/>
      <c r="F662" s="339"/>
      <c r="G662" s="339"/>
      <c r="H662" s="339"/>
      <c r="I662" s="339"/>
      <c r="J662" s="339"/>
      <c r="K662" s="406"/>
      <c r="L662" s="406"/>
      <c r="M662" s="339"/>
      <c r="N662" s="406"/>
      <c r="O662" s="406"/>
      <c r="P662" s="339"/>
      <c r="Q662" s="406"/>
      <c r="R662" s="406"/>
      <c r="S662" s="339"/>
      <c r="T662" s="339"/>
      <c r="U662" s="339"/>
      <c r="V662" s="339"/>
      <c r="W662" s="339"/>
      <c r="X662" s="339"/>
      <c r="Y662" s="250"/>
      <c r="Z662" s="250"/>
      <c r="AA662" s="250"/>
      <c r="AB662" s="250"/>
      <c r="AC662" s="250"/>
      <c r="AD662" s="250"/>
      <c r="AE662" s="250"/>
      <c r="AF662" s="250"/>
      <c r="AG662" s="250"/>
      <c r="AH662" s="250"/>
      <c r="AI662" s="250"/>
      <c r="AJ662" s="250"/>
      <c r="AK662" s="250"/>
      <c r="AL662" s="250"/>
      <c r="AM662" s="250"/>
      <c r="AN662" s="250"/>
      <c r="AO662" s="250"/>
      <c r="AP662" s="250"/>
      <c r="AQ662" s="250"/>
      <c r="AR662" s="250"/>
      <c r="AS662" s="250"/>
      <c r="AT662" s="250"/>
      <c r="AU662" s="250"/>
      <c r="AV662" s="250"/>
      <c r="AW662" s="250"/>
      <c r="AX662" s="250"/>
      <c r="AY662" s="250"/>
      <c r="AZ662" s="250"/>
      <c r="BA662" s="250"/>
      <c r="BB662" s="250"/>
      <c r="BC662" s="250"/>
      <c r="BD662" s="250"/>
      <c r="BE662" s="250"/>
      <c r="BF662" s="250"/>
      <c r="BG662" s="250"/>
      <c r="BH662" s="250"/>
      <c r="BI662" s="250"/>
      <c r="BJ662" s="250"/>
    </row>
    <row r="663" spans="2:62" ht="15.75" customHeight="1">
      <c r="B663" s="7"/>
      <c r="C663" s="339"/>
      <c r="D663" s="339"/>
      <c r="E663" s="339"/>
      <c r="F663" s="339"/>
      <c r="G663" s="339"/>
      <c r="H663" s="339"/>
      <c r="I663" s="339"/>
      <c r="J663" s="339"/>
      <c r="K663" s="406"/>
      <c r="L663" s="406"/>
      <c r="M663" s="339"/>
      <c r="N663" s="406"/>
      <c r="O663" s="406"/>
      <c r="P663" s="339"/>
      <c r="Q663" s="406"/>
      <c r="R663" s="406"/>
      <c r="S663" s="339"/>
      <c r="T663" s="339"/>
      <c r="U663" s="339"/>
      <c r="V663" s="339"/>
      <c r="W663" s="339"/>
      <c r="X663" s="339"/>
      <c r="Y663" s="250"/>
      <c r="Z663" s="250"/>
      <c r="AA663" s="250"/>
      <c r="AB663" s="250"/>
      <c r="AC663" s="250"/>
      <c r="AD663" s="250"/>
      <c r="AE663" s="250"/>
      <c r="AF663" s="250"/>
      <c r="AG663" s="250"/>
      <c r="AH663" s="250"/>
      <c r="AI663" s="250"/>
      <c r="AJ663" s="250"/>
      <c r="AK663" s="250"/>
      <c r="AL663" s="250"/>
      <c r="AM663" s="250"/>
      <c r="AN663" s="250"/>
      <c r="AO663" s="250"/>
      <c r="AP663" s="250"/>
      <c r="AQ663" s="250"/>
      <c r="AR663" s="250"/>
      <c r="AS663" s="250"/>
      <c r="AT663" s="250"/>
      <c r="AU663" s="250"/>
      <c r="AV663" s="250"/>
      <c r="AW663" s="250"/>
      <c r="AX663" s="250"/>
      <c r="AY663" s="250"/>
      <c r="AZ663" s="250"/>
      <c r="BA663" s="250"/>
      <c r="BB663" s="250"/>
      <c r="BC663" s="250"/>
      <c r="BD663" s="250"/>
      <c r="BE663" s="250"/>
      <c r="BF663" s="250"/>
      <c r="BG663" s="250"/>
      <c r="BH663" s="250"/>
      <c r="BI663" s="250"/>
      <c r="BJ663" s="250"/>
    </row>
    <row r="664" spans="2:62" ht="15.75" customHeight="1">
      <c r="B664" s="7"/>
      <c r="C664" s="339"/>
      <c r="D664" s="339"/>
      <c r="E664" s="339"/>
      <c r="F664" s="339"/>
      <c r="G664" s="339"/>
      <c r="H664" s="339"/>
      <c r="I664" s="339"/>
      <c r="J664" s="339"/>
      <c r="K664" s="406"/>
      <c r="L664" s="406"/>
      <c r="M664" s="339"/>
      <c r="N664" s="406"/>
      <c r="O664" s="406"/>
      <c r="P664" s="339"/>
      <c r="Q664" s="406"/>
      <c r="R664" s="406"/>
      <c r="S664" s="339"/>
      <c r="T664" s="339"/>
      <c r="U664" s="339"/>
      <c r="V664" s="339"/>
      <c r="W664" s="339"/>
      <c r="X664" s="339"/>
      <c r="Y664" s="250"/>
      <c r="Z664" s="250"/>
      <c r="AA664" s="250"/>
      <c r="AB664" s="250"/>
      <c r="AC664" s="250"/>
      <c r="AD664" s="250"/>
      <c r="AE664" s="250"/>
      <c r="AF664" s="250"/>
      <c r="AG664" s="250"/>
      <c r="AH664" s="250"/>
      <c r="AI664" s="250"/>
      <c r="AJ664" s="250"/>
      <c r="AK664" s="250"/>
      <c r="AL664" s="250"/>
      <c r="AM664" s="250"/>
      <c r="AN664" s="250"/>
      <c r="AO664" s="250"/>
      <c r="AP664" s="250"/>
      <c r="AQ664" s="250"/>
      <c r="AR664" s="250"/>
      <c r="AS664" s="250"/>
      <c r="AT664" s="250"/>
      <c r="AU664" s="250"/>
      <c r="AV664" s="250"/>
      <c r="AW664" s="250"/>
      <c r="AX664" s="250"/>
      <c r="AY664" s="250"/>
      <c r="AZ664" s="250"/>
      <c r="BA664" s="250"/>
      <c r="BB664" s="250"/>
      <c r="BC664" s="250"/>
      <c r="BD664" s="250"/>
      <c r="BE664" s="250"/>
      <c r="BF664" s="250"/>
      <c r="BG664" s="250"/>
      <c r="BH664" s="250"/>
      <c r="BI664" s="250"/>
      <c r="BJ664" s="250"/>
    </row>
    <row r="665" spans="2:62" ht="15.75" customHeight="1">
      <c r="B665" s="7"/>
      <c r="C665" s="339"/>
      <c r="D665" s="339"/>
      <c r="E665" s="339"/>
      <c r="F665" s="339"/>
      <c r="G665" s="339"/>
      <c r="H665" s="339"/>
      <c r="I665" s="339"/>
      <c r="J665" s="339"/>
      <c r="K665" s="406"/>
      <c r="L665" s="406"/>
      <c r="M665" s="339"/>
      <c r="N665" s="406"/>
      <c r="O665" s="406"/>
      <c r="P665" s="339"/>
      <c r="Q665" s="406"/>
      <c r="R665" s="406"/>
      <c r="S665" s="339"/>
      <c r="T665" s="339"/>
      <c r="U665" s="339"/>
      <c r="V665" s="339"/>
      <c r="W665" s="339"/>
      <c r="X665" s="339"/>
      <c r="Y665" s="250"/>
      <c r="Z665" s="250"/>
      <c r="AA665" s="250"/>
      <c r="AB665" s="250"/>
      <c r="AC665" s="250"/>
      <c r="AD665" s="250"/>
      <c r="AE665" s="250"/>
      <c r="AF665" s="250"/>
      <c r="AG665" s="250"/>
      <c r="AH665" s="250"/>
      <c r="AI665" s="250"/>
      <c r="AJ665" s="250"/>
      <c r="AK665" s="250"/>
      <c r="AL665" s="250"/>
      <c r="AM665" s="250"/>
      <c r="AN665" s="250"/>
      <c r="AO665" s="250"/>
      <c r="AP665" s="250"/>
      <c r="AQ665" s="250"/>
      <c r="AR665" s="250"/>
      <c r="AS665" s="250"/>
      <c r="AT665" s="250"/>
      <c r="AU665" s="250"/>
      <c r="AV665" s="250"/>
      <c r="AW665" s="250"/>
      <c r="AX665" s="250"/>
      <c r="AY665" s="250"/>
      <c r="AZ665" s="250"/>
      <c r="BA665" s="250"/>
      <c r="BB665" s="250"/>
      <c r="BC665" s="250"/>
      <c r="BD665" s="250"/>
      <c r="BE665" s="250"/>
      <c r="BF665" s="250"/>
      <c r="BG665" s="250"/>
      <c r="BH665" s="250"/>
      <c r="BI665" s="250"/>
      <c r="BJ665" s="250"/>
    </row>
    <row r="666" spans="2:62" ht="15.75" customHeight="1">
      <c r="B666" s="7"/>
      <c r="C666" s="339"/>
      <c r="D666" s="339"/>
      <c r="E666" s="339"/>
      <c r="F666" s="339"/>
      <c r="G666" s="339"/>
      <c r="H666" s="339"/>
      <c r="I666" s="339"/>
      <c r="J666" s="339"/>
      <c r="K666" s="406"/>
      <c r="L666" s="406"/>
      <c r="M666" s="339"/>
      <c r="N666" s="406"/>
      <c r="O666" s="406"/>
      <c r="P666" s="339"/>
      <c r="Q666" s="406"/>
      <c r="R666" s="406"/>
      <c r="S666" s="339"/>
      <c r="T666" s="339"/>
      <c r="U666" s="339"/>
      <c r="V666" s="339"/>
      <c r="W666" s="339"/>
      <c r="X666" s="339"/>
      <c r="Y666" s="250"/>
      <c r="Z666" s="250"/>
      <c r="AA666" s="250"/>
      <c r="AB666" s="250"/>
      <c r="AC666" s="250"/>
      <c r="AD666" s="250"/>
      <c r="AE666" s="250"/>
      <c r="AF666" s="250"/>
      <c r="AG666" s="250"/>
      <c r="AH666" s="250"/>
      <c r="AI666" s="250"/>
      <c r="AJ666" s="250"/>
      <c r="AK666" s="250"/>
      <c r="AL666" s="250"/>
      <c r="AM666" s="250"/>
      <c r="AN666" s="250"/>
      <c r="AO666" s="250"/>
      <c r="AP666" s="250"/>
      <c r="AQ666" s="250"/>
      <c r="AR666" s="250"/>
      <c r="AS666" s="250"/>
      <c r="AT666" s="250"/>
      <c r="AU666" s="250"/>
      <c r="AV666" s="250"/>
      <c r="AW666" s="250"/>
      <c r="AX666" s="250"/>
      <c r="AY666" s="250"/>
      <c r="AZ666" s="250"/>
      <c r="BA666" s="250"/>
      <c r="BB666" s="250"/>
      <c r="BC666" s="250"/>
      <c r="BD666" s="250"/>
      <c r="BE666" s="250"/>
      <c r="BF666" s="250"/>
      <c r="BG666" s="250"/>
      <c r="BH666" s="250"/>
      <c r="BI666" s="250"/>
      <c r="BJ666" s="250"/>
    </row>
    <row r="667" spans="2:62" ht="15.75" customHeight="1">
      <c r="B667" s="7"/>
      <c r="C667" s="339"/>
      <c r="D667" s="339"/>
      <c r="E667" s="339"/>
      <c r="F667" s="339"/>
      <c r="G667" s="339"/>
      <c r="H667" s="339"/>
      <c r="I667" s="339"/>
      <c r="J667" s="339"/>
      <c r="K667" s="406"/>
      <c r="L667" s="406"/>
      <c r="M667" s="339"/>
      <c r="N667" s="406"/>
      <c r="O667" s="406"/>
      <c r="P667" s="339"/>
      <c r="Q667" s="406"/>
      <c r="R667" s="406"/>
      <c r="S667" s="339"/>
      <c r="T667" s="339"/>
      <c r="U667" s="339"/>
      <c r="V667" s="339"/>
      <c r="W667" s="339"/>
      <c r="X667" s="339"/>
      <c r="Y667" s="250"/>
      <c r="Z667" s="250"/>
      <c r="AA667" s="250"/>
      <c r="AB667" s="250"/>
      <c r="AC667" s="250"/>
      <c r="AD667" s="250"/>
      <c r="AE667" s="250"/>
      <c r="AF667" s="250"/>
      <c r="AG667" s="250"/>
      <c r="AH667" s="250"/>
      <c r="AI667" s="250"/>
      <c r="AJ667" s="250"/>
      <c r="AK667" s="250"/>
      <c r="AL667" s="250"/>
      <c r="AM667" s="250"/>
      <c r="AN667" s="250"/>
      <c r="AO667" s="250"/>
      <c r="AP667" s="250"/>
      <c r="AQ667" s="250"/>
      <c r="AR667" s="250"/>
      <c r="AS667" s="250"/>
      <c r="AT667" s="250"/>
      <c r="AU667" s="250"/>
      <c r="AV667" s="250"/>
      <c r="AW667" s="250"/>
      <c r="AX667" s="250"/>
      <c r="AY667" s="250"/>
      <c r="AZ667" s="250"/>
      <c r="BA667" s="250"/>
      <c r="BB667" s="250"/>
      <c r="BC667" s="250"/>
      <c r="BD667" s="250"/>
      <c r="BE667" s="250"/>
      <c r="BF667" s="250"/>
      <c r="BG667" s="250"/>
      <c r="BH667" s="250"/>
      <c r="BI667" s="250"/>
      <c r="BJ667" s="250"/>
    </row>
    <row r="668" spans="2:62" ht="15.75" customHeight="1">
      <c r="B668" s="7"/>
      <c r="C668" s="339"/>
      <c r="D668" s="339"/>
      <c r="E668" s="339"/>
      <c r="F668" s="339"/>
      <c r="G668" s="339"/>
      <c r="H668" s="339"/>
      <c r="I668" s="339"/>
      <c r="J668" s="339"/>
      <c r="K668" s="406"/>
      <c r="L668" s="406"/>
      <c r="M668" s="339"/>
      <c r="N668" s="406"/>
      <c r="O668" s="406"/>
      <c r="P668" s="339"/>
      <c r="Q668" s="406"/>
      <c r="R668" s="406"/>
      <c r="S668" s="339"/>
      <c r="T668" s="339"/>
      <c r="U668" s="339"/>
      <c r="V668" s="339"/>
      <c r="W668" s="339"/>
      <c r="X668" s="339"/>
      <c r="Y668" s="250"/>
      <c r="Z668" s="250"/>
      <c r="AA668" s="250"/>
      <c r="AB668" s="250"/>
      <c r="AC668" s="250"/>
      <c r="AD668" s="250"/>
      <c r="AE668" s="250"/>
      <c r="AF668" s="250"/>
      <c r="AG668" s="250"/>
      <c r="AH668" s="250"/>
      <c r="AI668" s="250"/>
      <c r="AJ668" s="250"/>
      <c r="AK668" s="250"/>
      <c r="AL668" s="250"/>
      <c r="AM668" s="250"/>
      <c r="AN668" s="250"/>
      <c r="AO668" s="250"/>
      <c r="AP668" s="250"/>
      <c r="AQ668" s="250"/>
      <c r="AR668" s="250"/>
      <c r="AS668" s="250"/>
      <c r="AT668" s="250"/>
      <c r="AU668" s="250"/>
      <c r="AV668" s="250"/>
      <c r="AW668" s="250"/>
      <c r="AX668" s="250"/>
      <c r="AY668" s="250"/>
      <c r="AZ668" s="250"/>
      <c r="BA668" s="250"/>
      <c r="BB668" s="250"/>
      <c r="BC668" s="250"/>
      <c r="BD668" s="250"/>
      <c r="BE668" s="250"/>
      <c r="BF668" s="250"/>
      <c r="BG668" s="250"/>
      <c r="BH668" s="250"/>
      <c r="BI668" s="250"/>
      <c r="BJ668" s="250"/>
    </row>
    <row r="669" spans="2:62" ht="15.75" customHeight="1">
      <c r="B669" s="7"/>
      <c r="C669" s="339"/>
      <c r="D669" s="339"/>
      <c r="E669" s="339"/>
      <c r="F669" s="339"/>
      <c r="G669" s="339"/>
      <c r="H669" s="339"/>
      <c r="I669" s="339"/>
      <c r="J669" s="339"/>
      <c r="K669" s="406"/>
      <c r="L669" s="406"/>
      <c r="M669" s="339"/>
      <c r="N669" s="408"/>
      <c r="O669" s="408"/>
      <c r="P669" s="339"/>
      <c r="Q669" s="408"/>
      <c r="R669" s="406"/>
      <c r="S669" s="339"/>
      <c r="T669" s="339"/>
      <c r="U669" s="339"/>
      <c r="V669" s="339"/>
      <c r="W669" s="339"/>
      <c r="X669" s="339"/>
      <c r="Y669" s="250"/>
      <c r="Z669" s="250"/>
      <c r="AA669" s="250"/>
      <c r="AB669" s="250"/>
      <c r="AC669" s="250"/>
      <c r="AD669" s="250"/>
      <c r="AE669" s="250"/>
      <c r="AF669" s="250"/>
      <c r="AG669" s="250"/>
      <c r="AH669" s="250"/>
      <c r="AI669" s="250"/>
      <c r="AJ669" s="250"/>
      <c r="AK669" s="250"/>
      <c r="AL669" s="250"/>
      <c r="AM669" s="250"/>
      <c r="AN669" s="250"/>
      <c r="AO669" s="250"/>
      <c r="AP669" s="250"/>
      <c r="AQ669" s="250"/>
      <c r="AR669" s="250"/>
      <c r="AS669" s="250"/>
      <c r="AT669" s="250"/>
      <c r="AU669" s="250"/>
      <c r="AV669" s="250"/>
      <c r="AW669" s="250"/>
      <c r="AX669" s="250"/>
      <c r="AY669" s="250"/>
      <c r="AZ669" s="250"/>
      <c r="BA669" s="250"/>
      <c r="BB669" s="250"/>
      <c r="BC669" s="250"/>
      <c r="BD669" s="250"/>
      <c r="BE669" s="250"/>
      <c r="BF669" s="250"/>
      <c r="BG669" s="250"/>
      <c r="BH669" s="250"/>
      <c r="BI669" s="250"/>
      <c r="BJ669" s="250"/>
    </row>
    <row r="670" spans="2:62" ht="15.75" customHeight="1">
      <c r="B670" s="7"/>
      <c r="C670" s="339"/>
      <c r="D670" s="339"/>
      <c r="E670" s="339"/>
      <c r="F670" s="339"/>
      <c r="G670" s="339"/>
      <c r="H670" s="339"/>
      <c r="I670" s="339"/>
      <c r="J670" s="339"/>
      <c r="K670" s="408"/>
      <c r="L670" s="408"/>
      <c r="M670" s="339"/>
      <c r="N670" s="406"/>
      <c r="O670" s="406"/>
      <c r="P670" s="339"/>
      <c r="Q670" s="406"/>
      <c r="R670" s="408"/>
      <c r="S670" s="339"/>
      <c r="T670" s="339"/>
      <c r="U670" s="339"/>
      <c r="V670" s="339"/>
      <c r="W670" s="339"/>
      <c r="X670" s="339"/>
      <c r="Y670" s="250"/>
      <c r="Z670" s="250"/>
      <c r="AA670" s="250"/>
      <c r="AB670" s="250"/>
      <c r="AC670" s="250"/>
      <c r="AD670" s="250"/>
      <c r="AE670" s="250"/>
      <c r="AF670" s="250"/>
      <c r="AG670" s="250"/>
      <c r="AH670" s="250"/>
      <c r="AI670" s="250"/>
      <c r="AJ670" s="250"/>
      <c r="AK670" s="250"/>
      <c r="AL670" s="250"/>
      <c r="AM670" s="250"/>
      <c r="AN670" s="250"/>
      <c r="AO670" s="250"/>
      <c r="AP670" s="250"/>
      <c r="AQ670" s="250"/>
      <c r="AR670" s="250"/>
      <c r="AS670" s="250"/>
      <c r="AT670" s="250"/>
      <c r="AU670" s="250"/>
      <c r="AV670" s="250"/>
      <c r="AW670" s="250"/>
      <c r="AX670" s="250"/>
      <c r="AY670" s="250"/>
      <c r="AZ670" s="250"/>
      <c r="BA670" s="250"/>
      <c r="BB670" s="250"/>
      <c r="BC670" s="250"/>
      <c r="BD670" s="250"/>
      <c r="BE670" s="250"/>
      <c r="BF670" s="250"/>
      <c r="BG670" s="250"/>
      <c r="BH670" s="250"/>
      <c r="BI670" s="250"/>
      <c r="BJ670" s="250"/>
    </row>
    <row r="671" spans="2:62" ht="15.75" customHeight="1">
      <c r="B671" s="7"/>
      <c r="C671" s="339"/>
      <c r="D671" s="339"/>
      <c r="E671" s="339"/>
      <c r="F671" s="339"/>
      <c r="G671" s="339"/>
      <c r="H671" s="339"/>
      <c r="I671" s="339"/>
      <c r="J671" s="339"/>
      <c r="K671" s="406"/>
      <c r="L671" s="406"/>
      <c r="M671" s="339"/>
      <c r="N671" s="406"/>
      <c r="O671" s="406"/>
      <c r="P671" s="339"/>
      <c r="Q671" s="406"/>
      <c r="R671" s="406"/>
      <c r="S671" s="339"/>
      <c r="T671" s="339"/>
      <c r="U671" s="339"/>
      <c r="V671" s="339"/>
      <c r="W671" s="339"/>
      <c r="X671" s="339"/>
      <c r="Y671" s="250"/>
      <c r="Z671" s="250"/>
      <c r="AA671" s="250"/>
      <c r="AB671" s="250"/>
      <c r="AC671" s="250"/>
      <c r="AD671" s="250"/>
      <c r="AE671" s="250"/>
      <c r="AF671" s="250"/>
      <c r="AG671" s="250"/>
      <c r="AH671" s="250"/>
      <c r="AI671" s="250"/>
      <c r="AJ671" s="250"/>
      <c r="AK671" s="250"/>
      <c r="AL671" s="250"/>
      <c r="AM671" s="250"/>
      <c r="AN671" s="250"/>
      <c r="AO671" s="250"/>
      <c r="AP671" s="250"/>
      <c r="AQ671" s="250"/>
      <c r="AR671" s="250"/>
      <c r="AS671" s="250"/>
      <c r="AT671" s="250"/>
      <c r="AU671" s="250"/>
      <c r="AV671" s="250"/>
      <c r="AW671" s="250"/>
      <c r="AX671" s="250"/>
      <c r="AY671" s="250"/>
      <c r="AZ671" s="250"/>
      <c r="BA671" s="250"/>
      <c r="BB671" s="250"/>
      <c r="BC671" s="250"/>
      <c r="BD671" s="250"/>
      <c r="BE671" s="250"/>
      <c r="BF671" s="250"/>
      <c r="BG671" s="250"/>
      <c r="BH671" s="250"/>
      <c r="BI671" s="250"/>
      <c r="BJ671" s="250"/>
    </row>
    <row r="672" spans="2:62" ht="15.75" customHeight="1">
      <c r="B672" s="7"/>
      <c r="C672" s="339"/>
      <c r="D672" s="339"/>
      <c r="E672" s="339"/>
      <c r="F672" s="339"/>
      <c r="G672" s="339"/>
      <c r="H672" s="339"/>
      <c r="I672" s="339"/>
      <c r="J672" s="339"/>
      <c r="K672" s="406"/>
      <c r="L672" s="406"/>
      <c r="M672" s="339"/>
      <c r="N672" s="406"/>
      <c r="O672" s="406"/>
      <c r="P672" s="339"/>
      <c r="Q672" s="406"/>
      <c r="R672" s="406"/>
      <c r="S672" s="339"/>
      <c r="T672" s="339"/>
      <c r="U672" s="339"/>
      <c r="V672" s="339"/>
      <c r="W672" s="339"/>
      <c r="X672" s="339"/>
      <c r="Y672" s="250"/>
      <c r="Z672" s="250"/>
      <c r="AA672" s="250"/>
      <c r="AB672" s="250"/>
      <c r="AC672" s="250"/>
      <c r="AD672" s="250"/>
      <c r="AE672" s="250"/>
      <c r="AF672" s="250"/>
      <c r="AG672" s="250"/>
      <c r="AH672" s="250"/>
      <c r="AI672" s="250"/>
      <c r="AJ672" s="250"/>
      <c r="AK672" s="250"/>
      <c r="AL672" s="250"/>
      <c r="AM672" s="250"/>
      <c r="AN672" s="250"/>
      <c r="AO672" s="250"/>
      <c r="AP672" s="250"/>
      <c r="AQ672" s="250"/>
      <c r="AR672" s="250"/>
      <c r="AS672" s="250"/>
      <c r="AT672" s="250"/>
      <c r="AU672" s="250"/>
      <c r="AV672" s="250"/>
      <c r="AW672" s="250"/>
      <c r="AX672" s="250"/>
      <c r="AY672" s="250"/>
      <c r="AZ672" s="250"/>
      <c r="BA672" s="250"/>
      <c r="BB672" s="250"/>
      <c r="BC672" s="250"/>
      <c r="BD672" s="250"/>
      <c r="BE672" s="250"/>
      <c r="BF672" s="250"/>
      <c r="BG672" s="250"/>
      <c r="BH672" s="250"/>
      <c r="BI672" s="250"/>
      <c r="BJ672" s="250"/>
    </row>
    <row r="673" spans="2:62" ht="15.75" customHeight="1">
      <c r="B673" s="7"/>
      <c r="C673" s="339"/>
      <c r="D673" s="339"/>
      <c r="E673" s="339"/>
      <c r="F673" s="339"/>
      <c r="G673" s="339"/>
      <c r="H673" s="339"/>
      <c r="I673" s="339"/>
      <c r="J673" s="339"/>
      <c r="K673" s="406"/>
      <c r="L673" s="406"/>
      <c r="M673" s="339"/>
      <c r="N673" s="406"/>
      <c r="O673" s="406"/>
      <c r="P673" s="339"/>
      <c r="Q673" s="406"/>
      <c r="R673" s="406"/>
      <c r="S673" s="339"/>
      <c r="T673" s="339"/>
      <c r="U673" s="339"/>
      <c r="V673" s="339"/>
      <c r="W673" s="339"/>
      <c r="X673" s="339"/>
      <c r="Y673" s="250"/>
      <c r="Z673" s="250"/>
      <c r="AA673" s="250"/>
      <c r="AB673" s="250"/>
      <c r="AC673" s="250"/>
      <c r="AD673" s="250"/>
      <c r="AE673" s="250"/>
      <c r="AF673" s="250"/>
      <c r="AG673" s="250"/>
      <c r="AH673" s="250"/>
      <c r="AI673" s="250"/>
      <c r="AJ673" s="250"/>
      <c r="AK673" s="250"/>
      <c r="AL673" s="250"/>
      <c r="AM673" s="250"/>
      <c r="AN673" s="250"/>
      <c r="AO673" s="250"/>
      <c r="AP673" s="250"/>
      <c r="AQ673" s="250"/>
      <c r="AR673" s="250"/>
      <c r="AS673" s="250"/>
      <c r="AT673" s="250"/>
      <c r="AU673" s="250"/>
      <c r="AV673" s="250"/>
      <c r="AW673" s="250"/>
      <c r="AX673" s="250"/>
      <c r="AY673" s="250"/>
      <c r="AZ673" s="250"/>
      <c r="BA673" s="250"/>
      <c r="BB673" s="250"/>
      <c r="BC673" s="250"/>
      <c r="BD673" s="250"/>
      <c r="BE673" s="250"/>
      <c r="BF673" s="250"/>
      <c r="BG673" s="250"/>
      <c r="BH673" s="250"/>
      <c r="BI673" s="250"/>
      <c r="BJ673" s="250"/>
    </row>
    <row r="674" spans="2:62" ht="15.75" customHeight="1">
      <c r="B674" s="7"/>
      <c r="C674" s="339"/>
      <c r="D674" s="339"/>
      <c r="E674" s="339"/>
      <c r="F674" s="339"/>
      <c r="G674" s="339"/>
      <c r="H674" s="339"/>
      <c r="I674" s="339"/>
      <c r="J674" s="339"/>
      <c r="K674" s="406"/>
      <c r="L674" s="406"/>
      <c r="M674" s="339"/>
      <c r="N674" s="406"/>
      <c r="O674" s="406"/>
      <c r="P674" s="339"/>
      <c r="Q674" s="406"/>
      <c r="R674" s="406"/>
      <c r="S674" s="339"/>
      <c r="T674" s="339"/>
      <c r="U674" s="339"/>
      <c r="V674" s="339"/>
      <c r="W674" s="339"/>
      <c r="X674" s="339"/>
      <c r="Y674" s="250"/>
      <c r="Z674" s="250"/>
      <c r="AA674" s="250"/>
      <c r="AB674" s="250"/>
      <c r="AC674" s="250"/>
      <c r="AD674" s="250"/>
      <c r="AE674" s="250"/>
      <c r="AF674" s="250"/>
      <c r="AG674" s="250"/>
      <c r="AH674" s="250"/>
      <c r="AI674" s="250"/>
      <c r="AJ674" s="250"/>
      <c r="AK674" s="250"/>
      <c r="AL674" s="250"/>
      <c r="AM674" s="250"/>
      <c r="AN674" s="250"/>
      <c r="AO674" s="250"/>
      <c r="AP674" s="250"/>
      <c r="AQ674" s="250"/>
      <c r="AR674" s="250"/>
      <c r="AS674" s="250"/>
      <c r="AT674" s="250"/>
      <c r="AU674" s="250"/>
      <c r="AV674" s="250"/>
      <c r="AW674" s="250"/>
      <c r="AX674" s="250"/>
      <c r="AY674" s="250"/>
      <c r="AZ674" s="250"/>
      <c r="BA674" s="250"/>
      <c r="BB674" s="250"/>
      <c r="BC674" s="250"/>
      <c r="BD674" s="250"/>
      <c r="BE674" s="250"/>
      <c r="BF674" s="250"/>
      <c r="BG674" s="250"/>
      <c r="BH674" s="250"/>
      <c r="BI674" s="250"/>
      <c r="BJ674" s="250"/>
    </row>
    <row r="675" spans="2:62" ht="15.75" customHeight="1">
      <c r="B675" s="7"/>
      <c r="C675" s="339"/>
      <c r="D675" s="339"/>
      <c r="E675" s="339"/>
      <c r="F675" s="339"/>
      <c r="G675" s="339"/>
      <c r="H675" s="339"/>
      <c r="I675" s="339"/>
      <c r="J675" s="339"/>
      <c r="K675" s="406"/>
      <c r="L675" s="406"/>
      <c r="M675" s="339"/>
      <c r="N675" s="406"/>
      <c r="O675" s="406"/>
      <c r="P675" s="339"/>
      <c r="Q675" s="406"/>
      <c r="R675" s="406"/>
      <c r="S675" s="339"/>
      <c r="T675" s="339"/>
      <c r="U675" s="339"/>
      <c r="V675" s="339"/>
      <c r="W675" s="339"/>
      <c r="X675" s="339"/>
      <c r="Y675" s="250"/>
      <c r="Z675" s="250"/>
      <c r="AA675" s="250"/>
      <c r="AB675" s="250"/>
      <c r="AC675" s="250"/>
      <c r="AD675" s="250"/>
      <c r="AE675" s="250"/>
      <c r="AF675" s="250"/>
      <c r="AG675" s="250"/>
      <c r="AH675" s="250"/>
      <c r="AI675" s="250"/>
      <c r="AJ675" s="250"/>
      <c r="AK675" s="250"/>
      <c r="AL675" s="250"/>
      <c r="AM675" s="250"/>
      <c r="AN675" s="250"/>
      <c r="AO675" s="250"/>
      <c r="AP675" s="250"/>
      <c r="AQ675" s="250"/>
      <c r="AR675" s="250"/>
      <c r="AS675" s="250"/>
      <c r="AT675" s="250"/>
      <c r="AU675" s="250"/>
      <c r="AV675" s="250"/>
      <c r="AW675" s="250"/>
      <c r="AX675" s="250"/>
      <c r="AY675" s="250"/>
      <c r="AZ675" s="250"/>
      <c r="BA675" s="250"/>
      <c r="BB675" s="250"/>
      <c r="BC675" s="250"/>
      <c r="BD675" s="250"/>
      <c r="BE675" s="250"/>
      <c r="BF675" s="250"/>
      <c r="BG675" s="250"/>
      <c r="BH675" s="250"/>
      <c r="BI675" s="250"/>
      <c r="BJ675" s="250"/>
    </row>
    <row r="676" spans="2:62" ht="15.75" customHeight="1">
      <c r="B676" s="7"/>
      <c r="C676" s="339"/>
      <c r="D676" s="339"/>
      <c r="E676" s="339"/>
      <c r="F676" s="339"/>
      <c r="G676" s="339"/>
      <c r="H676" s="339"/>
      <c r="I676" s="339"/>
      <c r="J676" s="339"/>
      <c r="K676" s="406"/>
      <c r="L676" s="406"/>
      <c r="M676" s="339"/>
      <c r="N676" s="406"/>
      <c r="O676" s="406"/>
      <c r="P676" s="339"/>
      <c r="Q676" s="406"/>
      <c r="R676" s="406"/>
      <c r="S676" s="339"/>
      <c r="T676" s="339"/>
      <c r="U676" s="339"/>
      <c r="V676" s="339"/>
      <c r="W676" s="339"/>
      <c r="X676" s="339"/>
      <c r="Y676" s="250"/>
      <c r="Z676" s="250"/>
      <c r="AA676" s="250"/>
      <c r="AB676" s="250"/>
      <c r="AC676" s="250"/>
      <c r="AD676" s="250"/>
      <c r="AE676" s="250"/>
      <c r="AF676" s="250"/>
      <c r="AG676" s="250"/>
      <c r="AH676" s="250"/>
      <c r="AI676" s="250"/>
      <c r="AJ676" s="250"/>
      <c r="AK676" s="250"/>
      <c r="AL676" s="250"/>
      <c r="AM676" s="250"/>
      <c r="AN676" s="250"/>
      <c r="AO676" s="250"/>
      <c r="AP676" s="250"/>
      <c r="AQ676" s="250"/>
      <c r="AR676" s="250"/>
      <c r="AS676" s="250"/>
      <c r="AT676" s="250"/>
      <c r="AU676" s="250"/>
      <c r="AV676" s="250"/>
      <c r="AW676" s="250"/>
      <c r="AX676" s="250"/>
      <c r="AY676" s="250"/>
      <c r="AZ676" s="250"/>
      <c r="BA676" s="250"/>
      <c r="BB676" s="250"/>
      <c r="BC676" s="250"/>
      <c r="BD676" s="250"/>
      <c r="BE676" s="250"/>
      <c r="BF676" s="250"/>
      <c r="BG676" s="250"/>
      <c r="BH676" s="250"/>
      <c r="BI676" s="250"/>
      <c r="BJ676" s="250"/>
    </row>
    <row r="677" spans="2:62" ht="15.75" customHeight="1">
      <c r="B677" s="7"/>
      <c r="C677" s="339"/>
      <c r="D677" s="339"/>
      <c r="E677" s="339"/>
      <c r="F677" s="339"/>
      <c r="G677" s="339"/>
      <c r="H677" s="339"/>
      <c r="I677" s="339"/>
      <c r="J677" s="339"/>
      <c r="K677" s="406"/>
      <c r="L677" s="406"/>
      <c r="M677" s="339"/>
      <c r="N677" s="406"/>
      <c r="O677" s="406"/>
      <c r="P677" s="339"/>
      <c r="Q677" s="406"/>
      <c r="R677" s="406"/>
      <c r="S677" s="339"/>
      <c r="T677" s="339"/>
      <c r="U677" s="339"/>
      <c r="V677" s="339"/>
      <c r="W677" s="339"/>
      <c r="X677" s="339"/>
      <c r="Y677" s="250"/>
      <c r="Z677" s="250"/>
      <c r="AA677" s="250"/>
      <c r="AB677" s="250"/>
      <c r="AC677" s="250"/>
      <c r="AD677" s="250"/>
      <c r="AE677" s="250"/>
      <c r="AF677" s="250"/>
      <c r="AG677" s="250"/>
      <c r="AH677" s="250"/>
      <c r="AI677" s="250"/>
      <c r="AJ677" s="250"/>
      <c r="AK677" s="250"/>
      <c r="AL677" s="250"/>
      <c r="AM677" s="250"/>
      <c r="AN677" s="250"/>
      <c r="AO677" s="250"/>
      <c r="AP677" s="250"/>
      <c r="AQ677" s="250"/>
      <c r="AR677" s="250"/>
      <c r="AS677" s="250"/>
      <c r="AT677" s="250"/>
      <c r="AU677" s="250"/>
      <c r="AV677" s="250"/>
      <c r="AW677" s="250"/>
      <c r="AX677" s="250"/>
      <c r="AY677" s="250"/>
      <c r="AZ677" s="250"/>
      <c r="BA677" s="250"/>
      <c r="BB677" s="250"/>
      <c r="BC677" s="250"/>
      <c r="BD677" s="250"/>
      <c r="BE677" s="250"/>
      <c r="BF677" s="250"/>
      <c r="BG677" s="250"/>
      <c r="BH677" s="250"/>
      <c r="BI677" s="250"/>
      <c r="BJ677" s="250"/>
    </row>
    <row r="678" spans="2:62" ht="15.75" customHeight="1">
      <c r="B678" s="7"/>
      <c r="C678" s="339"/>
      <c r="D678" s="339"/>
      <c r="E678" s="339"/>
      <c r="F678" s="339"/>
      <c r="G678" s="339"/>
      <c r="H678" s="339"/>
      <c r="I678" s="339"/>
      <c r="J678" s="339"/>
      <c r="K678" s="406"/>
      <c r="L678" s="406"/>
      <c r="M678" s="339"/>
      <c r="N678" s="406"/>
      <c r="O678" s="406"/>
      <c r="P678" s="339"/>
      <c r="Q678" s="406"/>
      <c r="R678" s="406"/>
      <c r="S678" s="339"/>
      <c r="T678" s="339"/>
      <c r="U678" s="339"/>
      <c r="V678" s="339"/>
      <c r="W678" s="339"/>
      <c r="X678" s="339"/>
      <c r="Y678" s="250"/>
      <c r="Z678" s="250"/>
      <c r="AA678" s="250"/>
      <c r="AB678" s="250"/>
      <c r="AC678" s="250"/>
      <c r="AD678" s="250"/>
      <c r="AE678" s="250"/>
      <c r="AF678" s="250"/>
      <c r="AG678" s="250"/>
      <c r="AH678" s="250"/>
      <c r="AI678" s="250"/>
      <c r="AJ678" s="250"/>
      <c r="AK678" s="250"/>
      <c r="AL678" s="250"/>
      <c r="AM678" s="250"/>
      <c r="AN678" s="250"/>
      <c r="AO678" s="250"/>
      <c r="AP678" s="250"/>
      <c r="AQ678" s="250"/>
      <c r="AR678" s="250"/>
      <c r="AS678" s="250"/>
      <c r="AT678" s="250"/>
      <c r="AU678" s="250"/>
      <c r="AV678" s="250"/>
      <c r="AW678" s="250"/>
      <c r="AX678" s="250"/>
      <c r="AY678" s="250"/>
      <c r="AZ678" s="250"/>
      <c r="BA678" s="250"/>
      <c r="BB678" s="250"/>
      <c r="BC678" s="250"/>
      <c r="BD678" s="250"/>
      <c r="BE678" s="250"/>
      <c r="BF678" s="250"/>
      <c r="BG678" s="250"/>
      <c r="BH678" s="250"/>
      <c r="BI678" s="250"/>
      <c r="BJ678" s="250"/>
    </row>
    <row r="679" spans="2:62" ht="15.75" customHeight="1">
      <c r="B679" s="7"/>
      <c r="C679" s="339"/>
      <c r="D679" s="339"/>
      <c r="E679" s="339"/>
      <c r="F679" s="339"/>
      <c r="G679" s="339"/>
      <c r="H679" s="339"/>
      <c r="I679" s="339"/>
      <c r="J679" s="339"/>
      <c r="K679" s="406"/>
      <c r="L679" s="406"/>
      <c r="M679" s="339"/>
      <c r="N679" s="406"/>
      <c r="O679" s="406"/>
      <c r="P679" s="339"/>
      <c r="Q679" s="406"/>
      <c r="R679" s="406"/>
      <c r="S679" s="339"/>
      <c r="T679" s="339"/>
      <c r="U679" s="339"/>
      <c r="V679" s="339"/>
      <c r="W679" s="339"/>
      <c r="X679" s="339"/>
      <c r="Y679" s="250"/>
      <c r="Z679" s="250"/>
      <c r="AA679" s="250"/>
      <c r="AB679" s="250"/>
      <c r="AC679" s="250"/>
      <c r="AD679" s="250"/>
      <c r="AE679" s="250"/>
      <c r="AF679" s="250"/>
      <c r="AG679" s="250"/>
      <c r="AH679" s="250"/>
      <c r="AI679" s="250"/>
      <c r="AJ679" s="250"/>
      <c r="AK679" s="250"/>
      <c r="AL679" s="250"/>
      <c r="AM679" s="250"/>
      <c r="AN679" s="250"/>
      <c r="AO679" s="250"/>
      <c r="AP679" s="250"/>
      <c r="AQ679" s="250"/>
      <c r="AR679" s="250"/>
      <c r="AS679" s="250"/>
      <c r="AT679" s="250"/>
      <c r="AU679" s="250"/>
      <c r="AV679" s="250"/>
      <c r="AW679" s="250"/>
      <c r="AX679" s="250"/>
      <c r="AY679" s="250"/>
      <c r="AZ679" s="250"/>
      <c r="BA679" s="250"/>
      <c r="BB679" s="250"/>
      <c r="BC679" s="250"/>
      <c r="BD679" s="250"/>
      <c r="BE679" s="250"/>
      <c r="BF679" s="250"/>
      <c r="BG679" s="250"/>
      <c r="BH679" s="250"/>
      <c r="BI679" s="250"/>
      <c r="BJ679" s="250"/>
    </row>
    <row r="680" spans="2:62" ht="15.75" customHeight="1">
      <c r="B680" s="7"/>
      <c r="C680" s="339"/>
      <c r="D680" s="339"/>
      <c r="E680" s="339"/>
      <c r="F680" s="339"/>
      <c r="G680" s="339"/>
      <c r="H680" s="339"/>
      <c r="I680" s="339"/>
      <c r="J680" s="339"/>
      <c r="K680" s="406"/>
      <c r="L680" s="406"/>
      <c r="M680" s="339"/>
      <c r="N680" s="406"/>
      <c r="O680" s="406"/>
      <c r="P680" s="339"/>
      <c r="Q680" s="406"/>
      <c r="R680" s="406"/>
      <c r="S680" s="339"/>
      <c r="T680" s="339"/>
      <c r="U680" s="339"/>
      <c r="V680" s="339"/>
      <c r="W680" s="339"/>
      <c r="X680" s="339"/>
      <c r="Y680" s="250"/>
      <c r="Z680" s="250"/>
      <c r="AA680" s="250"/>
      <c r="AB680" s="250"/>
      <c r="AC680" s="250"/>
      <c r="AD680" s="250"/>
      <c r="AE680" s="250"/>
      <c r="AF680" s="250"/>
      <c r="AG680" s="250"/>
      <c r="AH680" s="250"/>
      <c r="AI680" s="250"/>
      <c r="AJ680" s="250"/>
      <c r="AK680" s="250"/>
      <c r="AL680" s="250"/>
      <c r="AM680" s="250"/>
      <c r="AN680" s="250"/>
      <c r="AO680" s="250"/>
      <c r="AP680" s="250"/>
      <c r="AQ680" s="250"/>
      <c r="AR680" s="250"/>
      <c r="AS680" s="250"/>
      <c r="AT680" s="250"/>
      <c r="AU680" s="250"/>
      <c r="AV680" s="250"/>
      <c r="AW680" s="250"/>
      <c r="AX680" s="250"/>
      <c r="AY680" s="250"/>
      <c r="AZ680" s="250"/>
      <c r="BA680" s="250"/>
      <c r="BB680" s="250"/>
      <c r="BC680" s="250"/>
      <c r="BD680" s="250"/>
      <c r="BE680" s="250"/>
      <c r="BF680" s="250"/>
      <c r="BG680" s="250"/>
      <c r="BH680" s="250"/>
      <c r="BI680" s="250"/>
      <c r="BJ680" s="250"/>
    </row>
    <row r="681" spans="2:62" ht="15.75" customHeight="1">
      <c r="B681" s="7"/>
      <c r="C681" s="339"/>
      <c r="D681" s="339"/>
      <c r="E681" s="339"/>
      <c r="F681" s="339"/>
      <c r="G681" s="339"/>
      <c r="H681" s="339"/>
      <c r="I681" s="339"/>
      <c r="J681" s="339"/>
      <c r="K681" s="406"/>
      <c r="L681" s="406"/>
      <c r="M681" s="339"/>
      <c r="N681" s="406"/>
      <c r="O681" s="406"/>
      <c r="P681" s="339"/>
      <c r="Q681" s="406"/>
      <c r="R681" s="406"/>
      <c r="S681" s="339"/>
      <c r="T681" s="339"/>
      <c r="U681" s="339"/>
      <c r="V681" s="339"/>
      <c r="W681" s="339"/>
      <c r="X681" s="339"/>
      <c r="Y681" s="250"/>
      <c r="Z681" s="250"/>
      <c r="AA681" s="250"/>
      <c r="AB681" s="250"/>
      <c r="AC681" s="250"/>
      <c r="AD681" s="250"/>
      <c r="AE681" s="250"/>
      <c r="AF681" s="250"/>
      <c r="AG681" s="250"/>
      <c r="AH681" s="250"/>
      <c r="AI681" s="250"/>
      <c r="AJ681" s="250"/>
      <c r="AK681" s="250"/>
      <c r="AL681" s="250"/>
      <c r="AM681" s="250"/>
      <c r="AN681" s="250"/>
      <c r="AO681" s="250"/>
      <c r="AP681" s="250"/>
      <c r="AQ681" s="250"/>
      <c r="AR681" s="250"/>
      <c r="AS681" s="250"/>
      <c r="AT681" s="250"/>
      <c r="AU681" s="250"/>
      <c r="AV681" s="250"/>
      <c r="AW681" s="250"/>
      <c r="AX681" s="250"/>
      <c r="AY681" s="250"/>
      <c r="AZ681" s="250"/>
      <c r="BA681" s="250"/>
      <c r="BB681" s="250"/>
      <c r="BC681" s="250"/>
      <c r="BD681" s="250"/>
      <c r="BE681" s="250"/>
      <c r="BF681" s="250"/>
      <c r="BG681" s="250"/>
      <c r="BH681" s="250"/>
      <c r="BI681" s="250"/>
      <c r="BJ681" s="250"/>
    </row>
    <row r="682" spans="2:62" ht="15.75" customHeight="1">
      <c r="B682" s="7"/>
      <c r="C682" s="339"/>
      <c r="D682" s="339"/>
      <c r="E682" s="339"/>
      <c r="F682" s="339"/>
      <c r="G682" s="339"/>
      <c r="H682" s="339"/>
      <c r="I682" s="339"/>
      <c r="J682" s="339"/>
      <c r="K682" s="406"/>
      <c r="L682" s="406"/>
      <c r="M682" s="339"/>
      <c r="N682" s="406"/>
      <c r="O682" s="406"/>
      <c r="P682" s="339"/>
      <c r="Q682" s="406"/>
      <c r="R682" s="406"/>
      <c r="S682" s="339"/>
      <c r="T682" s="339"/>
      <c r="U682" s="339"/>
      <c r="V682" s="339"/>
      <c r="W682" s="339"/>
      <c r="X682" s="339"/>
      <c r="Y682" s="250"/>
      <c r="Z682" s="250"/>
      <c r="AA682" s="250"/>
      <c r="AB682" s="250"/>
      <c r="AC682" s="250"/>
      <c r="AD682" s="250"/>
      <c r="AE682" s="250"/>
      <c r="AF682" s="250"/>
      <c r="AG682" s="250"/>
      <c r="AH682" s="250"/>
      <c r="AI682" s="250"/>
      <c r="AJ682" s="250"/>
      <c r="AK682" s="250"/>
      <c r="AL682" s="250"/>
      <c r="AM682" s="250"/>
      <c r="AN682" s="250"/>
      <c r="AO682" s="250"/>
      <c r="AP682" s="250"/>
      <c r="AQ682" s="250"/>
      <c r="AR682" s="250"/>
      <c r="AS682" s="250"/>
      <c r="AT682" s="250"/>
      <c r="AU682" s="250"/>
      <c r="AV682" s="250"/>
      <c r="AW682" s="250"/>
      <c r="AX682" s="250"/>
      <c r="AY682" s="250"/>
      <c r="AZ682" s="250"/>
      <c r="BA682" s="250"/>
      <c r="BB682" s="250"/>
      <c r="BC682" s="250"/>
      <c r="BD682" s="250"/>
      <c r="BE682" s="250"/>
      <c r="BF682" s="250"/>
      <c r="BG682" s="250"/>
      <c r="BH682" s="250"/>
      <c r="BI682" s="250"/>
      <c r="BJ682" s="250"/>
    </row>
    <row r="683" spans="2:62" ht="15.75" customHeight="1">
      <c r="B683" s="7"/>
      <c r="C683" s="339"/>
      <c r="D683" s="339"/>
      <c r="E683" s="339"/>
      <c r="F683" s="339"/>
      <c r="G683" s="339"/>
      <c r="H683" s="339"/>
      <c r="I683" s="339"/>
      <c r="J683" s="339"/>
      <c r="K683" s="406"/>
      <c r="L683" s="406"/>
      <c r="M683" s="339"/>
      <c r="N683" s="406"/>
      <c r="O683" s="406"/>
      <c r="P683" s="339"/>
      <c r="Q683" s="406"/>
      <c r="R683" s="406"/>
      <c r="S683" s="339"/>
      <c r="T683" s="339"/>
      <c r="U683" s="339"/>
      <c r="V683" s="339"/>
      <c r="W683" s="339"/>
      <c r="X683" s="339"/>
      <c r="Y683" s="250"/>
      <c r="Z683" s="250"/>
      <c r="AA683" s="250"/>
      <c r="AB683" s="250"/>
      <c r="AC683" s="250"/>
      <c r="AD683" s="250"/>
      <c r="AE683" s="250"/>
      <c r="AF683" s="250"/>
      <c r="AG683" s="250"/>
      <c r="AH683" s="250"/>
      <c r="AI683" s="250"/>
      <c r="AJ683" s="250"/>
      <c r="AK683" s="250"/>
      <c r="AL683" s="250"/>
      <c r="AM683" s="250"/>
      <c r="AN683" s="250"/>
      <c r="AO683" s="250"/>
      <c r="AP683" s="250"/>
      <c r="AQ683" s="250"/>
      <c r="AR683" s="250"/>
      <c r="AS683" s="250"/>
      <c r="AT683" s="250"/>
      <c r="AU683" s="250"/>
      <c r="AV683" s="250"/>
      <c r="AW683" s="250"/>
      <c r="AX683" s="250"/>
      <c r="AY683" s="250"/>
      <c r="AZ683" s="250"/>
      <c r="BA683" s="250"/>
      <c r="BB683" s="250"/>
      <c r="BC683" s="250"/>
      <c r="BD683" s="250"/>
      <c r="BE683" s="250"/>
      <c r="BF683" s="250"/>
      <c r="BG683" s="250"/>
      <c r="BH683" s="250"/>
      <c r="BI683" s="250"/>
      <c r="BJ683" s="250"/>
    </row>
    <row r="684" spans="2:62" ht="15.75" customHeight="1">
      <c r="B684" s="7"/>
      <c r="C684" s="339"/>
      <c r="D684" s="339"/>
      <c r="E684" s="339"/>
      <c r="F684" s="339"/>
      <c r="G684" s="339"/>
      <c r="H684" s="339"/>
      <c r="I684" s="339"/>
      <c r="J684" s="339"/>
      <c r="K684" s="406"/>
      <c r="L684" s="406"/>
      <c r="M684" s="339"/>
      <c r="N684" s="339"/>
      <c r="O684" s="339"/>
      <c r="P684" s="339"/>
      <c r="Q684" s="339"/>
      <c r="R684" s="406"/>
      <c r="S684" s="339"/>
      <c r="T684" s="339"/>
      <c r="U684" s="339"/>
      <c r="V684" s="339"/>
      <c r="W684" s="339"/>
      <c r="X684" s="339"/>
      <c r="Y684" s="250"/>
      <c r="Z684" s="250"/>
      <c r="AA684" s="250"/>
      <c r="AB684" s="250"/>
      <c r="AC684" s="250"/>
      <c r="AD684" s="250"/>
      <c r="AE684" s="250"/>
      <c r="AF684" s="250"/>
      <c r="AG684" s="250"/>
      <c r="AH684" s="250"/>
      <c r="AI684" s="250"/>
      <c r="AJ684" s="250"/>
      <c r="AK684" s="250"/>
      <c r="AL684" s="250"/>
      <c r="AM684" s="250"/>
      <c r="AN684" s="250"/>
      <c r="AO684" s="250"/>
      <c r="AP684" s="250"/>
      <c r="AQ684" s="250"/>
      <c r="AR684" s="250"/>
      <c r="AS684" s="250"/>
      <c r="AT684" s="250"/>
      <c r="AU684" s="250"/>
      <c r="AV684" s="250"/>
      <c r="AW684" s="250"/>
      <c r="AX684" s="250"/>
      <c r="AY684" s="250"/>
      <c r="AZ684" s="250"/>
      <c r="BA684" s="250"/>
      <c r="BB684" s="250"/>
      <c r="BC684" s="250"/>
      <c r="BD684" s="250"/>
      <c r="BE684" s="250"/>
      <c r="BF684" s="250"/>
      <c r="BG684" s="250"/>
      <c r="BH684" s="250"/>
      <c r="BI684" s="250"/>
      <c r="BJ684" s="250"/>
    </row>
    <row r="685" spans="2:62" ht="15.75" customHeight="1">
      <c r="B685" s="7"/>
      <c r="C685" s="339"/>
      <c r="D685" s="339"/>
      <c r="E685" s="339"/>
      <c r="F685" s="339"/>
      <c r="G685" s="339"/>
      <c r="H685" s="339"/>
      <c r="I685" s="339"/>
      <c r="J685" s="339"/>
      <c r="K685" s="406"/>
      <c r="L685" s="406"/>
      <c r="M685" s="339"/>
      <c r="N685" s="408"/>
      <c r="O685" s="408"/>
      <c r="P685" s="339"/>
      <c r="Q685" s="408"/>
      <c r="R685" s="406"/>
      <c r="S685" s="339"/>
      <c r="T685" s="339"/>
      <c r="U685" s="339"/>
      <c r="V685" s="339"/>
      <c r="W685" s="339"/>
      <c r="X685" s="339"/>
      <c r="Y685" s="250"/>
      <c r="Z685" s="250"/>
      <c r="AA685" s="250"/>
      <c r="AB685" s="250"/>
      <c r="AC685" s="250"/>
      <c r="AD685" s="250"/>
      <c r="AE685" s="250"/>
      <c r="AF685" s="250"/>
      <c r="AG685" s="250"/>
      <c r="AH685" s="250"/>
      <c r="AI685" s="250"/>
      <c r="AJ685" s="250"/>
      <c r="AK685" s="250"/>
      <c r="AL685" s="250"/>
      <c r="AM685" s="250"/>
      <c r="AN685" s="250"/>
      <c r="AO685" s="250"/>
      <c r="AP685" s="250"/>
      <c r="AQ685" s="250"/>
      <c r="AR685" s="250"/>
      <c r="AS685" s="250"/>
      <c r="AT685" s="250"/>
      <c r="AU685" s="250"/>
      <c r="AV685" s="250"/>
      <c r="AW685" s="250"/>
      <c r="AX685" s="250"/>
      <c r="AY685" s="250"/>
      <c r="AZ685" s="250"/>
      <c r="BA685" s="250"/>
      <c r="BB685" s="250"/>
      <c r="BC685" s="250"/>
      <c r="BD685" s="250"/>
      <c r="BE685" s="250"/>
      <c r="BF685" s="250"/>
      <c r="BG685" s="250"/>
      <c r="BH685" s="250"/>
      <c r="BI685" s="250"/>
      <c r="BJ685" s="250"/>
    </row>
    <row r="686" spans="2:62" ht="15.75" customHeight="1">
      <c r="B686" s="7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406"/>
      <c r="O686" s="406"/>
      <c r="P686" s="339"/>
      <c r="Q686" s="406"/>
      <c r="R686" s="339"/>
      <c r="S686" s="339"/>
      <c r="T686" s="339"/>
      <c r="U686" s="339"/>
      <c r="V686" s="339"/>
      <c r="W686" s="339"/>
      <c r="X686" s="339"/>
      <c r="Y686" s="250"/>
      <c r="Z686" s="250"/>
      <c r="AA686" s="250"/>
      <c r="AB686" s="250"/>
      <c r="AC686" s="250"/>
      <c r="AD686" s="250"/>
      <c r="AE686" s="250"/>
      <c r="AF686" s="250"/>
      <c r="AG686" s="250"/>
      <c r="AH686" s="250"/>
      <c r="AI686" s="250"/>
      <c r="AJ686" s="250"/>
      <c r="AK686" s="250"/>
      <c r="AL686" s="250"/>
      <c r="AM686" s="250"/>
      <c r="AN686" s="250"/>
      <c r="AO686" s="250"/>
      <c r="AP686" s="250"/>
      <c r="AQ686" s="250"/>
      <c r="AR686" s="250"/>
      <c r="AS686" s="250"/>
      <c r="AT686" s="250"/>
      <c r="AU686" s="250"/>
      <c r="AV686" s="250"/>
      <c r="AW686" s="250"/>
      <c r="AX686" s="250"/>
      <c r="AY686" s="250"/>
      <c r="AZ686" s="250"/>
      <c r="BA686" s="250"/>
      <c r="BB686" s="250"/>
      <c r="BC686" s="250"/>
      <c r="BD686" s="250"/>
      <c r="BE686" s="250"/>
      <c r="BF686" s="250"/>
      <c r="BG686" s="250"/>
      <c r="BH686" s="250"/>
      <c r="BI686" s="250"/>
      <c r="BJ686" s="250"/>
    </row>
    <row r="687" spans="2:62" ht="15.75" customHeight="1">
      <c r="B687" s="7"/>
      <c r="C687" s="339"/>
      <c r="D687" s="339"/>
      <c r="E687" s="339"/>
      <c r="F687" s="339"/>
      <c r="G687" s="339"/>
      <c r="H687" s="339"/>
      <c r="I687" s="339"/>
      <c r="J687" s="339"/>
      <c r="K687" s="408"/>
      <c r="L687" s="408"/>
      <c r="M687" s="339"/>
      <c r="N687" s="406"/>
      <c r="O687" s="406"/>
      <c r="P687" s="339"/>
      <c r="Q687" s="406"/>
      <c r="R687" s="408"/>
      <c r="S687" s="339"/>
      <c r="T687" s="339"/>
      <c r="U687" s="339"/>
      <c r="V687" s="339"/>
      <c r="W687" s="339"/>
      <c r="X687" s="339"/>
      <c r="Y687" s="250"/>
      <c r="Z687" s="250"/>
      <c r="AA687" s="250"/>
      <c r="AB687" s="250"/>
      <c r="AC687" s="250"/>
      <c r="AD687" s="250"/>
      <c r="AE687" s="250"/>
      <c r="AF687" s="250"/>
      <c r="AG687" s="250"/>
      <c r="AH687" s="250"/>
      <c r="AI687" s="250"/>
      <c r="AJ687" s="250"/>
      <c r="AK687" s="250"/>
      <c r="AL687" s="250"/>
      <c r="AM687" s="250"/>
      <c r="AN687" s="250"/>
      <c r="AO687" s="250"/>
      <c r="AP687" s="250"/>
      <c r="AQ687" s="250"/>
      <c r="AR687" s="250"/>
      <c r="AS687" s="250"/>
      <c r="AT687" s="250"/>
      <c r="AU687" s="250"/>
      <c r="AV687" s="250"/>
      <c r="AW687" s="250"/>
      <c r="AX687" s="250"/>
      <c r="AY687" s="250"/>
      <c r="AZ687" s="250"/>
      <c r="BA687" s="250"/>
      <c r="BB687" s="250"/>
      <c r="BC687" s="250"/>
      <c r="BD687" s="250"/>
      <c r="BE687" s="250"/>
      <c r="BF687" s="250"/>
      <c r="BG687" s="250"/>
      <c r="BH687" s="250"/>
      <c r="BI687" s="250"/>
      <c r="BJ687" s="250"/>
    </row>
    <row r="688" spans="2:62" ht="15.75" customHeight="1">
      <c r="B688" s="7"/>
      <c r="C688" s="339"/>
      <c r="D688" s="339"/>
      <c r="E688" s="339"/>
      <c r="F688" s="339"/>
      <c r="G688" s="339"/>
      <c r="H688" s="339"/>
      <c r="I688" s="339"/>
      <c r="J688" s="339"/>
      <c r="K688" s="406"/>
      <c r="L688" s="406"/>
      <c r="M688" s="339"/>
      <c r="N688" s="406"/>
      <c r="O688" s="406"/>
      <c r="P688" s="339"/>
      <c r="Q688" s="406"/>
      <c r="R688" s="406"/>
      <c r="S688" s="339"/>
      <c r="T688" s="339"/>
      <c r="U688" s="339"/>
      <c r="V688" s="339"/>
      <c r="W688" s="339"/>
      <c r="X688" s="339"/>
      <c r="Y688" s="250"/>
      <c r="Z688" s="250"/>
      <c r="AA688" s="250"/>
      <c r="AB688" s="250"/>
      <c r="AC688" s="250"/>
      <c r="AD688" s="250"/>
      <c r="AE688" s="250"/>
      <c r="AF688" s="250"/>
      <c r="AG688" s="250"/>
      <c r="AH688" s="250"/>
      <c r="AI688" s="250"/>
      <c r="AJ688" s="250"/>
      <c r="AK688" s="250"/>
      <c r="AL688" s="250"/>
      <c r="AM688" s="250"/>
      <c r="AN688" s="250"/>
      <c r="AO688" s="250"/>
      <c r="AP688" s="250"/>
      <c r="AQ688" s="250"/>
      <c r="AR688" s="250"/>
      <c r="AS688" s="250"/>
      <c r="AT688" s="250"/>
      <c r="AU688" s="250"/>
      <c r="AV688" s="250"/>
      <c r="AW688" s="250"/>
      <c r="AX688" s="250"/>
      <c r="AY688" s="250"/>
      <c r="AZ688" s="250"/>
      <c r="BA688" s="250"/>
      <c r="BB688" s="250"/>
      <c r="BC688" s="250"/>
      <c r="BD688" s="250"/>
      <c r="BE688" s="250"/>
      <c r="BF688" s="250"/>
      <c r="BG688" s="250"/>
      <c r="BH688" s="250"/>
      <c r="BI688" s="250"/>
      <c r="BJ688" s="250"/>
    </row>
    <row r="689" spans="2:62" ht="15.75" customHeight="1">
      <c r="B689" s="7"/>
      <c r="C689" s="339"/>
      <c r="D689" s="339"/>
      <c r="E689" s="339"/>
      <c r="F689" s="339"/>
      <c r="G689" s="339"/>
      <c r="H689" s="339"/>
      <c r="I689" s="339"/>
      <c r="J689" s="339"/>
      <c r="K689" s="406"/>
      <c r="L689" s="406"/>
      <c r="M689" s="339"/>
      <c r="N689" s="406"/>
      <c r="O689" s="406"/>
      <c r="P689" s="339"/>
      <c r="Q689" s="406"/>
      <c r="R689" s="406"/>
      <c r="S689" s="339"/>
      <c r="T689" s="339"/>
      <c r="U689" s="339"/>
      <c r="V689" s="339"/>
      <c r="W689" s="339"/>
      <c r="X689" s="339"/>
      <c r="Y689" s="250"/>
      <c r="Z689" s="250"/>
      <c r="AA689" s="250"/>
      <c r="AB689" s="250"/>
      <c r="AC689" s="250"/>
      <c r="AD689" s="250"/>
      <c r="AE689" s="250"/>
      <c r="AF689" s="250"/>
      <c r="AG689" s="250"/>
      <c r="AH689" s="250"/>
      <c r="AI689" s="250"/>
      <c r="AJ689" s="250"/>
      <c r="AK689" s="250"/>
      <c r="AL689" s="250"/>
      <c r="AM689" s="250"/>
      <c r="AN689" s="250"/>
      <c r="AO689" s="250"/>
      <c r="AP689" s="250"/>
      <c r="AQ689" s="250"/>
      <c r="AR689" s="250"/>
      <c r="AS689" s="250"/>
      <c r="AT689" s="250"/>
      <c r="AU689" s="250"/>
      <c r="AV689" s="250"/>
      <c r="AW689" s="250"/>
      <c r="AX689" s="250"/>
      <c r="AY689" s="250"/>
      <c r="AZ689" s="250"/>
      <c r="BA689" s="250"/>
      <c r="BB689" s="250"/>
      <c r="BC689" s="250"/>
      <c r="BD689" s="250"/>
      <c r="BE689" s="250"/>
      <c r="BF689" s="250"/>
      <c r="BG689" s="250"/>
      <c r="BH689" s="250"/>
      <c r="BI689" s="250"/>
      <c r="BJ689" s="250"/>
    </row>
    <row r="690" spans="2:62" ht="15.75" customHeight="1">
      <c r="B690" s="7"/>
      <c r="C690" s="339"/>
      <c r="D690" s="339"/>
      <c r="E690" s="339"/>
      <c r="F690" s="339"/>
      <c r="G690" s="339"/>
      <c r="H690" s="339"/>
      <c r="I690" s="339"/>
      <c r="J690" s="339"/>
      <c r="K690" s="406"/>
      <c r="L690" s="406"/>
      <c r="M690" s="339"/>
      <c r="N690" s="406"/>
      <c r="O690" s="406"/>
      <c r="P690" s="339"/>
      <c r="Q690" s="406"/>
      <c r="R690" s="406"/>
      <c r="S690" s="339"/>
      <c r="T690" s="339"/>
      <c r="U690" s="339"/>
      <c r="V690" s="339"/>
      <c r="W690" s="339"/>
      <c r="X690" s="339"/>
      <c r="Y690" s="250"/>
      <c r="Z690" s="250"/>
      <c r="AA690" s="250"/>
      <c r="AB690" s="250"/>
      <c r="AC690" s="250"/>
      <c r="AD690" s="250"/>
      <c r="AE690" s="250"/>
      <c r="AF690" s="250"/>
      <c r="AG690" s="250"/>
      <c r="AH690" s="250"/>
      <c r="AI690" s="250"/>
      <c r="AJ690" s="250"/>
      <c r="AK690" s="250"/>
      <c r="AL690" s="250"/>
      <c r="AM690" s="250"/>
      <c r="AN690" s="250"/>
      <c r="AO690" s="250"/>
      <c r="AP690" s="250"/>
      <c r="AQ690" s="250"/>
      <c r="AR690" s="250"/>
      <c r="AS690" s="250"/>
      <c r="AT690" s="250"/>
      <c r="AU690" s="250"/>
      <c r="AV690" s="250"/>
      <c r="AW690" s="250"/>
      <c r="AX690" s="250"/>
      <c r="AY690" s="250"/>
      <c r="AZ690" s="250"/>
      <c r="BA690" s="250"/>
      <c r="BB690" s="250"/>
      <c r="BC690" s="250"/>
      <c r="BD690" s="250"/>
      <c r="BE690" s="250"/>
      <c r="BF690" s="250"/>
      <c r="BG690" s="250"/>
      <c r="BH690" s="250"/>
      <c r="BI690" s="250"/>
      <c r="BJ690" s="250"/>
    </row>
    <row r="691" spans="2:62" ht="15.75" customHeight="1">
      <c r="B691" s="7"/>
      <c r="C691" s="339"/>
      <c r="D691" s="339"/>
      <c r="E691" s="339"/>
      <c r="F691" s="339"/>
      <c r="G691" s="339"/>
      <c r="H691" s="339"/>
      <c r="I691" s="339"/>
      <c r="J691" s="339"/>
      <c r="K691" s="406"/>
      <c r="L691" s="406"/>
      <c r="M691" s="339"/>
      <c r="N691" s="406"/>
      <c r="O691" s="406"/>
      <c r="P691" s="339"/>
      <c r="Q691" s="406"/>
      <c r="R691" s="406"/>
      <c r="S691" s="339"/>
      <c r="T691" s="339"/>
      <c r="U691" s="339"/>
      <c r="V691" s="339"/>
      <c r="W691" s="339"/>
      <c r="X691" s="339"/>
      <c r="Y691" s="250"/>
      <c r="Z691" s="250"/>
      <c r="AA691" s="250"/>
      <c r="AB691" s="250"/>
      <c r="AC691" s="250"/>
      <c r="AD691" s="250"/>
      <c r="AE691" s="250"/>
      <c r="AF691" s="250"/>
      <c r="AG691" s="250"/>
      <c r="AH691" s="250"/>
      <c r="AI691" s="250"/>
      <c r="AJ691" s="250"/>
      <c r="AK691" s="250"/>
      <c r="AL691" s="250"/>
      <c r="AM691" s="250"/>
      <c r="AN691" s="250"/>
      <c r="AO691" s="250"/>
      <c r="AP691" s="250"/>
      <c r="AQ691" s="250"/>
      <c r="AR691" s="250"/>
      <c r="AS691" s="250"/>
      <c r="AT691" s="250"/>
      <c r="AU691" s="250"/>
      <c r="AV691" s="250"/>
      <c r="AW691" s="250"/>
      <c r="AX691" s="250"/>
      <c r="AY691" s="250"/>
      <c r="AZ691" s="250"/>
      <c r="BA691" s="250"/>
      <c r="BB691" s="250"/>
      <c r="BC691" s="250"/>
      <c r="BD691" s="250"/>
      <c r="BE691" s="250"/>
      <c r="BF691" s="250"/>
      <c r="BG691" s="250"/>
      <c r="BH691" s="250"/>
      <c r="BI691" s="250"/>
      <c r="BJ691" s="250"/>
    </row>
    <row r="692" spans="2:62" ht="15.75" customHeight="1">
      <c r="B692" s="7"/>
      <c r="C692" s="339"/>
      <c r="D692" s="339"/>
      <c r="E692" s="339"/>
      <c r="F692" s="339"/>
      <c r="G692" s="339"/>
      <c r="H692" s="339"/>
      <c r="I692" s="339"/>
      <c r="J692" s="339"/>
      <c r="K692" s="406"/>
      <c r="L692" s="406"/>
      <c r="M692" s="339"/>
      <c r="N692" s="406"/>
      <c r="O692" s="406"/>
      <c r="P692" s="339"/>
      <c r="Q692" s="406"/>
      <c r="R692" s="406"/>
      <c r="S692" s="339"/>
      <c r="T692" s="339"/>
      <c r="U692" s="339"/>
      <c r="V692" s="339"/>
      <c r="W692" s="339"/>
      <c r="X692" s="339"/>
      <c r="Y692" s="250"/>
      <c r="Z692" s="250"/>
      <c r="AA692" s="250"/>
      <c r="AB692" s="250"/>
      <c r="AC692" s="250"/>
      <c r="AD692" s="250"/>
      <c r="AE692" s="250"/>
      <c r="AF692" s="250"/>
      <c r="AG692" s="250"/>
      <c r="AH692" s="250"/>
      <c r="AI692" s="250"/>
      <c r="AJ692" s="250"/>
      <c r="AK692" s="250"/>
      <c r="AL692" s="250"/>
      <c r="AM692" s="250"/>
      <c r="AN692" s="250"/>
      <c r="AO692" s="250"/>
      <c r="AP692" s="250"/>
      <c r="AQ692" s="250"/>
      <c r="AR692" s="250"/>
      <c r="AS692" s="250"/>
      <c r="AT692" s="250"/>
      <c r="AU692" s="250"/>
      <c r="AV692" s="250"/>
      <c r="AW692" s="250"/>
      <c r="AX692" s="250"/>
      <c r="AY692" s="250"/>
      <c r="AZ692" s="250"/>
      <c r="BA692" s="250"/>
      <c r="BB692" s="250"/>
      <c r="BC692" s="250"/>
      <c r="BD692" s="250"/>
      <c r="BE692" s="250"/>
      <c r="BF692" s="250"/>
      <c r="BG692" s="250"/>
      <c r="BH692" s="250"/>
      <c r="BI692" s="250"/>
      <c r="BJ692" s="250"/>
    </row>
    <row r="693" spans="2:62" ht="15.75" customHeight="1">
      <c r="B693" s="7"/>
      <c r="C693" s="339"/>
      <c r="D693" s="339"/>
      <c r="E693" s="339"/>
      <c r="F693" s="339"/>
      <c r="G693" s="339"/>
      <c r="H693" s="339"/>
      <c r="I693" s="339"/>
      <c r="J693" s="339"/>
      <c r="K693" s="406"/>
      <c r="L693" s="406"/>
      <c r="M693" s="339"/>
      <c r="N693" s="406"/>
      <c r="O693" s="406"/>
      <c r="P693" s="339"/>
      <c r="Q693" s="406"/>
      <c r="R693" s="406"/>
      <c r="S693" s="339"/>
      <c r="T693" s="339"/>
      <c r="U693" s="339"/>
      <c r="V693" s="339"/>
      <c r="W693" s="339"/>
      <c r="X693" s="339"/>
      <c r="Y693" s="250"/>
      <c r="Z693" s="250"/>
      <c r="AA693" s="250"/>
      <c r="AB693" s="250"/>
      <c r="AC693" s="250"/>
      <c r="AD693" s="250"/>
      <c r="AE693" s="250"/>
      <c r="AF693" s="250"/>
      <c r="AG693" s="250"/>
      <c r="AH693" s="250"/>
      <c r="AI693" s="250"/>
      <c r="AJ693" s="250"/>
      <c r="AK693" s="250"/>
      <c r="AL693" s="250"/>
      <c r="AM693" s="250"/>
      <c r="AN693" s="250"/>
      <c r="AO693" s="250"/>
      <c r="AP693" s="250"/>
      <c r="AQ693" s="250"/>
      <c r="AR693" s="250"/>
      <c r="AS693" s="250"/>
      <c r="AT693" s="250"/>
      <c r="AU693" s="250"/>
      <c r="AV693" s="250"/>
      <c r="AW693" s="250"/>
      <c r="AX693" s="250"/>
      <c r="AY693" s="250"/>
      <c r="AZ693" s="250"/>
      <c r="BA693" s="250"/>
      <c r="BB693" s="250"/>
      <c r="BC693" s="250"/>
      <c r="BD693" s="250"/>
      <c r="BE693" s="250"/>
      <c r="BF693" s="250"/>
      <c r="BG693" s="250"/>
      <c r="BH693" s="250"/>
      <c r="BI693" s="250"/>
      <c r="BJ693" s="250"/>
    </row>
    <row r="694" spans="2:62" ht="15.75" customHeight="1">
      <c r="B694" s="7"/>
      <c r="C694" s="339"/>
      <c r="D694" s="339"/>
      <c r="E694" s="339"/>
      <c r="F694" s="339"/>
      <c r="G694" s="339"/>
      <c r="H694" s="339"/>
      <c r="I694" s="339"/>
      <c r="J694" s="339"/>
      <c r="K694" s="406"/>
      <c r="L694" s="408"/>
      <c r="M694" s="339"/>
      <c r="N694" s="406"/>
      <c r="O694" s="406"/>
      <c r="P694" s="339"/>
      <c r="Q694" s="406"/>
      <c r="R694" s="408"/>
      <c r="S694" s="339"/>
      <c r="T694" s="339"/>
      <c r="U694" s="339"/>
      <c r="V694" s="339"/>
      <c r="W694" s="339"/>
      <c r="X694" s="339"/>
      <c r="Y694" s="250"/>
      <c r="Z694" s="250"/>
      <c r="AA694" s="250"/>
      <c r="AB694" s="250"/>
      <c r="AC694" s="250"/>
      <c r="AD694" s="250"/>
      <c r="AE694" s="250"/>
      <c r="AF694" s="250"/>
      <c r="AG694" s="250"/>
      <c r="AH694" s="250"/>
      <c r="AI694" s="250"/>
      <c r="AJ694" s="250"/>
      <c r="AK694" s="250"/>
      <c r="AL694" s="250"/>
      <c r="AM694" s="250"/>
      <c r="AN694" s="250"/>
      <c r="AO694" s="250"/>
      <c r="AP694" s="250"/>
      <c r="AQ694" s="250"/>
      <c r="AR694" s="250"/>
      <c r="AS694" s="250"/>
      <c r="AT694" s="250"/>
      <c r="AU694" s="250"/>
      <c r="AV694" s="250"/>
      <c r="AW694" s="250"/>
      <c r="AX694" s="250"/>
      <c r="AY694" s="250"/>
      <c r="AZ694" s="250"/>
      <c r="BA694" s="250"/>
      <c r="BB694" s="250"/>
      <c r="BC694" s="250"/>
      <c r="BD694" s="250"/>
      <c r="BE694" s="250"/>
      <c r="BF694" s="250"/>
      <c r="BG694" s="250"/>
      <c r="BH694" s="250"/>
      <c r="BI694" s="250"/>
      <c r="BJ694" s="250"/>
    </row>
    <row r="695" spans="2:62" ht="15.75" customHeight="1">
      <c r="B695" s="7"/>
      <c r="C695" s="339"/>
      <c r="D695" s="339"/>
      <c r="E695" s="339"/>
      <c r="F695" s="339"/>
      <c r="G695" s="339"/>
      <c r="H695" s="339"/>
      <c r="I695" s="339"/>
      <c r="J695" s="339"/>
      <c r="K695" s="406"/>
      <c r="L695" s="406"/>
      <c r="M695" s="339"/>
      <c r="N695" s="406"/>
      <c r="O695" s="406"/>
      <c r="P695" s="339"/>
      <c r="Q695" s="406"/>
      <c r="R695" s="406"/>
      <c r="S695" s="339"/>
      <c r="T695" s="339"/>
      <c r="U695" s="339"/>
      <c r="V695" s="339"/>
      <c r="W695" s="339"/>
      <c r="X695" s="339"/>
      <c r="Y695" s="250"/>
      <c r="Z695" s="250"/>
      <c r="AA695" s="250"/>
      <c r="AB695" s="250"/>
      <c r="AC695" s="250"/>
      <c r="AD695" s="250"/>
      <c r="AE695" s="250"/>
      <c r="AF695" s="250"/>
      <c r="AG695" s="250"/>
      <c r="AH695" s="250"/>
      <c r="AI695" s="250"/>
      <c r="AJ695" s="250"/>
      <c r="AK695" s="250"/>
      <c r="AL695" s="250"/>
      <c r="AM695" s="250"/>
      <c r="AN695" s="250"/>
      <c r="AO695" s="250"/>
      <c r="AP695" s="250"/>
      <c r="AQ695" s="250"/>
      <c r="AR695" s="250"/>
      <c r="AS695" s="250"/>
      <c r="AT695" s="250"/>
      <c r="AU695" s="250"/>
      <c r="AV695" s="250"/>
      <c r="AW695" s="250"/>
      <c r="AX695" s="250"/>
      <c r="AY695" s="250"/>
      <c r="AZ695" s="250"/>
      <c r="BA695" s="250"/>
      <c r="BB695" s="250"/>
      <c r="BC695" s="250"/>
      <c r="BD695" s="250"/>
      <c r="BE695" s="250"/>
      <c r="BF695" s="250"/>
      <c r="BG695" s="250"/>
      <c r="BH695" s="250"/>
      <c r="BI695" s="250"/>
      <c r="BJ695" s="250"/>
    </row>
    <row r="696" spans="2:62" ht="15.75" customHeight="1">
      <c r="B696" s="7"/>
      <c r="C696" s="339"/>
      <c r="D696" s="339"/>
      <c r="E696" s="339"/>
      <c r="F696" s="339"/>
      <c r="G696" s="339"/>
      <c r="H696" s="339"/>
      <c r="I696" s="339"/>
      <c r="J696" s="339"/>
      <c r="K696" s="406"/>
      <c r="L696" s="406"/>
      <c r="M696" s="339"/>
      <c r="N696" s="406"/>
      <c r="O696" s="406"/>
      <c r="P696" s="339"/>
      <c r="Q696" s="406"/>
      <c r="R696" s="406"/>
      <c r="S696" s="339"/>
      <c r="T696" s="339"/>
      <c r="U696" s="339"/>
      <c r="V696" s="339"/>
      <c r="W696" s="339"/>
      <c r="X696" s="339"/>
      <c r="Y696" s="250"/>
      <c r="Z696" s="250"/>
      <c r="AA696" s="250"/>
      <c r="AB696" s="250"/>
      <c r="AC696" s="250"/>
      <c r="AD696" s="250"/>
      <c r="AE696" s="250"/>
      <c r="AF696" s="250"/>
      <c r="AG696" s="250"/>
      <c r="AH696" s="250"/>
      <c r="AI696" s="250"/>
      <c r="AJ696" s="250"/>
      <c r="AK696" s="250"/>
      <c r="AL696" s="250"/>
      <c r="AM696" s="250"/>
      <c r="AN696" s="250"/>
      <c r="AO696" s="250"/>
      <c r="AP696" s="250"/>
      <c r="AQ696" s="250"/>
      <c r="AR696" s="250"/>
      <c r="AS696" s="250"/>
      <c r="AT696" s="250"/>
      <c r="AU696" s="250"/>
      <c r="AV696" s="250"/>
      <c r="AW696" s="250"/>
      <c r="AX696" s="250"/>
      <c r="AY696" s="250"/>
      <c r="AZ696" s="250"/>
      <c r="BA696" s="250"/>
      <c r="BB696" s="250"/>
      <c r="BC696" s="250"/>
      <c r="BD696" s="250"/>
      <c r="BE696" s="250"/>
      <c r="BF696" s="250"/>
      <c r="BG696" s="250"/>
      <c r="BH696" s="250"/>
      <c r="BI696" s="250"/>
      <c r="BJ696" s="250"/>
    </row>
    <row r="697" spans="2:62" ht="15.75" customHeight="1">
      <c r="B697" s="7"/>
      <c r="C697" s="339"/>
      <c r="D697" s="339"/>
      <c r="E697" s="339"/>
      <c r="F697" s="339"/>
      <c r="G697" s="339"/>
      <c r="H697" s="339"/>
      <c r="I697" s="339"/>
      <c r="J697" s="339"/>
      <c r="K697" s="406"/>
      <c r="L697" s="406"/>
      <c r="M697" s="339"/>
      <c r="N697" s="408"/>
      <c r="O697" s="408"/>
      <c r="P697" s="339"/>
      <c r="Q697" s="408"/>
      <c r="R697" s="406"/>
      <c r="S697" s="339"/>
      <c r="T697" s="339"/>
      <c r="U697" s="339"/>
      <c r="V697" s="339"/>
      <c r="W697" s="339"/>
      <c r="X697" s="339"/>
      <c r="Y697" s="250"/>
      <c r="Z697" s="250"/>
      <c r="AA697" s="250"/>
      <c r="AB697" s="250"/>
      <c r="AC697" s="250"/>
      <c r="AD697" s="250"/>
      <c r="AE697" s="250"/>
      <c r="AF697" s="250"/>
      <c r="AG697" s="250"/>
      <c r="AH697" s="250"/>
      <c r="AI697" s="250"/>
      <c r="AJ697" s="250"/>
      <c r="AK697" s="250"/>
      <c r="AL697" s="250"/>
      <c r="AM697" s="250"/>
      <c r="AN697" s="250"/>
      <c r="AO697" s="250"/>
      <c r="AP697" s="250"/>
      <c r="AQ697" s="250"/>
      <c r="AR697" s="250"/>
      <c r="AS697" s="250"/>
      <c r="AT697" s="250"/>
      <c r="AU697" s="250"/>
      <c r="AV697" s="250"/>
      <c r="AW697" s="250"/>
      <c r="AX697" s="250"/>
      <c r="AY697" s="250"/>
      <c r="AZ697" s="250"/>
      <c r="BA697" s="250"/>
      <c r="BB697" s="250"/>
      <c r="BC697" s="250"/>
      <c r="BD697" s="250"/>
      <c r="BE697" s="250"/>
      <c r="BF697" s="250"/>
      <c r="BG697" s="250"/>
      <c r="BH697" s="250"/>
      <c r="BI697" s="250"/>
      <c r="BJ697" s="250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phoneticPr fontId="31" type="noConversion"/>
  <conditionalFormatting sqref="K291 H168:I168 K168 J168:J170 J291:J292 H170:I170 H236:I236 K236 H291:I291 K170:L170 J90:J91 H90:I90 J3 K90 H25:L30 J236:J239 H238:I238 K238:L238 H308:L309 H303:L305 H293:L293 L18 F83:F85 L86:L90 H86:K88 H163:L163 H164 J164:K164 H165:K166 H233:K234 L233:L236 H289:K289 L289:L291 H83:L85 H231:L231 H232 J232:K232 J287:L287 J288:K288 H351:L351 H352:H354 J352:K354 J72:L72 H72 I121:L121 H152:L152 H348:L348 J399:K399 H399 J242:L242 H363:L363 J251:L252 H96:L97 I100:L100 H100:H103 L24 I13:J14 I16:J16 I104:L110 H134:L134 H312:L315 K306:K307 K311 I24:J24 J21:J23 I20:J20 J19 J101:K103 H135:H136 J135:K136 H155:H156 J155:K156 H364:H375 J364:K375 J284 I18:J18 I17 J49:L54 L6:L14 J31:K48 H31:H54 J111:K120 J122:K133 H105:H133 L125:L129 O122:P133 Q125:Q129 H228 J228:K228 J294:K302 L319:L324 J317:K347 H317:H347 J253:K274 K98:K99 L275:L284 L165:L168">
    <cfRule type="expression" dxfId="1361" priority="362" stopIfTrue="1">
      <formula>"esterreur(reference)"</formula>
    </cfRule>
  </conditionalFormatting>
  <conditionalFormatting sqref="M95:M96">
    <cfRule type="expression" dxfId="1360" priority="363" stopIfTrue="1">
      <formula>"esterreur(reference)"</formula>
    </cfRule>
  </conditionalFormatting>
  <conditionalFormatting sqref="J275:K280">
    <cfRule type="expression" dxfId="1359" priority="364" stopIfTrue="1">
      <formula>"esterreur(reference)"</formula>
    </cfRule>
  </conditionalFormatting>
  <conditionalFormatting sqref="L103">
    <cfRule type="expression" dxfId="1358" priority="335" stopIfTrue="1">
      <formula>"esterreur(reference)"</formula>
    </cfRule>
  </conditionalFormatting>
  <conditionalFormatting sqref="H141:H147 J141:K147">
    <cfRule type="expression" dxfId="1357" priority="366" stopIfTrue="1">
      <formula>"esterreur(reference)"</formula>
    </cfRule>
  </conditionalFormatting>
  <conditionalFormatting sqref="H137:H139 J137:K139">
    <cfRule type="expression" dxfId="1356" priority="367" stopIfTrue="1">
      <formula>"esterreur(reference)"</formula>
    </cfRule>
  </conditionalFormatting>
  <conditionalFormatting sqref="H140 J140:K140">
    <cfRule type="expression" dxfId="1355" priority="368" stopIfTrue="1">
      <formula>"esterreur(reference)"</formula>
    </cfRule>
  </conditionalFormatting>
  <conditionalFormatting sqref="L82">
    <cfRule type="expression" dxfId="1354" priority="342" stopIfTrue="1">
      <formula>"esterreur(reference)"</formula>
    </cfRule>
  </conditionalFormatting>
  <conditionalFormatting sqref="M311">
    <cfRule type="expression" dxfId="1353" priority="369" stopIfTrue="1">
      <formula>"esterreur(reference)"</formula>
    </cfRule>
  </conditionalFormatting>
  <conditionalFormatting sqref="R311">
    <cfRule type="expression" dxfId="1352" priority="370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1351" priority="371" operator="greaterThan">
      <formula>0</formula>
    </cfRule>
  </conditionalFormatting>
  <conditionalFormatting sqref="AH468:AI479">
    <cfRule type="cellIs" dxfId="1350" priority="372" operator="lessThan">
      <formula>0</formula>
    </cfRule>
  </conditionalFormatting>
  <conditionalFormatting sqref="AH491:AH496">
    <cfRule type="cellIs" dxfId="1349" priority="373" operator="greaterThan">
      <formula>0</formula>
    </cfRule>
  </conditionalFormatting>
  <conditionalFormatting sqref="J281:K282 J283">
    <cfRule type="expression" dxfId="1348" priority="374" stopIfTrue="1">
      <formula>"esterreur(reference)"</formula>
    </cfRule>
  </conditionalFormatting>
  <conditionalFormatting sqref="K356 J356:J357 H356:I356 L355:L356 H358:L358">
    <cfRule type="expression" dxfId="1347" priority="375" stopIfTrue="1">
      <formula>"esterreur(reference)"</formula>
    </cfRule>
  </conditionalFormatting>
  <conditionalFormatting sqref="H396">
    <cfRule type="expression" dxfId="1346" priority="376" stopIfTrue="1">
      <formula>"esterreur(reference)"</formula>
    </cfRule>
  </conditionalFormatting>
  <conditionalFormatting sqref="I376:L376 H377:H392 J377:K392">
    <cfRule type="expression" dxfId="1345" priority="377" stopIfTrue="1">
      <formula>"esterreur(reference)"</formula>
    </cfRule>
  </conditionalFormatting>
  <conditionalFormatting sqref="H397:L398 I396:L396 H395:L395 H393:H394 J393:K393">
    <cfRule type="expression" dxfId="1344" priority="378" stopIfTrue="1">
      <formula>"esterreur(reference)"</formula>
    </cfRule>
  </conditionalFormatting>
  <conditionalFormatting sqref="H360:L362 H359 K359">
    <cfRule type="expression" dxfId="1343" priority="379" stopIfTrue="1">
      <formula>"esterreur(reference)"</formula>
    </cfRule>
  </conditionalFormatting>
  <conditionalFormatting sqref="K394">
    <cfRule type="expression" dxfId="1342" priority="380" stopIfTrue="1">
      <formula>"esterreur(reference)"</formula>
    </cfRule>
  </conditionalFormatting>
  <conditionalFormatting sqref="H316:L316">
    <cfRule type="expression" dxfId="1341" priority="381" stopIfTrue="1">
      <formula>"esterreur(reference)"</formula>
    </cfRule>
  </conditionalFormatting>
  <conditionalFormatting sqref="L58">
    <cfRule type="expression" dxfId="1340" priority="352" stopIfTrue="1">
      <formula>"esterreur(reference)"</formula>
    </cfRule>
  </conditionalFormatting>
  <conditionalFormatting sqref="H55:H56 J55:K56 H71 J71:K71">
    <cfRule type="expression" dxfId="1339" priority="383" stopIfTrue="1">
      <formula>"esterreur(reference)"</formula>
    </cfRule>
  </conditionalFormatting>
  <conditionalFormatting sqref="J61:K70 H61:H70">
    <cfRule type="expression" dxfId="1338" priority="384" stopIfTrue="1">
      <formula>"esterreur(reference)"</formula>
    </cfRule>
  </conditionalFormatting>
  <conditionalFormatting sqref="H57:H59 J57:K59">
    <cfRule type="expression" dxfId="1337" priority="385" stopIfTrue="1">
      <formula>"esterreur(reference)"</formula>
    </cfRule>
  </conditionalFormatting>
  <conditionalFormatting sqref="H60 J60:K60">
    <cfRule type="expression" dxfId="1336" priority="386" stopIfTrue="1">
      <formula>"esterreur(reference)"</formula>
    </cfRule>
  </conditionalFormatting>
  <conditionalFormatting sqref="L19 L21:L23">
    <cfRule type="expression" dxfId="1335" priority="360" stopIfTrue="1">
      <formula>"esterreur(reference)"</formula>
    </cfRule>
  </conditionalFormatting>
  <conditionalFormatting sqref="L331:L347">
    <cfRule type="expression" dxfId="1334" priority="257" stopIfTrue="1">
      <formula>"esterreur(reference)"</formula>
    </cfRule>
  </conditionalFormatting>
  <conditionalFormatting sqref="L16:L17">
    <cfRule type="expression" dxfId="1333" priority="361" stopIfTrue="1">
      <formula>"esterreur(reference)"</formula>
    </cfRule>
  </conditionalFormatting>
  <conditionalFormatting sqref="L20">
    <cfRule type="expression" dxfId="1332" priority="359" stopIfTrue="1">
      <formula>"esterreur(reference)"</formula>
    </cfRule>
  </conditionalFormatting>
  <conditionalFormatting sqref="L325">
    <cfRule type="expression" dxfId="1331" priority="261" stopIfTrue="1">
      <formula>"esterreur(reference)"</formula>
    </cfRule>
  </conditionalFormatting>
  <conditionalFormatting sqref="L326">
    <cfRule type="expression" dxfId="1330" priority="260" stopIfTrue="1">
      <formula>"esterreur(reference)"</formula>
    </cfRule>
  </conditionalFormatting>
  <conditionalFormatting sqref="L327">
    <cfRule type="expression" dxfId="1329" priority="259" stopIfTrue="1">
      <formula>"esterreur(reference)"</formula>
    </cfRule>
  </conditionalFormatting>
  <conditionalFormatting sqref="L328">
    <cfRule type="expression" dxfId="1328" priority="258" stopIfTrue="1">
      <formula>"esterreur(reference)"</formula>
    </cfRule>
  </conditionalFormatting>
  <conditionalFormatting sqref="L42">
    <cfRule type="expression" dxfId="1327" priority="358" stopIfTrue="1">
      <formula>"esterreur(reference)"</formula>
    </cfRule>
  </conditionalFormatting>
  <conditionalFormatting sqref="L43">
    <cfRule type="expression" dxfId="1326" priority="357" stopIfTrue="1">
      <formula>"esterreur(reference)"</formula>
    </cfRule>
  </conditionalFormatting>
  <conditionalFormatting sqref="L44">
    <cfRule type="expression" dxfId="1325" priority="356" stopIfTrue="1">
      <formula>"esterreur(reference)"</formula>
    </cfRule>
  </conditionalFormatting>
  <conditionalFormatting sqref="L45:L48">
    <cfRule type="expression" dxfId="1324" priority="355" stopIfTrue="1">
      <formula>"esterreur(reference)"</formula>
    </cfRule>
  </conditionalFormatting>
  <conditionalFormatting sqref="L55">
    <cfRule type="expression" dxfId="1323" priority="354" stopIfTrue="1">
      <formula>"esterreur(reference)"</formula>
    </cfRule>
  </conditionalFormatting>
  <conditionalFormatting sqref="L56">
    <cfRule type="expression" dxfId="1322" priority="353" stopIfTrue="1">
      <formula>"esterreur(reference)"</formula>
    </cfRule>
  </conditionalFormatting>
  <conditionalFormatting sqref="L271">
    <cfRule type="expression" dxfId="1321" priority="272" stopIfTrue="1">
      <formula>"esterreur(reference)"</formula>
    </cfRule>
  </conditionalFormatting>
  <conditionalFormatting sqref="L61">
    <cfRule type="expression" dxfId="1320" priority="351" stopIfTrue="1">
      <formula>"esterreur(reference)"</formula>
    </cfRule>
  </conditionalFormatting>
  <conditionalFormatting sqref="L274">
    <cfRule type="expression" dxfId="1319" priority="270" stopIfTrue="1">
      <formula>"esterreur(reference)"</formula>
    </cfRule>
  </conditionalFormatting>
  <conditionalFormatting sqref="L63">
    <cfRule type="expression" dxfId="1318" priority="350" stopIfTrue="1">
      <formula>"esterreur(reference)"</formula>
    </cfRule>
  </conditionalFormatting>
  <conditionalFormatting sqref="L62">
    <cfRule type="expression" dxfId="1317" priority="349" stopIfTrue="1">
      <formula>"esterreur(reference)"</formula>
    </cfRule>
  </conditionalFormatting>
  <conditionalFormatting sqref="L64">
    <cfRule type="expression" dxfId="1316" priority="348" stopIfTrue="1">
      <formula>"esterreur(reference)"</formula>
    </cfRule>
  </conditionalFormatting>
  <conditionalFormatting sqref="L65">
    <cfRule type="expression" dxfId="1315" priority="347" stopIfTrue="1">
      <formula>"esterreur(reference)"</formula>
    </cfRule>
  </conditionalFormatting>
  <conditionalFormatting sqref="L69 L66:L67">
    <cfRule type="expression" dxfId="1314" priority="346" stopIfTrue="1">
      <formula>"esterreur(reference)"</formula>
    </cfRule>
  </conditionalFormatting>
  <conditionalFormatting sqref="L70">
    <cfRule type="expression" dxfId="1313" priority="345" stopIfTrue="1">
      <formula>"esterreur(reference)"</formula>
    </cfRule>
  </conditionalFormatting>
  <conditionalFormatting sqref="L76:L77">
    <cfRule type="expression" dxfId="1312" priority="344" stopIfTrue="1">
      <formula>"esterreur(reference)"</formula>
    </cfRule>
  </conditionalFormatting>
  <conditionalFormatting sqref="L78:L81">
    <cfRule type="expression" dxfId="1311" priority="343" stopIfTrue="1">
      <formula>"esterreur(reference)"</formula>
    </cfRule>
  </conditionalFormatting>
  <conditionalFormatting sqref="L57">
    <cfRule type="expression" dxfId="1310" priority="341" stopIfTrue="1">
      <formula>"esterreur(reference)"</formula>
    </cfRule>
  </conditionalFormatting>
  <conditionalFormatting sqref="L98:L99">
    <cfRule type="expression" dxfId="1309" priority="338" stopIfTrue="1">
      <formula>"esterreur(reference)"</formula>
    </cfRule>
  </conditionalFormatting>
  <conditionalFormatting sqref="L101">
    <cfRule type="expression" dxfId="1308" priority="337" stopIfTrue="1">
      <formula>"esterreur(reference)"</formula>
    </cfRule>
  </conditionalFormatting>
  <conditionalFormatting sqref="L102">
    <cfRule type="expression" dxfId="1307" priority="336" stopIfTrue="1">
      <formula>"esterreur(reference)"</formula>
    </cfRule>
  </conditionalFormatting>
  <conditionalFormatting sqref="L111">
    <cfRule type="expression" dxfId="1306" priority="334" stopIfTrue="1">
      <formula>"esterreur(reference)"</formula>
    </cfRule>
  </conditionalFormatting>
  <conditionalFormatting sqref="L112">
    <cfRule type="expression" dxfId="1305" priority="333" stopIfTrue="1">
      <formula>"esterreur(reference)"</formula>
    </cfRule>
  </conditionalFormatting>
  <conditionalFormatting sqref="L311">
    <cfRule type="expression" dxfId="1304" priority="264" stopIfTrue="1">
      <formula>"esterreur(reference)"</formula>
    </cfRule>
  </conditionalFormatting>
  <conditionalFormatting sqref="L114">
    <cfRule type="expression" dxfId="1303" priority="332" stopIfTrue="1">
      <formula>"esterreur(reference)"</formula>
    </cfRule>
  </conditionalFormatting>
  <conditionalFormatting sqref="L116:L119">
    <cfRule type="expression" dxfId="1302" priority="331" stopIfTrue="1">
      <formula>"esterreur(reference)"</formula>
    </cfRule>
  </conditionalFormatting>
  <conditionalFormatting sqref="L120">
    <cfRule type="expression" dxfId="1301" priority="330" stopIfTrue="1">
      <formula>"esterreur(reference)"</formula>
    </cfRule>
  </conditionalFormatting>
  <conditionalFormatting sqref="L130">
    <cfRule type="expression" dxfId="1300" priority="327" stopIfTrue="1">
      <formula>"esterreur(reference)"</formula>
    </cfRule>
  </conditionalFormatting>
  <conditionalFormatting sqref="L124">
    <cfRule type="expression" dxfId="1299" priority="329" stopIfTrue="1">
      <formula>"esterreur(reference)"</formula>
    </cfRule>
  </conditionalFormatting>
  <conditionalFormatting sqref="L123">
    <cfRule type="expression" dxfId="1298" priority="328" stopIfTrue="1">
      <formula>"esterreur(reference)"</formula>
    </cfRule>
  </conditionalFormatting>
  <conditionalFormatting sqref="L138">
    <cfRule type="expression" dxfId="1297" priority="321" stopIfTrue="1">
      <formula>"esterreur(reference)"</formula>
    </cfRule>
  </conditionalFormatting>
  <conditionalFormatting sqref="L131">
    <cfRule type="expression" dxfId="1296" priority="326" stopIfTrue="1">
      <formula>"esterreur(reference)"</formula>
    </cfRule>
  </conditionalFormatting>
  <conditionalFormatting sqref="L132">
    <cfRule type="expression" dxfId="1295" priority="325" stopIfTrue="1">
      <formula>"esterreur(reference)"</formula>
    </cfRule>
  </conditionalFormatting>
  <conditionalFormatting sqref="L133">
    <cfRule type="expression" dxfId="1294" priority="324" stopIfTrue="1">
      <formula>"esterreur(reference)"</formula>
    </cfRule>
  </conditionalFormatting>
  <conditionalFormatting sqref="L139">
    <cfRule type="expression" dxfId="1293" priority="320" stopIfTrue="1">
      <formula>"esterreur(reference)"</formula>
    </cfRule>
  </conditionalFormatting>
  <conditionalFormatting sqref="L136">
    <cfRule type="expression" dxfId="1292" priority="323" stopIfTrue="1">
      <formula>"esterreur(reference)"</formula>
    </cfRule>
  </conditionalFormatting>
  <conditionalFormatting sqref="L137">
    <cfRule type="expression" dxfId="1291" priority="322" stopIfTrue="1">
      <formula>"esterreur(reference)"</formula>
    </cfRule>
  </conditionalFormatting>
  <conditionalFormatting sqref="L140">
    <cfRule type="expression" dxfId="1290" priority="319" stopIfTrue="1">
      <formula>"esterreur(reference)"</formula>
    </cfRule>
  </conditionalFormatting>
  <conditionalFormatting sqref="L141">
    <cfRule type="expression" dxfId="1289" priority="318" stopIfTrue="1">
      <formula>"esterreur(reference)"</formula>
    </cfRule>
  </conditionalFormatting>
  <conditionalFormatting sqref="L142">
    <cfRule type="expression" dxfId="1288" priority="317" stopIfTrue="1">
      <formula>"esterreur(reference)"</formula>
    </cfRule>
  </conditionalFormatting>
  <conditionalFormatting sqref="L143">
    <cfRule type="expression" dxfId="1287" priority="316" stopIfTrue="1">
      <formula>"esterreur(reference)"</formula>
    </cfRule>
  </conditionalFormatting>
  <conditionalFormatting sqref="L144">
    <cfRule type="expression" dxfId="1286" priority="315" stopIfTrue="1">
      <formula>"esterreur(reference)"</formula>
    </cfRule>
  </conditionalFormatting>
  <conditionalFormatting sqref="L145">
    <cfRule type="expression" dxfId="1285" priority="314" stopIfTrue="1">
      <formula>"esterreur(reference)"</formula>
    </cfRule>
  </conditionalFormatting>
  <conditionalFormatting sqref="L146">
    <cfRule type="expression" dxfId="1284" priority="313" stopIfTrue="1">
      <formula>"esterreur(reference)"</formula>
    </cfRule>
  </conditionalFormatting>
  <conditionalFormatting sqref="L147">
    <cfRule type="expression" dxfId="1283" priority="312" stopIfTrue="1">
      <formula>"esterreur(reference)"</formula>
    </cfRule>
  </conditionalFormatting>
  <conditionalFormatting sqref="L155">
    <cfRule type="expression" dxfId="1282" priority="311" stopIfTrue="1">
      <formula>"esterreur(reference)"</formula>
    </cfRule>
  </conditionalFormatting>
  <conditionalFormatting sqref="L157">
    <cfRule type="expression" dxfId="1281" priority="309" stopIfTrue="1">
      <formula>"esterreur(reference)"</formula>
    </cfRule>
  </conditionalFormatting>
  <conditionalFormatting sqref="L156">
    <cfRule type="expression" dxfId="1280" priority="310" stopIfTrue="1">
      <formula>"esterreur(reference)"</formula>
    </cfRule>
  </conditionalFormatting>
  <conditionalFormatting sqref="L115">
    <cfRule type="expression" dxfId="1279" priority="308" stopIfTrue="1">
      <formula>"esterreur(reference)"</formula>
    </cfRule>
  </conditionalFormatting>
  <conditionalFormatting sqref="L113">
    <cfRule type="expression" dxfId="1278" priority="307" stopIfTrue="1">
      <formula>"esterreur(reference)"</formula>
    </cfRule>
  </conditionalFormatting>
  <conditionalFormatting sqref="L267">
    <cfRule type="expression" dxfId="1277" priority="276" stopIfTrue="1">
      <formula>"esterreur(reference)"</formula>
    </cfRule>
  </conditionalFormatting>
  <conditionalFormatting sqref="L268">
    <cfRule type="expression" dxfId="1276" priority="275" stopIfTrue="1">
      <formula>"esterreur(reference)"</formula>
    </cfRule>
  </conditionalFormatting>
  <conditionalFormatting sqref="L269">
    <cfRule type="expression" dxfId="1275" priority="274" stopIfTrue="1">
      <formula>"esterreur(reference)"</formula>
    </cfRule>
  </conditionalFormatting>
  <conditionalFormatting sqref="L270">
    <cfRule type="expression" dxfId="1274" priority="273" stopIfTrue="1">
      <formula>"esterreur(reference)"</formula>
    </cfRule>
  </conditionalFormatting>
  <conditionalFormatting sqref="L272:L273">
    <cfRule type="expression" dxfId="1273" priority="271" stopIfTrue="1">
      <formula>"esterreur(reference)"</formula>
    </cfRule>
  </conditionalFormatting>
  <conditionalFormatting sqref="L295:L300">
    <cfRule type="expression" dxfId="1272" priority="269" stopIfTrue="1">
      <formula>"esterreur(reference)"</formula>
    </cfRule>
  </conditionalFormatting>
  <conditionalFormatting sqref="L301">
    <cfRule type="expression" dxfId="1271" priority="268" stopIfTrue="1">
      <formula>"esterreur(reference)"</formula>
    </cfRule>
  </conditionalFormatting>
  <conditionalFormatting sqref="L302">
    <cfRule type="expression" dxfId="1270" priority="267" stopIfTrue="1">
      <formula>"esterreur(reference)"</formula>
    </cfRule>
  </conditionalFormatting>
  <conditionalFormatting sqref="L307">
    <cfRule type="expression" dxfId="1269" priority="265" stopIfTrue="1">
      <formula>"esterreur(reference)"</formula>
    </cfRule>
  </conditionalFormatting>
  <conditionalFormatting sqref="L306">
    <cfRule type="expression" dxfId="1268" priority="266" stopIfTrue="1">
      <formula>"esterreur(reference)"</formula>
    </cfRule>
  </conditionalFormatting>
  <conditionalFormatting sqref="L317">
    <cfRule type="expression" dxfId="1267" priority="263" stopIfTrue="1">
      <formula>"esterreur(reference)"</formula>
    </cfRule>
  </conditionalFormatting>
  <conditionalFormatting sqref="L318">
    <cfRule type="expression" dxfId="1266" priority="262" stopIfTrue="1">
      <formula>"esterreur(reference)"</formula>
    </cfRule>
  </conditionalFormatting>
  <conditionalFormatting sqref="L243">
    <cfRule type="expression" dxfId="1265" priority="289" stopIfTrue="1">
      <formula>"esterreur(reference)"</formula>
    </cfRule>
  </conditionalFormatting>
  <conditionalFormatting sqref="L246">
    <cfRule type="expression" dxfId="1264" priority="288" stopIfTrue="1">
      <formula>"esterreur(reference)"</formula>
    </cfRule>
  </conditionalFormatting>
  <conditionalFormatting sqref="L253">
    <cfRule type="expression" dxfId="1263" priority="287" stopIfTrue="1">
      <formula>"esterreur(reference)"</formula>
    </cfRule>
  </conditionalFormatting>
  <conditionalFormatting sqref="L254">
    <cfRule type="expression" dxfId="1262" priority="286" stopIfTrue="1">
      <formula>"esterreur(reference)"</formula>
    </cfRule>
  </conditionalFormatting>
  <conditionalFormatting sqref="L255">
    <cfRule type="expression" dxfId="1261" priority="285" stopIfTrue="1">
      <formula>"esterreur(reference)"</formula>
    </cfRule>
  </conditionalFormatting>
  <conditionalFormatting sqref="L256">
    <cfRule type="expression" dxfId="1260" priority="284" stopIfTrue="1">
      <formula>"esterreur(reference)"</formula>
    </cfRule>
  </conditionalFormatting>
  <conditionalFormatting sqref="L257">
    <cfRule type="expression" dxfId="1259" priority="283" stopIfTrue="1">
      <formula>"esterreur(reference)"</formula>
    </cfRule>
  </conditionalFormatting>
  <conditionalFormatting sqref="L258">
    <cfRule type="expression" dxfId="1258" priority="282" stopIfTrue="1">
      <formula>"esterreur(reference)"</formula>
    </cfRule>
  </conditionalFormatting>
  <conditionalFormatting sqref="L259">
    <cfRule type="expression" dxfId="1257" priority="281" stopIfTrue="1">
      <formula>"esterreur(reference)"</formula>
    </cfRule>
  </conditionalFormatting>
  <conditionalFormatting sqref="L260">
    <cfRule type="expression" dxfId="1256" priority="280" stopIfTrue="1">
      <formula>"esterreur(reference)"</formula>
    </cfRule>
  </conditionalFormatting>
  <conditionalFormatting sqref="L261">
    <cfRule type="expression" dxfId="1255" priority="279" stopIfTrue="1">
      <formula>"esterreur(reference)"</formula>
    </cfRule>
  </conditionalFormatting>
  <conditionalFormatting sqref="L262">
    <cfRule type="expression" dxfId="1254" priority="278" stopIfTrue="1">
      <formula>"esterreur(reference)"</formula>
    </cfRule>
  </conditionalFormatting>
  <conditionalFormatting sqref="L263:L264">
    <cfRule type="expression" dxfId="1253" priority="277" stopIfTrue="1">
      <formula>"esterreur(reference)"</formula>
    </cfRule>
  </conditionalFormatting>
  <conditionalFormatting sqref="K5">
    <cfRule type="expression" dxfId="1252" priority="256" stopIfTrue="1">
      <formula>"esterreur(reference)"</formula>
    </cfRule>
  </conditionalFormatting>
  <conditionalFormatting sqref="O61:P70">
    <cfRule type="expression" dxfId="1251" priority="224" stopIfTrue="1">
      <formula>"esterreur(reference)"</formula>
    </cfRule>
  </conditionalFormatting>
  <conditionalFormatting sqref="K243">
    <cfRule type="expression" dxfId="1250" priority="253" stopIfTrue="1">
      <formula>"esterreur(reference)"</formula>
    </cfRule>
  </conditionalFormatting>
  <conditionalFormatting sqref="K246">
    <cfRule type="expression" dxfId="1249" priority="252" stopIfTrue="1">
      <formula>"esterreur(reference)"</formula>
    </cfRule>
  </conditionalFormatting>
  <conditionalFormatting sqref="J306:J307">
    <cfRule type="expression" dxfId="1248" priority="251" stopIfTrue="1">
      <formula>"esterreur(reference)"</formula>
    </cfRule>
  </conditionalFormatting>
  <conditionalFormatting sqref="Q19 Q21:Q23">
    <cfRule type="expression" dxfId="1247" priority="220" stopIfTrue="1">
      <formula>"esterreur(reference)"</formula>
    </cfRule>
  </conditionalFormatting>
  <conditionalFormatting sqref="Q20">
    <cfRule type="expression" dxfId="1246" priority="219" stopIfTrue="1">
      <formula>"esterreur(reference)"</formula>
    </cfRule>
  </conditionalFormatting>
  <conditionalFormatting sqref="J311">
    <cfRule type="expression" dxfId="1245" priority="248" stopIfTrue="1">
      <formula>"esterreur(reference)"</formula>
    </cfRule>
  </conditionalFormatting>
  <conditionalFormatting sqref="L364:L375">
    <cfRule type="expression" dxfId="1244" priority="247" stopIfTrue="1">
      <formula>"esterreur(reference)"</formula>
    </cfRule>
  </conditionalFormatting>
  <conditionalFormatting sqref="L377:L393">
    <cfRule type="expression" dxfId="1243" priority="246" stopIfTrue="1">
      <formula>"esterreur(reference)"</formula>
    </cfRule>
  </conditionalFormatting>
  <conditionalFormatting sqref="K93">
    <cfRule type="expression" dxfId="1242" priority="245" stopIfTrue="1">
      <formula>"esterreur(reference)"</formula>
    </cfRule>
  </conditionalFormatting>
  <conditionalFormatting sqref="K239">
    <cfRule type="expression" dxfId="1241" priority="244" stopIfTrue="1">
      <formula>"esterreur(reference)"</formula>
    </cfRule>
  </conditionalFormatting>
  <conditionalFormatting sqref="L239">
    <cfRule type="expression" dxfId="1240" priority="243" stopIfTrue="1">
      <formula>"esterreur(reference)"</formula>
    </cfRule>
  </conditionalFormatting>
  <conditionalFormatting sqref="F183">
    <cfRule type="expression" dxfId="1239" priority="242" stopIfTrue="1">
      <formula>"esterreur(reference)"</formula>
    </cfRule>
  </conditionalFormatting>
  <conditionalFormatting sqref="J359">
    <cfRule type="expression" dxfId="1238" priority="241" stopIfTrue="1">
      <formula>"esterreur(reference)"</formula>
    </cfRule>
  </conditionalFormatting>
  <conditionalFormatting sqref="L359">
    <cfRule type="expression" dxfId="1237" priority="240" stopIfTrue="1">
      <formula>"esterreur(reference)"</formula>
    </cfRule>
  </conditionalFormatting>
  <conditionalFormatting sqref="S185">
    <cfRule type="expression" dxfId="1236" priority="239" stopIfTrue="1">
      <formula>"esterreur(reference)"</formula>
    </cfRule>
  </conditionalFormatting>
  <conditionalFormatting sqref="Q56">
    <cfRule type="expression" dxfId="1235" priority="210" stopIfTrue="1">
      <formula>"esterreur(reference)"</formula>
    </cfRule>
  </conditionalFormatting>
  <conditionalFormatting sqref="AO408:AO413">
    <cfRule type="cellIs" dxfId="1234" priority="237" operator="greaterThan">
      <formula>0</formula>
    </cfRule>
  </conditionalFormatting>
  <conditionalFormatting sqref="L71">
    <cfRule type="expression" dxfId="1233" priority="236" stopIfTrue="1">
      <formula>"esterreur(reference)"</formula>
    </cfRule>
  </conditionalFormatting>
  <conditionalFormatting sqref="Q66:Q69">
    <cfRule type="expression" dxfId="1232" priority="203" stopIfTrue="1">
      <formula>"esterreur(reference)"</formula>
    </cfRule>
  </conditionalFormatting>
  <conditionalFormatting sqref="L122">
    <cfRule type="expression" dxfId="1231" priority="235" stopIfTrue="1">
      <formula>"esterreur(reference)"</formula>
    </cfRule>
  </conditionalFormatting>
  <conditionalFormatting sqref="L266">
    <cfRule type="expression" dxfId="1230" priority="232" stopIfTrue="1">
      <formula>"esterreur(reference)"</formula>
    </cfRule>
  </conditionalFormatting>
  <conditionalFormatting sqref="L135">
    <cfRule type="expression" dxfId="1229" priority="234" stopIfTrue="1">
      <formula>"esterreur(reference)"</formula>
    </cfRule>
  </conditionalFormatting>
  <conditionalFormatting sqref="L330">
    <cfRule type="expression" dxfId="1228" priority="231" stopIfTrue="1">
      <formula>"esterreur(reference)"</formula>
    </cfRule>
  </conditionalFormatting>
  <conditionalFormatting sqref="L75">
    <cfRule type="expression" dxfId="1227" priority="230" stopIfTrue="1">
      <formula>"esterreur(reference)"</formula>
    </cfRule>
  </conditionalFormatting>
  <conditionalFormatting sqref="L60">
    <cfRule type="expression" dxfId="1226" priority="228" stopIfTrue="1">
      <formula>"esterreur(reference)"</formula>
    </cfRule>
  </conditionalFormatting>
  <conditionalFormatting sqref="L59">
    <cfRule type="expression" dxfId="1225" priority="229" stopIfTrue="1">
      <formula>"esterreur(reference)"</formula>
    </cfRule>
  </conditionalFormatting>
  <conditionalFormatting sqref="F5">
    <cfRule type="expression" dxfId="1224" priority="227" stopIfTrue="1">
      <formula>"esterreur(reference)"</formula>
    </cfRule>
  </conditionalFormatting>
  <conditionalFormatting sqref="O25:Q30 Q18 O83:Q85 O41:Q41 O72:Q72 Q24 O13:O14 O16 O18:O24 O49:Q54 O31:P40 O42:P48 Q6:Q14">
    <cfRule type="expression" dxfId="1223" priority="222" stopIfTrue="1">
      <formula>"esterreur(reference)"</formula>
    </cfRule>
  </conditionalFormatting>
  <conditionalFormatting sqref="P5">
    <cfRule type="expression" dxfId="1222" priority="199" stopIfTrue="1">
      <formula>"esterreur(reference)"</formula>
    </cfRule>
  </conditionalFormatting>
  <conditionalFormatting sqref="Q32">
    <cfRule type="expression" dxfId="1221" priority="217" stopIfTrue="1">
      <formula>"esterreur(reference)"</formula>
    </cfRule>
  </conditionalFormatting>
  <conditionalFormatting sqref="Q35">
    <cfRule type="expression" dxfId="1220" priority="216" stopIfTrue="1">
      <formula>"esterreur(reference)"</formula>
    </cfRule>
  </conditionalFormatting>
  <conditionalFormatting sqref="O55:P56 O71:P71">
    <cfRule type="expression" dxfId="1219" priority="223" stopIfTrue="1">
      <formula>"esterreur(reference)"</formula>
    </cfRule>
  </conditionalFormatting>
  <conditionalFormatting sqref="O57:P59">
    <cfRule type="expression" dxfId="1218" priority="225" stopIfTrue="1">
      <formula>"esterreur(reference)"</formula>
    </cfRule>
  </conditionalFormatting>
  <conditionalFormatting sqref="O60:P60">
    <cfRule type="expression" dxfId="1217" priority="226" stopIfTrue="1">
      <formula>"esterreur(reference)"</formula>
    </cfRule>
  </conditionalFormatting>
  <conditionalFormatting sqref="Q16:Q17">
    <cfRule type="expression" dxfId="1216" priority="221" stopIfTrue="1">
      <formula>"esterreur(reference)"</formula>
    </cfRule>
  </conditionalFormatting>
  <conditionalFormatting sqref="Q31 Q33:Q34">
    <cfRule type="expression" dxfId="1215" priority="218" stopIfTrue="1">
      <formula>"esterreur(reference)"</formula>
    </cfRule>
  </conditionalFormatting>
  <conditionalFormatting sqref="Q42">
    <cfRule type="expression" dxfId="1214" priority="215" stopIfTrue="1">
      <formula>"esterreur(reference)"</formula>
    </cfRule>
  </conditionalFormatting>
  <conditionalFormatting sqref="Q43">
    <cfRule type="expression" dxfId="1213" priority="214" stopIfTrue="1">
      <formula>"esterreur(reference)"</formula>
    </cfRule>
  </conditionalFormatting>
  <conditionalFormatting sqref="Q44">
    <cfRule type="expression" dxfId="1212" priority="213" stopIfTrue="1">
      <formula>"esterreur(reference)"</formula>
    </cfRule>
  </conditionalFormatting>
  <conditionalFormatting sqref="Q45:Q48">
    <cfRule type="expression" dxfId="1211" priority="212" stopIfTrue="1">
      <formula>"esterreur(reference)"</formula>
    </cfRule>
  </conditionalFormatting>
  <conditionalFormatting sqref="Q55">
    <cfRule type="expression" dxfId="1210" priority="211" stopIfTrue="1">
      <formula>"esterreur(reference)"</formula>
    </cfRule>
  </conditionalFormatting>
  <conditionalFormatting sqref="Q58">
    <cfRule type="expression" dxfId="1209" priority="209" stopIfTrue="1">
      <formula>"esterreur(reference)"</formula>
    </cfRule>
  </conditionalFormatting>
  <conditionalFormatting sqref="Q61">
    <cfRule type="expression" dxfId="1208" priority="208" stopIfTrue="1">
      <formula>"esterreur(reference)"</formula>
    </cfRule>
  </conditionalFormatting>
  <conditionalFormatting sqref="Q63">
    <cfRule type="expression" dxfId="1207" priority="207" stopIfTrue="1">
      <formula>"esterreur(reference)"</formula>
    </cfRule>
  </conditionalFormatting>
  <conditionalFormatting sqref="Q62">
    <cfRule type="expression" dxfId="1206" priority="206" stopIfTrue="1">
      <formula>"esterreur(reference)"</formula>
    </cfRule>
  </conditionalFormatting>
  <conditionalFormatting sqref="Q64">
    <cfRule type="expression" dxfId="1205" priority="205" stopIfTrue="1">
      <formula>"esterreur(reference)"</formula>
    </cfRule>
  </conditionalFormatting>
  <conditionalFormatting sqref="Q65">
    <cfRule type="expression" dxfId="1204" priority="204" stopIfTrue="1">
      <formula>"esterreur(reference)"</formula>
    </cfRule>
  </conditionalFormatting>
  <conditionalFormatting sqref="Q70">
    <cfRule type="expression" dxfId="1203" priority="202" stopIfTrue="1">
      <formula>"esterreur(reference)"</formula>
    </cfRule>
  </conditionalFormatting>
  <conditionalFormatting sqref="Q75:Q82">
    <cfRule type="expression" dxfId="1202" priority="201" stopIfTrue="1">
      <formula>"esterreur(reference)"</formula>
    </cfRule>
  </conditionalFormatting>
  <conditionalFormatting sqref="Q57">
    <cfRule type="expression" dxfId="1201" priority="200" stopIfTrue="1">
      <formula>"esterreur(reference)"</formula>
    </cfRule>
  </conditionalFormatting>
  <conditionalFormatting sqref="Q71">
    <cfRule type="expression" dxfId="1200" priority="197" stopIfTrue="1">
      <formula>"esterreur(reference)"</formula>
    </cfRule>
  </conditionalFormatting>
  <conditionalFormatting sqref="Q60">
    <cfRule type="expression" dxfId="1199" priority="195" stopIfTrue="1">
      <formula>"esterreur(reference)"</formula>
    </cfRule>
  </conditionalFormatting>
  <conditionalFormatting sqref="Q59">
    <cfRule type="expression" dxfId="1198" priority="196" stopIfTrue="1">
      <formula>"esterreur(reference)"</formula>
    </cfRule>
  </conditionalFormatting>
  <conditionalFormatting sqref="O163:Q163 O164:P164 O121:Q121 O152:Q152 O96:Q97 O100:Q100 O104:Q106 O134:Q134 O101:P103 O135:P136 O155:P156 O111:P120 P98:P99 O108:Q110">
    <cfRule type="expression" dxfId="1197" priority="190" stopIfTrue="1">
      <formula>"esterreur(reference)"</formula>
    </cfRule>
  </conditionalFormatting>
  <conditionalFormatting sqref="O141:P147">
    <cfRule type="expression" dxfId="1196" priority="191" stopIfTrue="1">
      <formula>"esterreur(reference)"</formula>
    </cfRule>
  </conditionalFormatting>
  <conditionalFormatting sqref="O137:P139">
    <cfRule type="expression" dxfId="1195" priority="192" stopIfTrue="1">
      <formula>"esterreur(reference)"</formula>
    </cfRule>
  </conditionalFormatting>
  <conditionalFormatting sqref="O140:P140">
    <cfRule type="expression" dxfId="1194" priority="193" stopIfTrue="1">
      <formula>"esterreur(reference)"</formula>
    </cfRule>
  </conditionalFormatting>
  <conditionalFormatting sqref="Q101">
    <cfRule type="expression" dxfId="1193" priority="187" stopIfTrue="1">
      <formula>"esterreur(reference)"</formula>
    </cfRule>
  </conditionalFormatting>
  <conditionalFormatting sqref="Q102">
    <cfRule type="expression" dxfId="1192" priority="186" stopIfTrue="1">
      <formula>"esterreur(reference)"</formula>
    </cfRule>
  </conditionalFormatting>
  <conditionalFormatting sqref="Q103">
    <cfRule type="expression" dxfId="1191" priority="185" stopIfTrue="1">
      <formula>"esterreur(reference)"</formula>
    </cfRule>
  </conditionalFormatting>
  <conditionalFormatting sqref="Q111">
    <cfRule type="expression" dxfId="1190" priority="184" stopIfTrue="1">
      <formula>"esterreur(reference)"</formula>
    </cfRule>
  </conditionalFormatting>
  <conditionalFormatting sqref="Q112">
    <cfRule type="expression" dxfId="1189" priority="183" stopIfTrue="1">
      <formula>"esterreur(reference)"</formula>
    </cfRule>
  </conditionalFormatting>
  <conditionalFormatting sqref="Q114">
    <cfRule type="expression" dxfId="1188" priority="182" stopIfTrue="1">
      <formula>"esterreur(reference)"</formula>
    </cfRule>
  </conditionalFormatting>
  <conditionalFormatting sqref="Q116:Q119">
    <cfRule type="expression" dxfId="1187" priority="181" stopIfTrue="1">
      <formula>"esterreur(reference)"</formula>
    </cfRule>
  </conditionalFormatting>
  <conditionalFormatting sqref="Q120">
    <cfRule type="expression" dxfId="1186" priority="180" stopIfTrue="1">
      <formula>"esterreur(reference)"</formula>
    </cfRule>
  </conditionalFormatting>
  <conditionalFormatting sqref="Q130">
    <cfRule type="expression" dxfId="1185" priority="177" stopIfTrue="1">
      <formula>"esterreur(reference)"</formula>
    </cfRule>
  </conditionalFormatting>
  <conditionalFormatting sqref="Q124">
    <cfRule type="expression" dxfId="1184" priority="179" stopIfTrue="1">
      <formula>"esterreur(reference)"</formula>
    </cfRule>
  </conditionalFormatting>
  <conditionalFormatting sqref="Q123">
    <cfRule type="expression" dxfId="1183" priority="178" stopIfTrue="1">
      <formula>"esterreur(reference)"</formula>
    </cfRule>
  </conditionalFormatting>
  <conditionalFormatting sqref="Q139">
    <cfRule type="expression" dxfId="1182" priority="170" stopIfTrue="1">
      <formula>"esterreur(reference)"</formula>
    </cfRule>
  </conditionalFormatting>
  <conditionalFormatting sqref="Q131">
    <cfRule type="expression" dxfId="1181" priority="176" stopIfTrue="1">
      <formula>"esterreur(reference)"</formula>
    </cfRule>
  </conditionalFormatting>
  <conditionalFormatting sqref="Q132">
    <cfRule type="expression" dxfId="1180" priority="175" stopIfTrue="1">
      <formula>"esterreur(reference)"</formula>
    </cfRule>
  </conditionalFormatting>
  <conditionalFormatting sqref="Q133">
    <cfRule type="expression" dxfId="1179" priority="174" stopIfTrue="1">
      <formula>"esterreur(reference)"</formula>
    </cfRule>
  </conditionalFormatting>
  <conditionalFormatting sqref="Q141">
    <cfRule type="expression" dxfId="1178" priority="168" stopIfTrue="1">
      <formula>"esterreur(reference)"</formula>
    </cfRule>
  </conditionalFormatting>
  <conditionalFormatting sqref="Q136">
    <cfRule type="expression" dxfId="1177" priority="173" stopIfTrue="1">
      <formula>"esterreur(reference)"</formula>
    </cfRule>
  </conditionalFormatting>
  <conditionalFormatting sqref="Q137">
    <cfRule type="expression" dxfId="1176" priority="172" stopIfTrue="1">
      <formula>"esterreur(reference)"</formula>
    </cfRule>
  </conditionalFormatting>
  <conditionalFormatting sqref="Q138">
    <cfRule type="expression" dxfId="1175" priority="171" stopIfTrue="1">
      <formula>"esterreur(reference)"</formula>
    </cfRule>
  </conditionalFormatting>
  <conditionalFormatting sqref="Q143">
    <cfRule type="expression" dxfId="1174" priority="166" stopIfTrue="1">
      <formula>"esterreur(reference)"</formula>
    </cfRule>
  </conditionalFormatting>
  <conditionalFormatting sqref="Q140">
    <cfRule type="expression" dxfId="1173" priority="169" stopIfTrue="1">
      <formula>"esterreur(reference)"</formula>
    </cfRule>
  </conditionalFormatting>
  <conditionalFormatting sqref="Q142">
    <cfRule type="expression" dxfId="1172" priority="167" stopIfTrue="1">
      <formula>"esterreur(reference)"</formula>
    </cfRule>
  </conditionalFormatting>
  <conditionalFormatting sqref="Q144">
    <cfRule type="expression" dxfId="1171" priority="165" stopIfTrue="1">
      <formula>"esterreur(reference)"</formula>
    </cfRule>
  </conditionalFormatting>
  <conditionalFormatting sqref="Q145">
    <cfRule type="expression" dxfId="1170" priority="164" stopIfTrue="1">
      <formula>"esterreur(reference)"</formula>
    </cfRule>
  </conditionalFormatting>
  <conditionalFormatting sqref="Q146">
    <cfRule type="expression" dxfId="1169" priority="163" stopIfTrue="1">
      <formula>"esterreur(reference)"</formula>
    </cfRule>
  </conditionalFormatting>
  <conditionalFormatting sqref="Q147">
    <cfRule type="expression" dxfId="1168" priority="162" stopIfTrue="1">
      <formula>"esterreur(reference)"</formula>
    </cfRule>
  </conditionalFormatting>
  <conditionalFormatting sqref="Q113">
    <cfRule type="expression" dxfId="1167" priority="159" stopIfTrue="1">
      <formula>"esterreur(reference)"</formula>
    </cfRule>
  </conditionalFormatting>
  <conditionalFormatting sqref="Q155:Q161">
    <cfRule type="expression" dxfId="1166" priority="161" stopIfTrue="1">
      <formula>"esterreur(reference)"</formula>
    </cfRule>
  </conditionalFormatting>
  <conditionalFormatting sqref="Q115">
    <cfRule type="expression" dxfId="1165" priority="160" stopIfTrue="1">
      <formula>"esterreur(reference)"</formula>
    </cfRule>
  </conditionalFormatting>
  <conditionalFormatting sqref="P93">
    <cfRule type="expression" dxfId="1164" priority="158" stopIfTrue="1">
      <formula>"esterreur(reference)"</formula>
    </cfRule>
  </conditionalFormatting>
  <conditionalFormatting sqref="Q122">
    <cfRule type="expression" dxfId="1163" priority="157" stopIfTrue="1">
      <formula>"esterreur(reference)"</formula>
    </cfRule>
  </conditionalFormatting>
  <conditionalFormatting sqref="Q135">
    <cfRule type="expression" dxfId="1162" priority="156" stopIfTrue="1">
      <formula>"esterreur(reference)"</formula>
    </cfRule>
  </conditionalFormatting>
  <conditionalFormatting sqref="O231:Q231 O232:P232 O228:P228">
    <cfRule type="expression" dxfId="1161" priority="153" stopIfTrue="1">
      <formula>"esterreur(reference)"</formula>
    </cfRule>
  </conditionalFormatting>
  <conditionalFormatting sqref="O316:Q316">
    <cfRule type="expression" dxfId="1160" priority="119" stopIfTrue="1">
      <formula>"esterreur(reference)"</formula>
    </cfRule>
  </conditionalFormatting>
  <conditionalFormatting sqref="O308:Q309 O303:Q305 O351:Q351 O352:P352 O348:Q348 O312:Q315 P306:P307 P311 O294:P302 Q319:Q324 O317:P347">
    <cfRule type="expression" dxfId="1159" priority="118" stopIfTrue="1">
      <formula>"esterreur(reference)"</formula>
    </cfRule>
  </conditionalFormatting>
  <conditionalFormatting sqref="Q294:Q300">
    <cfRule type="expression" dxfId="1158" priority="117" stopIfTrue="1">
      <formula>"esterreur(reference)"</formula>
    </cfRule>
  </conditionalFormatting>
  <conditionalFormatting sqref="Q301">
    <cfRule type="expression" dxfId="1157" priority="116" stopIfTrue="1">
      <formula>"esterreur(reference)"</formula>
    </cfRule>
  </conditionalFormatting>
  <conditionalFormatting sqref="Q302">
    <cfRule type="expression" dxfId="1156" priority="115" stopIfTrue="1">
      <formula>"esterreur(reference)"</formula>
    </cfRule>
  </conditionalFormatting>
  <conditionalFormatting sqref="Q306">
    <cfRule type="expression" dxfId="1155" priority="114" stopIfTrue="1">
      <formula>"esterreur(reference)"</formula>
    </cfRule>
  </conditionalFormatting>
  <conditionalFormatting sqref="Q307">
    <cfRule type="expression" dxfId="1154" priority="113" stopIfTrue="1">
      <formula>"esterreur(reference)"</formula>
    </cfRule>
  </conditionalFormatting>
  <conditionalFormatting sqref="Q311">
    <cfRule type="expression" dxfId="1153" priority="112" stopIfTrue="1">
      <formula>"esterreur(reference)"</formula>
    </cfRule>
  </conditionalFormatting>
  <conditionalFormatting sqref="Q318">
    <cfRule type="expression" dxfId="1152" priority="110" stopIfTrue="1">
      <formula>"esterreur(reference)"</formula>
    </cfRule>
  </conditionalFormatting>
  <conditionalFormatting sqref="Q317">
    <cfRule type="expression" dxfId="1151" priority="111" stopIfTrue="1">
      <formula>"esterreur(reference)"</formula>
    </cfRule>
  </conditionalFormatting>
  <conditionalFormatting sqref="Q325">
    <cfRule type="expression" dxfId="1150" priority="109" stopIfTrue="1">
      <formula>"esterreur(reference)"</formula>
    </cfRule>
  </conditionalFormatting>
  <conditionalFormatting sqref="Q326">
    <cfRule type="expression" dxfId="1149" priority="108" stopIfTrue="1">
      <formula>"esterreur(reference)"</formula>
    </cfRule>
  </conditionalFormatting>
  <conditionalFormatting sqref="Q327">
    <cfRule type="expression" dxfId="1148" priority="107" stopIfTrue="1">
      <formula>"esterreur(reference)"</formula>
    </cfRule>
  </conditionalFormatting>
  <conditionalFormatting sqref="Q328">
    <cfRule type="expression" dxfId="1147" priority="106" stopIfTrue="1">
      <formula>"esterreur(reference)"</formula>
    </cfRule>
  </conditionalFormatting>
  <conditionalFormatting sqref="Q331:Q347">
    <cfRule type="expression" dxfId="1146" priority="105" stopIfTrue="1">
      <formula>"esterreur(reference)"</formula>
    </cfRule>
  </conditionalFormatting>
  <conditionalFormatting sqref="O306:O307">
    <cfRule type="expression" dxfId="1145" priority="104" stopIfTrue="1">
      <formula>"esterreur(reference)"</formula>
    </cfRule>
  </conditionalFormatting>
  <conditionalFormatting sqref="O311">
    <cfRule type="expression" dxfId="1144" priority="103" stopIfTrue="1">
      <formula>"esterreur(reference)"</formula>
    </cfRule>
  </conditionalFormatting>
  <conditionalFormatting sqref="Q330">
    <cfRule type="expression" dxfId="1143" priority="102" stopIfTrue="1">
      <formula>"esterreur(reference)"</formula>
    </cfRule>
  </conditionalFormatting>
  <conditionalFormatting sqref="P394">
    <cfRule type="expression" dxfId="1142" priority="101" stopIfTrue="1">
      <formula>"esterreur(reference)"</formula>
    </cfRule>
  </conditionalFormatting>
  <conditionalFormatting sqref="O360:Q362 P359">
    <cfRule type="expression" dxfId="1141" priority="100" stopIfTrue="1">
      <formula>"esterreur(reference)"</formula>
    </cfRule>
  </conditionalFormatting>
  <conditionalFormatting sqref="O395:Q398 O393:P393">
    <cfRule type="expression" dxfId="1140" priority="99" stopIfTrue="1">
      <formula>"esterreur(reference)"</formula>
    </cfRule>
  </conditionalFormatting>
  <conditionalFormatting sqref="O376:Q376 O377:P392">
    <cfRule type="expression" dxfId="1139" priority="98" stopIfTrue="1">
      <formula>"esterreur(reference)"</formula>
    </cfRule>
  </conditionalFormatting>
  <conditionalFormatting sqref="O358:Q358">
    <cfRule type="expression" dxfId="1138" priority="97" stopIfTrue="1">
      <formula>"esterreur(reference)"</formula>
    </cfRule>
  </conditionalFormatting>
  <conditionalFormatting sqref="O363:Q363 O364:P375">
    <cfRule type="expression" dxfId="1137" priority="96" stopIfTrue="1">
      <formula>"esterreur(reference)"</formula>
    </cfRule>
  </conditionalFormatting>
  <conditionalFormatting sqref="Q364:Q375">
    <cfRule type="expression" dxfId="1136" priority="95" stopIfTrue="1">
      <formula>"esterreur(reference)"</formula>
    </cfRule>
  </conditionalFormatting>
  <conditionalFormatting sqref="Q377:Q393">
    <cfRule type="expression" dxfId="1135" priority="94" stopIfTrue="1">
      <formula>"esterreur(reference)"</formula>
    </cfRule>
  </conditionalFormatting>
  <conditionalFormatting sqref="O359">
    <cfRule type="expression" dxfId="1134" priority="93" stopIfTrue="1">
      <formula>"esterreur(reference)"</formula>
    </cfRule>
  </conditionalFormatting>
  <conditionalFormatting sqref="Q359">
    <cfRule type="expression" dxfId="1133" priority="92" stopIfTrue="1">
      <formula>"esterreur(reference)"</formula>
    </cfRule>
  </conditionalFormatting>
  <conditionalFormatting sqref="Q36:Q40">
    <cfRule type="expression" dxfId="1132" priority="91" stopIfTrue="1">
      <formula>"esterreur(reference)"</formula>
    </cfRule>
  </conditionalFormatting>
  <conditionalFormatting sqref="L68">
    <cfRule type="expression" dxfId="1131" priority="90" stopIfTrue="1">
      <formula>"esterreur(reference)"</formula>
    </cfRule>
  </conditionalFormatting>
  <conditionalFormatting sqref="Q149:Q151">
    <cfRule type="expression" dxfId="1130" priority="82" stopIfTrue="1">
      <formula>"esterreur(reference)"</formula>
    </cfRule>
  </conditionalFormatting>
  <conditionalFormatting sqref="H148 J148:K148">
    <cfRule type="expression" dxfId="1129" priority="89" stopIfTrue="1">
      <formula>"esterreur(reference)"</formula>
    </cfRule>
  </conditionalFormatting>
  <conditionalFormatting sqref="L148">
    <cfRule type="expression" dxfId="1128" priority="88" stopIfTrue="1">
      <formula>"esterreur(reference)"</formula>
    </cfRule>
  </conditionalFormatting>
  <conditionalFormatting sqref="O148:P148">
    <cfRule type="expression" dxfId="1127" priority="87" stopIfTrue="1">
      <formula>"esterreur(reference)"</formula>
    </cfRule>
  </conditionalFormatting>
  <conditionalFormatting sqref="Q148">
    <cfRule type="expression" dxfId="1126" priority="86" stopIfTrue="1">
      <formula>"esterreur(reference)"</formula>
    </cfRule>
  </conditionalFormatting>
  <conditionalFormatting sqref="H149:H151 J149:K151">
    <cfRule type="expression" dxfId="1125" priority="85" stopIfTrue="1">
      <formula>"esterreur(reference)"</formula>
    </cfRule>
  </conditionalFormatting>
  <conditionalFormatting sqref="L149:L151">
    <cfRule type="expression" dxfId="1124" priority="84" stopIfTrue="1">
      <formula>"esterreur(reference)"</formula>
    </cfRule>
  </conditionalFormatting>
  <conditionalFormatting sqref="O149:P151">
    <cfRule type="expression" dxfId="1123" priority="83" stopIfTrue="1">
      <formula>"esterreur(reference)"</formula>
    </cfRule>
  </conditionalFormatting>
  <conditionalFormatting sqref="L158:L161">
    <cfRule type="expression" dxfId="1122" priority="81" stopIfTrue="1">
      <formula>"esterreur(reference)"</formula>
    </cfRule>
  </conditionalFormatting>
  <conditionalFormatting sqref="AG414:AI417">
    <cfRule type="cellIs" dxfId="1121" priority="80" operator="greaterThan">
      <formula>0</formula>
    </cfRule>
  </conditionalFormatting>
  <conditionalFormatting sqref="AO414:AO417">
    <cfRule type="cellIs" dxfId="1120" priority="79" operator="greaterThan">
      <formula>0</formula>
    </cfRule>
  </conditionalFormatting>
  <conditionalFormatting sqref="Q98:Q99">
    <cfRule type="expression" dxfId="1119" priority="78" stopIfTrue="1">
      <formula>"esterreur(reference)"</formula>
    </cfRule>
  </conditionalFormatting>
  <conditionalFormatting sqref="L93">
    <cfRule type="expression" dxfId="1118" priority="77" stopIfTrue="1">
      <formula>"esterreur(reference)"</formula>
    </cfRule>
  </conditionalFormatting>
  <conditionalFormatting sqref="Q93">
    <cfRule type="expression" dxfId="1117" priority="76" stopIfTrue="1">
      <formula>"esterreur(reference)"</formula>
    </cfRule>
  </conditionalFormatting>
  <conditionalFormatting sqref="L5">
    <cfRule type="expression" dxfId="1116" priority="45" stopIfTrue="1">
      <formula>"esterreur(reference)"</formula>
    </cfRule>
  </conditionalFormatting>
  <conditionalFormatting sqref="I183">
    <cfRule type="expression" dxfId="1115" priority="43" stopIfTrue="1">
      <formula>"esterreur(reference)"</formula>
    </cfRule>
  </conditionalFormatting>
  <conditionalFormatting sqref="Q253">
    <cfRule type="expression" dxfId="1114" priority="35" stopIfTrue="1">
      <formula>"esterreur(reference)"</formula>
    </cfRule>
  </conditionalFormatting>
  <conditionalFormatting sqref="L183">
    <cfRule type="expression" dxfId="1113" priority="42" stopIfTrue="1">
      <formula>"esterreur(reference)"</formula>
    </cfRule>
  </conditionalFormatting>
  <conditionalFormatting sqref="Q183">
    <cfRule type="expression" dxfId="1112" priority="41" stopIfTrue="1">
      <formula>"esterreur(reference)"</formula>
    </cfRule>
  </conditionalFormatting>
  <conditionalFormatting sqref="O281:P282 O283">
    <cfRule type="expression" dxfId="1111" priority="40" stopIfTrue="1">
      <formula>"esterreur(reference)"</formula>
    </cfRule>
  </conditionalFormatting>
  <conditionalFormatting sqref="O275:P280">
    <cfRule type="expression" dxfId="1110" priority="39" stopIfTrue="1">
      <formula>"esterreur(reference)"</formula>
    </cfRule>
  </conditionalFormatting>
  <conditionalFormatting sqref="O287:Q287 O288:P288 O242:Q242 O251:Q252 O284 O253:P274 Q275:Q284">
    <cfRule type="expression" dxfId="1109" priority="38" stopIfTrue="1">
      <formula>"esterreur(reference)"</formula>
    </cfRule>
  </conditionalFormatting>
  <conditionalFormatting sqref="Q246">
    <cfRule type="expression" dxfId="1108" priority="36" stopIfTrue="1">
      <formula>"esterreur(reference)"</formula>
    </cfRule>
  </conditionalFormatting>
  <conditionalFormatting sqref="Q243">
    <cfRule type="expression" dxfId="1107" priority="37" stopIfTrue="1">
      <formula>"esterreur(reference)"</formula>
    </cfRule>
  </conditionalFormatting>
  <conditionalFormatting sqref="Q254">
    <cfRule type="expression" dxfId="1106" priority="34" stopIfTrue="1">
      <formula>"esterreur(reference)"</formula>
    </cfRule>
  </conditionalFormatting>
  <conditionalFormatting sqref="Q255">
    <cfRule type="expression" dxfId="1105" priority="33" stopIfTrue="1">
      <formula>"esterreur(reference)"</formula>
    </cfRule>
  </conditionalFormatting>
  <conditionalFormatting sqref="Q256">
    <cfRule type="expression" dxfId="1104" priority="32" stopIfTrue="1">
      <formula>"esterreur(reference)"</formula>
    </cfRule>
  </conditionalFormatting>
  <conditionalFormatting sqref="Q257">
    <cfRule type="expression" dxfId="1103" priority="31" stopIfTrue="1">
      <formula>"esterreur(reference)"</formula>
    </cfRule>
  </conditionalFormatting>
  <conditionalFormatting sqref="L240">
    <cfRule type="expression" dxfId="1102" priority="59" stopIfTrue="1">
      <formula>"esterreur(reference)"</formula>
    </cfRule>
  </conditionalFormatting>
  <conditionalFormatting sqref="K240">
    <cfRule type="expression" dxfId="1101" priority="58" stopIfTrue="1">
      <formula>"esterreur(reference)"</formula>
    </cfRule>
  </conditionalFormatting>
  <conditionalFormatting sqref="L294">
    <cfRule type="expression" dxfId="1100" priority="57" stopIfTrue="1">
      <formula>"esterreur(reference)"</formula>
    </cfRule>
  </conditionalFormatting>
  <conditionalFormatting sqref="Q260">
    <cfRule type="expression" dxfId="1099" priority="28" stopIfTrue="1">
      <formula>"esterreur(reference)"</formula>
    </cfRule>
  </conditionalFormatting>
  <conditionalFormatting sqref="Q268">
    <cfRule type="expression" dxfId="1098" priority="23" stopIfTrue="1">
      <formula>"esterreur(reference)"</formula>
    </cfRule>
  </conditionalFormatting>
  <conditionalFormatting sqref="Q270">
    <cfRule type="expression" dxfId="1097" priority="21" stopIfTrue="1">
      <formula>"esterreur(reference)"</formula>
    </cfRule>
  </conditionalFormatting>
  <conditionalFormatting sqref="Q262">
    <cfRule type="expression" dxfId="1096" priority="26" stopIfTrue="1">
      <formula>"esterreur(reference)"</formula>
    </cfRule>
  </conditionalFormatting>
  <conditionalFormatting sqref="Q261">
    <cfRule type="expression" dxfId="1095" priority="27" stopIfTrue="1">
      <formula>"esterreur(reference)"</formula>
    </cfRule>
  </conditionalFormatting>
  <conditionalFormatting sqref="Q263:Q264">
    <cfRule type="expression" dxfId="1094" priority="25" stopIfTrue="1">
      <formula>"esterreur(reference)"</formula>
    </cfRule>
  </conditionalFormatting>
  <conditionalFormatting sqref="Q267">
    <cfRule type="expression" dxfId="1093" priority="24" stopIfTrue="1">
      <formula>"esterreur(reference)"</formula>
    </cfRule>
  </conditionalFormatting>
  <conditionalFormatting sqref="Q269">
    <cfRule type="expression" dxfId="1092" priority="22" stopIfTrue="1">
      <formula>"esterreur(reference)"</formula>
    </cfRule>
  </conditionalFormatting>
  <conditionalFormatting sqref="Q271">
    <cfRule type="expression" dxfId="1091" priority="20" stopIfTrue="1">
      <formula>"esterreur(reference)"</formula>
    </cfRule>
  </conditionalFormatting>
  <conditionalFormatting sqref="G111:G112">
    <cfRule type="expression" dxfId="1090" priority="47" stopIfTrue="1">
      <formula>"esterreur(reference)"</formula>
    </cfRule>
  </conditionalFormatting>
  <conditionalFormatting sqref="I5">
    <cfRule type="expression" dxfId="1089" priority="46" stopIfTrue="1">
      <formula>"esterreur(reference)"</formula>
    </cfRule>
  </conditionalFormatting>
  <conditionalFormatting sqref="Q5">
    <cfRule type="expression" dxfId="1088" priority="44" stopIfTrue="1">
      <formula>"esterreur(reference)"</formula>
    </cfRule>
  </conditionalFormatting>
  <conditionalFormatting sqref="Q274">
    <cfRule type="expression" dxfId="1087" priority="18" stopIfTrue="1">
      <formula>"esterreur(reference)"</formula>
    </cfRule>
  </conditionalFormatting>
  <conditionalFormatting sqref="Q258">
    <cfRule type="expression" dxfId="1086" priority="30" stopIfTrue="1">
      <formula>"esterreur(reference)"</formula>
    </cfRule>
  </conditionalFormatting>
  <conditionalFormatting sqref="Q259">
    <cfRule type="expression" dxfId="1085" priority="29" stopIfTrue="1">
      <formula>"esterreur(reference)"</formula>
    </cfRule>
  </conditionalFormatting>
  <conditionalFormatting sqref="Q272:Q273">
    <cfRule type="expression" dxfId="1084" priority="19" stopIfTrue="1">
      <formula>"esterreur(reference)"</formula>
    </cfRule>
  </conditionalFormatting>
  <conditionalFormatting sqref="P243">
    <cfRule type="expression" dxfId="1083" priority="17" stopIfTrue="1">
      <formula>"esterreur(reference)"</formula>
    </cfRule>
  </conditionalFormatting>
  <conditionalFormatting sqref="P246">
    <cfRule type="expression" dxfId="1082" priority="16" stopIfTrue="1">
      <formula>"esterreur(reference)"</formula>
    </cfRule>
  </conditionalFormatting>
  <conditionalFormatting sqref="Q266">
    <cfRule type="expression" dxfId="1081" priority="15" stopIfTrue="1">
      <formula>"esterreur(reference)"</formula>
    </cfRule>
  </conditionalFormatting>
  <conditionalFormatting sqref="Q240">
    <cfRule type="expression" dxfId="1080" priority="14" stopIfTrue="1">
      <formula>"esterreur(reference)"</formula>
    </cfRule>
  </conditionalFormatting>
  <conditionalFormatting sqref="P240">
    <cfRule type="expression" dxfId="1079" priority="13" stopIfTrue="1">
      <formula>"esterreur(reference)"</formula>
    </cfRule>
  </conditionalFormatting>
  <conditionalFormatting sqref="K310">
    <cfRule type="expression" dxfId="1078" priority="10" stopIfTrue="1">
      <formula>"esterreur(reference)"</formula>
    </cfRule>
  </conditionalFormatting>
  <conditionalFormatting sqref="M310">
    <cfRule type="expression" dxfId="1077" priority="11" stopIfTrue="1">
      <formula>"esterreur(reference)"</formula>
    </cfRule>
  </conditionalFormatting>
  <conditionalFormatting sqref="R310">
    <cfRule type="expression" dxfId="1076" priority="12" stopIfTrue="1">
      <formula>"esterreur(reference)"</formula>
    </cfRule>
  </conditionalFormatting>
  <conditionalFormatting sqref="L310">
    <cfRule type="expression" dxfId="1075" priority="9" stopIfTrue="1">
      <formula>"esterreur(reference)"</formula>
    </cfRule>
  </conditionalFormatting>
  <conditionalFormatting sqref="J310">
    <cfRule type="expression" dxfId="1074" priority="8" stopIfTrue="1">
      <formula>"esterreur(reference)"</formula>
    </cfRule>
  </conditionalFormatting>
  <conditionalFormatting sqref="P310">
    <cfRule type="expression" dxfId="1073" priority="7" stopIfTrue="1">
      <formula>"esterreur(reference)"</formula>
    </cfRule>
  </conditionalFormatting>
  <conditionalFormatting sqref="Q310">
    <cfRule type="expression" dxfId="1072" priority="6" stopIfTrue="1">
      <formula>"esterreur(reference)"</formula>
    </cfRule>
  </conditionalFormatting>
  <conditionalFormatting sqref="O310">
    <cfRule type="expression" dxfId="1071" priority="5" stopIfTrue="1">
      <formula>"esterreur(reference)"</formula>
    </cfRule>
  </conditionalFormatting>
  <conditionalFormatting sqref="O107:Q107">
    <cfRule type="expression" dxfId="1070" priority="3" stopIfTrue="1">
      <formula>"esterreur(reference)"</formula>
    </cfRule>
  </conditionalFormatting>
  <conditionalFormatting sqref="G42">
    <cfRule type="expression" dxfId="1069" priority="2" stopIfTrue="1">
      <formula>"esterreur(reference)"</formula>
    </cfRule>
  </conditionalFormatting>
  <conditionalFormatting sqref="G55">
    <cfRule type="expression" dxfId="1068" priority="1" stopIfTrue="1">
      <formula>"esterreur(reference)"</formula>
    </cfRule>
  </conditionalFormatting>
  <printOptions horizontalCentered="1"/>
  <pageMargins left="0.23622047244094491" right="0.23622047244094491" top="0.51181102362204722" bottom="0.23622047244094491" header="0" footer="0"/>
  <pageSetup scale="42" fitToHeight="0" orientation="landscape" r:id="rId1"/>
  <headerFooter>
    <oddFooter>&amp;L&amp;9&amp;F&amp;R&amp;9&amp;P de &amp;N</oddFooter>
  </headerFooter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2FC1-7AE7-4562-99E6-D44877D794C7}">
  <sheetPr>
    <tabColor rgb="FF92D050"/>
  </sheetPr>
  <dimension ref="A1:BJ692"/>
  <sheetViews>
    <sheetView zoomScale="70" zoomScaleNormal="70" workbookViewId="0">
      <pane xSplit="3" topLeftCell="D1" activePane="topRight" state="frozen"/>
      <selection activeCell="G50" sqref="G50"/>
      <selection pane="topRight" activeCell="G50" sqref="G50"/>
    </sheetView>
  </sheetViews>
  <sheetFormatPr baseColWidth="10" defaultColWidth="12.625" defaultRowHeight="15" customHeight="1"/>
  <cols>
    <col min="1" max="1" width="37.5" hidden="1" customWidth="1"/>
    <col min="2" max="2" width="21.875" hidden="1" customWidth="1"/>
    <col min="3" max="3" width="36.375" bestFit="1" customWidth="1"/>
    <col min="4" max="4" width="17.875" bestFit="1" customWidth="1"/>
    <col min="5" max="5" width="14.625" bestFit="1" customWidth="1"/>
    <col min="6" max="6" width="14" bestFit="1" customWidth="1"/>
    <col min="7" max="7" width="17.75" customWidth="1"/>
    <col min="8" max="8" width="15.125" customWidth="1"/>
    <col min="9" max="9" width="14" customWidth="1"/>
    <col min="10" max="10" width="17.375" customWidth="1"/>
    <col min="11" max="11" width="15.5" customWidth="1"/>
    <col min="12" max="12" width="14.875" bestFit="1" customWidth="1"/>
    <col min="13" max="13" width="13.5" bestFit="1" customWidth="1"/>
    <col min="14" max="14" width="14" bestFit="1" customWidth="1"/>
    <col min="15" max="15" width="15.5" customWidth="1"/>
    <col min="16" max="16" width="14.625" bestFit="1" customWidth="1"/>
    <col min="17" max="17" width="14" bestFit="1" customWidth="1"/>
    <col min="18" max="18" width="11.5" bestFit="1" customWidth="1"/>
    <col min="19" max="19" width="16.375" customWidth="1"/>
    <col min="20" max="20" width="4.625" customWidth="1"/>
    <col min="21" max="21" width="31.75" customWidth="1"/>
    <col min="22" max="22" width="34" customWidth="1"/>
    <col min="23" max="23" width="12.25" customWidth="1"/>
    <col min="24" max="24" width="13.75" customWidth="1"/>
    <col min="25" max="25" width="15.125" customWidth="1"/>
    <col min="26" max="26" width="15" bestFit="1" customWidth="1"/>
    <col min="27" max="27" width="11.125" bestFit="1" customWidth="1"/>
    <col min="28" max="28" width="9.375" bestFit="1" customWidth="1"/>
    <col min="29" max="29" width="14.5" customWidth="1"/>
    <col min="30" max="30" width="13.5" bestFit="1" customWidth="1"/>
    <col min="31" max="31" width="14.25" customWidth="1"/>
    <col min="32" max="32" width="14.125" customWidth="1"/>
    <col min="33" max="33" width="9" bestFit="1" customWidth="1"/>
    <col min="34" max="34" width="13.5" customWidth="1"/>
    <col min="35" max="35" width="10.125" bestFit="1" customWidth="1"/>
    <col min="36" max="36" width="10.875" customWidth="1"/>
    <col min="37" max="37" width="9.375" bestFit="1" customWidth="1"/>
    <col min="38" max="38" width="12.75" bestFit="1" customWidth="1"/>
    <col min="39" max="39" width="9" bestFit="1" customWidth="1"/>
    <col min="40" max="40" width="11" customWidth="1"/>
    <col min="41" max="41" width="14.75" customWidth="1"/>
    <col min="42" max="42" width="11" customWidth="1"/>
    <col min="43" max="43" width="48.375" bestFit="1" customWidth="1"/>
    <col min="44" max="62" width="11" customWidth="1"/>
  </cols>
  <sheetData>
    <row r="1" spans="1:40" ht="36" thickBot="1">
      <c r="B1" s="1"/>
      <c r="C1" s="475" t="s">
        <v>227</v>
      </c>
      <c r="D1" s="2"/>
      <c r="E1" s="476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504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Top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217</v>
      </c>
      <c r="K2" s="9"/>
      <c r="L2" s="9" t="s">
        <v>214</v>
      </c>
      <c r="M2" s="11"/>
      <c r="N2" s="11"/>
      <c r="O2" s="9" t="s">
        <v>217</v>
      </c>
      <c r="P2" s="9"/>
      <c r="Q2" s="9" t="s">
        <v>214</v>
      </c>
      <c r="R2" s="11"/>
      <c r="S2" s="11"/>
      <c r="T2" s="11"/>
      <c r="U2" s="11"/>
      <c r="V2" s="477" t="s">
        <v>494</v>
      </c>
      <c r="W2" s="478"/>
    </row>
    <row r="3" spans="1:40" ht="21" thickTop="1">
      <c r="B3" s="12"/>
      <c r="C3" s="13"/>
      <c r="D3" s="564" t="s">
        <v>5</v>
      </c>
      <c r="E3" s="565"/>
      <c r="F3" s="566"/>
      <c r="G3" s="562" t="s">
        <v>6</v>
      </c>
      <c r="H3" s="565"/>
      <c r="I3" s="566"/>
      <c r="J3" s="562" t="s">
        <v>7</v>
      </c>
      <c r="K3" s="565"/>
      <c r="L3" s="566"/>
      <c r="M3" s="562" t="s">
        <v>8</v>
      </c>
      <c r="N3" s="566"/>
      <c r="O3" s="564" t="s">
        <v>9</v>
      </c>
      <c r="P3" s="565"/>
      <c r="Q3" s="566"/>
      <c r="R3" s="562" t="s">
        <v>10</v>
      </c>
      <c r="S3" s="563"/>
      <c r="T3" s="14"/>
      <c r="U3" s="14"/>
      <c r="V3" s="479" t="s">
        <v>222</v>
      </c>
      <c r="W3" s="480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79" t="s">
        <v>223</v>
      </c>
      <c r="W4" s="480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">
        <v>228</v>
      </c>
      <c r="B5" s="12" t="s">
        <v>0</v>
      </c>
      <c r="C5" s="21" t="s">
        <v>16</v>
      </c>
      <c r="D5" s="22"/>
      <c r="E5" s="22"/>
      <c r="F5" s="23">
        <v>3373350.2552417461</v>
      </c>
      <c r="G5" s="22"/>
      <c r="H5" s="22"/>
      <c r="I5" s="25">
        <v>3373350.2552417461</v>
      </c>
      <c r="J5" s="24"/>
      <c r="K5" s="26"/>
      <c r="L5" s="23">
        <v>2657067.04</v>
      </c>
      <c r="M5" s="27"/>
      <c r="N5" s="28"/>
      <c r="O5" s="24"/>
      <c r="P5" s="26"/>
      <c r="Q5" s="23">
        <v>2770249.67</v>
      </c>
      <c r="R5" s="27"/>
      <c r="S5" s="29"/>
      <c r="T5" s="14"/>
      <c r="U5" s="14"/>
      <c r="V5" s="479" t="s">
        <v>218</v>
      </c>
      <c r="W5" s="480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">
        <v>229</v>
      </c>
      <c r="B6" s="12" t="s">
        <v>0</v>
      </c>
      <c r="C6" s="481" t="s">
        <v>17</v>
      </c>
      <c r="D6" s="31">
        <v>17.204819277108435</v>
      </c>
      <c r="E6" s="31">
        <f>IF(D6=0,0,F6/D6)</f>
        <v>1450.6297619047618</v>
      </c>
      <c r="F6" s="31">
        <v>24957.822891566266</v>
      </c>
      <c r="G6" s="32">
        <v>17.204819277108435</v>
      </c>
      <c r="H6" s="31">
        <f>IF(G6=0,0,I6/G6)</f>
        <v>1450.6297619047618</v>
      </c>
      <c r="I6" s="31">
        <v>24957.822891566266</v>
      </c>
      <c r="J6" s="32">
        <v>13</v>
      </c>
      <c r="K6" s="31">
        <f>IF(J6=0,0,L6/J6)</f>
        <v>2819.2123076923094</v>
      </c>
      <c r="L6" s="33">
        <v>36649.760000000024</v>
      </c>
      <c r="M6" s="32">
        <f t="shared" ref="M6:M12" si="0">J6-G6</f>
        <v>-4.2048192771084345</v>
      </c>
      <c r="N6" s="34">
        <f>L6-I6</f>
        <v>11691.937108433758</v>
      </c>
      <c r="O6" s="32">
        <v>24</v>
      </c>
      <c r="P6" s="31">
        <f>IF(O6=0,0,Q6/O6)</f>
        <v>1259.8541666666686</v>
      </c>
      <c r="Q6" s="33">
        <v>30236.500000000044</v>
      </c>
      <c r="R6" s="32">
        <f t="shared" ref="R6:R12" si="1">J6-O6</f>
        <v>-11</v>
      </c>
      <c r="S6" s="35">
        <f t="shared" ref="S6:S12" si="2">L6-Q6</f>
        <v>6413.2599999999802</v>
      </c>
      <c r="T6" s="14"/>
      <c r="U6" s="14"/>
      <c r="V6" s="479" t="s">
        <v>224</v>
      </c>
      <c r="W6" s="480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">
        <v>230</v>
      </c>
      <c r="B7" s="12" t="s">
        <v>0</v>
      </c>
      <c r="C7" s="481" t="s">
        <v>18</v>
      </c>
      <c r="D7" s="31">
        <v>59.397590361445779</v>
      </c>
      <c r="E7" s="31">
        <f t="shared" ref="E7:E12" si="3">IF(D7=0,0,F7/D7)</f>
        <v>2081.8275862068967</v>
      </c>
      <c r="F7" s="31">
        <v>123655.5421686747</v>
      </c>
      <c r="G7" s="32">
        <v>59.397590361445779</v>
      </c>
      <c r="H7" s="31">
        <f t="shared" ref="H7:H12" si="4">IF(G7=0,0,I7/G7)</f>
        <v>2081.8275862068967</v>
      </c>
      <c r="I7" s="31">
        <v>123655.5421686747</v>
      </c>
      <c r="J7" s="32">
        <v>37</v>
      </c>
      <c r="K7" s="31">
        <f t="shared" ref="K7:K12" si="5">IF(J7=0,0,L7/J7)</f>
        <v>3278.5564864864823</v>
      </c>
      <c r="L7" s="33">
        <v>121306.58999999985</v>
      </c>
      <c r="M7" s="32">
        <f t="shared" si="0"/>
        <v>-22.397590361445779</v>
      </c>
      <c r="N7" s="34">
        <f t="shared" ref="N7:N12" si="6">L7-I7</f>
        <v>-2348.9521686748485</v>
      </c>
      <c r="O7" s="32">
        <v>37</v>
      </c>
      <c r="P7" s="31">
        <f t="shared" ref="P7:P12" si="7">IF(O7=0,0,Q7/O7)</f>
        <v>2440.6305405405365</v>
      </c>
      <c r="Q7" s="33">
        <v>90303.329999999842</v>
      </c>
      <c r="R7" s="32">
        <f t="shared" si="1"/>
        <v>0</v>
      </c>
      <c r="S7" s="35">
        <f t="shared" si="2"/>
        <v>31003.260000000009</v>
      </c>
      <c r="T7" s="14"/>
      <c r="U7" s="14"/>
      <c r="V7" s="479" t="s">
        <v>225</v>
      </c>
      <c r="W7" s="480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1" thickBot="1">
      <c r="A8" t="s">
        <v>231</v>
      </c>
      <c r="B8" s="12" t="s">
        <v>0</v>
      </c>
      <c r="C8" s="481" t="s">
        <v>19</v>
      </c>
      <c r="D8" s="31">
        <v>0</v>
      </c>
      <c r="E8" s="31">
        <f t="shared" si="3"/>
        <v>0</v>
      </c>
      <c r="F8" s="31">
        <v>0</v>
      </c>
      <c r="G8" s="32">
        <v>0</v>
      </c>
      <c r="H8" s="31">
        <f t="shared" si="4"/>
        <v>0</v>
      </c>
      <c r="I8" s="31">
        <v>0</v>
      </c>
      <c r="J8" s="32">
        <v>0</v>
      </c>
      <c r="K8" s="31">
        <f t="shared" si="5"/>
        <v>0</v>
      </c>
      <c r="L8" s="33">
        <v>0</v>
      </c>
      <c r="M8" s="32">
        <f t="shared" si="0"/>
        <v>0</v>
      </c>
      <c r="N8" s="34">
        <f t="shared" si="6"/>
        <v>0</v>
      </c>
      <c r="O8" s="32">
        <v>0</v>
      </c>
      <c r="P8" s="31">
        <f t="shared" si="7"/>
        <v>0</v>
      </c>
      <c r="Q8" s="33">
        <v>0</v>
      </c>
      <c r="R8" s="32">
        <f t="shared" si="1"/>
        <v>0</v>
      </c>
      <c r="S8" s="35">
        <f t="shared" si="2"/>
        <v>0</v>
      </c>
      <c r="T8" s="14"/>
      <c r="U8" s="14"/>
      <c r="V8" s="482"/>
      <c r="W8" s="483">
        <f t="shared" ref="W8" si="8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1" thickTop="1">
      <c r="A9" t="s">
        <v>232</v>
      </c>
      <c r="B9" s="12" t="s">
        <v>0</v>
      </c>
      <c r="C9" s="481" t="s">
        <v>20</v>
      </c>
      <c r="D9" s="31">
        <v>0</v>
      </c>
      <c r="E9" s="31">
        <f t="shared" si="3"/>
        <v>0</v>
      </c>
      <c r="F9" s="31">
        <v>0</v>
      </c>
      <c r="G9" s="32">
        <v>0</v>
      </c>
      <c r="H9" s="31">
        <f t="shared" si="4"/>
        <v>0</v>
      </c>
      <c r="I9" s="31">
        <v>0</v>
      </c>
      <c r="J9" s="32">
        <v>0</v>
      </c>
      <c r="K9" s="31">
        <f t="shared" si="5"/>
        <v>0</v>
      </c>
      <c r="L9" s="33">
        <v>0</v>
      </c>
      <c r="M9" s="32">
        <f t="shared" si="0"/>
        <v>0</v>
      </c>
      <c r="N9" s="34">
        <f t="shared" si="6"/>
        <v>0</v>
      </c>
      <c r="O9" s="32">
        <v>0</v>
      </c>
      <c r="P9" s="31">
        <f t="shared" si="7"/>
        <v>0</v>
      </c>
      <c r="Q9" s="33">
        <v>0</v>
      </c>
      <c r="R9" s="32">
        <f t="shared" si="1"/>
        <v>0</v>
      </c>
      <c r="S9" s="35">
        <f t="shared" si="2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>
      <c r="A10" t="s">
        <v>233</v>
      </c>
      <c r="B10" s="12" t="s">
        <v>0</v>
      </c>
      <c r="C10" s="481" t="s">
        <v>21</v>
      </c>
      <c r="D10" s="31">
        <v>0</v>
      </c>
      <c r="E10" s="31">
        <f t="shared" si="3"/>
        <v>0</v>
      </c>
      <c r="F10" s="31">
        <v>0</v>
      </c>
      <c r="G10" s="32">
        <v>0</v>
      </c>
      <c r="H10" s="31">
        <f t="shared" si="4"/>
        <v>0</v>
      </c>
      <c r="I10" s="31">
        <v>0</v>
      </c>
      <c r="J10" s="32">
        <v>0</v>
      </c>
      <c r="K10" s="31">
        <f t="shared" si="5"/>
        <v>0</v>
      </c>
      <c r="L10" s="33">
        <v>0</v>
      </c>
      <c r="M10" s="32">
        <f t="shared" si="0"/>
        <v>0</v>
      </c>
      <c r="N10" s="34">
        <f t="shared" si="6"/>
        <v>0</v>
      </c>
      <c r="O10" s="32">
        <v>0</v>
      </c>
      <c r="P10" s="31">
        <f t="shared" si="7"/>
        <v>0</v>
      </c>
      <c r="Q10" s="33">
        <v>0</v>
      </c>
      <c r="R10" s="32">
        <f t="shared" si="1"/>
        <v>0</v>
      </c>
      <c r="S10" s="35">
        <f t="shared" si="2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>
      <c r="A11" t="s">
        <v>233</v>
      </c>
      <c r="B11" s="12" t="s">
        <v>0</v>
      </c>
      <c r="C11" s="481" t="s">
        <v>21</v>
      </c>
      <c r="D11" s="31">
        <v>0</v>
      </c>
      <c r="E11" s="31">
        <f t="shared" si="3"/>
        <v>0</v>
      </c>
      <c r="F11" s="31">
        <v>0</v>
      </c>
      <c r="G11" s="32">
        <v>0</v>
      </c>
      <c r="H11" s="31">
        <f t="shared" si="4"/>
        <v>0</v>
      </c>
      <c r="I11" s="31">
        <v>0</v>
      </c>
      <c r="J11" s="32">
        <v>0</v>
      </c>
      <c r="K11" s="31">
        <f t="shared" si="5"/>
        <v>0</v>
      </c>
      <c r="L11" s="33">
        <v>0</v>
      </c>
      <c r="M11" s="32">
        <f t="shared" si="0"/>
        <v>0</v>
      </c>
      <c r="N11" s="34">
        <f t="shared" si="6"/>
        <v>0</v>
      </c>
      <c r="O11" s="32">
        <v>0</v>
      </c>
      <c r="P11" s="31">
        <f t="shared" si="7"/>
        <v>0</v>
      </c>
      <c r="Q11" s="33">
        <v>0</v>
      </c>
      <c r="R11" s="32">
        <f t="shared" si="1"/>
        <v>0</v>
      </c>
      <c r="S11" s="35">
        <f t="shared" si="2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>
      <c r="A12" t="s">
        <v>233</v>
      </c>
      <c r="B12" s="12" t="s">
        <v>0</v>
      </c>
      <c r="C12" s="481" t="s">
        <v>21</v>
      </c>
      <c r="D12" s="31">
        <v>0</v>
      </c>
      <c r="E12" s="31">
        <f t="shared" si="3"/>
        <v>0</v>
      </c>
      <c r="F12" s="31">
        <v>0</v>
      </c>
      <c r="G12" s="32">
        <v>0</v>
      </c>
      <c r="H12" s="31">
        <f t="shared" si="4"/>
        <v>0</v>
      </c>
      <c r="I12" s="31">
        <v>0</v>
      </c>
      <c r="J12" s="32">
        <v>0</v>
      </c>
      <c r="K12" s="31">
        <f t="shared" si="5"/>
        <v>0</v>
      </c>
      <c r="L12" s="33">
        <v>0</v>
      </c>
      <c r="M12" s="32">
        <f t="shared" si="0"/>
        <v>0</v>
      </c>
      <c r="N12" s="34">
        <f t="shared" si="6"/>
        <v>0</v>
      </c>
      <c r="O12" s="32">
        <v>0</v>
      </c>
      <c r="P12" s="31">
        <f t="shared" si="7"/>
        <v>0</v>
      </c>
      <c r="Q12" s="33">
        <v>0</v>
      </c>
      <c r="R12" s="32">
        <f t="shared" si="1"/>
        <v>0</v>
      </c>
      <c r="S12" s="35">
        <f t="shared" si="2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">
        <v>234</v>
      </c>
      <c r="B13" s="12" t="s">
        <v>0</v>
      </c>
      <c r="C13" s="36" t="s">
        <v>22</v>
      </c>
      <c r="D13" s="37">
        <f>+SUM(D6:D12)</f>
        <v>76.602409638554207</v>
      </c>
      <c r="E13" s="37">
        <f>IF(D13&lt;=0,0,F13/D13)</f>
        <v>1940.0612299465242</v>
      </c>
      <c r="F13" s="38">
        <f>+SUM(F6:F12)</f>
        <v>148613.36506024096</v>
      </c>
      <c r="G13" s="39">
        <f>+SUM(G6:G12)</f>
        <v>76.602409638554207</v>
      </c>
      <c r="H13" s="37">
        <f>IF(G13&lt;=0,0,I13/G13)</f>
        <v>1940.0612299465242</v>
      </c>
      <c r="I13" s="38">
        <f>+SUM(I6:I12)</f>
        <v>148613.36506024096</v>
      </c>
      <c r="J13" s="39">
        <f>+SUM(J6:J12)</f>
        <v>50</v>
      </c>
      <c r="K13" s="37">
        <f>IF(J13&lt;=0,0,L13/J13)</f>
        <v>3159.1269999999972</v>
      </c>
      <c r="L13" s="38">
        <f>+SUM(L6:L12)</f>
        <v>157956.34999999986</v>
      </c>
      <c r="M13" s="39">
        <f>+SUM(M6:M12)</f>
        <v>-26.602409638554214</v>
      </c>
      <c r="N13" s="38">
        <f>+SUM(N6:N12)</f>
        <v>9342.9849397589096</v>
      </c>
      <c r="O13" s="39">
        <f>+SUM(O6:O12)</f>
        <v>61</v>
      </c>
      <c r="P13" s="37">
        <f>IF(O13&lt;=0,0,Q13/O13)</f>
        <v>1976.0627868852441</v>
      </c>
      <c r="Q13" s="38">
        <f>+SUM(Q6:Q12)</f>
        <v>120539.82999999989</v>
      </c>
      <c r="R13" s="39">
        <f>+SUM(R6:R12)</f>
        <v>-11</v>
      </c>
      <c r="S13" s="40">
        <f>+SUM(S6:S12)</f>
        <v>37416.51999999999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">
        <v>0</v>
      </c>
      <c r="B14" s="12" t="s">
        <v>0</v>
      </c>
      <c r="C14" s="481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>
        <f>R13/O13</f>
        <v>-0.18032786885245902</v>
      </c>
      <c r="S14" s="45">
        <f>IF(Q13=0,0,(S13/Q13))</f>
        <v>0.31040793735979239</v>
      </c>
      <c r="T14" s="14"/>
      <c r="U14" s="14"/>
      <c r="V14" s="12"/>
      <c r="W14" s="87"/>
      <c r="X14" s="87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">
        <v>235</v>
      </c>
      <c r="B15" s="12" t="s">
        <v>0</v>
      </c>
      <c r="C15" s="46" t="s">
        <v>23</v>
      </c>
      <c r="D15" s="26">
        <v>7.1686746987951802</v>
      </c>
      <c r="E15" s="26">
        <f t="shared" ref="E15" si="9">IF(D15=0,0,F15/D15)</f>
        <v>1386.1016187312014</v>
      </c>
      <c r="F15" s="23">
        <v>9936.5116041574074</v>
      </c>
      <c r="G15" s="47">
        <v>7.1686746987951802</v>
      </c>
      <c r="H15" s="48">
        <f t="shared" ref="H15" si="10">IF(G15=0,0,I15/G15)</f>
        <v>1386.1016187312014</v>
      </c>
      <c r="I15" s="49">
        <v>9936.5116041574074</v>
      </c>
      <c r="J15" s="50">
        <v>3</v>
      </c>
      <c r="K15" s="51">
        <f>IF(J15=0,0,L15/J15)</f>
        <v>2992.6000000000008</v>
      </c>
      <c r="L15" s="51">
        <v>8977.8000000000029</v>
      </c>
      <c r="M15" s="52">
        <f>J15-G15</f>
        <v>-4.1686746987951802</v>
      </c>
      <c r="N15" s="49">
        <f>L15-I15</f>
        <v>-958.71160415740451</v>
      </c>
      <c r="O15" s="50">
        <v>6</v>
      </c>
      <c r="P15" s="51">
        <f>IF(O15=0,0,Q15/O15)</f>
        <v>1260.968333333333</v>
      </c>
      <c r="Q15" s="51">
        <v>7565.8099999999977</v>
      </c>
      <c r="R15" s="52">
        <f>J15-O15</f>
        <v>-3</v>
      </c>
      <c r="S15" s="53">
        <f>L15-Q15</f>
        <v>1411.9900000000052</v>
      </c>
      <c r="T15" s="14"/>
      <c r="U15" s="14"/>
      <c r="V15" s="87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">
        <v>0</v>
      </c>
      <c r="B16" s="12" t="s">
        <v>0</v>
      </c>
      <c r="C16" s="481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">
        <v>236</v>
      </c>
      <c r="B17" s="12" t="s">
        <v>0</v>
      </c>
      <c r="C17" s="484" t="s">
        <v>24</v>
      </c>
      <c r="D17" s="31">
        <v>1.2895069532237673</v>
      </c>
      <c r="E17" s="31">
        <f t="shared" ref="E17" si="11">IF(D17=0,0,F17/D17)</f>
        <v>1938.8731623598239</v>
      </c>
      <c r="F17" s="31">
        <v>2500.1904242819473</v>
      </c>
      <c r="G17" s="32">
        <v>1.2895069532237673</v>
      </c>
      <c r="H17" s="31">
        <f t="shared" ref="H17" si="12">IF(G17=0,0,I17/G17)</f>
        <v>1938.8731623598239</v>
      </c>
      <c r="I17" s="31">
        <v>2500.1904242819473</v>
      </c>
      <c r="J17" s="52">
        <v>2</v>
      </c>
      <c r="K17" s="31">
        <f>IF(J17=0,0,L17/J17)</f>
        <v>4190.7999999999956</v>
      </c>
      <c r="L17" s="34">
        <v>8381.5999999999913</v>
      </c>
      <c r="M17" s="52">
        <f>J17-G17</f>
        <v>0.71049304677623271</v>
      </c>
      <c r="N17" s="34">
        <f>L17-I17</f>
        <v>5881.4095757180439</v>
      </c>
      <c r="O17" s="52">
        <v>0</v>
      </c>
      <c r="P17" s="31">
        <f>IF(O17=0,0,Q17/O17)</f>
        <v>0</v>
      </c>
      <c r="Q17" s="34">
        <v>-276</v>
      </c>
      <c r="R17" s="32">
        <f>J17-O17</f>
        <v>2</v>
      </c>
      <c r="S17" s="35">
        <f>L17-Q17</f>
        <v>8657.5999999999913</v>
      </c>
      <c r="T17" s="14"/>
      <c r="U17" s="14"/>
      <c r="W17" s="12"/>
      <c r="X17" s="12"/>
      <c r="Y17" s="12"/>
      <c r="Z17" s="12"/>
      <c r="AA17" s="87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">
        <v>237</v>
      </c>
      <c r="B19" s="12" t="s">
        <v>0</v>
      </c>
      <c r="C19" s="46" t="s">
        <v>25</v>
      </c>
      <c r="D19" s="31">
        <v>0</v>
      </c>
      <c r="E19" s="31">
        <f t="shared" ref="E19" si="13">IF(D19=0,0,F19/D19)</f>
        <v>0</v>
      </c>
      <c r="F19" s="31">
        <v>7013.3657999999987</v>
      </c>
      <c r="G19" s="32">
        <v>0</v>
      </c>
      <c r="H19" s="31">
        <f t="shared" ref="H19" si="14">IF(G19=0,0,I19/G19)</f>
        <v>0</v>
      </c>
      <c r="I19" s="31">
        <v>7013.3657999999987</v>
      </c>
      <c r="J19" s="47"/>
      <c r="K19" s="31"/>
      <c r="L19" s="34">
        <v>13968.330000000016</v>
      </c>
      <c r="M19" s="32"/>
      <c r="N19" s="34">
        <f>L19-I19</f>
        <v>6954.9642000000176</v>
      </c>
      <c r="O19" s="47"/>
      <c r="P19" s="31"/>
      <c r="Q19" s="34">
        <v>5617.1199999999953</v>
      </c>
      <c r="R19" s="32">
        <f>O19-K19</f>
        <v>0</v>
      </c>
      <c r="S19" s="35">
        <f>L19-Q19</f>
        <v>8351.210000000021</v>
      </c>
      <c r="T19" s="14"/>
      <c r="W19" s="87"/>
      <c r="X19" s="485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W20" s="87"/>
      <c r="X20" s="485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">
        <v>238</v>
      </c>
      <c r="B21" s="12" t="s">
        <v>0</v>
      </c>
      <c r="C21" s="481" t="s">
        <v>26</v>
      </c>
      <c r="D21" s="31">
        <v>0</v>
      </c>
      <c r="E21" s="31">
        <f t="shared" ref="E21:E23" si="15">IF(D21=0,0,F21/D21)</f>
        <v>0</v>
      </c>
      <c r="F21" s="31">
        <v>2506.7460635012335</v>
      </c>
      <c r="G21" s="42">
        <v>0</v>
      </c>
      <c r="H21" s="31">
        <f t="shared" ref="H21:H23" si="16">IF(G21=0,0,I21/G21)</f>
        <v>0</v>
      </c>
      <c r="I21" s="31">
        <v>2506.7460635012335</v>
      </c>
      <c r="J21" s="32"/>
      <c r="K21" s="31">
        <f>IF(J13=0,0,L21/(J13+J15))</f>
        <v>208.71698113207546</v>
      </c>
      <c r="L21" s="34">
        <v>11062</v>
      </c>
      <c r="M21" s="32"/>
      <c r="N21" s="34">
        <f t="shared" ref="N21:N24" si="17">L21-I21</f>
        <v>8555.2539364987661</v>
      </c>
      <c r="O21" s="32"/>
      <c r="P21" s="31">
        <f>IF(O13=0,0,Q21/(O13+O15))</f>
        <v>1.4925373134328359</v>
      </c>
      <c r="Q21" s="34">
        <v>100</v>
      </c>
      <c r="R21" s="32">
        <f t="shared" ref="R21:R23" si="18">O21-K21</f>
        <v>-208.71698113207546</v>
      </c>
      <c r="S21" s="35">
        <f t="shared" ref="S21:S24" si="19">L21-Q21</f>
        <v>10962</v>
      </c>
      <c r="T21" s="14"/>
      <c r="U21" s="14"/>
      <c r="W21" s="12"/>
      <c r="X21" s="486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">
        <v>239</v>
      </c>
      <c r="B22" s="12" t="s">
        <v>0</v>
      </c>
      <c r="C22" s="481" t="s">
        <v>27</v>
      </c>
      <c r="D22" s="31">
        <v>0</v>
      </c>
      <c r="E22" s="31">
        <f t="shared" si="15"/>
        <v>0</v>
      </c>
      <c r="F22" s="31">
        <v>67039.434388907874</v>
      </c>
      <c r="G22" s="42">
        <v>0</v>
      </c>
      <c r="H22" s="31">
        <f t="shared" si="16"/>
        <v>0</v>
      </c>
      <c r="I22" s="31">
        <v>67039.434388907874</v>
      </c>
      <c r="J22" s="32"/>
      <c r="K22" s="31">
        <f>IF(J13=0,0,L22/(J13+J15))</f>
        <v>1043.6471698113207</v>
      </c>
      <c r="L22" s="34">
        <v>55313.3</v>
      </c>
      <c r="M22" s="32"/>
      <c r="N22" s="34">
        <f t="shared" si="17"/>
        <v>-11726.134388907871</v>
      </c>
      <c r="O22" s="32"/>
      <c r="P22" s="31">
        <f>IF(O13=0,0,Q22/(O13+O15))</f>
        <v>822.70940298507458</v>
      </c>
      <c r="Q22" s="34">
        <v>55121.53</v>
      </c>
      <c r="R22" s="32">
        <f t="shared" si="18"/>
        <v>-1043.6471698113207</v>
      </c>
      <c r="S22" s="35">
        <f t="shared" si="19"/>
        <v>191.77000000000407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">
        <v>240</v>
      </c>
      <c r="B23" s="12" t="s">
        <v>0</v>
      </c>
      <c r="C23" s="481" t="s">
        <v>28</v>
      </c>
      <c r="D23" s="31">
        <v>0</v>
      </c>
      <c r="E23" s="31">
        <f t="shared" si="15"/>
        <v>0</v>
      </c>
      <c r="F23" s="31">
        <v>1659.2412343378699</v>
      </c>
      <c r="G23" s="42">
        <v>0</v>
      </c>
      <c r="H23" s="31">
        <f t="shared" si="16"/>
        <v>0</v>
      </c>
      <c r="I23" s="31">
        <v>1659.2412343378699</v>
      </c>
      <c r="J23" s="32"/>
      <c r="K23" s="31">
        <f>IF(J13=0,0,L23/(J13+J15))</f>
        <v>26.998867924528302</v>
      </c>
      <c r="L23" s="34">
        <v>1430.94</v>
      </c>
      <c r="M23" s="52"/>
      <c r="N23" s="34">
        <f t="shared" si="17"/>
        <v>-228.3012343378698</v>
      </c>
      <c r="O23" s="32"/>
      <c r="P23" s="31">
        <f>IF(O13=0,0,Q23/(O13+O15))</f>
        <v>26.582985074626865</v>
      </c>
      <c r="Q23" s="34">
        <v>1781.06</v>
      </c>
      <c r="R23" s="32">
        <f t="shared" si="18"/>
        <v>-26.998867924528302</v>
      </c>
      <c r="S23" s="35">
        <f t="shared" si="19"/>
        <v>-350.11999999999989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">
        <v>241</v>
      </c>
      <c r="B24" s="12" t="s">
        <v>0</v>
      </c>
      <c r="C24" s="36" t="s">
        <v>29</v>
      </c>
      <c r="D24" s="37">
        <f>+D15+D13</f>
        <v>83.771084337349393</v>
      </c>
      <c r="E24" s="37">
        <f>IF(D24&lt;=0,0,F24/D24)</f>
        <v>850</v>
      </c>
      <c r="F24" s="38">
        <f>F21+F22+F23</f>
        <v>71205.42168674698</v>
      </c>
      <c r="G24" s="39">
        <f>+G15+G13</f>
        <v>83.771084337349393</v>
      </c>
      <c r="H24" s="37">
        <f>IF(G24&lt;=0,0,I24/G24)</f>
        <v>850</v>
      </c>
      <c r="I24" s="38">
        <f>I21+I22+I23</f>
        <v>71205.42168674698</v>
      </c>
      <c r="J24" s="39">
        <f>+J15+J13</f>
        <v>53</v>
      </c>
      <c r="K24" s="37">
        <f>IF(J24&lt;=0,0,L24/J24)</f>
        <v>1279.3630188679247</v>
      </c>
      <c r="L24" s="38">
        <f>L21+L22+L23</f>
        <v>67806.240000000005</v>
      </c>
      <c r="M24" s="59">
        <f>J24-G24</f>
        <v>-30.771084337349393</v>
      </c>
      <c r="N24" s="38">
        <f t="shared" si="17"/>
        <v>-3399.1816867469752</v>
      </c>
      <c r="O24" s="39">
        <f>+O15+O13</f>
        <v>67</v>
      </c>
      <c r="P24" s="37">
        <f>IF(O24&lt;=0,0,Q24/O24)</f>
        <v>850.78492537313423</v>
      </c>
      <c r="Q24" s="38">
        <f>Q21+Q22+Q23</f>
        <v>57002.59</v>
      </c>
      <c r="R24" s="57"/>
      <c r="S24" s="40">
        <f t="shared" si="19"/>
        <v>10803.650000000009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">
        <v>0</v>
      </c>
      <c r="B25" s="12" t="s">
        <v>0</v>
      </c>
      <c r="C25" s="481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-4.7737680730281298E-2</v>
      </c>
      <c r="O25" s="42"/>
      <c r="P25" s="14"/>
      <c r="Q25" s="60"/>
      <c r="R25" s="61"/>
      <c r="S25" s="45">
        <f>IF(Q24=0,0,(S24/Q24))</f>
        <v>0.18952910736161302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">
        <v>0</v>
      </c>
      <c r="B26" s="12" t="s">
        <v>0</v>
      </c>
      <c r="C26" s="481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">
        <v>242</v>
      </c>
      <c r="B27" s="12" t="s">
        <v>0</v>
      </c>
      <c r="C27" s="63" t="s">
        <v>30</v>
      </c>
      <c r="D27" s="64">
        <f>+D13+D15+D17</f>
        <v>85.060591290573157</v>
      </c>
      <c r="E27" s="65">
        <f>IF(D27&lt;=0,0,F27/D27)</f>
        <v>2812.9225408046782</v>
      </c>
      <c r="F27" s="66">
        <f>F13+F17+F24+F19+F15</f>
        <v>239268.85457542731</v>
      </c>
      <c r="G27" s="67">
        <f>+G13+G15+G17</f>
        <v>85.060591290573157</v>
      </c>
      <c r="H27" s="65">
        <f>IF(G27&lt;=0,0,I27/G27)</f>
        <v>2812.9225408046782</v>
      </c>
      <c r="I27" s="66">
        <f>I13+I17+I24+I19+I15</f>
        <v>239268.85457542731</v>
      </c>
      <c r="J27" s="67">
        <f>+J13+J15+J17</f>
        <v>55</v>
      </c>
      <c r="K27" s="65">
        <f>IF(J27&lt;=0,0,L27/J27)</f>
        <v>4674.3694545454518</v>
      </c>
      <c r="L27" s="66">
        <f>L13+L17+L24+L19+L15</f>
        <v>257090.31999999983</v>
      </c>
      <c r="M27" s="67">
        <f>J27-G27</f>
        <v>-30.060591290573157</v>
      </c>
      <c r="N27" s="66">
        <f>L27-I27</f>
        <v>17821.465424572525</v>
      </c>
      <c r="O27" s="67">
        <f>+O13+O15+O17</f>
        <v>67</v>
      </c>
      <c r="P27" s="65">
        <f>IF(O27&lt;=0,0,Q27/O27)</f>
        <v>2842.5276119402965</v>
      </c>
      <c r="Q27" s="66">
        <f>Q13+Q17+Q24+Q19+Q15</f>
        <v>190449.34999999986</v>
      </c>
      <c r="R27" s="67">
        <f>J27-O27</f>
        <v>-12</v>
      </c>
      <c r="S27" s="69">
        <f>L27-Q27</f>
        <v>66640.969999999972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-0.3534020964877142</v>
      </c>
      <c r="N28" s="75">
        <f>N27/I27</f>
        <v>7.4483013914184437E-2</v>
      </c>
      <c r="O28" s="73"/>
      <c r="P28" s="71"/>
      <c r="Q28" s="72"/>
      <c r="R28" s="74">
        <f>R27/O27</f>
        <v>-0.17910447761194029</v>
      </c>
      <c r="S28" s="76">
        <f>IF(Q27=0,0,S27/Q27)</f>
        <v>0.34991439981286376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">
        <v>0</v>
      </c>
      <c r="B29" s="12" t="s">
        <v>0</v>
      </c>
      <c r="C29" s="48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">
        <v>243</v>
      </c>
      <c r="B30" s="12" t="s">
        <v>0</v>
      </c>
      <c r="C30" s="487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">
        <v>244</v>
      </c>
      <c r="B31" s="12" t="s">
        <v>0</v>
      </c>
      <c r="C31" s="481" t="s">
        <v>32</v>
      </c>
      <c r="D31" s="468">
        <f>F31/(F15+F13+F17)</f>
        <v>0.31276627582911048</v>
      </c>
      <c r="E31" s="83">
        <f t="shared" ref="E31:E40" si="20">F31/D$24</f>
        <v>601.29375313454045</v>
      </c>
      <c r="F31" s="31">
        <v>50371.029705354937</v>
      </c>
      <c r="G31" s="149">
        <f>I31/(I15+I13)</f>
        <v>0.3176983215948822</v>
      </c>
      <c r="H31" s="83">
        <f t="shared" ref="H31:H40" si="21">I31/G$24</f>
        <v>601.29375313454045</v>
      </c>
      <c r="I31" s="31">
        <v>50371.029705354937</v>
      </c>
      <c r="J31" s="149">
        <f>L31/(L15+L13+L17)</f>
        <v>0.32276575264914908</v>
      </c>
      <c r="K31" s="83">
        <f t="shared" ref="K31:K40" si="22">IF(L31=0,0,L31/J$24)</f>
        <v>1067.6588679245283</v>
      </c>
      <c r="L31" s="31">
        <v>56585.919999999998</v>
      </c>
      <c r="M31" s="42"/>
      <c r="N31" s="60">
        <f t="shared" ref="N31:N53" si="23">L31-I31</f>
        <v>6214.8902946450617</v>
      </c>
      <c r="O31" s="42"/>
      <c r="P31" s="83">
        <f t="shared" ref="P31:P40" si="24">IF(Q31=0,0,Q31/O$24)</f>
        <v>569.6483582089553</v>
      </c>
      <c r="Q31" s="34">
        <v>38166.44</v>
      </c>
      <c r="R31" s="42"/>
      <c r="S31" s="86">
        <f t="shared" ref="S31:S53" si="25">L31-Q31</f>
        <v>18419.479999999996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">
        <v>245</v>
      </c>
      <c r="B32" s="12" t="s">
        <v>0</v>
      </c>
      <c r="C32" s="88" t="s">
        <v>33</v>
      </c>
      <c r="D32" s="469">
        <f>F32/F24</f>
        <v>0.3</v>
      </c>
      <c r="E32" s="90">
        <f t="shared" si="20"/>
        <v>255</v>
      </c>
      <c r="F32" s="23">
        <v>21361.626506024095</v>
      </c>
      <c r="G32" s="93">
        <f>I32/I24</f>
        <v>0.3</v>
      </c>
      <c r="H32" s="92">
        <f t="shared" si="21"/>
        <v>255</v>
      </c>
      <c r="I32" s="23">
        <v>21361.626506024095</v>
      </c>
      <c r="J32" s="488">
        <f>L32/L24</f>
        <v>0.33139560606811402</v>
      </c>
      <c r="K32" s="90">
        <f t="shared" si="22"/>
        <v>423.97528301886791</v>
      </c>
      <c r="L32" s="23">
        <v>22470.69</v>
      </c>
      <c r="M32" s="24"/>
      <c r="N32" s="94">
        <f t="shared" si="23"/>
        <v>1109.0634939759038</v>
      </c>
      <c r="O32" s="24"/>
      <c r="P32" s="90">
        <f t="shared" si="24"/>
        <v>260.54999999999995</v>
      </c>
      <c r="Q32" s="23">
        <v>17456.849999999999</v>
      </c>
      <c r="R32" s="24"/>
      <c r="S32" s="95">
        <f t="shared" si="25"/>
        <v>5013.84</v>
      </c>
      <c r="T32" s="14"/>
      <c r="U32" s="489">
        <f>(L32+L112)/(L104+L24+L19)</f>
        <v>0.2692438631576915</v>
      </c>
      <c r="V32" s="465" t="s">
        <v>488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">
        <v>246</v>
      </c>
      <c r="B33" s="12" t="s">
        <v>0</v>
      </c>
      <c r="C33" s="481" t="s">
        <v>34</v>
      </c>
      <c r="D33" s="82"/>
      <c r="E33" s="83">
        <f t="shared" si="20"/>
        <v>167.84930226439232</v>
      </c>
      <c r="F33" s="31">
        <v>14060.918055955659</v>
      </c>
      <c r="G33" s="84"/>
      <c r="H33" s="83">
        <f t="shared" si="21"/>
        <v>167.84930226439232</v>
      </c>
      <c r="I33" s="31">
        <v>14060.918055955659</v>
      </c>
      <c r="J33" s="42"/>
      <c r="K33" s="83">
        <f t="shared" si="22"/>
        <v>145.8677358490566</v>
      </c>
      <c r="L33" s="31">
        <v>7730.99</v>
      </c>
      <c r="M33" s="42"/>
      <c r="N33" s="60">
        <f t="shared" si="23"/>
        <v>-6329.9280559556591</v>
      </c>
      <c r="O33" s="42"/>
      <c r="P33" s="83">
        <f t="shared" si="24"/>
        <v>252.36746268656714</v>
      </c>
      <c r="Q33" s="34">
        <v>16908.62</v>
      </c>
      <c r="R33" s="42"/>
      <c r="S33" s="86">
        <f t="shared" si="25"/>
        <v>-9177.6299999999992</v>
      </c>
      <c r="T33" s="14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">
        <v>247</v>
      </c>
      <c r="B34" s="12" t="s">
        <v>0</v>
      </c>
      <c r="C34" s="481" t="s">
        <v>35</v>
      </c>
      <c r="D34" s="82"/>
      <c r="E34" s="83">
        <f t="shared" si="20"/>
        <v>7.3548076275245799</v>
      </c>
      <c r="F34" s="31">
        <v>616.12021005034217</v>
      </c>
      <c r="G34" s="84"/>
      <c r="H34" s="83">
        <f t="shared" si="21"/>
        <v>7.3548076275245799</v>
      </c>
      <c r="I34" s="31">
        <v>616.12021005034217</v>
      </c>
      <c r="J34" s="42"/>
      <c r="K34" s="83">
        <f t="shared" si="22"/>
        <v>3.5922641509433961</v>
      </c>
      <c r="L34" s="31">
        <v>190.39</v>
      </c>
      <c r="M34" s="42"/>
      <c r="N34" s="60">
        <f t="shared" si="23"/>
        <v>-425.73021005034218</v>
      </c>
      <c r="O34" s="42"/>
      <c r="P34" s="83">
        <f t="shared" si="24"/>
        <v>6.6438805970149248</v>
      </c>
      <c r="Q34" s="34">
        <v>445.14</v>
      </c>
      <c r="R34" s="42"/>
      <c r="S34" s="86">
        <f t="shared" si="25"/>
        <v>-254.75</v>
      </c>
      <c r="T34" s="14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">
        <v>248</v>
      </c>
      <c r="B35" s="12" t="s">
        <v>0</v>
      </c>
      <c r="C35" s="88" t="s">
        <v>36</v>
      </c>
      <c r="D35" s="89"/>
      <c r="E35" s="90">
        <f t="shared" si="20"/>
        <v>17.733118212476487</v>
      </c>
      <c r="F35" s="23">
        <v>1485.5225413415542</v>
      </c>
      <c r="G35" s="91"/>
      <c r="H35" s="92">
        <f t="shared" si="21"/>
        <v>17.733118212476487</v>
      </c>
      <c r="I35" s="23">
        <v>1485.5225413415542</v>
      </c>
      <c r="J35" s="24"/>
      <c r="K35" s="90">
        <f t="shared" si="22"/>
        <v>176.23962264150944</v>
      </c>
      <c r="L35" s="23">
        <v>9340.7000000000007</v>
      </c>
      <c r="M35" s="24"/>
      <c r="N35" s="94">
        <f t="shared" si="23"/>
        <v>7855.177458658447</v>
      </c>
      <c r="O35" s="24"/>
      <c r="P35" s="90">
        <f t="shared" si="24"/>
        <v>2.6119402985074629</v>
      </c>
      <c r="Q35" s="34">
        <v>175</v>
      </c>
      <c r="R35" s="24"/>
      <c r="S35" s="95">
        <f t="shared" si="25"/>
        <v>9165.7000000000007</v>
      </c>
      <c r="T35" s="14"/>
      <c r="U35" s="490" t="s">
        <v>495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">
        <v>249</v>
      </c>
      <c r="B36" s="12" t="s">
        <v>0</v>
      </c>
      <c r="C36" s="481" t="s">
        <v>37</v>
      </c>
      <c r="D36" s="82"/>
      <c r="E36" s="83">
        <f t="shared" si="20"/>
        <v>195.93765281173592</v>
      </c>
      <c r="F36" s="31">
        <v>16413.909638554214</v>
      </c>
      <c r="G36" s="84"/>
      <c r="H36" s="83">
        <f t="shared" si="21"/>
        <v>195.93765281173592</v>
      </c>
      <c r="I36" s="31">
        <v>16413.909638554214</v>
      </c>
      <c r="J36" s="42"/>
      <c r="K36" s="83">
        <f t="shared" si="22"/>
        <v>185.94773584905658</v>
      </c>
      <c r="L36" s="491">
        <v>9855.23</v>
      </c>
      <c r="M36" s="14"/>
      <c r="N36" s="60">
        <f t="shared" si="23"/>
        <v>-6558.6796385542148</v>
      </c>
      <c r="O36" s="42"/>
      <c r="P36" s="83">
        <f t="shared" si="24"/>
        <v>153.44895522388063</v>
      </c>
      <c r="Q36" s="56">
        <v>10281.080000000002</v>
      </c>
      <c r="R36" s="42"/>
      <c r="S36" s="86">
        <f t="shared" si="25"/>
        <v>-425.85000000000218</v>
      </c>
      <c r="T36" s="14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">
        <v>250</v>
      </c>
      <c r="B37" s="12" t="s">
        <v>0</v>
      </c>
      <c r="C37" s="481" t="s">
        <v>38</v>
      </c>
      <c r="D37" s="82"/>
      <c r="E37" s="83">
        <f t="shared" si="20"/>
        <v>86.22482588607167</v>
      </c>
      <c r="F37" s="31">
        <v>7223.1471612753776</v>
      </c>
      <c r="G37" s="84"/>
      <c r="H37" s="83">
        <f t="shared" si="21"/>
        <v>86.22482588607167</v>
      </c>
      <c r="I37" s="31">
        <v>7223.1471612753776</v>
      </c>
      <c r="J37" s="42"/>
      <c r="K37" s="83">
        <f t="shared" si="22"/>
        <v>21.345283018867924</v>
      </c>
      <c r="L37" s="492">
        <v>1131.3</v>
      </c>
      <c r="M37" s="14"/>
      <c r="N37" s="60">
        <f t="shared" si="23"/>
        <v>-6091.8471612753774</v>
      </c>
      <c r="O37" s="42"/>
      <c r="P37" s="83">
        <f t="shared" si="24"/>
        <v>159.04104477611941</v>
      </c>
      <c r="Q37" s="34">
        <v>10655.75</v>
      </c>
      <c r="R37" s="42"/>
      <c r="S37" s="86">
        <f t="shared" si="25"/>
        <v>-9524.4500000000007</v>
      </c>
      <c r="T37" s="14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">
        <v>233</v>
      </c>
      <c r="B38" s="12" t="s">
        <v>0</v>
      </c>
      <c r="C38" s="481" t="s">
        <v>21</v>
      </c>
      <c r="D38" s="82"/>
      <c r="E38" s="83">
        <f t="shared" si="20"/>
        <v>0</v>
      </c>
      <c r="F38" s="31">
        <v>0</v>
      </c>
      <c r="G38" s="84"/>
      <c r="H38" s="83">
        <f t="shared" si="21"/>
        <v>0</v>
      </c>
      <c r="I38" s="31">
        <v>0</v>
      </c>
      <c r="J38" s="42"/>
      <c r="K38" s="83">
        <f t="shared" si="22"/>
        <v>0</v>
      </c>
      <c r="L38" s="492"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">
        <v>233</v>
      </c>
      <c r="B39" s="12" t="s">
        <v>0</v>
      </c>
      <c r="C39" s="481" t="s">
        <v>21</v>
      </c>
      <c r="D39" s="82"/>
      <c r="E39" s="83">
        <f t="shared" si="20"/>
        <v>0</v>
      </c>
      <c r="F39" s="31">
        <v>0</v>
      </c>
      <c r="G39" s="84"/>
      <c r="H39" s="83">
        <f t="shared" si="21"/>
        <v>0</v>
      </c>
      <c r="I39" s="31">
        <v>0</v>
      </c>
      <c r="J39" s="42"/>
      <c r="K39" s="83">
        <f t="shared" si="22"/>
        <v>0</v>
      </c>
      <c r="L39" s="492"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">
        <v>233</v>
      </c>
      <c r="B40" s="12" t="s">
        <v>0</v>
      </c>
      <c r="C40" s="481" t="s">
        <v>21</v>
      </c>
      <c r="D40" s="82"/>
      <c r="E40" s="83">
        <f t="shared" si="20"/>
        <v>0</v>
      </c>
      <c r="F40" s="31">
        <v>0</v>
      </c>
      <c r="G40" s="84"/>
      <c r="H40" s="83">
        <f t="shared" si="21"/>
        <v>0</v>
      </c>
      <c r="I40" s="31">
        <v>0</v>
      </c>
      <c r="J40" s="42"/>
      <c r="K40" s="83">
        <f t="shared" si="22"/>
        <v>0</v>
      </c>
      <c r="L40" s="493"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">
        <v>251</v>
      </c>
      <c r="B41" s="12" t="s">
        <v>0</v>
      </c>
      <c r="C41" s="96" t="s">
        <v>39</v>
      </c>
      <c r="D41" s="97" t="s">
        <v>40</v>
      </c>
      <c r="E41" s="98">
        <f>F41/F$27</f>
        <v>0.46613786828405057</v>
      </c>
      <c r="F41" s="99">
        <f>SUM(F31:F40)</f>
        <v>111532.27381855619</v>
      </c>
      <c r="G41" s="100" t="s">
        <v>40</v>
      </c>
      <c r="H41" s="98">
        <f>I41/I$27</f>
        <v>0.46613786828405057</v>
      </c>
      <c r="I41" s="99">
        <f>SUM(I31:I40)</f>
        <v>111532.27381855619</v>
      </c>
      <c r="J41" s="100" t="s">
        <v>40</v>
      </c>
      <c r="K41" s="98">
        <f>L41/L$27</f>
        <v>0.41738335383455927</v>
      </c>
      <c r="L41" s="99">
        <f>SUM(L31:L40)</f>
        <v>107305.22</v>
      </c>
      <c r="M41" s="101"/>
      <c r="N41" s="99">
        <f t="shared" si="23"/>
        <v>-4227.0538185561891</v>
      </c>
      <c r="O41" s="100" t="s">
        <v>40</v>
      </c>
      <c r="P41" s="98">
        <f>Q41/Q$27</f>
        <v>0.49403623588108897</v>
      </c>
      <c r="Q41" s="102">
        <f>SUM(Q31:Q40)</f>
        <v>94088.88</v>
      </c>
      <c r="R41" s="103"/>
      <c r="S41" s="104">
        <f t="shared" si="25"/>
        <v>13216.339999999997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">
        <v>252</v>
      </c>
      <c r="B42" s="12" t="s">
        <v>0</v>
      </c>
      <c r="C42" s="494" t="s">
        <v>42</v>
      </c>
      <c r="D42" s="14"/>
      <c r="E42" s="14"/>
      <c r="F42" s="31">
        <v>15886.260919540229</v>
      </c>
      <c r="G42" s="42"/>
      <c r="H42" s="14"/>
      <c r="I42" s="31">
        <v>15886.260919540229</v>
      </c>
      <c r="J42" s="42"/>
      <c r="K42" s="14"/>
      <c r="L42" s="34">
        <v>15898.03</v>
      </c>
      <c r="M42" s="42"/>
      <c r="N42" s="60">
        <f t="shared" si="23"/>
        <v>11.76908045977143</v>
      </c>
      <c r="O42" s="42"/>
      <c r="P42" s="14"/>
      <c r="Q42" s="34">
        <v>13797.04</v>
      </c>
      <c r="R42" s="42"/>
      <c r="S42" s="86">
        <f t="shared" si="25"/>
        <v>2100.9899999999998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">
        <v>253</v>
      </c>
      <c r="B43" s="12" t="s">
        <v>0</v>
      </c>
      <c r="C43" s="106" t="s">
        <v>43</v>
      </c>
      <c r="D43" s="82"/>
      <c r="E43" s="14"/>
      <c r="F43" s="23">
        <v>9822.0277770344837</v>
      </c>
      <c r="G43" s="84"/>
      <c r="H43" s="14"/>
      <c r="I43" s="23">
        <v>9822.0277770344837</v>
      </c>
      <c r="J43" s="42"/>
      <c r="K43" s="14"/>
      <c r="L43" s="34">
        <v>7132.73</v>
      </c>
      <c r="M43" s="42"/>
      <c r="N43" s="60">
        <f t="shared" si="23"/>
        <v>-2689.2977770344842</v>
      </c>
      <c r="O43" s="42"/>
      <c r="P43" s="14"/>
      <c r="Q43" s="34">
        <v>8972.99</v>
      </c>
      <c r="R43" s="42"/>
      <c r="S43" s="86">
        <f t="shared" si="25"/>
        <v>-1840.2600000000002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">
        <v>254</v>
      </c>
      <c r="B44" s="12" t="s">
        <v>0</v>
      </c>
      <c r="C44" s="494" t="s">
        <v>44</v>
      </c>
      <c r="D44" s="107"/>
      <c r="E44" s="108"/>
      <c r="F44" s="31">
        <v>8921.4021694406129</v>
      </c>
      <c r="G44" s="109"/>
      <c r="H44" s="108"/>
      <c r="I44" s="31">
        <v>8921.4021694406129</v>
      </c>
      <c r="J44" s="110"/>
      <c r="K44" s="108"/>
      <c r="L44" s="111">
        <v>3509.01</v>
      </c>
      <c r="M44" s="110"/>
      <c r="N44" s="112">
        <f t="shared" si="23"/>
        <v>-5412.3921694406126</v>
      </c>
      <c r="O44" s="110"/>
      <c r="P44" s="108"/>
      <c r="Q44" s="111">
        <v>9321.31</v>
      </c>
      <c r="R44" s="110"/>
      <c r="S44" s="113">
        <f t="shared" si="25"/>
        <v>-5812.2999999999993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">
        <v>255</v>
      </c>
      <c r="B45" s="12" t="s">
        <v>0</v>
      </c>
      <c r="C45" s="494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f t="shared" si="23"/>
        <v>0</v>
      </c>
      <c r="O45" s="42"/>
      <c r="P45" s="14"/>
      <c r="Q45" s="34">
        <v>0</v>
      </c>
      <c r="R45" s="42"/>
      <c r="S45" s="86">
        <f t="shared" si="25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">
        <v>233</v>
      </c>
      <c r="B46" s="12" t="s">
        <v>0</v>
      </c>
      <c r="C46" s="494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f t="shared" si="23"/>
        <v>0</v>
      </c>
      <c r="O46" s="42"/>
      <c r="P46" s="14"/>
      <c r="Q46" s="34">
        <v>0</v>
      </c>
      <c r="R46" s="42"/>
      <c r="S46" s="86">
        <f t="shared" si="25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">
        <v>233</v>
      </c>
      <c r="B47" s="12" t="s">
        <v>0</v>
      </c>
      <c r="C47" s="494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f t="shared" si="23"/>
        <v>0</v>
      </c>
      <c r="O47" s="42"/>
      <c r="P47" s="14"/>
      <c r="Q47" s="34">
        <v>0</v>
      </c>
      <c r="R47" s="42"/>
      <c r="S47" s="86">
        <f t="shared" si="25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">
        <v>233</v>
      </c>
      <c r="B48" s="12" t="s">
        <v>0</v>
      </c>
      <c r="C48" s="494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f t="shared" si="23"/>
        <v>0</v>
      </c>
      <c r="O48" s="42"/>
      <c r="P48" s="14"/>
      <c r="Q48" s="34">
        <v>0</v>
      </c>
      <c r="R48" s="42"/>
      <c r="S48" s="86">
        <f t="shared" si="25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">
        <v>256</v>
      </c>
      <c r="B49" s="12" t="s">
        <v>0</v>
      </c>
      <c r="C49" s="106" t="s">
        <v>46</v>
      </c>
      <c r="D49" s="82"/>
      <c r="E49" s="14"/>
      <c r="F49" s="23">
        <v>12907.843334888759</v>
      </c>
      <c r="G49" s="84"/>
      <c r="H49" s="14"/>
      <c r="I49" s="23">
        <v>12907.843334888759</v>
      </c>
      <c r="J49" s="42"/>
      <c r="K49" s="14"/>
      <c r="L49" s="23">
        <v>20543.52</v>
      </c>
      <c r="M49" s="42"/>
      <c r="N49" s="60">
        <f t="shared" si="23"/>
        <v>7635.6766651112412</v>
      </c>
      <c r="O49" s="42"/>
      <c r="P49" s="14"/>
      <c r="Q49" s="23">
        <v>15413.12</v>
      </c>
      <c r="R49" s="42"/>
      <c r="S49" s="86">
        <f t="shared" si="25"/>
        <v>5130.3999999999996</v>
      </c>
      <c r="T49" s="14"/>
      <c r="U49" s="14"/>
      <c r="V49" s="14"/>
      <c r="W49" s="14"/>
      <c r="X49" s="250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">
        <v>257</v>
      </c>
      <c r="B50" s="12" t="s">
        <v>0</v>
      </c>
      <c r="C50" s="494" t="s">
        <v>47</v>
      </c>
      <c r="D50" s="107"/>
      <c r="E50" s="108"/>
      <c r="F50" s="31">
        <v>11560.296834286222</v>
      </c>
      <c r="G50" s="109"/>
      <c r="H50" s="108"/>
      <c r="I50" s="31">
        <v>11560.296834286222</v>
      </c>
      <c r="J50" s="110"/>
      <c r="K50" s="108"/>
      <c r="L50" s="34">
        <v>17936.939999999999</v>
      </c>
      <c r="M50" s="110"/>
      <c r="N50" s="112">
        <f t="shared" si="23"/>
        <v>6376.6431657137764</v>
      </c>
      <c r="O50" s="110"/>
      <c r="P50" s="108"/>
      <c r="Q50" s="34">
        <v>11115.9</v>
      </c>
      <c r="R50" s="110"/>
      <c r="S50" s="113">
        <f t="shared" si="25"/>
        <v>6821.0399999999991</v>
      </c>
      <c r="T50" s="14"/>
      <c r="U50" s="14"/>
      <c r="V50" s="14"/>
      <c r="W50" s="14"/>
      <c r="X50" s="250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">
        <v>258</v>
      </c>
      <c r="B51" s="12" t="s">
        <v>0</v>
      </c>
      <c r="C51" s="494" t="s">
        <v>48</v>
      </c>
      <c r="D51" s="82"/>
      <c r="E51" s="14"/>
      <c r="F51" s="31">
        <v>9180.2357213449432</v>
      </c>
      <c r="G51" s="84"/>
      <c r="H51" s="14"/>
      <c r="I51" s="31">
        <v>9180.2357213449432</v>
      </c>
      <c r="J51" s="42"/>
      <c r="K51" s="14"/>
      <c r="L51" s="34">
        <v>7345.74</v>
      </c>
      <c r="M51" s="42"/>
      <c r="N51" s="60">
        <f t="shared" si="23"/>
        <v>-1834.4957213449434</v>
      </c>
      <c r="O51" s="42"/>
      <c r="P51" s="14"/>
      <c r="Q51" s="34">
        <v>7966.39</v>
      </c>
      <c r="R51" s="42"/>
      <c r="S51" s="86">
        <f t="shared" si="25"/>
        <v>-620.65000000000055</v>
      </c>
      <c r="T51" s="14"/>
      <c r="U51" s="14"/>
      <c r="V51" s="14"/>
      <c r="W51" s="14"/>
      <c r="X51" s="250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">
        <v>259</v>
      </c>
      <c r="B52" s="12" t="s">
        <v>0</v>
      </c>
      <c r="C52" s="494" t="s">
        <v>49</v>
      </c>
      <c r="D52" s="82"/>
      <c r="E52" s="14"/>
      <c r="F52" s="31">
        <v>3740.0960346220136</v>
      </c>
      <c r="G52" s="84"/>
      <c r="H52" s="14"/>
      <c r="I52" s="31">
        <v>3740.0960346220136</v>
      </c>
      <c r="J52" s="42"/>
      <c r="K52" s="14"/>
      <c r="L52" s="34">
        <v>5097.38</v>
      </c>
      <c r="M52" s="42"/>
      <c r="N52" s="60">
        <f t="shared" si="23"/>
        <v>1357.2839653779865</v>
      </c>
      <c r="O52" s="42"/>
      <c r="P52" s="14"/>
      <c r="Q52" s="34">
        <v>1852.65</v>
      </c>
      <c r="R52" s="42"/>
      <c r="S52" s="86">
        <f t="shared" si="25"/>
        <v>3244.73</v>
      </c>
      <c r="T52" s="14"/>
      <c r="U52" s="14"/>
      <c r="V52" s="14"/>
      <c r="W52" s="14"/>
      <c r="X52" s="250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">
        <v>233</v>
      </c>
      <c r="B53" s="12" t="s">
        <v>0</v>
      </c>
      <c r="C53" s="481" t="s">
        <v>21</v>
      </c>
      <c r="D53" s="89"/>
      <c r="E53" s="114"/>
      <c r="F53" s="31">
        <v>0</v>
      </c>
      <c r="G53" s="91"/>
      <c r="H53" s="114"/>
      <c r="I53" s="31">
        <v>0</v>
      </c>
      <c r="J53" s="24"/>
      <c r="K53" s="114"/>
      <c r="L53" s="34">
        <v>0</v>
      </c>
      <c r="M53" s="24"/>
      <c r="N53" s="94">
        <f t="shared" si="23"/>
        <v>0</v>
      </c>
      <c r="O53" s="24"/>
      <c r="P53" s="114"/>
      <c r="Q53" s="34">
        <v>0</v>
      </c>
      <c r="R53" s="24"/>
      <c r="S53" s="95">
        <f t="shared" si="25"/>
        <v>0</v>
      </c>
      <c r="T53" s="14"/>
      <c r="U53" s="14"/>
      <c r="V53" s="14"/>
      <c r="W53" s="14"/>
      <c r="X53" s="250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">
        <v>260</v>
      </c>
      <c r="B54" s="12" t="s">
        <v>0</v>
      </c>
      <c r="C54" s="96" t="s">
        <v>50</v>
      </c>
      <c r="D54" s="97" t="s">
        <v>40</v>
      </c>
      <c r="E54" s="98">
        <f>F54/F$27</f>
        <v>0.30099263407663535</v>
      </c>
      <c r="F54" s="99">
        <f>+SUM(F42:F53)</f>
        <v>72018.162791157272</v>
      </c>
      <c r="G54" s="100" t="s">
        <v>40</v>
      </c>
      <c r="H54" s="98">
        <f>I54/I$27</f>
        <v>0.30099263407663535</v>
      </c>
      <c r="I54" s="99">
        <f>+SUM(I42:I53)</f>
        <v>72018.162791157272</v>
      </c>
      <c r="J54" s="100" t="s">
        <v>40</v>
      </c>
      <c r="K54" s="98">
        <f>L54/L$27</f>
        <v>0.3013079216673738</v>
      </c>
      <c r="L54" s="99">
        <f>+SUM(L42:L53)</f>
        <v>77463.35000000002</v>
      </c>
      <c r="M54" s="103"/>
      <c r="N54" s="99">
        <f>+SUM(N42:N53)</f>
        <v>5445.1872088427353</v>
      </c>
      <c r="O54" s="100" t="s">
        <v>40</v>
      </c>
      <c r="P54" s="98">
        <f>Q54/Q$27</f>
        <v>0.35935748796202266</v>
      </c>
      <c r="Q54" s="99">
        <f>+SUM(Q42:Q53)</f>
        <v>68439.399999999994</v>
      </c>
      <c r="R54" s="103"/>
      <c r="S54" s="104">
        <f>+SUM(S42:S53)</f>
        <v>9023.9499999999989</v>
      </c>
      <c r="T54" s="83"/>
      <c r="U54" s="14"/>
      <c r="V54" s="12"/>
      <c r="W54" s="12"/>
      <c r="X54" s="250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">
        <v>261</v>
      </c>
      <c r="B55" s="12" t="s">
        <v>0</v>
      </c>
      <c r="C55" s="481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f t="shared" ref="N55:N71" si="26">L55-I55</f>
        <v>0</v>
      </c>
      <c r="O55" s="42"/>
      <c r="P55" s="14"/>
      <c r="Q55" s="34">
        <v>0</v>
      </c>
      <c r="R55" s="42"/>
      <c r="S55" s="86">
        <f t="shared" ref="S55:S71" si="27">L55-Q55</f>
        <v>0</v>
      </c>
      <c r="T55" s="83"/>
      <c r="U55" s="14"/>
      <c r="V55" s="12"/>
      <c r="W55" s="12"/>
      <c r="X55" s="250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">
        <v>262</v>
      </c>
      <c r="B56" s="12" t="s">
        <v>0</v>
      </c>
      <c r="C56" s="481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f t="shared" si="26"/>
        <v>0</v>
      </c>
      <c r="O56" s="42"/>
      <c r="P56" s="14"/>
      <c r="Q56" s="34">
        <v>0</v>
      </c>
      <c r="R56" s="42"/>
      <c r="S56" s="86">
        <f t="shared" si="27"/>
        <v>0</v>
      </c>
      <c r="T56" s="83"/>
      <c r="U56" s="14"/>
      <c r="V56" s="12"/>
      <c r="W56" s="12"/>
      <c r="X56" s="250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">
        <v>263</v>
      </c>
      <c r="B57" s="12" t="s">
        <v>0</v>
      </c>
      <c r="C57" s="88" t="s">
        <v>53</v>
      </c>
      <c r="D57" s="89"/>
      <c r="E57" s="114"/>
      <c r="F57" s="23">
        <v>7322.9400000000005</v>
      </c>
      <c r="G57" s="91"/>
      <c r="H57" s="114"/>
      <c r="I57" s="23">
        <v>7322.9400000000005</v>
      </c>
      <c r="J57" s="24"/>
      <c r="K57" s="114"/>
      <c r="L57" s="23">
        <v>6354.05</v>
      </c>
      <c r="M57" s="24"/>
      <c r="N57" s="94">
        <f t="shared" si="26"/>
        <v>-968.89000000000033</v>
      </c>
      <c r="O57" s="24"/>
      <c r="P57" s="114"/>
      <c r="Q57" s="23">
        <v>5681.11</v>
      </c>
      <c r="R57" s="24"/>
      <c r="S57" s="95">
        <f t="shared" si="27"/>
        <v>672.94000000000051</v>
      </c>
      <c r="T57" s="115"/>
      <c r="U57" s="14"/>
      <c r="V57" s="12"/>
      <c r="W57" s="12"/>
      <c r="X57" s="250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">
        <v>264</v>
      </c>
      <c r="B58" s="12" t="s">
        <v>0</v>
      </c>
      <c r="C58" s="481" t="s">
        <v>54</v>
      </c>
      <c r="D58" s="82"/>
      <c r="E58" s="14"/>
      <c r="F58" s="31">
        <v>6834.1988433333336</v>
      </c>
      <c r="G58" s="84"/>
      <c r="H58" s="14"/>
      <c r="I58" s="31">
        <v>6834.1988433333336</v>
      </c>
      <c r="J58" s="42"/>
      <c r="K58" s="14"/>
      <c r="L58" s="34">
        <v>7289.36</v>
      </c>
      <c r="M58" s="42"/>
      <c r="N58" s="60">
        <f t="shared" si="26"/>
        <v>455.1611566666661</v>
      </c>
      <c r="O58" s="42"/>
      <c r="P58" s="14"/>
      <c r="Q58" s="34">
        <v>5374.89</v>
      </c>
      <c r="R58" s="42"/>
      <c r="S58" s="86">
        <f t="shared" si="27"/>
        <v>1914.4699999999993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">
        <v>265</v>
      </c>
      <c r="B59" s="12" t="s">
        <v>0</v>
      </c>
      <c r="C59" s="481" t="s">
        <v>55</v>
      </c>
      <c r="D59" s="82"/>
      <c r="E59" s="14"/>
      <c r="F59" s="31">
        <v>792.1418000000001</v>
      </c>
      <c r="G59" s="84"/>
      <c r="H59" s="14"/>
      <c r="I59" s="31">
        <v>792.1418000000001</v>
      </c>
      <c r="J59" s="42"/>
      <c r="K59" s="14"/>
      <c r="L59" s="34">
        <v>966.86</v>
      </c>
      <c r="M59" s="42"/>
      <c r="N59" s="60">
        <f t="shared" si="26"/>
        <v>174.71819999999991</v>
      </c>
      <c r="O59" s="42"/>
      <c r="P59" s="14"/>
      <c r="Q59" s="34">
        <v>1790.95</v>
      </c>
      <c r="R59" s="42"/>
      <c r="S59" s="86">
        <f t="shared" si="27"/>
        <v>-824.09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">
        <v>266</v>
      </c>
      <c r="B60" s="12" t="s">
        <v>0</v>
      </c>
      <c r="C60" s="88" t="s">
        <v>56</v>
      </c>
      <c r="D60" s="89"/>
      <c r="E60" s="114"/>
      <c r="F60" s="23">
        <v>6729.5169777777783</v>
      </c>
      <c r="G60" s="91"/>
      <c r="H60" s="114"/>
      <c r="I60" s="23">
        <v>6729.5169777777783</v>
      </c>
      <c r="J60" s="24"/>
      <c r="K60" s="114"/>
      <c r="L60" s="23">
        <v>6513.05</v>
      </c>
      <c r="M60" s="24"/>
      <c r="N60" s="94">
        <f t="shared" si="26"/>
        <v>-216.46697777777808</v>
      </c>
      <c r="O60" s="24"/>
      <c r="P60" s="114"/>
      <c r="Q60" s="23">
        <v>6768.76</v>
      </c>
      <c r="R60" s="24"/>
      <c r="S60" s="95">
        <f t="shared" si="27"/>
        <v>-255.71000000000004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">
        <v>267</v>
      </c>
      <c r="B61" s="12" t="s">
        <v>0</v>
      </c>
      <c r="C61" s="481" t="s">
        <v>57</v>
      </c>
      <c r="D61" s="82"/>
      <c r="E61" s="14"/>
      <c r="F61" s="31">
        <v>99.362811590243282</v>
      </c>
      <c r="G61" s="84"/>
      <c r="H61" s="14"/>
      <c r="I61" s="31">
        <v>99.362811590243282</v>
      </c>
      <c r="J61" s="42"/>
      <c r="K61" s="14"/>
      <c r="L61" s="34">
        <v>0</v>
      </c>
      <c r="M61" s="42"/>
      <c r="N61" s="60">
        <f t="shared" si="26"/>
        <v>-99.362811590243282</v>
      </c>
      <c r="O61" s="42"/>
      <c r="P61" s="14"/>
      <c r="Q61" s="34">
        <v>0</v>
      </c>
      <c r="R61" s="42"/>
      <c r="S61" s="86">
        <f t="shared" si="27"/>
        <v>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">
        <v>268</v>
      </c>
      <c r="B62" s="12" t="s">
        <v>0</v>
      </c>
      <c r="C62" s="481" t="s">
        <v>58</v>
      </c>
      <c r="D62" s="82"/>
      <c r="E62" s="14"/>
      <c r="F62" s="31">
        <v>52.798786051137185</v>
      </c>
      <c r="G62" s="84"/>
      <c r="H62" s="14"/>
      <c r="I62" s="31">
        <v>52.798786051137185</v>
      </c>
      <c r="J62" s="42"/>
      <c r="K62" s="14"/>
      <c r="L62" s="34">
        <v>0</v>
      </c>
      <c r="M62" s="42"/>
      <c r="N62" s="60">
        <f t="shared" si="26"/>
        <v>-52.798786051137185</v>
      </c>
      <c r="O62" s="42"/>
      <c r="P62" s="14"/>
      <c r="Q62" s="34">
        <v>0</v>
      </c>
      <c r="R62" s="42"/>
      <c r="S62" s="86">
        <f t="shared" si="27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">
        <v>269</v>
      </c>
      <c r="B63" s="12" t="s">
        <v>0</v>
      </c>
      <c r="C63" s="481" t="s">
        <v>59</v>
      </c>
      <c r="D63" s="82"/>
      <c r="E63" s="14"/>
      <c r="F63" s="31">
        <v>652.86432000000002</v>
      </c>
      <c r="G63" s="84"/>
      <c r="H63" s="14"/>
      <c r="I63" s="31">
        <v>652.86432000000002</v>
      </c>
      <c r="J63" s="42"/>
      <c r="K63" s="14"/>
      <c r="L63" s="33">
        <v>984.46</v>
      </c>
      <c r="M63" s="42"/>
      <c r="N63" s="60">
        <f t="shared" si="26"/>
        <v>331.59568000000002</v>
      </c>
      <c r="O63" s="42"/>
      <c r="P63" s="14"/>
      <c r="Q63" s="33">
        <v>466.66</v>
      </c>
      <c r="R63" s="42"/>
      <c r="S63" s="86">
        <f t="shared" si="27"/>
        <v>517.79999999999995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">
        <v>270</v>
      </c>
      <c r="B64" s="12" t="s">
        <v>0</v>
      </c>
      <c r="C64" s="481" t="s">
        <v>60</v>
      </c>
      <c r="D64" s="82"/>
      <c r="E64" s="14"/>
      <c r="F64" s="31">
        <v>301.4645266666667</v>
      </c>
      <c r="G64" s="84"/>
      <c r="H64" s="14"/>
      <c r="I64" s="31">
        <v>301.4645266666667</v>
      </c>
      <c r="J64" s="42"/>
      <c r="K64" s="14"/>
      <c r="L64" s="34">
        <v>261.12</v>
      </c>
      <c r="M64" s="42"/>
      <c r="N64" s="60">
        <f t="shared" si="26"/>
        <v>-40.344526666666695</v>
      </c>
      <c r="O64" s="42"/>
      <c r="P64" s="14"/>
      <c r="Q64" s="34">
        <v>216.99</v>
      </c>
      <c r="R64" s="42"/>
      <c r="S64" s="86">
        <f t="shared" si="27"/>
        <v>44.129999999999995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">
        <v>271</v>
      </c>
      <c r="B65" s="12" t="s">
        <v>0</v>
      </c>
      <c r="C65" s="481" t="s">
        <v>61</v>
      </c>
      <c r="D65" s="82"/>
      <c r="E65" s="14"/>
      <c r="F65" s="31">
        <v>160.91707333333329</v>
      </c>
      <c r="G65" s="84"/>
      <c r="H65" s="14"/>
      <c r="I65" s="31">
        <v>160.91707333333329</v>
      </c>
      <c r="J65" s="42"/>
      <c r="K65" s="14"/>
      <c r="L65" s="34">
        <v>200.99</v>
      </c>
      <c r="M65" s="42"/>
      <c r="N65" s="60">
        <f t="shared" si="26"/>
        <v>40.072926666666717</v>
      </c>
      <c r="O65" s="42"/>
      <c r="P65" s="14"/>
      <c r="Q65" s="34">
        <v>242.49</v>
      </c>
      <c r="R65" s="42"/>
      <c r="S65" s="86">
        <f t="shared" si="27"/>
        <v>-41.5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">
        <v>272</v>
      </c>
      <c r="B66" s="12" t="s">
        <v>0</v>
      </c>
      <c r="C66" s="481" t="s">
        <v>62</v>
      </c>
      <c r="D66" s="82"/>
      <c r="E66" s="14"/>
      <c r="F66" s="31">
        <v>776.23359333333315</v>
      </c>
      <c r="G66" s="84"/>
      <c r="H66" s="14"/>
      <c r="I66" s="31">
        <v>776.23359333333315</v>
      </c>
      <c r="J66" s="42"/>
      <c r="K66" s="14"/>
      <c r="L66" s="34">
        <v>140.21</v>
      </c>
      <c r="M66" s="42"/>
      <c r="N66" s="60">
        <f t="shared" si="26"/>
        <v>-636.02359333333311</v>
      </c>
      <c r="O66" s="42"/>
      <c r="P66" s="14"/>
      <c r="Q66" s="34">
        <v>803.71</v>
      </c>
      <c r="R66" s="42"/>
      <c r="S66" s="86">
        <f t="shared" si="27"/>
        <v>-663.5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">
        <v>273</v>
      </c>
      <c r="B67" s="12" t="s">
        <v>0</v>
      </c>
      <c r="C67" s="481" t="s">
        <v>63</v>
      </c>
      <c r="D67" s="82"/>
      <c r="E67" s="14"/>
      <c r="F67" s="31">
        <v>1153.2562666666668</v>
      </c>
      <c r="G67" s="84"/>
      <c r="H67" s="14"/>
      <c r="I67" s="31">
        <v>1153.2562666666668</v>
      </c>
      <c r="J67" s="42"/>
      <c r="K67" s="14"/>
      <c r="L67" s="34">
        <v>1388.34</v>
      </c>
      <c r="M67" s="42"/>
      <c r="N67" s="60">
        <f t="shared" si="26"/>
        <v>235.08373333333316</v>
      </c>
      <c r="O67" s="42"/>
      <c r="P67" s="14"/>
      <c r="Q67" s="34">
        <v>523.33000000000004</v>
      </c>
      <c r="R67" s="42"/>
      <c r="S67" s="86">
        <f t="shared" si="27"/>
        <v>865.00999999999988</v>
      </c>
      <c r="T67" s="14"/>
      <c r="U67" s="14"/>
      <c r="V67" s="14"/>
      <c r="W67" s="495" t="s">
        <v>496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">
        <v>274</v>
      </c>
      <c r="B68" s="12" t="s">
        <v>0</v>
      </c>
      <c r="C68" s="481" t="s">
        <v>64</v>
      </c>
      <c r="D68" s="82"/>
      <c r="E68" s="14"/>
      <c r="F68" s="31">
        <v>1857.7871567542602</v>
      </c>
      <c r="G68" s="84"/>
      <c r="H68" s="14"/>
      <c r="I68" s="31">
        <v>1857.7871567542602</v>
      </c>
      <c r="J68" s="496"/>
      <c r="K68" s="497"/>
      <c r="L68" s="498">
        <v>3734.5400000000009</v>
      </c>
      <c r="M68" s="42"/>
      <c r="N68" s="60">
        <f t="shared" si="26"/>
        <v>1876.7528432457407</v>
      </c>
      <c r="O68" s="42"/>
      <c r="P68" s="14"/>
      <c r="Q68" s="34">
        <f>AL447*W3</f>
        <v>3168.0360000000001</v>
      </c>
      <c r="R68" s="42"/>
      <c r="S68" s="86">
        <f t="shared" si="27"/>
        <v>566.50400000000081</v>
      </c>
      <c r="T68" s="14"/>
      <c r="U68" s="499" t="s">
        <v>497</v>
      </c>
      <c r="V68" s="497"/>
      <c r="W68" s="500">
        <v>19570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">
        <v>233</v>
      </c>
      <c r="B69" s="12" t="s">
        <v>0</v>
      </c>
      <c r="C69" s="481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f t="shared" si="26"/>
        <v>0</v>
      </c>
      <c r="O69" s="42"/>
      <c r="P69" s="14"/>
      <c r="Q69" s="34">
        <v>0</v>
      </c>
      <c r="R69" s="42"/>
      <c r="S69" s="86">
        <f t="shared" si="27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">
        <v>233</v>
      </c>
      <c r="B70" s="12" t="s">
        <v>0</v>
      </c>
      <c r="C70" s="481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f t="shared" si="26"/>
        <v>0</v>
      </c>
      <c r="O70" s="42"/>
      <c r="P70" s="14"/>
      <c r="Q70" s="34">
        <v>0</v>
      </c>
      <c r="R70" s="42"/>
      <c r="S70" s="86">
        <f t="shared" si="27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">
        <v>233</v>
      </c>
      <c r="B71" s="12" t="s">
        <v>0</v>
      </c>
      <c r="C71" s="481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f t="shared" si="26"/>
        <v>0</v>
      </c>
      <c r="O71" s="42"/>
      <c r="P71" s="14"/>
      <c r="Q71" s="34">
        <v>0</v>
      </c>
      <c r="R71" s="42"/>
      <c r="S71" s="86">
        <f t="shared" si="27"/>
        <v>0</v>
      </c>
      <c r="T71" s="14"/>
      <c r="U71" s="14"/>
      <c r="V71" s="12"/>
      <c r="W71" s="12"/>
      <c r="X71" s="14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">
        <v>275</v>
      </c>
      <c r="B72" s="12" t="s">
        <v>0</v>
      </c>
      <c r="C72" s="96" t="s">
        <v>65</v>
      </c>
      <c r="D72" s="97" t="s">
        <v>40</v>
      </c>
      <c r="E72" s="98">
        <f>F72/F$27</f>
        <v>0.11172988729746802</v>
      </c>
      <c r="F72" s="99">
        <f>+SUM(F55:F71)</f>
        <v>26733.482155506757</v>
      </c>
      <c r="G72" s="100" t="s">
        <v>40</v>
      </c>
      <c r="H72" s="98">
        <f>I72/I$27</f>
        <v>0.11172988729746802</v>
      </c>
      <c r="I72" s="99">
        <f>+SUM(I55:I71)</f>
        <v>26733.482155506757</v>
      </c>
      <c r="J72" s="100" t="s">
        <v>40</v>
      </c>
      <c r="K72" s="98">
        <f>L72/L$27</f>
        <v>0.10826148569109882</v>
      </c>
      <c r="L72" s="99">
        <f>+SUM(L55:L71)</f>
        <v>27832.98</v>
      </c>
      <c r="M72" s="103"/>
      <c r="N72" s="99">
        <f>+SUM(N55:N71)</f>
        <v>1099.4978444932478</v>
      </c>
      <c r="O72" s="100" t="s">
        <v>40</v>
      </c>
      <c r="P72" s="98">
        <f>Q72/Q$27</f>
        <v>0.1314623861934946</v>
      </c>
      <c r="Q72" s="99">
        <f>+SUM(Q55:Q71)</f>
        <v>25036.926000000003</v>
      </c>
      <c r="R72" s="103"/>
      <c r="S72" s="104">
        <f>+SUM(S55:S71)</f>
        <v>2796.0540000000001</v>
      </c>
      <c r="T72" s="14"/>
      <c r="U72" s="14"/>
      <c r="V72" s="12"/>
      <c r="W72" s="12"/>
      <c r="X72" s="14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">
        <v>0</v>
      </c>
      <c r="B73" s="12" t="s">
        <v>0</v>
      </c>
      <c r="C73" s="88"/>
      <c r="D73" s="89"/>
      <c r="E73" s="114"/>
      <c r="F73" s="60"/>
      <c r="G73" s="91"/>
      <c r="H73" s="114"/>
      <c r="I73" s="60"/>
      <c r="J73" s="24"/>
      <c r="K73" s="114"/>
      <c r="L73" s="94"/>
      <c r="M73" s="24"/>
      <c r="N73" s="94"/>
      <c r="O73" s="24"/>
      <c r="P73" s="114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">
        <v>276</v>
      </c>
      <c r="B74" s="12" t="s">
        <v>0</v>
      </c>
      <c r="C74" s="96" t="s">
        <v>66</v>
      </c>
      <c r="D74" s="97" t="s">
        <v>40</v>
      </c>
      <c r="E74" s="98">
        <f>F74/F$27</f>
        <v>0.87886038965815405</v>
      </c>
      <c r="F74" s="99">
        <f>F41+F54+F72</f>
        <v>210283.91876522024</v>
      </c>
      <c r="G74" s="100" t="s">
        <v>40</v>
      </c>
      <c r="H74" s="98">
        <f>I74/I$27</f>
        <v>0.87886038965815405</v>
      </c>
      <c r="I74" s="99">
        <f>I41+I54+I72</f>
        <v>210283.91876522024</v>
      </c>
      <c r="J74" s="100" t="s">
        <v>40</v>
      </c>
      <c r="K74" s="98">
        <f>L74/L$27</f>
        <v>0.82695276119303196</v>
      </c>
      <c r="L74" s="99">
        <f>L41+L54+L72</f>
        <v>212601.55000000002</v>
      </c>
      <c r="M74" s="103"/>
      <c r="N74" s="116">
        <f>L74-I74</f>
        <v>2317.6312347797793</v>
      </c>
      <c r="O74" s="100" t="s">
        <v>40</v>
      </c>
      <c r="P74" s="98">
        <f>Q74/Q$27</f>
        <v>0.98485611003660634</v>
      </c>
      <c r="Q74" s="99">
        <f>Q41+Q54+Q72</f>
        <v>187565.20600000001</v>
      </c>
      <c r="R74" s="103"/>
      <c r="S74" s="117">
        <f>L74-Q74</f>
        <v>25036.344000000012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">
        <v>277</v>
      </c>
      <c r="B75" s="12" t="s">
        <v>0</v>
      </c>
      <c r="C75" s="481" t="s">
        <v>200</v>
      </c>
      <c r="D75" s="82"/>
      <c r="E75" s="14"/>
      <c r="F75" s="31">
        <v>0</v>
      </c>
      <c r="G75" s="84"/>
      <c r="H75" s="14"/>
      <c r="I75" s="31">
        <v>0</v>
      </c>
      <c r="J75" s="42"/>
      <c r="K75" s="14"/>
      <c r="L75" s="33">
        <v>0</v>
      </c>
      <c r="M75" s="42"/>
      <c r="N75" s="60">
        <f>L75-I75</f>
        <v>0</v>
      </c>
      <c r="O75" s="42"/>
      <c r="P75" s="14"/>
      <c r="Q75" s="33">
        <v>20000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">
        <v>278</v>
      </c>
      <c r="B76" s="12" t="s">
        <v>0</v>
      </c>
      <c r="C76" s="481" t="s">
        <v>197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f>L76-I76</f>
        <v>0</v>
      </c>
      <c r="O76" s="42"/>
      <c r="P76" s="14"/>
      <c r="Q76" s="33"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">
        <v>279</v>
      </c>
      <c r="B77" s="12" t="s">
        <v>0</v>
      </c>
      <c r="C77" s="481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f t="shared" ref="N77:N82" si="28">L77-I77</f>
        <v>0</v>
      </c>
      <c r="O77" s="42"/>
      <c r="P77" s="14"/>
      <c r="Q77" s="33">
        <v>0</v>
      </c>
      <c r="R77" s="42"/>
      <c r="S77" s="86">
        <f t="shared" ref="S77:S82" si="29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">
        <v>280</v>
      </c>
      <c r="B78" s="12" t="s">
        <v>0</v>
      </c>
      <c r="C78" s="481" t="s">
        <v>70</v>
      </c>
      <c r="D78" s="82"/>
      <c r="E78" s="14"/>
      <c r="F78" s="31">
        <v>88914.009849397567</v>
      </c>
      <c r="G78" s="84"/>
      <c r="H78" s="14"/>
      <c r="I78" s="31">
        <v>88914.009849397567</v>
      </c>
      <c r="J78" s="42"/>
      <c r="K78" s="14"/>
      <c r="L78" s="34">
        <v>69130</v>
      </c>
      <c r="M78" s="42"/>
      <c r="N78" s="60">
        <f t="shared" si="28"/>
        <v>-19784.009849397567</v>
      </c>
      <c r="O78" s="42"/>
      <c r="P78" s="14"/>
      <c r="Q78" s="33">
        <v>37897</v>
      </c>
      <c r="R78" s="42"/>
      <c r="S78" s="86">
        <f t="shared" si="29"/>
        <v>31233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">
        <v>233</v>
      </c>
      <c r="B79" s="12" t="s">
        <v>0</v>
      </c>
      <c r="C79" s="481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f t="shared" si="28"/>
        <v>0</v>
      </c>
      <c r="O79" s="42"/>
      <c r="P79" s="14"/>
      <c r="Q79" s="33">
        <v>0</v>
      </c>
      <c r="R79" s="42"/>
      <c r="S79" s="86">
        <f t="shared" si="29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">
        <v>233</v>
      </c>
      <c r="B80" s="12" t="s">
        <v>0</v>
      </c>
      <c r="C80" s="481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f t="shared" si="28"/>
        <v>0</v>
      </c>
      <c r="O80" s="42"/>
      <c r="P80" s="14"/>
      <c r="Q80" s="33">
        <v>0</v>
      </c>
      <c r="R80" s="42"/>
      <c r="S80" s="86">
        <f t="shared" si="29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">
        <v>233</v>
      </c>
      <c r="B81" s="12" t="s">
        <v>0</v>
      </c>
      <c r="C81" s="481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f t="shared" si="28"/>
        <v>0</v>
      </c>
      <c r="O81" s="42"/>
      <c r="P81" s="14"/>
      <c r="Q81" s="33">
        <v>0</v>
      </c>
      <c r="R81" s="42"/>
      <c r="S81" s="86">
        <f t="shared" si="29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s="501" t="s">
        <v>281</v>
      </c>
      <c r="B82" s="502" t="s">
        <v>0</v>
      </c>
      <c r="C82" s="481" t="s">
        <v>71</v>
      </c>
      <c r="D82" s="82"/>
      <c r="E82" s="14"/>
      <c r="F82" s="31">
        <v>30545.258332444828</v>
      </c>
      <c r="G82" s="84"/>
      <c r="H82" s="14"/>
      <c r="I82" s="31">
        <v>30545.258332444828</v>
      </c>
      <c r="J82" s="160">
        <f>+L82/K82</f>
        <v>55</v>
      </c>
      <c r="K82" s="503">
        <f>+L82/J27</f>
        <v>370.58181818181816</v>
      </c>
      <c r="L82" s="33">
        <v>20382</v>
      </c>
      <c r="M82" s="42"/>
      <c r="N82" s="60">
        <f t="shared" si="28"/>
        <v>-10163.258332444828</v>
      </c>
      <c r="O82" s="42"/>
      <c r="P82" s="14"/>
      <c r="Q82" s="33">
        <v>20102</v>
      </c>
      <c r="R82" s="42"/>
      <c r="S82" s="86">
        <f t="shared" si="29"/>
        <v>280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">
        <v>282</v>
      </c>
      <c r="B83" s="12" t="s">
        <v>0</v>
      </c>
      <c r="C83" s="96" t="s">
        <v>72</v>
      </c>
      <c r="D83" s="97"/>
      <c r="E83" s="98"/>
      <c r="F83" s="99">
        <f>+SUM(F75:F82)</f>
        <v>119459.2681818424</v>
      </c>
      <c r="G83" s="100"/>
      <c r="H83" s="98"/>
      <c r="I83" s="99">
        <f>+SUM(I75:I82)</f>
        <v>119459.2681818424</v>
      </c>
      <c r="J83" s="100"/>
      <c r="K83" s="98"/>
      <c r="L83" s="99">
        <f>+SUM(L75:L82)</f>
        <v>89512</v>
      </c>
      <c r="M83" s="103"/>
      <c r="N83" s="99">
        <f>+SUM(N75:N82)</f>
        <v>-29947.268181842395</v>
      </c>
      <c r="O83" s="100"/>
      <c r="P83" s="98"/>
      <c r="Q83" s="99">
        <f>+SUM(Q75:Q82)</f>
        <v>77999</v>
      </c>
      <c r="R83" s="103"/>
      <c r="S83" s="104">
        <f>+SUM(S75:S82)</f>
        <v>31513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">
        <v>0</v>
      </c>
      <c r="B84" s="12" t="s">
        <v>0</v>
      </c>
      <c r="C84" s="504"/>
      <c r="D84" s="119"/>
      <c r="E84" s="120"/>
      <c r="F84" s="121"/>
      <c r="G84" s="122"/>
      <c r="H84" s="120"/>
      <c r="I84" s="121"/>
      <c r="J84" s="123"/>
      <c r="K84" s="124"/>
      <c r="L84" s="121"/>
      <c r="M84" s="123"/>
      <c r="N84" s="125"/>
      <c r="O84" s="123"/>
      <c r="P84" s="124"/>
      <c r="Q84" s="121"/>
      <c r="R84" s="123"/>
      <c r="S84" s="126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">
        <v>283</v>
      </c>
      <c r="B85" s="12" t="s">
        <v>0</v>
      </c>
      <c r="C85" s="127" t="s">
        <v>73</v>
      </c>
      <c r="D85" s="128"/>
      <c r="E85" s="129"/>
      <c r="F85" s="130">
        <f>F27-F74+F83</f>
        <v>148444.20399204947</v>
      </c>
      <c r="G85" s="131"/>
      <c r="H85" s="129"/>
      <c r="I85" s="130">
        <f>I27-I74+I83</f>
        <v>148444.20399204947</v>
      </c>
      <c r="J85" s="131"/>
      <c r="K85" s="128"/>
      <c r="L85" s="130">
        <f>L27-L74+L83</f>
        <v>134000.76999999981</v>
      </c>
      <c r="M85" s="131"/>
      <c r="N85" s="130">
        <f>N27-N41-N54-N72+N83</f>
        <v>-14443.433992049662</v>
      </c>
      <c r="O85" s="131"/>
      <c r="P85" s="128"/>
      <c r="Q85" s="130">
        <f>Q27-Q74+Q83</f>
        <v>80883.143999999855</v>
      </c>
      <c r="R85" s="131"/>
      <c r="S85" s="132">
        <f>S27-S41-S54-S72+S83</f>
        <v>73117.625999999975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3"/>
      <c r="C86" s="134"/>
      <c r="D86" s="134"/>
      <c r="E86" s="134"/>
      <c r="F86" s="134"/>
      <c r="G86" s="134"/>
      <c r="H86" s="134"/>
      <c r="I86" s="134"/>
      <c r="J86" s="505"/>
      <c r="K86" s="134"/>
      <c r="L86" s="135"/>
      <c r="M86" s="134"/>
      <c r="N86" s="134"/>
      <c r="O86" s="134"/>
      <c r="P86" s="134"/>
      <c r="Q86" s="134"/>
      <c r="R86" s="134"/>
      <c r="S86" s="134"/>
      <c r="T86" s="134"/>
      <c r="U86" s="134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</row>
    <row r="87" spans="1:40" ht="40.5" customHeight="1">
      <c r="B87" s="133"/>
      <c r="C87" s="134"/>
      <c r="D87" s="134"/>
      <c r="E87" s="134"/>
      <c r="F87" s="134"/>
      <c r="G87" s="134"/>
      <c r="H87" s="134"/>
      <c r="I87" s="135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475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Juillet 2022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64" t="s">
        <v>5</v>
      </c>
      <c r="E91" s="565"/>
      <c r="F91" s="566"/>
      <c r="G91" s="562" t="s">
        <v>75</v>
      </c>
      <c r="H91" s="565"/>
      <c r="I91" s="566"/>
      <c r="J91" s="562" t="s">
        <v>7</v>
      </c>
      <c r="K91" s="565"/>
      <c r="L91" s="566"/>
      <c r="M91" s="562" t="s">
        <v>8</v>
      </c>
      <c r="N91" s="566"/>
      <c r="O91" s="564" t="s">
        <v>9</v>
      </c>
      <c r="P91" s="565"/>
      <c r="Q91" s="566"/>
      <c r="R91" s="562" t="s">
        <v>10</v>
      </c>
      <c r="S91" s="56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481"/>
      <c r="D92" s="136" t="s">
        <v>11</v>
      </c>
      <c r="E92" s="81" t="s">
        <v>12</v>
      </c>
      <c r="F92" s="137" t="s">
        <v>13</v>
      </c>
      <c r="G92" s="138" t="s">
        <v>11</v>
      </c>
      <c r="H92" s="81" t="s">
        <v>12</v>
      </c>
      <c r="I92" s="137" t="s">
        <v>13</v>
      </c>
      <c r="J92" s="138" t="s">
        <v>11</v>
      </c>
      <c r="K92" s="81" t="s">
        <v>14</v>
      </c>
      <c r="L92" s="137" t="s">
        <v>13</v>
      </c>
      <c r="M92" s="138" t="s">
        <v>15</v>
      </c>
      <c r="N92" s="137" t="s">
        <v>13</v>
      </c>
      <c r="O92" s="81" t="s">
        <v>11</v>
      </c>
      <c r="P92" s="81" t="s">
        <v>14</v>
      </c>
      <c r="Q92" s="137" t="s">
        <v>13</v>
      </c>
      <c r="R92" s="138" t="s">
        <v>11</v>
      </c>
      <c r="S92" s="139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">
        <v>284</v>
      </c>
      <c r="B93" s="12" t="s">
        <v>74</v>
      </c>
      <c r="C93" s="88" t="s">
        <v>16</v>
      </c>
      <c r="D93" s="26"/>
      <c r="E93" s="26"/>
      <c r="F93" s="23">
        <v>1415443.9638178302</v>
      </c>
      <c r="G93" s="47"/>
      <c r="H93" s="26"/>
      <c r="I93" s="23">
        <v>1415443.9638178302</v>
      </c>
      <c r="J93" s="24"/>
      <c r="K93" s="26"/>
      <c r="L93" s="23">
        <v>1722927.0000000002</v>
      </c>
      <c r="M93" s="140"/>
      <c r="N93" s="141"/>
      <c r="O93" s="24"/>
      <c r="P93" s="26"/>
      <c r="Q93" s="23">
        <v>1788729.6400000001</v>
      </c>
      <c r="R93" s="140"/>
      <c r="S93" s="142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">
        <v>285</v>
      </c>
      <c r="B94" s="12" t="s">
        <v>74</v>
      </c>
      <c r="C94" s="481" t="s">
        <v>76</v>
      </c>
      <c r="D94" s="31">
        <v>43.203883495145632</v>
      </c>
      <c r="E94" s="31">
        <f>IF(D94=0,0,F94/D94)</f>
        <v>1300</v>
      </c>
      <c r="F94" s="31">
        <v>56165.048543689321</v>
      </c>
      <c r="G94" s="32">
        <v>43.203883495145632</v>
      </c>
      <c r="H94" s="31">
        <f>IF(G94=0,0,I94/G94)</f>
        <v>1300</v>
      </c>
      <c r="I94" s="31">
        <v>56165.048543689321</v>
      </c>
      <c r="J94" s="32">
        <v>39</v>
      </c>
      <c r="K94" s="31">
        <f t="shared" ref="K94:K95" si="30">IF(J94=0,0,L94/J94)</f>
        <v>1866.1264102564119</v>
      </c>
      <c r="L94" s="34">
        <v>72778.930000000066</v>
      </c>
      <c r="M94" s="32">
        <f>J94-G94</f>
        <v>-4.2038834951456323</v>
      </c>
      <c r="N94" s="34">
        <f>L94-I94</f>
        <v>16613.881456310744</v>
      </c>
      <c r="O94" s="32">
        <v>40</v>
      </c>
      <c r="P94" s="31">
        <f t="shared" ref="P94:P95" si="31">IF(O94=0,0,Q94/O94)</f>
        <v>1663.4257500000017</v>
      </c>
      <c r="Q94" s="34">
        <v>66537.030000000072</v>
      </c>
      <c r="R94" s="32">
        <f t="shared" ref="R94:R95" si="32">J94-O94</f>
        <v>-1</v>
      </c>
      <c r="S94" s="35">
        <f t="shared" ref="S94:S95" si="33">L94-Q94</f>
        <v>6241.8999999999942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">
        <v>286</v>
      </c>
      <c r="B95" s="12" t="s">
        <v>74</v>
      </c>
      <c r="C95" s="481" t="s">
        <v>77</v>
      </c>
      <c r="D95" s="31">
        <v>2.4271844660194173</v>
      </c>
      <c r="E95" s="26">
        <f t="shared" ref="E95:E104" si="34">IF(D95=0,0,F95/D95)</f>
        <v>900.00000000000011</v>
      </c>
      <c r="F95" s="31">
        <v>2184.4660194174758</v>
      </c>
      <c r="G95" s="32">
        <v>2.4271844660194173</v>
      </c>
      <c r="H95" s="31">
        <f t="shared" ref="H95:H97" si="35">IF(G95=0,0,I95/G95)</f>
        <v>900.00000000000011</v>
      </c>
      <c r="I95" s="31">
        <v>2184.4660194174758</v>
      </c>
      <c r="J95" s="32">
        <v>0</v>
      </c>
      <c r="K95" s="31">
        <f t="shared" si="30"/>
        <v>0</v>
      </c>
      <c r="L95" s="33">
        <v>0</v>
      </c>
      <c r="M95" s="32">
        <f>J95-G95</f>
        <v>-2.4271844660194173</v>
      </c>
      <c r="N95" s="34">
        <f>L95-I95</f>
        <v>-2184.4660194174758</v>
      </c>
      <c r="O95" s="32">
        <v>1</v>
      </c>
      <c r="P95" s="31">
        <f t="shared" si="31"/>
        <v>302.70000000000073</v>
      </c>
      <c r="Q95" s="33">
        <v>302.70000000000073</v>
      </c>
      <c r="R95" s="32">
        <f t="shared" si="32"/>
        <v>-1</v>
      </c>
      <c r="S95" s="35">
        <f t="shared" si="33"/>
        <v>-302.70000000000073</v>
      </c>
      <c r="T95" s="14"/>
      <c r="U95" s="14"/>
      <c r="V95" s="14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">
        <v>287</v>
      </c>
      <c r="B96" s="12" t="s">
        <v>74</v>
      </c>
      <c r="C96" s="36" t="s">
        <v>78</v>
      </c>
      <c r="D96" s="37">
        <f>+D95+D94</f>
        <v>45.631067961165051</v>
      </c>
      <c r="E96" s="31">
        <f t="shared" si="34"/>
        <v>1278.7234042553191</v>
      </c>
      <c r="F96" s="38">
        <f t="shared" ref="F96" si="36">+F94+F95</f>
        <v>58349.514563106801</v>
      </c>
      <c r="G96" s="39">
        <f>+G95+G94</f>
        <v>45.631067961165051</v>
      </c>
      <c r="H96" s="37">
        <f t="shared" si="35"/>
        <v>1278.7234042553191</v>
      </c>
      <c r="I96" s="38">
        <f t="shared" ref="I96:J96" si="37">+I94+I95</f>
        <v>58349.514563106801</v>
      </c>
      <c r="J96" s="39">
        <f t="shared" si="37"/>
        <v>39</v>
      </c>
      <c r="K96" s="37">
        <f>IF(J96&lt;=0,0,L96/J96)</f>
        <v>1866.1264102564119</v>
      </c>
      <c r="L96" s="38">
        <f>+L94+L95</f>
        <v>72778.930000000066</v>
      </c>
      <c r="M96" s="39">
        <f>J96-G96</f>
        <v>-6.6310679611650514</v>
      </c>
      <c r="N96" s="38">
        <f>L96-I96</f>
        <v>14429.415436893265</v>
      </c>
      <c r="O96" s="39">
        <f t="shared" ref="O96" si="38">+O94+O95</f>
        <v>41</v>
      </c>
      <c r="P96" s="37">
        <f>IF(O96&lt;=0,0,Q96/O96)</f>
        <v>1630.2373170731723</v>
      </c>
      <c r="Q96" s="38">
        <f>+Q94+Q95</f>
        <v>66839.730000000069</v>
      </c>
      <c r="R96" s="39">
        <f t="shared" ref="R96:S96" si="39">R94+R95</f>
        <v>-2</v>
      </c>
      <c r="S96" s="40">
        <f t="shared" si="39"/>
        <v>5939.1999999999935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">
        <v>74</v>
      </c>
      <c r="B97" s="12" t="s">
        <v>74</v>
      </c>
      <c r="C97" s="481"/>
      <c r="D97" s="14"/>
      <c r="E97" s="31">
        <f t="shared" si="34"/>
        <v>0</v>
      </c>
      <c r="F97" s="41"/>
      <c r="G97" s="42"/>
      <c r="H97" s="14">
        <f t="shared" si="35"/>
        <v>0</v>
      </c>
      <c r="I97" s="41"/>
      <c r="J97" s="42"/>
      <c r="K97" s="14"/>
      <c r="L97" s="41"/>
      <c r="M97" s="506">
        <f>M96/G96</f>
        <v>-0.14531914893617026</v>
      </c>
      <c r="N97" s="507">
        <f>N96/I96</f>
        <v>0.24729281031614078</v>
      </c>
      <c r="O97" s="42"/>
      <c r="P97" s="14"/>
      <c r="Q97" s="41"/>
      <c r="R97" s="506">
        <f>R96/O96</f>
        <v>-4.878048780487805E-2</v>
      </c>
      <c r="S97" s="508">
        <f>IF(Q96=0,0,(S96/Q96))</f>
        <v>8.8857330812078195E-2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">
        <v>288</v>
      </c>
      <c r="B98" s="12" t="s">
        <v>74</v>
      </c>
      <c r="C98" s="481" t="s">
        <v>196</v>
      </c>
      <c r="D98" s="31"/>
      <c r="E98" s="31"/>
      <c r="F98" s="31"/>
      <c r="G98" s="3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 t="s">
        <v>498</v>
      </c>
      <c r="V98" s="31"/>
      <c r="W98" s="31"/>
      <c r="X98" s="31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">
        <v>289</v>
      </c>
      <c r="B99" s="12" t="s">
        <v>74</v>
      </c>
      <c r="C99" s="481" t="s">
        <v>79</v>
      </c>
      <c r="D99" s="31">
        <v>39.707832043196618</v>
      </c>
      <c r="E99" s="31">
        <f t="shared" si="34"/>
        <v>212</v>
      </c>
      <c r="F99" s="31">
        <v>8418.0603931576825</v>
      </c>
      <c r="G99" s="32">
        <v>39.707832043196618</v>
      </c>
      <c r="H99" s="31">
        <f t="shared" ref="H99:H104" si="40">IF(G99=0,0,I99/G99)</f>
        <v>212</v>
      </c>
      <c r="I99" s="31">
        <v>8418.0603931576825</v>
      </c>
      <c r="J99" s="32">
        <v>39</v>
      </c>
      <c r="K99" s="31">
        <f t="shared" ref="K99" si="41">IF(J99=0,0,L99/J99)</f>
        <v>417.16307692307657</v>
      </c>
      <c r="L99" s="34">
        <v>16269.359999999986</v>
      </c>
      <c r="M99" s="32">
        <f t="shared" ref="M99" si="42">J99-G99</f>
        <v>-0.70783204319661763</v>
      </c>
      <c r="N99" s="34">
        <f t="shared" ref="N99" si="43">L99-I99</f>
        <v>7851.2996068423035</v>
      </c>
      <c r="O99" s="32">
        <v>61</v>
      </c>
      <c r="P99" s="31">
        <f t="shared" ref="P99" si="44">IF(O99=0,0,Q99/O99)</f>
        <v>124.0780327868854</v>
      </c>
      <c r="Q99" s="34">
        <v>7568.7600000000093</v>
      </c>
      <c r="R99" s="32">
        <f t="shared" ref="R99" si="45">J99-O99</f>
        <v>-22</v>
      </c>
      <c r="S99" s="35">
        <f t="shared" ref="S99" si="46">L99-Q99</f>
        <v>8700.5999999999767</v>
      </c>
      <c r="T99" s="14"/>
      <c r="U99" s="14">
        <v>15899</v>
      </c>
      <c r="V99" s="31">
        <f>+L99-U99</f>
        <v>370.35999999998603</v>
      </c>
      <c r="W99" s="14"/>
      <c r="X99" s="14"/>
      <c r="Y99" s="14"/>
      <c r="Z99" s="14"/>
      <c r="AA99" s="14"/>
      <c r="AB99" s="14"/>
      <c r="AC99" s="83"/>
      <c r="AD99" s="14"/>
      <c r="AE99" s="14"/>
      <c r="AF99" s="144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5"/>
      <c r="O100" s="52"/>
      <c r="P100" s="48"/>
      <c r="Q100" s="49"/>
      <c r="R100" s="50"/>
      <c r="S100" s="14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4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">
        <v>290</v>
      </c>
      <c r="B101" s="12" t="s">
        <v>74</v>
      </c>
      <c r="C101" s="481" t="s">
        <v>26</v>
      </c>
      <c r="D101" s="31">
        <v>0</v>
      </c>
      <c r="E101" s="31">
        <f t="shared" si="34"/>
        <v>0</v>
      </c>
      <c r="F101" s="34">
        <v>30069.09016322099</v>
      </c>
      <c r="G101" s="32">
        <v>0</v>
      </c>
      <c r="H101" s="31">
        <f t="shared" si="40"/>
        <v>0</v>
      </c>
      <c r="I101" s="31">
        <v>30069.09016322099</v>
      </c>
      <c r="J101" s="32"/>
      <c r="K101" s="31">
        <f>IF(J96=0,0,L101/J96)</f>
        <v>567.12358974358972</v>
      </c>
      <c r="L101" s="34">
        <v>22117.82</v>
      </c>
      <c r="M101" s="32"/>
      <c r="N101" s="34">
        <f t="shared" ref="N101:N104" si="47">L101-I101</f>
        <v>-7951.2701632209901</v>
      </c>
      <c r="O101" s="32"/>
      <c r="P101" s="31">
        <f>IF(O96=0,0,Q101/O96)</f>
        <v>1004.3404878048781</v>
      </c>
      <c r="Q101" s="34">
        <v>41177.96</v>
      </c>
      <c r="R101" s="32">
        <f t="shared" ref="R101:R103" si="48">O101-K101</f>
        <v>-567.12358974358972</v>
      </c>
      <c r="S101" s="35">
        <f t="shared" ref="S101:S104" si="49">L101-Q101</f>
        <v>-19060.14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">
        <v>291</v>
      </c>
      <c r="B102" s="12" t="s">
        <v>74</v>
      </c>
      <c r="C102" s="481" t="s">
        <v>27</v>
      </c>
      <c r="D102" s="31">
        <v>0</v>
      </c>
      <c r="E102" s="31">
        <f t="shared" si="34"/>
        <v>0</v>
      </c>
      <c r="F102" s="34">
        <v>53016.213550007917</v>
      </c>
      <c r="G102" s="32">
        <v>0</v>
      </c>
      <c r="H102" s="31">
        <f t="shared" si="40"/>
        <v>0</v>
      </c>
      <c r="I102" s="31">
        <v>53016.213550007917</v>
      </c>
      <c r="J102" s="32"/>
      <c r="K102" s="31">
        <f>IF(J96=0,0,L102/J96)</f>
        <v>1053.2948717948718</v>
      </c>
      <c r="L102" s="34">
        <v>41078.5</v>
      </c>
      <c r="M102" s="32"/>
      <c r="N102" s="34">
        <f t="shared" si="47"/>
        <v>-11937.713550007917</v>
      </c>
      <c r="O102" s="32"/>
      <c r="P102" s="31">
        <f>IF(O96=0,0,Q102/O96)</f>
        <v>1434.5558536585365</v>
      </c>
      <c r="Q102" s="34">
        <v>58816.79</v>
      </c>
      <c r="R102" s="32">
        <f t="shared" si="48"/>
        <v>-1053.2948717948718</v>
      </c>
      <c r="S102" s="35">
        <f t="shared" si="49"/>
        <v>-17738.29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">
        <v>292</v>
      </c>
      <c r="B103" s="12" t="s">
        <v>74</v>
      </c>
      <c r="C103" s="481" t="s">
        <v>28</v>
      </c>
      <c r="D103" s="31">
        <v>0</v>
      </c>
      <c r="E103" s="26">
        <f t="shared" si="34"/>
        <v>0</v>
      </c>
      <c r="F103" s="34">
        <v>1503.6900531232827</v>
      </c>
      <c r="G103" s="32">
        <v>0</v>
      </c>
      <c r="H103" s="48">
        <f t="shared" si="40"/>
        <v>0</v>
      </c>
      <c r="I103" s="31">
        <v>1503.6900531232827</v>
      </c>
      <c r="J103" s="32"/>
      <c r="K103" s="48">
        <f>IF(J96=0,0,L103/J96)</f>
        <v>41.861538461538458</v>
      </c>
      <c r="L103" s="34">
        <v>1632.6</v>
      </c>
      <c r="M103" s="52"/>
      <c r="N103" s="34">
        <f t="shared" si="47"/>
        <v>128.90994687671719</v>
      </c>
      <c r="O103" s="32"/>
      <c r="P103" s="48">
        <f>IF(O96=0,0,Q103/O96)</f>
        <v>90.78</v>
      </c>
      <c r="Q103" s="34">
        <v>3721.98</v>
      </c>
      <c r="R103" s="32">
        <f t="shared" si="48"/>
        <v>-41.861538461538458</v>
      </c>
      <c r="S103" s="35">
        <f t="shared" si="49"/>
        <v>-2089.38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">
        <v>293</v>
      </c>
      <c r="B104" s="12" t="s">
        <v>74</v>
      </c>
      <c r="C104" s="36" t="s">
        <v>29</v>
      </c>
      <c r="D104" s="37">
        <f>D96</f>
        <v>45.631067961165051</v>
      </c>
      <c r="E104" s="31">
        <f t="shared" si="34"/>
        <v>1853.758799560484</v>
      </c>
      <c r="F104" s="38">
        <f>F101+F102+F103</f>
        <v>84588.993766352185</v>
      </c>
      <c r="G104" s="39">
        <f>G96</f>
        <v>45.631067961165051</v>
      </c>
      <c r="H104" s="37">
        <f t="shared" si="40"/>
        <v>1853.758799560484</v>
      </c>
      <c r="I104" s="38">
        <f>I101+I102+I103</f>
        <v>84588.993766352185</v>
      </c>
      <c r="J104" s="39">
        <f>J96</f>
        <v>39</v>
      </c>
      <c r="K104" s="37">
        <f>IF(J104&lt;=0,0,L104/J104)</f>
        <v>1662.28</v>
      </c>
      <c r="L104" s="38">
        <f>L101+L102+L103</f>
        <v>64828.92</v>
      </c>
      <c r="M104" s="32">
        <f>J104-G104</f>
        <v>-6.6310679611650514</v>
      </c>
      <c r="N104" s="38">
        <f t="shared" si="47"/>
        <v>-19760.073766352187</v>
      </c>
      <c r="O104" s="39">
        <f>O96</f>
        <v>41</v>
      </c>
      <c r="P104" s="37">
        <f>IF(O104&lt;=0,0,Q104/O104)</f>
        <v>2529.6763414634147</v>
      </c>
      <c r="Q104" s="38">
        <f>Q101+Q102+Q103</f>
        <v>103716.73</v>
      </c>
      <c r="R104" s="57"/>
      <c r="S104" s="40">
        <f t="shared" si="49"/>
        <v>-38887.81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">
        <v>74</v>
      </c>
      <c r="B105" s="12" t="s">
        <v>74</v>
      </c>
      <c r="C105" s="481"/>
      <c r="D105" s="14"/>
      <c r="E105" s="14"/>
      <c r="F105" s="60"/>
      <c r="G105" s="42"/>
      <c r="H105" s="147"/>
      <c r="I105" s="60"/>
      <c r="J105" s="42"/>
      <c r="K105" s="14"/>
      <c r="L105" s="60"/>
      <c r="M105" s="43"/>
      <c r="N105" s="44">
        <f>N104/I104</f>
        <v>-0.23360100276086213</v>
      </c>
      <c r="O105" s="42"/>
      <c r="P105" s="14"/>
      <c r="Q105" s="60"/>
      <c r="R105" s="61"/>
      <c r="S105" s="45">
        <f>IF(Q104=0,0,(S104/Q104))</f>
        <v>-0.37494249963337639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">
        <v>74</v>
      </c>
      <c r="B106" s="12" t="s">
        <v>74</v>
      </c>
      <c r="C106" s="481"/>
      <c r="D106" s="14"/>
      <c r="E106" s="14"/>
      <c r="F106" s="60"/>
      <c r="G106" s="42"/>
      <c r="H106" s="147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">
        <v>294</v>
      </c>
      <c r="B107" s="12" t="s">
        <v>74</v>
      </c>
      <c r="C107" s="63" t="s">
        <v>80</v>
      </c>
      <c r="D107" s="64">
        <f>D96+D99</f>
        <v>85.338900004361676</v>
      </c>
      <c r="E107" s="65">
        <f>IF(D107&lt;=0,0,F107/D107)</f>
        <v>1773.5940903255237</v>
      </c>
      <c r="F107" s="66">
        <f>F96+F104+F99</f>
        <v>151356.56872261668</v>
      </c>
      <c r="G107" s="67">
        <f>G96+G99</f>
        <v>85.338900004361676</v>
      </c>
      <c r="H107" s="68">
        <f>IF(G107&lt;=0,0,I107/G107)</f>
        <v>1773.5940903255237</v>
      </c>
      <c r="I107" s="66">
        <f>I96+I104+I99</f>
        <v>151356.56872261668</v>
      </c>
      <c r="J107" s="67">
        <f>J96+J99</f>
        <v>78</v>
      </c>
      <c r="K107" s="65">
        <f>IF(J107&lt;=0,0,L107/J107)</f>
        <v>1972.7847435897443</v>
      </c>
      <c r="L107" s="66">
        <f>L96+L104+L99</f>
        <v>153877.21000000005</v>
      </c>
      <c r="M107" s="67">
        <f>J107-G107</f>
        <v>-7.3389000043616761</v>
      </c>
      <c r="N107" s="66">
        <f>L107-I107</f>
        <v>2520.6412773833727</v>
      </c>
      <c r="O107" s="67">
        <f>O96+O99</f>
        <v>102</v>
      </c>
      <c r="P107" s="65">
        <f>IF(O107&lt;=0,0,Q107/O107)</f>
        <v>1746.3256862745106</v>
      </c>
      <c r="Q107" s="66">
        <f>Q96+Q104+Q99</f>
        <v>178125.22000000009</v>
      </c>
      <c r="R107" s="67">
        <f>J107-O107</f>
        <v>-24</v>
      </c>
      <c r="S107" s="69">
        <f>L107-Q107</f>
        <v>-24248.010000000038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-8.5997124453052298E-2</v>
      </c>
      <c r="N108" s="75">
        <f>N107/I107</f>
        <v>1.6653662927592003E-2</v>
      </c>
      <c r="O108" s="73"/>
      <c r="P108" s="71"/>
      <c r="Q108" s="72"/>
      <c r="R108" s="74">
        <f>O107/R107</f>
        <v>-4.25</v>
      </c>
      <c r="S108" s="148">
        <f>IF(Q107=0,0,(S107/Q107))</f>
        <v>-0.13612901081609907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">
        <v>74</v>
      </c>
      <c r="B109" s="12" t="s">
        <v>74</v>
      </c>
      <c r="C109" s="48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">
        <v>295</v>
      </c>
      <c r="B110" s="12" t="s">
        <v>74</v>
      </c>
      <c r="C110" s="487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">
        <v>296</v>
      </c>
      <c r="B111" s="12" t="s">
        <v>74</v>
      </c>
      <c r="C111" s="481" t="s">
        <v>32</v>
      </c>
      <c r="D111" s="509">
        <f>F111/F96</f>
        <v>0.38549168053244592</v>
      </c>
      <c r="E111" s="83">
        <f t="shared" ref="E111:E119" si="50">F111/D$96</f>
        <v>492.9372340425532</v>
      </c>
      <c r="F111" s="31">
        <v>22493.252427184467</v>
      </c>
      <c r="G111" s="149">
        <f>I111/I96</f>
        <v>0.38549168053244592</v>
      </c>
      <c r="H111" s="83">
        <f t="shared" ref="H111:H119" si="51">I111/G$96</f>
        <v>492.9372340425532</v>
      </c>
      <c r="I111" s="31">
        <v>22493.252427184467</v>
      </c>
      <c r="J111" s="149">
        <f>L111/L96</f>
        <v>0.40090765280555751</v>
      </c>
      <c r="K111" s="83">
        <f t="shared" ref="K111:K119" si="52">IF($J$96=0,0,L111/(J$94+J$95))</f>
        <v>748.14435897435897</v>
      </c>
      <c r="L111" s="34">
        <v>29177.63</v>
      </c>
      <c r="M111" s="42"/>
      <c r="N111" s="60">
        <f t="shared" ref="N111:N152" si="53">L111-I111</f>
        <v>6684.3775728155342</v>
      </c>
      <c r="O111" s="42"/>
      <c r="P111" s="83">
        <f t="shared" ref="P111:P119" si="54">IF($J$96=0,0,Q111/(O$94+O$95))</f>
        <v>639.85146341463417</v>
      </c>
      <c r="Q111" s="34">
        <v>26233.91</v>
      </c>
      <c r="R111" s="42"/>
      <c r="S111" s="86">
        <f t="shared" ref="S111:S152" si="55">L111-Q111</f>
        <v>2943.7200000000012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">
        <v>297</v>
      </c>
      <c r="B112" s="12" t="s">
        <v>74</v>
      </c>
      <c r="C112" s="88" t="s">
        <v>33</v>
      </c>
      <c r="D112" s="510">
        <f>F112/F104</f>
        <v>0.3</v>
      </c>
      <c r="E112" s="90">
        <f t="shared" si="50"/>
        <v>556.12763986814514</v>
      </c>
      <c r="F112" s="23">
        <v>25376.698129905653</v>
      </c>
      <c r="G112" s="93">
        <f>I112/I104</f>
        <v>0.3</v>
      </c>
      <c r="H112" s="90">
        <f t="shared" si="51"/>
        <v>556.12763986814514</v>
      </c>
      <c r="I112" s="23">
        <v>25376.698129905653</v>
      </c>
      <c r="J112" s="93">
        <f>L112/L104</f>
        <v>0.2622502426386249</v>
      </c>
      <c r="K112" s="90">
        <f t="shared" si="52"/>
        <v>435.93333333333339</v>
      </c>
      <c r="L112" s="34">
        <v>17001.400000000001</v>
      </c>
      <c r="M112" s="24"/>
      <c r="N112" s="94">
        <f t="shared" si="53"/>
        <v>-8375.2981299056519</v>
      </c>
      <c r="O112" s="24"/>
      <c r="P112" s="90">
        <f t="shared" si="54"/>
        <v>774.67658536585373</v>
      </c>
      <c r="Q112" s="34">
        <v>31761.74</v>
      </c>
      <c r="R112" s="24"/>
      <c r="S112" s="95">
        <f t="shared" si="55"/>
        <v>-14760.34</v>
      </c>
      <c r="T112" s="14"/>
      <c r="U112" s="14"/>
      <c r="V112" s="12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">
        <v>298</v>
      </c>
      <c r="B113" s="12" t="s">
        <v>74</v>
      </c>
      <c r="C113" s="481" t="s">
        <v>34</v>
      </c>
      <c r="D113" s="82"/>
      <c r="E113" s="83">
        <f t="shared" si="50"/>
        <v>69.809353301886787</v>
      </c>
      <c r="F113" s="31">
        <v>3185.475344843378</v>
      </c>
      <c r="G113" s="84"/>
      <c r="H113" s="83">
        <f t="shared" si="51"/>
        <v>69.809353301886787</v>
      </c>
      <c r="I113" s="31">
        <v>3185.475344843378</v>
      </c>
      <c r="J113" s="42"/>
      <c r="K113" s="83">
        <f t="shared" si="52"/>
        <v>34.773589743589746</v>
      </c>
      <c r="L113" s="111">
        <v>1356.17</v>
      </c>
      <c r="M113" s="42"/>
      <c r="N113" s="60">
        <f t="shared" si="53"/>
        <v>-1829.305344843378</v>
      </c>
      <c r="O113" s="42"/>
      <c r="P113" s="83">
        <f t="shared" si="54"/>
        <v>60.166097560975608</v>
      </c>
      <c r="Q113" s="111">
        <v>2466.81</v>
      </c>
      <c r="R113" s="42"/>
      <c r="S113" s="86">
        <f t="shared" si="55"/>
        <v>-1110.6399999999999</v>
      </c>
      <c r="T113" s="14"/>
      <c r="U113" s="14"/>
      <c r="V113" s="12"/>
      <c r="W113" s="87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">
        <v>299</v>
      </c>
      <c r="B114" s="12" t="s">
        <v>74</v>
      </c>
      <c r="C114" s="481" t="s">
        <v>35</v>
      </c>
      <c r="D114" s="82"/>
      <c r="E114" s="83">
        <f t="shared" si="50"/>
        <v>33.51101497641509</v>
      </c>
      <c r="F114" s="31">
        <v>1529.1434018364168</v>
      </c>
      <c r="G114" s="84"/>
      <c r="H114" s="83">
        <f t="shared" si="51"/>
        <v>33.51101497641509</v>
      </c>
      <c r="I114" s="31">
        <v>1529.1434018364168</v>
      </c>
      <c r="J114" s="42"/>
      <c r="K114" s="83">
        <f t="shared" si="52"/>
        <v>0</v>
      </c>
      <c r="L114" s="34">
        <v>0</v>
      </c>
      <c r="M114" s="42"/>
      <c r="N114" s="60">
        <f t="shared" si="53"/>
        <v>-1529.1434018364168</v>
      </c>
      <c r="O114" s="42"/>
      <c r="P114" s="83">
        <f t="shared" si="54"/>
        <v>91.414390243902432</v>
      </c>
      <c r="Q114" s="34">
        <v>3747.99</v>
      </c>
      <c r="R114" s="42"/>
      <c r="S114" s="86">
        <f t="shared" si="55"/>
        <v>-3747.99</v>
      </c>
      <c r="T114" s="14"/>
      <c r="U114" s="14"/>
      <c r="V114" s="12"/>
      <c r="W114" s="87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">
        <v>300</v>
      </c>
      <c r="B115" s="12" t="s">
        <v>74</v>
      </c>
      <c r="C115" s="88" t="s">
        <v>36</v>
      </c>
      <c r="D115" s="89"/>
      <c r="E115" s="90">
        <f t="shared" si="50"/>
        <v>88.549952830188673</v>
      </c>
      <c r="F115" s="23">
        <v>4040.6289155522991</v>
      </c>
      <c r="G115" s="91"/>
      <c r="H115" s="90">
        <f t="shared" si="51"/>
        <v>88.549952830188673</v>
      </c>
      <c r="I115" s="23">
        <v>4040.6289155522991</v>
      </c>
      <c r="J115" s="24"/>
      <c r="K115" s="90">
        <f t="shared" si="52"/>
        <v>121.49615384615386</v>
      </c>
      <c r="L115" s="49">
        <v>4738.3500000000004</v>
      </c>
      <c r="M115" s="24"/>
      <c r="N115" s="94">
        <f t="shared" si="53"/>
        <v>697.72108444770129</v>
      </c>
      <c r="O115" s="24"/>
      <c r="P115" s="90">
        <f t="shared" si="54"/>
        <v>71.350975609756091</v>
      </c>
      <c r="Q115" s="49">
        <v>2925.39</v>
      </c>
      <c r="R115" s="24"/>
      <c r="S115" s="95">
        <f t="shared" si="55"/>
        <v>1812.9600000000005</v>
      </c>
      <c r="T115" s="14"/>
      <c r="U115" s="83"/>
      <c r="V115" s="12"/>
      <c r="W115" s="87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">
        <v>301</v>
      </c>
      <c r="B116" s="12" t="s">
        <v>74</v>
      </c>
      <c r="C116" s="481" t="s">
        <v>37</v>
      </c>
      <c r="D116" s="82"/>
      <c r="E116" s="83">
        <f t="shared" si="50"/>
        <v>42.755319148936181</v>
      </c>
      <c r="F116" s="31">
        <v>1950.9708737864084</v>
      </c>
      <c r="G116" s="84"/>
      <c r="H116" s="83">
        <f t="shared" si="51"/>
        <v>42.755319148936181</v>
      </c>
      <c r="I116" s="31">
        <v>1950.9708737864084</v>
      </c>
      <c r="J116" s="42"/>
      <c r="K116" s="83">
        <f t="shared" si="52"/>
        <v>159.16846153846154</v>
      </c>
      <c r="L116" s="34">
        <v>6207.57</v>
      </c>
      <c r="M116" s="42"/>
      <c r="N116" s="60">
        <f t="shared" si="53"/>
        <v>4256.5991262135913</v>
      </c>
      <c r="O116" s="42"/>
      <c r="P116" s="83">
        <f t="shared" si="54"/>
        <v>24.071219512195125</v>
      </c>
      <c r="Q116" s="34">
        <v>986.92000000000007</v>
      </c>
      <c r="R116" s="42"/>
      <c r="S116" s="86">
        <f t="shared" si="55"/>
        <v>5220.6499999999996</v>
      </c>
      <c r="T116" s="14"/>
      <c r="U116" s="14"/>
      <c r="V116" s="12"/>
      <c r="W116" s="87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">
        <v>302</v>
      </c>
      <c r="B117" s="12" t="s">
        <v>74</v>
      </c>
      <c r="C117" s="481" t="s">
        <v>38</v>
      </c>
      <c r="D117" s="82"/>
      <c r="E117" s="83">
        <f t="shared" si="50"/>
        <v>19.393562835973054</v>
      </c>
      <c r="F117" s="31">
        <v>884.94898377741129</v>
      </c>
      <c r="G117" s="84"/>
      <c r="H117" s="83">
        <f t="shared" si="51"/>
        <v>19.393562835973054</v>
      </c>
      <c r="I117" s="31">
        <v>884.94898377741129</v>
      </c>
      <c r="J117" s="42"/>
      <c r="K117" s="83">
        <f t="shared" si="52"/>
        <v>125.46153846153847</v>
      </c>
      <c r="L117" s="34">
        <v>4893</v>
      </c>
      <c r="M117" s="42"/>
      <c r="N117" s="60">
        <f t="shared" si="53"/>
        <v>4008.0510162225887</v>
      </c>
      <c r="O117" s="42"/>
      <c r="P117" s="83">
        <f t="shared" si="54"/>
        <v>13.519268292682925</v>
      </c>
      <c r="Q117" s="34">
        <v>554.29</v>
      </c>
      <c r="R117" s="42"/>
      <c r="S117" s="86">
        <f t="shared" si="55"/>
        <v>4338.71</v>
      </c>
      <c r="T117" s="14"/>
      <c r="U117" s="14"/>
      <c r="V117" s="14"/>
      <c r="W117" s="31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">
        <v>303</v>
      </c>
      <c r="B118" s="12" t="s">
        <v>74</v>
      </c>
      <c r="C118" s="481" t="s">
        <v>21</v>
      </c>
      <c r="D118" s="82"/>
      <c r="E118" s="83">
        <f t="shared" si="50"/>
        <v>0</v>
      </c>
      <c r="F118" s="31">
        <v>0</v>
      </c>
      <c r="G118" s="84"/>
      <c r="H118" s="83">
        <f t="shared" si="51"/>
        <v>0</v>
      </c>
      <c r="I118" s="31">
        <v>0</v>
      </c>
      <c r="J118" s="42"/>
      <c r="K118" s="83">
        <f t="shared" si="52"/>
        <v>0</v>
      </c>
      <c r="L118" s="34">
        <v>0</v>
      </c>
      <c r="M118" s="42"/>
      <c r="N118" s="60">
        <f t="shared" si="53"/>
        <v>0</v>
      </c>
      <c r="O118" s="42"/>
      <c r="P118" s="83">
        <f t="shared" si="54"/>
        <v>0</v>
      </c>
      <c r="Q118" s="34">
        <v>0</v>
      </c>
      <c r="R118" s="42"/>
      <c r="S118" s="86">
        <f t="shared" si="55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">
        <v>303</v>
      </c>
      <c r="B119" s="12" t="s">
        <v>74</v>
      </c>
      <c r="C119" s="481" t="s">
        <v>21</v>
      </c>
      <c r="D119" s="82"/>
      <c r="E119" s="83">
        <f t="shared" si="50"/>
        <v>0</v>
      </c>
      <c r="F119" s="31">
        <v>0</v>
      </c>
      <c r="G119" s="84"/>
      <c r="H119" s="83">
        <f t="shared" si="51"/>
        <v>0</v>
      </c>
      <c r="I119" s="31">
        <v>0</v>
      </c>
      <c r="J119" s="42"/>
      <c r="K119" s="83">
        <f t="shared" si="52"/>
        <v>0</v>
      </c>
      <c r="L119" s="34">
        <v>0</v>
      </c>
      <c r="M119" s="42"/>
      <c r="N119" s="60">
        <f t="shared" si="53"/>
        <v>0</v>
      </c>
      <c r="O119" s="42"/>
      <c r="P119" s="83">
        <f t="shared" si="54"/>
        <v>0</v>
      </c>
      <c r="Q119" s="34">
        <v>0</v>
      </c>
      <c r="R119" s="42"/>
      <c r="S119" s="86">
        <f t="shared" si="55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">
        <v>303</v>
      </c>
      <c r="B120" s="12" t="s">
        <v>74</v>
      </c>
      <c r="C120" s="481" t="s">
        <v>21</v>
      </c>
      <c r="D120" s="82"/>
      <c r="E120" s="83">
        <f>F120/D$96</f>
        <v>0</v>
      </c>
      <c r="F120" s="31">
        <v>0</v>
      </c>
      <c r="G120" s="84"/>
      <c r="H120" s="83">
        <f>I120/G$96</f>
        <v>0</v>
      </c>
      <c r="I120" s="31">
        <v>0</v>
      </c>
      <c r="J120" s="42"/>
      <c r="K120" s="83">
        <f>IF($J$96=0,0,L120/(J$94+J$95))</f>
        <v>0</v>
      </c>
      <c r="L120" s="34">
        <v>0</v>
      </c>
      <c r="M120" s="42"/>
      <c r="N120" s="60">
        <f t="shared" si="53"/>
        <v>0</v>
      </c>
      <c r="O120" s="42"/>
      <c r="P120" s="83">
        <f>IF($J$96=0,0,Q120/(O$94+O$95))</f>
        <v>0</v>
      </c>
      <c r="Q120" s="34">
        <v>0</v>
      </c>
      <c r="R120" s="42"/>
      <c r="S120" s="86">
        <f t="shared" si="55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">
        <v>304</v>
      </c>
      <c r="B121" s="12" t="s">
        <v>74</v>
      </c>
      <c r="C121" s="96" t="s">
        <v>39</v>
      </c>
      <c r="D121" s="97" t="s">
        <v>40</v>
      </c>
      <c r="E121" s="98">
        <f>F121/F$107</f>
        <v>0.39285455912955675</v>
      </c>
      <c r="F121" s="99">
        <f>SUM(F111:F120)</f>
        <v>59461.118076886029</v>
      </c>
      <c r="G121" s="100" t="s">
        <v>40</v>
      </c>
      <c r="H121" s="98">
        <f>I121/I$107</f>
        <v>0.39285455912955675</v>
      </c>
      <c r="I121" s="99">
        <f>SUM(I111:I120)</f>
        <v>59461.118076886029</v>
      </c>
      <c r="J121" s="100" t="s">
        <v>40</v>
      </c>
      <c r="K121" s="98">
        <f>L121/L$107</f>
        <v>0.41184864217384742</v>
      </c>
      <c r="L121" s="99">
        <f>SUM(L111:L120)</f>
        <v>63374.119999999995</v>
      </c>
      <c r="M121" s="103"/>
      <c r="N121" s="99">
        <f t="shared" si="53"/>
        <v>3913.0019231139668</v>
      </c>
      <c r="O121" s="100" t="s">
        <v>40</v>
      </c>
      <c r="P121" s="98">
        <f>Q121/Q$107</f>
        <v>0.38555489222693989</v>
      </c>
      <c r="Q121" s="99">
        <f>SUM(Q111:Q120)</f>
        <v>68677.049999999988</v>
      </c>
      <c r="R121" s="103"/>
      <c r="S121" s="104">
        <f t="shared" si="55"/>
        <v>-5302.929999999993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">
        <v>305</v>
      </c>
      <c r="B122" s="12" t="s">
        <v>74</v>
      </c>
      <c r="C122" s="494" t="s">
        <v>42</v>
      </c>
      <c r="D122" s="14"/>
      <c r="E122" s="14"/>
      <c r="F122" s="31">
        <v>8074.4819923371651</v>
      </c>
      <c r="G122" s="42"/>
      <c r="H122" s="14"/>
      <c r="I122" s="31">
        <v>8074.4819923371651</v>
      </c>
      <c r="J122" s="42"/>
      <c r="K122" s="14"/>
      <c r="L122" s="34">
        <v>9642.11</v>
      </c>
      <c r="M122" s="42"/>
      <c r="N122" s="60">
        <f t="shared" si="53"/>
        <v>1567.6280076628354</v>
      </c>
      <c r="O122" s="42"/>
      <c r="P122" s="14"/>
      <c r="Q122" s="34">
        <v>6815.18</v>
      </c>
      <c r="R122" s="42"/>
      <c r="S122" s="86">
        <f t="shared" si="55"/>
        <v>2826.9300000000003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">
        <v>306</v>
      </c>
      <c r="B123" s="12" t="s">
        <v>74</v>
      </c>
      <c r="C123" s="106" t="s">
        <v>43</v>
      </c>
      <c r="D123" s="82"/>
      <c r="E123" s="14"/>
      <c r="F123" s="23">
        <v>2182.6728393409962</v>
      </c>
      <c r="G123" s="84"/>
      <c r="H123" s="14"/>
      <c r="I123" s="23">
        <v>2182.6728393409962</v>
      </c>
      <c r="J123" s="42"/>
      <c r="K123" s="14"/>
      <c r="L123" s="23">
        <v>1585.05</v>
      </c>
      <c r="M123" s="42"/>
      <c r="N123" s="60">
        <f t="shared" si="53"/>
        <v>-597.62283934099628</v>
      </c>
      <c r="O123" s="42"/>
      <c r="P123" s="14"/>
      <c r="Q123" s="23">
        <v>1993.99</v>
      </c>
      <c r="R123" s="42"/>
      <c r="S123" s="86">
        <f t="shared" si="55"/>
        <v>-408.94000000000005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">
        <v>307</v>
      </c>
      <c r="B124" s="12" t="s">
        <v>74</v>
      </c>
      <c r="C124" s="494" t="s">
        <v>44</v>
      </c>
      <c r="D124" s="107"/>
      <c r="E124" s="108"/>
      <c r="F124" s="31">
        <v>8189.7951351417623</v>
      </c>
      <c r="G124" s="109"/>
      <c r="H124" s="108"/>
      <c r="I124" s="31">
        <v>8189.7951351417623</v>
      </c>
      <c r="J124" s="110"/>
      <c r="K124" s="108"/>
      <c r="L124" s="34">
        <v>7057.01</v>
      </c>
      <c r="M124" s="110"/>
      <c r="N124" s="112">
        <f t="shared" si="53"/>
        <v>-1132.7851351417621</v>
      </c>
      <c r="O124" s="110"/>
      <c r="P124" s="108"/>
      <c r="Q124" s="34">
        <v>8332.5499999999993</v>
      </c>
      <c r="R124" s="110"/>
      <c r="S124" s="113">
        <f t="shared" si="55"/>
        <v>-1275.5399999999991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">
        <v>308</v>
      </c>
      <c r="B125" s="12" t="s">
        <v>74</v>
      </c>
      <c r="C125" s="494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f t="shared" si="53"/>
        <v>0</v>
      </c>
      <c r="O125" s="42"/>
      <c r="P125" s="14"/>
      <c r="Q125" s="34">
        <v>0</v>
      </c>
      <c r="R125" s="42"/>
      <c r="S125" s="86">
        <f t="shared" si="55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">
        <v>303</v>
      </c>
      <c r="B126" s="12" t="s">
        <v>74</v>
      </c>
      <c r="C126" s="494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f t="shared" si="53"/>
        <v>0</v>
      </c>
      <c r="O126" s="42"/>
      <c r="P126" s="14"/>
      <c r="Q126" s="34">
        <v>0</v>
      </c>
      <c r="R126" s="42"/>
      <c r="S126" s="86">
        <f t="shared" si="55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">
        <v>303</v>
      </c>
      <c r="B127" s="12" t="s">
        <v>74</v>
      </c>
      <c r="C127" s="494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f t="shared" si="53"/>
        <v>0</v>
      </c>
      <c r="O127" s="42"/>
      <c r="P127" s="14"/>
      <c r="Q127" s="34">
        <v>0</v>
      </c>
      <c r="R127" s="42"/>
      <c r="S127" s="86">
        <f t="shared" si="55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">
        <v>303</v>
      </c>
      <c r="B128" s="12" t="s">
        <v>74</v>
      </c>
      <c r="C128" s="494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f t="shared" si="53"/>
        <v>0</v>
      </c>
      <c r="O128" s="42"/>
      <c r="P128" s="14"/>
      <c r="Q128" s="34">
        <v>0</v>
      </c>
      <c r="R128" s="42"/>
      <c r="S128" s="86">
        <f t="shared" si="55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">
        <v>309</v>
      </c>
      <c r="B129" s="12" t="s">
        <v>74</v>
      </c>
      <c r="C129" s="106" t="s">
        <v>46</v>
      </c>
      <c r="D129" s="82"/>
      <c r="E129" s="14"/>
      <c r="F129" s="31">
        <v>7729.3205346479754</v>
      </c>
      <c r="G129" s="84"/>
      <c r="H129" s="14"/>
      <c r="I129" s="31">
        <v>7729.3205346479754</v>
      </c>
      <c r="J129" s="42"/>
      <c r="K129" s="14"/>
      <c r="L129" s="34">
        <v>6326.55</v>
      </c>
      <c r="M129" s="42"/>
      <c r="N129" s="60">
        <f t="shared" si="53"/>
        <v>-1402.7705346479752</v>
      </c>
      <c r="O129" s="42"/>
      <c r="P129" s="14"/>
      <c r="Q129" s="34">
        <v>4242.43</v>
      </c>
      <c r="R129" s="42"/>
      <c r="S129" s="86">
        <f t="shared" si="55"/>
        <v>2084.12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">
        <v>310</v>
      </c>
      <c r="B130" s="12" t="s">
        <v>74</v>
      </c>
      <c r="C130" s="494" t="s">
        <v>47</v>
      </c>
      <c r="D130" s="107"/>
      <c r="E130" s="108"/>
      <c r="F130" s="55">
        <v>6922.3988384148242</v>
      </c>
      <c r="G130" s="109"/>
      <c r="H130" s="108"/>
      <c r="I130" s="55">
        <v>6922.3988384148242</v>
      </c>
      <c r="J130" s="110"/>
      <c r="K130" s="108"/>
      <c r="L130" s="56">
        <v>3325.6</v>
      </c>
      <c r="M130" s="110"/>
      <c r="N130" s="112">
        <f t="shared" si="53"/>
        <v>-3596.7988384148243</v>
      </c>
      <c r="O130" s="110"/>
      <c r="P130" s="108"/>
      <c r="Q130" s="56">
        <v>9012.56</v>
      </c>
      <c r="R130" s="110"/>
      <c r="S130" s="113">
        <f t="shared" si="55"/>
        <v>-5686.9599999999991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">
        <v>311</v>
      </c>
      <c r="B131" s="12" t="s">
        <v>74</v>
      </c>
      <c r="C131" s="494" t="s">
        <v>48</v>
      </c>
      <c r="D131" s="82"/>
      <c r="E131" s="14"/>
      <c r="F131" s="31">
        <v>5497.1990775647137</v>
      </c>
      <c r="G131" s="84"/>
      <c r="H131" s="14"/>
      <c r="I131" s="31">
        <v>5497.1990775647137</v>
      </c>
      <c r="J131" s="42"/>
      <c r="K131" s="14"/>
      <c r="L131" s="34">
        <v>2754.64</v>
      </c>
      <c r="M131" s="42"/>
      <c r="N131" s="60">
        <f t="shared" si="53"/>
        <v>-2742.5590775647138</v>
      </c>
      <c r="O131" s="42"/>
      <c r="P131" s="14"/>
      <c r="Q131" s="34">
        <v>6459</v>
      </c>
      <c r="R131" s="42"/>
      <c r="S131" s="86">
        <f t="shared" si="55"/>
        <v>-3704.36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">
        <v>312</v>
      </c>
      <c r="B132" s="12" t="s">
        <v>74</v>
      </c>
      <c r="C132" s="494" t="s">
        <v>49</v>
      </c>
      <c r="D132" s="82"/>
      <c r="E132" s="14"/>
      <c r="F132" s="31">
        <v>2239.5996241930316</v>
      </c>
      <c r="G132" s="84"/>
      <c r="H132" s="14"/>
      <c r="I132" s="31">
        <v>2239.5996241930316</v>
      </c>
      <c r="J132" s="42"/>
      <c r="K132" s="14"/>
      <c r="L132" s="34">
        <v>2150.25</v>
      </c>
      <c r="M132" s="42"/>
      <c r="N132" s="60">
        <f t="shared" si="53"/>
        <v>-89.349624193031559</v>
      </c>
      <c r="O132" s="42"/>
      <c r="P132" s="14"/>
      <c r="Q132" s="34">
        <v>1502.09</v>
      </c>
      <c r="R132" s="42"/>
      <c r="S132" s="86">
        <f t="shared" si="55"/>
        <v>648.16000000000008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">
        <v>303</v>
      </c>
      <c r="B133" s="12" t="s">
        <v>74</v>
      </c>
      <c r="C133" s="481" t="s">
        <v>21</v>
      </c>
      <c r="D133" s="89"/>
      <c r="E133" s="114"/>
      <c r="F133" s="31">
        <v>0</v>
      </c>
      <c r="G133" s="91"/>
      <c r="H133" s="114"/>
      <c r="I133" s="31">
        <v>0</v>
      </c>
      <c r="J133" s="24"/>
      <c r="K133" s="114"/>
      <c r="L133" s="34">
        <v>0</v>
      </c>
      <c r="M133" s="24"/>
      <c r="N133" s="150">
        <f t="shared" si="53"/>
        <v>0</v>
      </c>
      <c r="O133" s="24"/>
      <c r="P133" s="114"/>
      <c r="Q133" s="34">
        <v>0</v>
      </c>
      <c r="R133" s="24"/>
      <c r="S133" s="95">
        <f t="shared" si="55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">
        <v>313</v>
      </c>
      <c r="B134" s="12" t="s">
        <v>74</v>
      </c>
      <c r="C134" s="96" t="s">
        <v>50</v>
      </c>
      <c r="D134" s="97" t="s">
        <v>40</v>
      </c>
      <c r="E134" s="98">
        <f>F134/F$107</f>
        <v>0.26979647058779138</v>
      </c>
      <c r="F134" s="99">
        <f>+SUM(F122:F133)</f>
        <v>40835.468041640474</v>
      </c>
      <c r="G134" s="100" t="s">
        <v>40</v>
      </c>
      <c r="H134" s="98">
        <f>I134/I$107</f>
        <v>0.26979647058779138</v>
      </c>
      <c r="I134" s="99">
        <f>+SUM(I122:I133)</f>
        <v>40835.468041640474</v>
      </c>
      <c r="J134" s="100" t="s">
        <v>40</v>
      </c>
      <c r="K134" s="98">
        <f>L134/L$107</f>
        <v>0.21342478200638015</v>
      </c>
      <c r="L134" s="99">
        <f>SUM(L122:L133)</f>
        <v>32841.209999999992</v>
      </c>
      <c r="M134" s="151"/>
      <c r="N134" s="116">
        <f t="shared" si="53"/>
        <v>-7994.2580416404817</v>
      </c>
      <c r="O134" s="100" t="s">
        <v>40</v>
      </c>
      <c r="P134" s="98">
        <f>Q134/Q$107</f>
        <v>0.21534176912174469</v>
      </c>
      <c r="Q134" s="99">
        <f>SUM(Q122:Q133)</f>
        <v>38357.799999999996</v>
      </c>
      <c r="R134" s="151"/>
      <c r="S134" s="117">
        <f t="shared" si="55"/>
        <v>-5516.5900000000038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">
        <v>314</v>
      </c>
      <c r="B135" s="12" t="s">
        <v>74</v>
      </c>
      <c r="C135" s="481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f t="shared" si="53"/>
        <v>0</v>
      </c>
      <c r="O135" s="42"/>
      <c r="P135" s="14"/>
      <c r="Q135" s="34">
        <v>0</v>
      </c>
      <c r="R135" s="42"/>
      <c r="S135" s="86">
        <f t="shared" si="55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">
        <v>315</v>
      </c>
      <c r="B136" s="12" t="s">
        <v>74</v>
      </c>
      <c r="C136" s="481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f t="shared" si="53"/>
        <v>0</v>
      </c>
      <c r="O136" s="42"/>
      <c r="P136" s="14"/>
      <c r="Q136" s="34">
        <v>0</v>
      </c>
      <c r="R136" s="42"/>
      <c r="S136" s="86">
        <f t="shared" si="55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">
        <v>316</v>
      </c>
      <c r="B137" s="12" t="s">
        <v>74</v>
      </c>
      <c r="C137" s="88" t="s">
        <v>53</v>
      </c>
      <c r="D137" s="89"/>
      <c r="E137" s="114"/>
      <c r="F137" s="23">
        <v>125.03999999999999</v>
      </c>
      <c r="G137" s="91"/>
      <c r="H137" s="114"/>
      <c r="I137" s="23">
        <v>125.03999999999999</v>
      </c>
      <c r="J137" s="24"/>
      <c r="K137" s="114"/>
      <c r="L137" s="23">
        <v>132.36000000000001</v>
      </c>
      <c r="M137" s="24"/>
      <c r="N137" s="94">
        <f t="shared" si="53"/>
        <v>7.3200000000000216</v>
      </c>
      <c r="O137" s="24"/>
      <c r="P137" s="114"/>
      <c r="Q137" s="23">
        <v>-540.88</v>
      </c>
      <c r="R137" s="24"/>
      <c r="S137" s="95">
        <f t="shared" si="55"/>
        <v>673.24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">
        <v>317</v>
      </c>
      <c r="B138" s="12" t="s">
        <v>74</v>
      </c>
      <c r="C138" s="481" t="s">
        <v>54</v>
      </c>
      <c r="D138" s="82"/>
      <c r="E138" s="14"/>
      <c r="F138" s="31">
        <v>2428.3689099999997</v>
      </c>
      <c r="G138" s="84"/>
      <c r="H138" s="14"/>
      <c r="I138" s="31">
        <v>2428.3689099999997</v>
      </c>
      <c r="J138" s="42"/>
      <c r="K138" s="14"/>
      <c r="L138" s="34">
        <v>2804.25</v>
      </c>
      <c r="M138" s="42"/>
      <c r="N138" s="60">
        <f t="shared" si="53"/>
        <v>375.88109000000031</v>
      </c>
      <c r="O138" s="42"/>
      <c r="P138" s="14"/>
      <c r="Q138" s="34">
        <v>1870.65</v>
      </c>
      <c r="R138" s="42"/>
      <c r="S138" s="86">
        <f t="shared" si="55"/>
        <v>933.59999999999991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">
        <v>318</v>
      </c>
      <c r="B139" s="12" t="s">
        <v>74</v>
      </c>
      <c r="C139" s="481" t="s">
        <v>55</v>
      </c>
      <c r="D139" s="82"/>
      <c r="E139" s="14"/>
      <c r="F139" s="31">
        <v>297.05317500000001</v>
      </c>
      <c r="G139" s="84"/>
      <c r="H139" s="14"/>
      <c r="I139" s="31">
        <v>297.05317500000001</v>
      </c>
      <c r="J139" s="42"/>
      <c r="K139" s="14"/>
      <c r="L139" s="34">
        <v>120.55</v>
      </c>
      <c r="M139" s="42"/>
      <c r="N139" s="60">
        <f t="shared" si="53"/>
        <v>-176.503175</v>
      </c>
      <c r="O139" s="42"/>
      <c r="P139" s="14"/>
      <c r="Q139" s="34">
        <v>867.43</v>
      </c>
      <c r="R139" s="42"/>
      <c r="S139" s="86">
        <f t="shared" si="55"/>
        <v>-746.88</v>
      </c>
      <c r="T139" s="152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">
        <v>319</v>
      </c>
      <c r="B140" s="12" t="s">
        <v>74</v>
      </c>
      <c r="C140" s="88" t="s">
        <v>56</v>
      </c>
      <c r="D140" s="89"/>
      <c r="E140" s="114"/>
      <c r="F140" s="23">
        <v>1520.4438666666665</v>
      </c>
      <c r="G140" s="91"/>
      <c r="H140" s="114"/>
      <c r="I140" s="23">
        <v>1520.4438666666665</v>
      </c>
      <c r="J140" s="24"/>
      <c r="K140" s="114"/>
      <c r="L140" s="23">
        <v>1365.76</v>
      </c>
      <c r="M140" s="24"/>
      <c r="N140" s="94">
        <f t="shared" si="53"/>
        <v>-154.68386666666652</v>
      </c>
      <c r="O140" s="24"/>
      <c r="P140" s="114"/>
      <c r="Q140" s="23">
        <v>1071.28</v>
      </c>
      <c r="R140" s="24"/>
      <c r="S140" s="95">
        <f t="shared" si="55"/>
        <v>294.48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">
        <v>320</v>
      </c>
      <c r="B141" s="12" t="s">
        <v>74</v>
      </c>
      <c r="C141" s="481" t="s">
        <v>57</v>
      </c>
      <c r="D141" s="82"/>
      <c r="E141" s="14"/>
      <c r="F141" s="31">
        <v>99.362811590243282</v>
      </c>
      <c r="G141" s="84"/>
      <c r="H141" s="14"/>
      <c r="I141" s="31">
        <v>99.362811590243282</v>
      </c>
      <c r="J141" s="42"/>
      <c r="K141" s="14"/>
      <c r="L141" s="34">
        <v>579.89</v>
      </c>
      <c r="M141" s="42"/>
      <c r="N141" s="60">
        <f t="shared" si="53"/>
        <v>480.52718840975672</v>
      </c>
      <c r="O141" s="42"/>
      <c r="P141" s="14"/>
      <c r="Q141" s="34">
        <v>0</v>
      </c>
      <c r="R141" s="42"/>
      <c r="S141" s="86">
        <f t="shared" si="55"/>
        <v>579.89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">
        <v>321</v>
      </c>
      <c r="B142" s="12" t="s">
        <v>74</v>
      </c>
      <c r="C142" s="481" t="s">
        <v>58</v>
      </c>
      <c r="D142" s="82"/>
      <c r="E142" s="14"/>
      <c r="F142" s="31">
        <v>52.798786051137185</v>
      </c>
      <c r="G142" s="84"/>
      <c r="H142" s="14"/>
      <c r="I142" s="31">
        <v>52.798786051137185</v>
      </c>
      <c r="J142" s="42"/>
      <c r="K142" s="14"/>
      <c r="L142" s="34">
        <v>0</v>
      </c>
      <c r="M142" s="42"/>
      <c r="N142" s="60">
        <f t="shared" si="53"/>
        <v>-52.798786051137185</v>
      </c>
      <c r="O142" s="42"/>
      <c r="P142" s="14"/>
      <c r="Q142" s="34">
        <v>0</v>
      </c>
      <c r="R142" s="42"/>
      <c r="S142" s="86">
        <f t="shared" si="55"/>
        <v>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">
        <v>322</v>
      </c>
      <c r="B143" s="12" t="s">
        <v>74</v>
      </c>
      <c r="C143" s="481" t="s">
        <v>59</v>
      </c>
      <c r="D143" s="82"/>
      <c r="E143" s="14"/>
      <c r="F143" s="31">
        <v>244.82411999999999</v>
      </c>
      <c r="G143" s="84"/>
      <c r="H143" s="14"/>
      <c r="I143" s="31">
        <v>244.82411999999999</v>
      </c>
      <c r="J143" s="42"/>
      <c r="K143" s="14"/>
      <c r="L143" s="33">
        <v>369.17</v>
      </c>
      <c r="M143" s="42"/>
      <c r="N143" s="60">
        <f t="shared" si="53"/>
        <v>124.34588000000002</v>
      </c>
      <c r="O143" s="42"/>
      <c r="P143" s="14"/>
      <c r="Q143" s="33">
        <v>175</v>
      </c>
      <c r="R143" s="42"/>
      <c r="S143" s="86">
        <f t="shared" si="55"/>
        <v>194.17000000000002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">
        <v>323</v>
      </c>
      <c r="B144" s="12" t="s">
        <v>74</v>
      </c>
      <c r="C144" s="481" t="s">
        <v>60</v>
      </c>
      <c r="D144" s="82"/>
      <c r="E144" s="14"/>
      <c r="F144" s="31">
        <v>113.04919750000001</v>
      </c>
      <c r="G144" s="84"/>
      <c r="H144" s="14"/>
      <c r="I144" s="31">
        <v>113.04919750000001</v>
      </c>
      <c r="J144" s="42"/>
      <c r="K144" s="14"/>
      <c r="L144" s="34">
        <v>46.55</v>
      </c>
      <c r="M144" s="42"/>
      <c r="N144" s="60">
        <f t="shared" si="53"/>
        <v>-66.499197500000008</v>
      </c>
      <c r="O144" s="42"/>
      <c r="P144" s="14"/>
      <c r="Q144" s="34">
        <v>33.44</v>
      </c>
      <c r="R144" s="42"/>
      <c r="S144" s="86">
        <f t="shared" si="55"/>
        <v>13.11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">
        <v>324</v>
      </c>
      <c r="B145" s="12" t="s">
        <v>74</v>
      </c>
      <c r="C145" s="481" t="s">
        <v>61</v>
      </c>
      <c r="D145" s="82"/>
      <c r="E145" s="14"/>
      <c r="F145" s="31">
        <v>60.343902499999984</v>
      </c>
      <c r="G145" s="84"/>
      <c r="H145" s="14"/>
      <c r="I145" s="31">
        <v>60.343902499999984</v>
      </c>
      <c r="J145" s="42"/>
      <c r="K145" s="14"/>
      <c r="L145" s="34">
        <v>100.82</v>
      </c>
      <c r="M145" s="42"/>
      <c r="N145" s="60">
        <f t="shared" si="53"/>
        <v>40.476097500000009</v>
      </c>
      <c r="O145" s="42"/>
      <c r="P145" s="14"/>
      <c r="Q145" s="34">
        <v>125.63</v>
      </c>
      <c r="R145" s="42"/>
      <c r="S145" s="86">
        <f t="shared" si="55"/>
        <v>-24.810000000000002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">
        <v>325</v>
      </c>
      <c r="B146" s="12" t="s">
        <v>74</v>
      </c>
      <c r="C146" s="481" t="s">
        <v>62</v>
      </c>
      <c r="D146" s="82"/>
      <c r="E146" s="14"/>
      <c r="F146" s="31">
        <v>291.0875974999999</v>
      </c>
      <c r="G146" s="84"/>
      <c r="H146" s="14"/>
      <c r="I146" s="31">
        <v>291.0875974999999</v>
      </c>
      <c r="J146" s="42"/>
      <c r="K146" s="14"/>
      <c r="L146" s="34">
        <v>52.58</v>
      </c>
      <c r="M146" s="42"/>
      <c r="N146" s="60">
        <f t="shared" si="53"/>
        <v>-238.50759749999992</v>
      </c>
      <c r="O146" s="42"/>
      <c r="P146" s="14"/>
      <c r="Q146" s="34">
        <v>301.39999999999998</v>
      </c>
      <c r="R146" s="42"/>
      <c r="S146" s="86">
        <f t="shared" si="55"/>
        <v>-248.82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">
        <v>326</v>
      </c>
      <c r="B147" s="12" t="s">
        <v>74</v>
      </c>
      <c r="C147" s="481" t="s">
        <v>63</v>
      </c>
      <c r="D147" s="82"/>
      <c r="E147" s="14"/>
      <c r="F147" s="31">
        <v>432.47109999999998</v>
      </c>
      <c r="G147" s="84"/>
      <c r="H147" s="14"/>
      <c r="I147" s="31">
        <v>432.47109999999998</v>
      </c>
      <c r="J147" s="42"/>
      <c r="K147" s="14"/>
      <c r="L147" s="34">
        <v>138.30000000000001</v>
      </c>
      <c r="M147" s="42"/>
      <c r="N147" s="60">
        <f t="shared" si="53"/>
        <v>-294.17109999999997</v>
      </c>
      <c r="O147" s="42"/>
      <c r="P147" s="14"/>
      <c r="Q147" s="34">
        <v>10.62</v>
      </c>
      <c r="R147" s="42"/>
      <c r="S147" s="86">
        <f t="shared" si="55"/>
        <v>127.68</v>
      </c>
      <c r="T147" s="14"/>
      <c r="U147" s="14"/>
      <c r="V147" s="14"/>
      <c r="W147" s="495" t="s">
        <v>496</v>
      </c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">
        <v>327</v>
      </c>
      <c r="B148" s="12" t="s">
        <v>74</v>
      </c>
      <c r="C148" s="481" t="s">
        <v>64</v>
      </c>
      <c r="D148" s="82"/>
      <c r="E148" s="14"/>
      <c r="F148" s="31">
        <v>696.67018378284752</v>
      </c>
      <c r="G148" s="84"/>
      <c r="H148" s="14"/>
      <c r="I148" s="31">
        <v>696.67018378284752</v>
      </c>
      <c r="J148" s="496"/>
      <c r="K148" s="497"/>
      <c r="L148" s="498">
        <v>844.71</v>
      </c>
      <c r="M148" s="42"/>
      <c r="N148" s="60">
        <f t="shared" si="53"/>
        <v>148.03981621715252</v>
      </c>
      <c r="O148" s="42"/>
      <c r="P148" s="14"/>
      <c r="Q148" s="34">
        <f>AL447*W4</f>
        <v>704.00800000000004</v>
      </c>
      <c r="R148" s="42"/>
      <c r="S148" s="86">
        <f t="shared" si="55"/>
        <v>140.702</v>
      </c>
      <c r="T148" s="83"/>
      <c r="U148" s="499" t="s">
        <v>497</v>
      </c>
      <c r="V148" s="497"/>
      <c r="W148" s="500">
        <v>4349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">
        <v>303</v>
      </c>
      <c r="B149" s="12" t="s">
        <v>74</v>
      </c>
      <c r="C149" s="481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f t="shared" si="53"/>
        <v>0</v>
      </c>
      <c r="O149" s="42"/>
      <c r="P149" s="14"/>
      <c r="Q149" s="34">
        <v>0</v>
      </c>
      <c r="R149" s="42"/>
      <c r="S149" s="86">
        <f t="shared" si="55"/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">
        <v>303</v>
      </c>
      <c r="B150" s="12" t="s">
        <v>74</v>
      </c>
      <c r="C150" s="481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f t="shared" si="53"/>
        <v>0</v>
      </c>
      <c r="O150" s="42"/>
      <c r="P150" s="14"/>
      <c r="Q150" s="34">
        <v>0</v>
      </c>
      <c r="R150" s="42"/>
      <c r="S150" s="86">
        <f t="shared" si="55"/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">
        <v>303</v>
      </c>
      <c r="B151" s="12" t="s">
        <v>74</v>
      </c>
      <c r="C151" s="481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f t="shared" si="53"/>
        <v>0</v>
      </c>
      <c r="O151" s="42"/>
      <c r="P151" s="14"/>
      <c r="Q151" s="34">
        <v>0</v>
      </c>
      <c r="R151" s="42"/>
      <c r="S151" s="86">
        <f t="shared" si="55"/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">
        <v>328</v>
      </c>
      <c r="B152" s="12" t="s">
        <v>74</v>
      </c>
      <c r="C152" s="96" t="s">
        <v>65</v>
      </c>
      <c r="D152" s="97" t="s">
        <v>40</v>
      </c>
      <c r="E152" s="98">
        <f>F152/F$107</f>
        <v>4.2029980623102717E-2</v>
      </c>
      <c r="F152" s="99">
        <f>+SUM(F135:F151)</f>
        <v>6361.513650590894</v>
      </c>
      <c r="G152" s="100" t="s">
        <v>40</v>
      </c>
      <c r="H152" s="98">
        <f>I152/I$107</f>
        <v>4.2029980623102717E-2</v>
      </c>
      <c r="I152" s="99">
        <f>+SUM(I135:I151)</f>
        <v>6361.513650590894</v>
      </c>
      <c r="J152" s="100" t="s">
        <v>40</v>
      </c>
      <c r="K152" s="98">
        <f>L152/L$107</f>
        <v>4.259851085160693E-2</v>
      </c>
      <c r="L152" s="99">
        <f>+SUM(L135:L151)</f>
        <v>6554.9400000000005</v>
      </c>
      <c r="M152" s="103"/>
      <c r="N152" s="99">
        <f t="shared" si="53"/>
        <v>193.42634940910648</v>
      </c>
      <c r="O152" s="100" t="s">
        <v>40</v>
      </c>
      <c r="P152" s="98">
        <f>Q152/Q$107</f>
        <v>2.5928826922992698E-2</v>
      </c>
      <c r="Q152" s="99">
        <f>+SUM(Q135:Q151)</f>
        <v>4618.5779999999995</v>
      </c>
      <c r="R152" s="103"/>
      <c r="S152" s="104">
        <f t="shared" si="55"/>
        <v>1936.362000000001</v>
      </c>
      <c r="T152" s="115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">
        <v>74</v>
      </c>
      <c r="B153" s="12" t="s">
        <v>74</v>
      </c>
      <c r="C153" s="88"/>
      <c r="D153" s="89"/>
      <c r="E153" s="114"/>
      <c r="F153" s="60"/>
      <c r="G153" s="91"/>
      <c r="H153" s="114"/>
      <c r="I153" s="60"/>
      <c r="J153" s="24"/>
      <c r="K153" s="114"/>
      <c r="L153" s="94"/>
      <c r="M153" s="24"/>
      <c r="N153" s="94"/>
      <c r="O153" s="24"/>
      <c r="P153" s="114"/>
      <c r="Q153" s="94"/>
      <c r="R153" s="24"/>
      <c r="S153" s="95"/>
      <c r="T153" s="115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">
        <v>329</v>
      </c>
      <c r="B154" s="12" t="s">
        <v>74</v>
      </c>
      <c r="C154" s="96" t="s">
        <v>66</v>
      </c>
      <c r="D154" s="97" t="s">
        <v>40</v>
      </c>
      <c r="E154" s="98">
        <f>F154/F$107</f>
        <v>0.70468101034045072</v>
      </c>
      <c r="F154" s="99">
        <f>F121+F134+F152</f>
        <v>106658.09976911738</v>
      </c>
      <c r="G154" s="100" t="s">
        <v>40</v>
      </c>
      <c r="H154" s="98">
        <f>I154/I$107</f>
        <v>0.70468101034045072</v>
      </c>
      <c r="I154" s="99">
        <f>I121+I134+I152</f>
        <v>106658.09976911738</v>
      </c>
      <c r="J154" s="100" t="s">
        <v>40</v>
      </c>
      <c r="K154" s="98">
        <f>L154/L$107</f>
        <v>0.66787193503183451</v>
      </c>
      <c r="L154" s="99">
        <f>L121+L134+L152</f>
        <v>102770.26999999999</v>
      </c>
      <c r="M154" s="103"/>
      <c r="N154" s="116">
        <f>L154-I154</f>
        <v>-3887.8297691173939</v>
      </c>
      <c r="O154" s="100" t="s">
        <v>40</v>
      </c>
      <c r="P154" s="98">
        <f>Q154/Q$107</f>
        <v>0.62682548827167717</v>
      </c>
      <c r="Q154" s="99">
        <f>Q121+Q134+Q152</f>
        <v>111653.42799999997</v>
      </c>
      <c r="R154" s="103"/>
      <c r="S154" s="117">
        <f>L154-Q154</f>
        <v>-8883.1579999999813</v>
      </c>
      <c r="T154" s="115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">
        <v>330</v>
      </c>
      <c r="B155" s="12" t="s">
        <v>74</v>
      </c>
      <c r="C155" s="481" t="s">
        <v>215</v>
      </c>
      <c r="D155" s="153"/>
      <c r="E155" s="154"/>
      <c r="F155" s="31">
        <v>0</v>
      </c>
      <c r="G155" s="155"/>
      <c r="H155" s="154"/>
      <c r="I155" s="31">
        <v>0</v>
      </c>
      <c r="J155" s="155"/>
      <c r="K155" s="154"/>
      <c r="L155" s="33">
        <v>0</v>
      </c>
      <c r="M155" s="42"/>
      <c r="N155" s="60">
        <f t="shared" ref="N155:N161" si="56">L155-I155</f>
        <v>0</v>
      </c>
      <c r="O155" s="155"/>
      <c r="P155" s="154"/>
      <c r="Q155" s="34">
        <v>0</v>
      </c>
      <c r="R155" s="42"/>
      <c r="S155" s="86">
        <f t="shared" ref="S155:S161" si="57">L155-Q155</f>
        <v>0</v>
      </c>
      <c r="T155" s="115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">
        <v>331</v>
      </c>
      <c r="B156" s="12" t="s">
        <v>74</v>
      </c>
      <c r="C156" s="481" t="s">
        <v>82</v>
      </c>
      <c r="D156" s="153"/>
      <c r="E156" s="154"/>
      <c r="F156" s="31">
        <v>0</v>
      </c>
      <c r="G156" s="155"/>
      <c r="H156" s="154"/>
      <c r="I156" s="31">
        <v>0</v>
      </c>
      <c r="J156" s="155"/>
      <c r="K156" s="154"/>
      <c r="L156" s="34">
        <v>0</v>
      </c>
      <c r="M156" s="42"/>
      <c r="N156" s="60">
        <f t="shared" si="56"/>
        <v>0</v>
      </c>
      <c r="O156" s="155"/>
      <c r="P156" s="154"/>
      <c r="Q156" s="34">
        <v>0</v>
      </c>
      <c r="R156" s="42"/>
      <c r="S156" s="86">
        <f t="shared" si="57"/>
        <v>0</v>
      </c>
      <c r="T156" s="115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">
        <v>332</v>
      </c>
      <c r="B157" s="12" t="s">
        <v>74</v>
      </c>
      <c r="C157" s="481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f t="shared" si="56"/>
        <v>0</v>
      </c>
      <c r="O157" s="42"/>
      <c r="P157" s="14"/>
      <c r="Q157" s="34">
        <v>0</v>
      </c>
      <c r="R157" s="42"/>
      <c r="S157" s="86">
        <f t="shared" si="57"/>
        <v>0</v>
      </c>
      <c r="T157" s="115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">
        <v>333</v>
      </c>
      <c r="B158" s="12" t="s">
        <v>74</v>
      </c>
      <c r="C158" s="481" t="s">
        <v>71</v>
      </c>
      <c r="D158" s="82"/>
      <c r="E158" s="14"/>
      <c r="F158" s="31">
        <v>16386.11650485437</v>
      </c>
      <c r="G158" s="84"/>
      <c r="H158" s="14"/>
      <c r="I158" s="31">
        <v>16386.11650485437</v>
      </c>
      <c r="J158" s="160">
        <f>+L158/K158</f>
        <v>39</v>
      </c>
      <c r="K158" s="503">
        <f>+L158/J96</f>
        <v>363.66666666666669</v>
      </c>
      <c r="L158" s="33">
        <v>14183</v>
      </c>
      <c r="M158" s="42"/>
      <c r="N158" s="60">
        <f t="shared" si="56"/>
        <v>-2203.1165048543699</v>
      </c>
      <c r="O158" s="42"/>
      <c r="P158" s="14"/>
      <c r="Q158" s="34">
        <f>349*O96</f>
        <v>14309</v>
      </c>
      <c r="R158" s="42"/>
      <c r="S158" s="86">
        <f t="shared" si="57"/>
        <v>-126</v>
      </c>
      <c r="T158" s="115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">
        <v>303</v>
      </c>
      <c r="B159" s="12" t="s">
        <v>74</v>
      </c>
      <c r="C159" s="481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f t="shared" si="56"/>
        <v>0</v>
      </c>
      <c r="O159" s="42"/>
      <c r="P159" s="14"/>
      <c r="Q159" s="34">
        <v>0</v>
      </c>
      <c r="R159" s="42"/>
      <c r="S159" s="86">
        <f t="shared" si="57"/>
        <v>0</v>
      </c>
      <c r="T159" s="115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">
        <v>303</v>
      </c>
      <c r="B160" s="12" t="s">
        <v>74</v>
      </c>
      <c r="C160" s="481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f t="shared" si="56"/>
        <v>0</v>
      </c>
      <c r="O160" s="42"/>
      <c r="P160" s="14"/>
      <c r="Q160" s="34">
        <v>0</v>
      </c>
      <c r="R160" s="42"/>
      <c r="S160" s="86">
        <f t="shared" si="57"/>
        <v>0</v>
      </c>
      <c r="T160" s="115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">
        <v>303</v>
      </c>
      <c r="B161" s="12" t="s">
        <v>74</v>
      </c>
      <c r="C161" s="88" t="s">
        <v>21</v>
      </c>
      <c r="D161" s="89"/>
      <c r="E161" s="114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f t="shared" si="56"/>
        <v>0</v>
      </c>
      <c r="O161" s="42"/>
      <c r="P161" s="14"/>
      <c r="Q161" s="34">
        <v>0</v>
      </c>
      <c r="R161" s="42"/>
      <c r="S161" s="86">
        <f t="shared" si="57"/>
        <v>0</v>
      </c>
      <c r="T161" s="115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6" t="s">
        <v>72</v>
      </c>
      <c r="D162" s="97"/>
      <c r="E162" s="98"/>
      <c r="F162" s="99">
        <f>+SUM(F155:F161)</f>
        <v>16386.11650485437</v>
      </c>
      <c r="G162" s="100"/>
      <c r="H162" s="98"/>
      <c r="I162" s="99">
        <f>+SUM(I155:I161)</f>
        <v>16386.11650485437</v>
      </c>
      <c r="J162" s="100"/>
      <c r="K162" s="98"/>
      <c r="L162" s="99">
        <f>+SUM(L155:L161)</f>
        <v>14183</v>
      </c>
      <c r="M162" s="103"/>
      <c r="N162" s="99">
        <f>SUM(N157:N157)</f>
        <v>0</v>
      </c>
      <c r="O162" s="100"/>
      <c r="P162" s="98"/>
      <c r="Q162" s="99">
        <f>+SUM(Q155:Q161)</f>
        <v>14309</v>
      </c>
      <c r="R162" s="103"/>
      <c r="S162" s="104">
        <f>+SUM(S155:S161)</f>
        <v>-126</v>
      </c>
      <c r="T162" s="11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481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7" t="s">
        <v>73</v>
      </c>
      <c r="D164" s="156"/>
      <c r="E164" s="128"/>
      <c r="F164" s="130">
        <f>F107-F154+F162</f>
        <v>61084.585458353664</v>
      </c>
      <c r="G164" s="157"/>
      <c r="H164" s="128"/>
      <c r="I164" s="130">
        <f>I107-I154+I162</f>
        <v>61084.585458353664</v>
      </c>
      <c r="J164" s="158"/>
      <c r="K164" s="129"/>
      <c r="L164" s="130">
        <f>L107-L154+L162</f>
        <v>65289.940000000061</v>
      </c>
      <c r="M164" s="158"/>
      <c r="N164" s="130">
        <f>L164-I164</f>
        <v>4205.3545416463967</v>
      </c>
      <c r="O164" s="158"/>
      <c r="P164" s="129"/>
      <c r="Q164" s="130">
        <f>Q107-Q154+Q162</f>
        <v>80780.792000000118</v>
      </c>
      <c r="R164" s="158"/>
      <c r="S164" s="132">
        <f>L164-Q164</f>
        <v>-15490.852000000057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59"/>
      <c r="M165" s="11"/>
      <c r="N165" s="11"/>
      <c r="O165" s="11"/>
      <c r="P165" s="11"/>
      <c r="Q165" s="11"/>
      <c r="R165" s="11"/>
      <c r="S165" s="11"/>
      <c r="T165" s="159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9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475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Juillet 2022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64" t="s">
        <v>5</v>
      </c>
      <c r="E169" s="565"/>
      <c r="F169" s="566"/>
      <c r="G169" s="562" t="s">
        <v>75</v>
      </c>
      <c r="H169" s="565"/>
      <c r="I169" s="566"/>
      <c r="J169" s="562" t="s">
        <v>7</v>
      </c>
      <c r="K169" s="565"/>
      <c r="L169" s="566"/>
      <c r="M169" s="562" t="s">
        <v>8</v>
      </c>
      <c r="N169" s="566"/>
      <c r="O169" s="564" t="s">
        <v>9</v>
      </c>
      <c r="P169" s="565"/>
      <c r="Q169" s="566"/>
      <c r="R169" s="562" t="s">
        <v>10</v>
      </c>
      <c r="S169" s="563"/>
      <c r="T169" s="153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">
        <v>84</v>
      </c>
      <c r="B170" s="12" t="s">
        <v>84</v>
      </c>
      <c r="C170" s="481"/>
      <c r="D170" s="81" t="s">
        <v>41</v>
      </c>
      <c r="E170" s="81" t="s">
        <v>85</v>
      </c>
      <c r="F170" s="137" t="s">
        <v>13</v>
      </c>
      <c r="G170" s="138" t="s">
        <v>41</v>
      </c>
      <c r="H170" s="81" t="s">
        <v>85</v>
      </c>
      <c r="I170" s="137" t="s">
        <v>13</v>
      </c>
      <c r="J170" s="138" t="s">
        <v>41</v>
      </c>
      <c r="K170" s="81" t="s">
        <v>85</v>
      </c>
      <c r="L170" s="137" t="s">
        <v>13</v>
      </c>
      <c r="M170" s="138" t="s">
        <v>41</v>
      </c>
      <c r="N170" s="137" t="s">
        <v>13</v>
      </c>
      <c r="O170" s="81" t="s">
        <v>41</v>
      </c>
      <c r="P170" s="81" t="s">
        <v>85</v>
      </c>
      <c r="Q170" s="137" t="s">
        <v>13</v>
      </c>
      <c r="R170" s="138" t="s">
        <v>86</v>
      </c>
      <c r="S170" s="139" t="s">
        <v>13</v>
      </c>
      <c r="T170" s="8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">
        <v>334</v>
      </c>
      <c r="B171" s="12" t="s">
        <v>84</v>
      </c>
      <c r="C171" s="481" t="s">
        <v>87</v>
      </c>
      <c r="D171" s="83">
        <v>370.87407549588283</v>
      </c>
      <c r="E171" s="83">
        <v>91976.770722978938</v>
      </c>
      <c r="F171" s="83">
        <v>69074.554812957183</v>
      </c>
      <c r="G171" s="61">
        <v>370.87407549588283</v>
      </c>
      <c r="H171" s="83">
        <v>91976.770722978938</v>
      </c>
      <c r="I171" s="83">
        <v>69074.554812957183</v>
      </c>
      <c r="J171" s="61">
        <v>357</v>
      </c>
      <c r="K171" s="31">
        <v>108178.5</v>
      </c>
      <c r="L171" s="34">
        <v>84640.670000000013</v>
      </c>
      <c r="M171" s="161">
        <f>(J171-G171)/G171</f>
        <v>-3.7409127282170614E-2</v>
      </c>
      <c r="N171" s="60">
        <f>L171-I171</f>
        <v>15566.115187042829</v>
      </c>
      <c r="O171" s="61">
        <v>328</v>
      </c>
      <c r="P171" s="31">
        <v>75569.03</v>
      </c>
      <c r="Q171" s="34">
        <v>59006.14</v>
      </c>
      <c r="R171" s="161">
        <f>IF(O171=0,0,J171/O171)</f>
        <v>1.0884146341463414</v>
      </c>
      <c r="S171" s="86">
        <f>L171-Q171</f>
        <v>25634.530000000013</v>
      </c>
      <c r="T171" s="83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">
        <v>335</v>
      </c>
      <c r="B172" s="12" t="s">
        <v>84</v>
      </c>
      <c r="C172" s="481" t="s">
        <v>88</v>
      </c>
      <c r="D172" s="83"/>
      <c r="E172" s="147"/>
      <c r="F172" s="162">
        <f>F171/E171</f>
        <v>0.751</v>
      </c>
      <c r="G172" s="61"/>
      <c r="H172" s="147"/>
      <c r="I172" s="162">
        <f>I171/H171</f>
        <v>0.751</v>
      </c>
      <c r="J172" s="61"/>
      <c r="K172" s="14"/>
      <c r="L172" s="162">
        <f>IF(L171=0,0,L171/K171)</f>
        <v>0.782416746396003</v>
      </c>
      <c r="M172" s="161"/>
      <c r="N172" s="60"/>
      <c r="O172" s="61"/>
      <c r="P172" s="14"/>
      <c r="Q172" s="162">
        <f>IF(Q171=0,0,Q171/P171)</f>
        <v>0.78082436680740774</v>
      </c>
      <c r="R172" s="61"/>
      <c r="S172" s="86"/>
      <c r="T172" s="83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">
        <v>84</v>
      </c>
      <c r="B173" s="12" t="s">
        <v>84</v>
      </c>
      <c r="C173" s="88"/>
      <c r="D173" s="90"/>
      <c r="E173" s="511">
        <f t="shared" ref="E173" si="58">IFERROR(E171/D171,0)</f>
        <v>247.99999999999997</v>
      </c>
      <c r="F173" s="164"/>
      <c r="G173" s="165"/>
      <c r="H173" s="511">
        <f t="shared" ref="H173" si="59">IFERROR(H171/G171,0)</f>
        <v>247.99999999999997</v>
      </c>
      <c r="I173" s="164"/>
      <c r="J173" s="165"/>
      <c r="K173" s="511">
        <f t="shared" ref="K173" si="60">IFERROR(K171/J171,0)</f>
        <v>303.02100840336135</v>
      </c>
      <c r="L173" s="164"/>
      <c r="M173" s="166"/>
      <c r="N173" s="94"/>
      <c r="O173" s="165"/>
      <c r="P173" s="511">
        <f t="shared" ref="P173" si="61">IFERROR(P171/O171,0)</f>
        <v>230.39338414634145</v>
      </c>
      <c r="Q173" s="164"/>
      <c r="R173" s="165"/>
      <c r="S173" s="95"/>
      <c r="T173" s="83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">
        <v>336</v>
      </c>
      <c r="B174" s="12" t="s">
        <v>84</v>
      </c>
      <c r="C174" s="15" t="s">
        <v>89</v>
      </c>
      <c r="D174" s="167">
        <v>309.83757954531097</v>
      </c>
      <c r="E174" s="83">
        <v>61378.089483998214</v>
      </c>
      <c r="F174" s="83">
        <v>43237.863213547622</v>
      </c>
      <c r="G174" s="168">
        <v>309.83757954531097</v>
      </c>
      <c r="H174" s="83">
        <v>61378.089483998214</v>
      </c>
      <c r="I174" s="83">
        <v>43237.863213547622</v>
      </c>
      <c r="J174" s="168">
        <v>185</v>
      </c>
      <c r="K174" s="169">
        <v>44677.89</v>
      </c>
      <c r="L174" s="34">
        <v>27934.35</v>
      </c>
      <c r="M174" s="161">
        <f>(J174-G174)/G174</f>
        <v>-0.40291297049412494</v>
      </c>
      <c r="N174" s="112">
        <f>L174-I174</f>
        <v>-15303.513213547623</v>
      </c>
      <c r="O174" s="168">
        <v>185</v>
      </c>
      <c r="P174" s="169">
        <v>44854.55</v>
      </c>
      <c r="Q174" s="34">
        <v>32446.370000000003</v>
      </c>
      <c r="R174" s="161">
        <f>IF(O174=0,0,J174/O174)</f>
        <v>1</v>
      </c>
      <c r="S174" s="86">
        <f>L174-Q174</f>
        <v>-4512.0200000000041</v>
      </c>
      <c r="T174" s="83"/>
      <c r="U174" s="14" t="s">
        <v>499</v>
      </c>
      <c r="V174" s="31">
        <f>+K174+J296</f>
        <v>114760.68</v>
      </c>
      <c r="W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">
        <v>335</v>
      </c>
      <c r="B175" s="12" t="s">
        <v>84</v>
      </c>
      <c r="C175" s="481" t="s">
        <v>88</v>
      </c>
      <c r="D175" s="14"/>
      <c r="E175" s="14"/>
      <c r="F175" s="162">
        <f>F174/E174</f>
        <v>0.70445110913431241</v>
      </c>
      <c r="G175" s="42"/>
      <c r="H175" s="14"/>
      <c r="I175" s="162">
        <f>I174/H174</f>
        <v>0.70445110913431241</v>
      </c>
      <c r="J175" s="42"/>
      <c r="K175" s="14"/>
      <c r="L175" s="162">
        <f>IF(L174=0,0,L174/K174)</f>
        <v>0.6252387926108417</v>
      </c>
      <c r="M175" s="43"/>
      <c r="N175" s="44"/>
      <c r="O175" s="42"/>
      <c r="P175" s="14"/>
      <c r="Q175" s="162">
        <f>IF(Q174=0,0,Q174/P174)</f>
        <v>0.72336853228936637</v>
      </c>
      <c r="R175" s="43"/>
      <c r="S175" s="45"/>
      <c r="T175" s="14"/>
      <c r="U175" s="14" t="s">
        <v>500</v>
      </c>
      <c r="V175" s="31">
        <f>+L174+L296</f>
        <v>44507.419999999991</v>
      </c>
      <c r="W175" s="512">
        <f>+V175/V174</f>
        <v>0.38782813068029914</v>
      </c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">
        <v>84</v>
      </c>
      <c r="B176" s="12" t="s">
        <v>84</v>
      </c>
      <c r="C176" s="88"/>
      <c r="D176" s="114"/>
      <c r="E176" s="511">
        <f t="shared" ref="E176" si="62">IFERROR(E174/D174,0)</f>
        <v>198.09762771214204</v>
      </c>
      <c r="F176" s="164"/>
      <c r="G176" s="165"/>
      <c r="H176" s="511">
        <f t="shared" ref="H176" si="63">IFERROR(H174/G174,0)</f>
        <v>198.09762771214204</v>
      </c>
      <c r="I176" s="164"/>
      <c r="J176" s="165"/>
      <c r="K176" s="511">
        <f t="shared" ref="K176" si="64">IFERROR(K174/J174,0)</f>
        <v>241.5021081081081</v>
      </c>
      <c r="L176" s="164"/>
      <c r="M176" s="166"/>
      <c r="N176" s="94"/>
      <c r="O176" s="165"/>
      <c r="P176" s="511">
        <f t="shared" ref="P176" si="65">IFERROR(P174/O174,0)</f>
        <v>242.45702702702704</v>
      </c>
      <c r="Q176" s="164"/>
      <c r="R176" s="170"/>
      <c r="S176" s="172"/>
      <c r="T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">
        <v>337</v>
      </c>
      <c r="B177" s="12" t="s">
        <v>84</v>
      </c>
      <c r="C177" s="481" t="s">
        <v>90</v>
      </c>
      <c r="D177" s="83">
        <v>294.4722356892255</v>
      </c>
      <c r="E177" s="83">
        <v>63425.420298894736</v>
      </c>
      <c r="F177" s="83">
        <v>46791.600690926985</v>
      </c>
      <c r="G177" s="61">
        <v>294.4722356892255</v>
      </c>
      <c r="H177" s="83">
        <v>63425.420298894736</v>
      </c>
      <c r="I177" s="83">
        <v>46791.600690926985</v>
      </c>
      <c r="J177" s="61">
        <v>223</v>
      </c>
      <c r="K177" s="169">
        <v>53961.37</v>
      </c>
      <c r="L177" s="34">
        <v>40499.480000000003</v>
      </c>
      <c r="M177" s="161">
        <f>(J177-G177)/G177</f>
        <v>-0.24271298624110188</v>
      </c>
      <c r="N177" s="60">
        <f t="shared" ref="N177:N178" si="66">L177-I177</f>
        <v>-6292.1206909269822</v>
      </c>
      <c r="O177" s="61">
        <v>256</v>
      </c>
      <c r="P177" s="169">
        <v>53868.950000000004</v>
      </c>
      <c r="Q177" s="34">
        <v>41090.460000000006</v>
      </c>
      <c r="R177" s="161">
        <f>IF(O177=0,0,J177/O177)</f>
        <v>0.87109375</v>
      </c>
      <c r="S177" s="86">
        <f>L177-Q177</f>
        <v>-590.9800000000032</v>
      </c>
      <c r="T177" s="83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">
        <v>335</v>
      </c>
      <c r="B178" s="12" t="s">
        <v>84</v>
      </c>
      <c r="C178" s="481" t="s">
        <v>88</v>
      </c>
      <c r="D178" s="83"/>
      <c r="E178" s="147"/>
      <c r="F178" s="162">
        <f>F177/E177</f>
        <v>0.73774206730392589</v>
      </c>
      <c r="G178" s="61"/>
      <c r="H178" s="147"/>
      <c r="I178" s="162">
        <f>I177/H177</f>
        <v>0.73774206730392589</v>
      </c>
      <c r="J178" s="61"/>
      <c r="K178" s="147"/>
      <c r="L178" s="162">
        <f>IF(L177=0,0,L177/K177)</f>
        <v>0.75052727534530728</v>
      </c>
      <c r="M178" s="161"/>
      <c r="N178" s="60">
        <f t="shared" si="66"/>
        <v>1.2785208041381391E-2</v>
      </c>
      <c r="O178" s="61"/>
      <c r="P178" s="147"/>
      <c r="Q178" s="162">
        <f>IF(Q177=0,0,Q177/P177)</f>
        <v>0.76278561211978335</v>
      </c>
      <c r="R178" s="61">
        <f>O178-K178</f>
        <v>0</v>
      </c>
      <c r="S178" s="86"/>
      <c r="T178" s="83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">
        <v>84</v>
      </c>
      <c r="B179" s="12" t="s">
        <v>84</v>
      </c>
      <c r="C179" s="481"/>
      <c r="D179" s="83"/>
      <c r="E179" s="511">
        <f t="shared" ref="E179" si="67">IFERROR(E177/D177,0)</f>
        <v>215.38675845091029</v>
      </c>
      <c r="F179" s="164"/>
      <c r="G179" s="165"/>
      <c r="H179" s="511">
        <f t="shared" ref="H179" si="68">IFERROR(H177/G177,0)</f>
        <v>215.38675845091029</v>
      </c>
      <c r="I179" s="164"/>
      <c r="J179" s="165"/>
      <c r="K179" s="511">
        <f t="shared" ref="K179" si="69">IFERROR(K177/J177,0)</f>
        <v>241.97923766816146</v>
      </c>
      <c r="L179" s="164"/>
      <c r="M179" s="166"/>
      <c r="N179" s="94"/>
      <c r="O179" s="165"/>
      <c r="P179" s="511">
        <f t="shared" ref="P179" si="70">IFERROR(P177/O177,0)</f>
        <v>210.42558593750002</v>
      </c>
      <c r="Q179" s="162"/>
      <c r="R179" s="175"/>
      <c r="S179" s="86"/>
      <c r="T179" s="83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">
        <v>338</v>
      </c>
      <c r="B180" s="12" t="s">
        <v>84</v>
      </c>
      <c r="C180" s="15" t="s">
        <v>91</v>
      </c>
      <c r="D180" s="167">
        <v>0</v>
      </c>
      <c r="E180" s="83">
        <v>127.5418398591799</v>
      </c>
      <c r="F180" s="83">
        <v>48.230018653632676</v>
      </c>
      <c r="G180" s="168">
        <v>0</v>
      </c>
      <c r="H180" s="83">
        <v>127.5418398591799</v>
      </c>
      <c r="I180" s="83">
        <v>48.230018653632676</v>
      </c>
      <c r="J180" s="168">
        <v>0</v>
      </c>
      <c r="K180" s="169">
        <v>469.91</v>
      </c>
      <c r="L180" s="111">
        <v>379.91</v>
      </c>
      <c r="M180" s="176">
        <f>IF(G180=0,0,(J180-G180)/G180)</f>
        <v>0</v>
      </c>
      <c r="N180" s="112">
        <f>L180-I180</f>
        <v>331.67998134636736</v>
      </c>
      <c r="O180" s="168">
        <v>0</v>
      </c>
      <c r="P180" s="169">
        <v>0</v>
      </c>
      <c r="Q180" s="111">
        <v>0</v>
      </c>
      <c r="R180" s="161">
        <f>IF(O180=0,0,J180/O180)</f>
        <v>0</v>
      </c>
      <c r="S180" s="113">
        <f>L180-Q180</f>
        <v>379.91</v>
      </c>
      <c r="T180" s="83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">
        <v>335</v>
      </c>
      <c r="B181" s="12" t="s">
        <v>84</v>
      </c>
      <c r="C181" s="481" t="s">
        <v>88</v>
      </c>
      <c r="D181" s="77"/>
      <c r="E181" s="177"/>
      <c r="F181" s="162">
        <f>IFERROR(F180/E180,0)</f>
        <v>0.37815056382191031</v>
      </c>
      <c r="G181" s="79"/>
      <c r="H181" s="177"/>
      <c r="I181" s="162">
        <f>IFERROR(I180/H180,0)</f>
        <v>0.37815056382191031</v>
      </c>
      <c r="J181" s="178"/>
      <c r="K181" s="177">
        <f>IF(J181&lt;=0,0,L181/J181)</f>
        <v>0</v>
      </c>
      <c r="L181" s="162">
        <f>IF(L180=0,0,L180/K180)</f>
        <v>0.80847396309931685</v>
      </c>
      <c r="M181" s="61">
        <f>J181-G181</f>
        <v>0</v>
      </c>
      <c r="N181" s="179"/>
      <c r="O181" s="178"/>
      <c r="P181" s="177">
        <f>IF(O181&lt;=0,0,Q181/O181)</f>
        <v>0</v>
      </c>
      <c r="Q181" s="162">
        <f>IF(Q180=0,0,Q180/P180)</f>
        <v>0</v>
      </c>
      <c r="R181" s="42"/>
      <c r="S181" s="180"/>
      <c r="T181" s="115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">
        <v>84</v>
      </c>
      <c r="B182" s="12" t="s">
        <v>84</v>
      </c>
      <c r="C182" s="88"/>
      <c r="D182" s="181"/>
      <c r="E182" s="182"/>
      <c r="F182" s="164"/>
      <c r="G182" s="183"/>
      <c r="H182" s="182"/>
      <c r="I182" s="164"/>
      <c r="J182" s="513"/>
      <c r="K182" s="26"/>
      <c r="L182" s="164"/>
      <c r="M182" s="165"/>
      <c r="N182" s="184"/>
      <c r="O182" s="513"/>
      <c r="P182" s="26"/>
      <c r="Q182" s="164"/>
      <c r="R182" s="24"/>
      <c r="S182" s="185"/>
      <c r="T182" s="115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">
        <v>339</v>
      </c>
      <c r="B183" s="12" t="s">
        <v>84</v>
      </c>
      <c r="C183" s="481" t="s">
        <v>92</v>
      </c>
      <c r="D183" s="14"/>
      <c r="E183" s="14"/>
      <c r="F183" s="60">
        <v>-3370.8815544019317</v>
      </c>
      <c r="G183" s="42"/>
      <c r="H183" s="83"/>
      <c r="I183" s="83">
        <v>-3370.8815544019317</v>
      </c>
      <c r="J183" s="61"/>
      <c r="K183" s="83"/>
      <c r="L183" s="83">
        <v>-1076.94</v>
      </c>
      <c r="M183" s="178"/>
      <c r="N183" s="60">
        <f t="shared" ref="N183:N184" si="71">L183-I183</f>
        <v>2293.9415544019316</v>
      </c>
      <c r="O183" s="61"/>
      <c r="P183" s="83"/>
      <c r="Q183" s="34">
        <v>-2113.92</v>
      </c>
      <c r="R183" s="186"/>
      <c r="S183" s="86">
        <f t="shared" ref="S183:S184" si="72">L183-Q183</f>
        <v>1036.98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">
        <v>340</v>
      </c>
      <c r="B184" s="12" t="s">
        <v>84</v>
      </c>
      <c r="C184" s="187" t="s">
        <v>93</v>
      </c>
      <c r="D184" s="188">
        <f t="shared" ref="D184:L184" si="73">D171+D174+D177+D180+D183</f>
        <v>975.18389073041931</v>
      </c>
      <c r="E184" s="188">
        <f t="shared" si="73"/>
        <v>216907.82234573105</v>
      </c>
      <c r="F184" s="189">
        <f t="shared" si="73"/>
        <v>155781.36718168348</v>
      </c>
      <c r="G184" s="190">
        <f t="shared" si="73"/>
        <v>975.18389073041931</v>
      </c>
      <c r="H184" s="188">
        <f t="shared" si="73"/>
        <v>216907.82234573105</v>
      </c>
      <c r="I184" s="189">
        <f t="shared" si="73"/>
        <v>155781.36718168348</v>
      </c>
      <c r="J184" s="190">
        <f t="shared" si="73"/>
        <v>765</v>
      </c>
      <c r="K184" s="188">
        <f t="shared" si="73"/>
        <v>207287.67</v>
      </c>
      <c r="L184" s="189">
        <f t="shared" si="73"/>
        <v>152377.47000000003</v>
      </c>
      <c r="M184" s="191">
        <f>(K184-H184)/H184</f>
        <v>-4.4351338931416705E-2</v>
      </c>
      <c r="N184" s="189">
        <f t="shared" si="71"/>
        <v>-3403.8971816834528</v>
      </c>
      <c r="O184" s="190">
        <f t="shared" ref="O184:Q184" si="74">O171+O174+O177+O180+O183</f>
        <v>769</v>
      </c>
      <c r="P184" s="188">
        <f t="shared" si="74"/>
        <v>174292.53</v>
      </c>
      <c r="Q184" s="189">
        <f t="shared" si="74"/>
        <v>130429.05000000003</v>
      </c>
      <c r="R184" s="43">
        <f>IF(O184=0,0,J184/O184)</f>
        <v>0.99479843953185954</v>
      </c>
      <c r="S184" s="192">
        <f t="shared" si="72"/>
        <v>21948.42</v>
      </c>
      <c r="T184" s="115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">
        <v>341</v>
      </c>
      <c r="B185" s="12" t="s">
        <v>84</v>
      </c>
      <c r="C185" s="193" t="s">
        <v>94</v>
      </c>
      <c r="D185" s="194"/>
      <c r="E185" s="514">
        <f>IF(D184=0,0,E184/D184)</f>
        <v>222.42761022566282</v>
      </c>
      <c r="F185" s="195">
        <f>F184/E184</f>
        <v>0.71819155942371848</v>
      </c>
      <c r="G185" s="196"/>
      <c r="H185" s="514">
        <f>IF(G184=0,0,H184/G184)</f>
        <v>222.42761022566282</v>
      </c>
      <c r="I185" s="44">
        <f>I184/H184</f>
        <v>0.71819155942371848</v>
      </c>
      <c r="J185" s="196"/>
      <c r="K185" s="514">
        <f>IF(J184=0,0,K184/J184)</f>
        <v>270.96427450980394</v>
      </c>
      <c r="L185" s="44">
        <f>IF(L184=0,0,L184/K184)</f>
        <v>0.73510146551408495</v>
      </c>
      <c r="M185" s="196"/>
      <c r="N185" s="195">
        <f>N184/I184</f>
        <v>-2.1850477006749993E-2</v>
      </c>
      <c r="O185" s="196"/>
      <c r="P185" s="514">
        <f>IF(O184=0,0,P184/O184)</f>
        <v>226.64828348504551</v>
      </c>
      <c r="Q185" s="44">
        <f>IF(Q184=0,0,Q184/P184)</f>
        <v>0.74833413686748385</v>
      </c>
      <c r="R185" s="196"/>
      <c r="S185" s="45">
        <f>S184/Q184</f>
        <v>0.16827861584516635</v>
      </c>
      <c r="T185" s="115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">
        <v>84</v>
      </c>
      <c r="B186" s="12" t="s">
        <v>84</v>
      </c>
      <c r="C186" s="36"/>
      <c r="D186" s="197"/>
      <c r="E186" s="198"/>
      <c r="F186" s="199"/>
      <c r="G186" s="200"/>
      <c r="H186" s="198"/>
      <c r="I186" s="199">
        <f>H184-I184</f>
        <v>61126.455164047569</v>
      </c>
      <c r="J186" s="200"/>
      <c r="K186" s="198"/>
      <c r="L186" s="199">
        <f>K184-L184</f>
        <v>54910.199999999983</v>
      </c>
      <c r="M186" s="200"/>
      <c r="N186" s="199"/>
      <c r="O186" s="200"/>
      <c r="P186" s="198"/>
      <c r="Q186" s="199"/>
      <c r="R186" s="200"/>
      <c r="S186" s="201"/>
      <c r="T186" s="115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">
        <v>342</v>
      </c>
      <c r="B187" s="12" t="s">
        <v>84</v>
      </c>
      <c r="C187" s="481" t="s">
        <v>95</v>
      </c>
      <c r="D187" s="83"/>
      <c r="E187" s="83">
        <v>24681.887898534012</v>
      </c>
      <c r="F187" s="83">
        <v>5408.4358153340672</v>
      </c>
      <c r="G187" s="61"/>
      <c r="H187" s="83">
        <v>24681.887898534012</v>
      </c>
      <c r="I187" s="83">
        <v>5408.4358153340672</v>
      </c>
      <c r="J187" s="61"/>
      <c r="K187" s="31">
        <v>28286.28</v>
      </c>
      <c r="L187" s="34">
        <v>6854.9299999999967</v>
      </c>
      <c r="M187" s="85">
        <f>IF(G187=0,0,(J187-G187)/G187)</f>
        <v>0</v>
      </c>
      <c r="N187" s="60">
        <f>L187-I187</f>
        <v>1446.4941846659294</v>
      </c>
      <c r="O187" s="61"/>
      <c r="P187" s="31">
        <v>21896.6</v>
      </c>
      <c r="Q187" s="34">
        <v>4849.619999999999</v>
      </c>
      <c r="R187" s="161">
        <f>IF(O187=0,0,J187/O187)</f>
        <v>0</v>
      </c>
      <c r="S187" s="86">
        <f>L187-Q187</f>
        <v>2005.3099999999977</v>
      </c>
      <c r="T187" s="115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">
        <v>335</v>
      </c>
      <c r="B188" s="12" t="s">
        <v>84</v>
      </c>
      <c r="C188" s="481" t="s">
        <v>88</v>
      </c>
      <c r="D188" s="14"/>
      <c r="E188" s="147"/>
      <c r="F188" s="162">
        <f>IFERROR(F187/E187,0)</f>
        <v>0.21912569401367804</v>
      </c>
      <c r="G188" s="42"/>
      <c r="H188" s="147"/>
      <c r="I188" s="162">
        <f>IFERROR(I187/H187,0)</f>
        <v>0.21912569401367804</v>
      </c>
      <c r="J188" s="178"/>
      <c r="K188" s="177"/>
      <c r="L188" s="162">
        <f>IF(L187=0,0,L187/K187)</f>
        <v>0.24234116327774444</v>
      </c>
      <c r="M188" s="178"/>
      <c r="N188" s="179"/>
      <c r="O188" s="178"/>
      <c r="P188" s="177"/>
      <c r="Q188" s="162">
        <f>IF(Q187=0,0,Q187/P187)</f>
        <v>0.22147822036297871</v>
      </c>
      <c r="R188" s="178"/>
      <c r="S188" s="180"/>
      <c r="T188" s="115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">
        <v>84</v>
      </c>
      <c r="B189" s="12" t="s">
        <v>84</v>
      </c>
      <c r="C189" s="481"/>
      <c r="D189" s="14"/>
      <c r="E189" s="147"/>
      <c r="F189" s="162"/>
      <c r="G189" s="42"/>
      <c r="H189" s="147"/>
      <c r="I189" s="162"/>
      <c r="J189" s="178"/>
      <c r="K189" s="177"/>
      <c r="L189" s="162"/>
      <c r="M189" s="178"/>
      <c r="N189" s="179"/>
      <c r="O189" s="178"/>
      <c r="P189" s="177"/>
      <c r="Q189" s="162"/>
      <c r="R189" s="178"/>
      <c r="S189" s="180"/>
      <c r="T189" s="115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">
        <v>343</v>
      </c>
      <c r="B190" s="12" t="s">
        <v>84</v>
      </c>
      <c r="C190" s="481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78"/>
      <c r="K190" s="31">
        <v>0</v>
      </c>
      <c r="L190" s="162"/>
      <c r="M190" s="178"/>
      <c r="N190" s="179"/>
      <c r="O190" s="178"/>
      <c r="P190" s="31">
        <v>0</v>
      </c>
      <c r="Q190" s="162"/>
      <c r="R190" s="178"/>
      <c r="S190" s="180"/>
      <c r="T190" s="115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">
        <v>335</v>
      </c>
      <c r="B191" s="12" t="s">
        <v>84</v>
      </c>
      <c r="C191" s="481" t="s">
        <v>88</v>
      </c>
      <c r="D191" s="14"/>
      <c r="E191" s="147"/>
      <c r="F191" s="162">
        <f>IF(F190=0,0,F190/E190)</f>
        <v>0</v>
      </c>
      <c r="G191" s="42"/>
      <c r="H191" s="147"/>
      <c r="I191" s="162">
        <f>IF(I190=0,0,I190/H190)</f>
        <v>0</v>
      </c>
      <c r="J191" s="178"/>
      <c r="K191" s="177"/>
      <c r="L191" s="162">
        <f>IF(L190=0,0,L190/K190)</f>
        <v>0</v>
      </c>
      <c r="M191" s="178"/>
      <c r="N191" s="179"/>
      <c r="O191" s="178"/>
      <c r="P191" s="177"/>
      <c r="Q191" s="162">
        <f>IF(Q190=0,0,Q190/P190)</f>
        <v>0</v>
      </c>
      <c r="R191" s="178"/>
      <c r="S191" s="180"/>
      <c r="T191" s="115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">
        <v>84</v>
      </c>
      <c r="B192" s="12" t="s">
        <v>84</v>
      </c>
      <c r="C192" s="202"/>
      <c r="D192" s="203"/>
      <c r="E192" s="204"/>
      <c r="F192" s="205"/>
      <c r="G192" s="206"/>
      <c r="H192" s="204"/>
      <c r="I192" s="205"/>
      <c r="J192" s="206"/>
      <c r="K192" s="204"/>
      <c r="L192" s="205"/>
      <c r="M192" s="206"/>
      <c r="N192" s="205"/>
      <c r="O192" s="206"/>
      <c r="P192" s="204"/>
      <c r="Q192" s="205"/>
      <c r="R192" s="206"/>
      <c r="S192" s="207"/>
      <c r="T192" s="115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">
        <v>344</v>
      </c>
      <c r="B193" s="12" t="s">
        <v>84</v>
      </c>
      <c r="C193" s="63" t="s">
        <v>97</v>
      </c>
      <c r="D193" s="64"/>
      <c r="E193" s="64">
        <f t="shared" ref="E193:F193" si="75">E184+E187+E190</f>
        <v>241589.71024426506</v>
      </c>
      <c r="F193" s="66">
        <f t="shared" si="75"/>
        <v>161189.80299701754</v>
      </c>
      <c r="G193" s="67"/>
      <c r="H193" s="64">
        <f t="shared" ref="H193:I193" si="76">H184+H187+H190</f>
        <v>241589.71024426506</v>
      </c>
      <c r="I193" s="66">
        <f t="shared" si="76"/>
        <v>161189.80299701754</v>
      </c>
      <c r="J193" s="67"/>
      <c r="K193" s="64">
        <f>K184+K187+K190</f>
        <v>235573.95</v>
      </c>
      <c r="L193" s="66">
        <f t="shared" ref="L193" si="77">L184+L187+L190</f>
        <v>159232.40000000002</v>
      </c>
      <c r="M193" s="208">
        <f>L194-I194</f>
        <v>8.7290671655917418E-3</v>
      </c>
      <c r="N193" s="66">
        <f>L193-I193</f>
        <v>-1957.4029970175179</v>
      </c>
      <c r="O193" s="67"/>
      <c r="P193" s="64">
        <f>P184+P187+P190</f>
        <v>196189.13</v>
      </c>
      <c r="Q193" s="66">
        <f t="shared" ref="Q193" si="78">Q184+Q187+Q190</f>
        <v>135278.67000000004</v>
      </c>
      <c r="R193" s="208">
        <f>L194-Q194</f>
        <v>-1.3598112426809528E-2</v>
      </c>
      <c r="S193" s="69">
        <f>L193-Q193</f>
        <v>23953.729999999981</v>
      </c>
      <c r="T193" s="115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">
        <v>84</v>
      </c>
      <c r="B194" s="12" t="s">
        <v>84</v>
      </c>
      <c r="C194" s="70"/>
      <c r="D194" s="71"/>
      <c r="E194" s="71"/>
      <c r="F194" s="75">
        <f>F193/E193</f>
        <v>0.6672047531910309</v>
      </c>
      <c r="G194" s="73"/>
      <c r="H194" s="71"/>
      <c r="I194" s="75">
        <f>I193/H193</f>
        <v>0.6672047531910309</v>
      </c>
      <c r="J194" s="73"/>
      <c r="K194" s="71"/>
      <c r="L194" s="75">
        <f>L193/K193</f>
        <v>0.67593382035662264</v>
      </c>
      <c r="M194" s="74"/>
      <c r="N194" s="75">
        <f>N193/I193</f>
        <v>-1.2143466650019637E-2</v>
      </c>
      <c r="O194" s="73"/>
      <c r="P194" s="71"/>
      <c r="Q194" s="75">
        <f>Q193/P193</f>
        <v>0.68953193278343217</v>
      </c>
      <c r="R194" s="74"/>
      <c r="S194" s="76">
        <f>L193/S193</f>
        <v>6.6474991577512208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">
        <v>84</v>
      </c>
      <c r="B195" s="12" t="s">
        <v>84</v>
      </c>
      <c r="C195" s="484"/>
      <c r="D195" s="77"/>
      <c r="E195" s="77"/>
      <c r="F195" s="44"/>
      <c r="G195" s="79"/>
      <c r="H195" s="77"/>
      <c r="I195" s="44"/>
      <c r="J195" s="79"/>
      <c r="K195" s="115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">
        <v>345</v>
      </c>
      <c r="B196" s="12" t="s">
        <v>84</v>
      </c>
      <c r="C196" s="487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">
        <v>346</v>
      </c>
      <c r="B197" s="12" t="s">
        <v>84</v>
      </c>
      <c r="C197" s="494" t="s">
        <v>42</v>
      </c>
      <c r="D197" s="14"/>
      <c r="E197" s="14"/>
      <c r="F197" s="31">
        <v>11574.768390804598</v>
      </c>
      <c r="G197" s="42"/>
      <c r="H197" s="14"/>
      <c r="I197" s="31">
        <v>11574.768390804598</v>
      </c>
      <c r="J197" s="42"/>
      <c r="K197" s="14"/>
      <c r="L197" s="34">
        <v>9063.5499999999993</v>
      </c>
      <c r="M197" s="42"/>
      <c r="N197" s="60">
        <f t="shared" ref="N197:N228" si="79">L197-I197</f>
        <v>-2511.218390804599</v>
      </c>
      <c r="O197" s="42"/>
      <c r="P197" s="14"/>
      <c r="Q197" s="34">
        <v>8478.41</v>
      </c>
      <c r="R197" s="42"/>
      <c r="S197" s="35">
        <f>L197-Q197</f>
        <v>585.13999999999942</v>
      </c>
      <c r="T197" s="14"/>
      <c r="U197" s="14" t="s">
        <v>489</v>
      </c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">
        <v>347</v>
      </c>
      <c r="B198" s="12" t="s">
        <v>84</v>
      </c>
      <c r="C198" s="106" t="s">
        <v>43</v>
      </c>
      <c r="D198" s="82"/>
      <c r="E198" s="14"/>
      <c r="F198" s="23">
        <v>9816.5681076743313</v>
      </c>
      <c r="G198" s="84"/>
      <c r="H198" s="14"/>
      <c r="I198" s="23">
        <v>9816.5681076743313</v>
      </c>
      <c r="J198" s="42"/>
      <c r="K198" s="14"/>
      <c r="L198" s="34">
        <v>5560.81</v>
      </c>
      <c r="M198" s="42"/>
      <c r="N198" s="60">
        <f t="shared" si="79"/>
        <v>-4255.7581076743309</v>
      </c>
      <c r="O198" s="42"/>
      <c r="P198" s="14"/>
      <c r="Q198" s="34">
        <v>9894.76</v>
      </c>
      <c r="R198" s="42"/>
      <c r="S198" s="86">
        <f t="shared" ref="S198:S228" si="80">L198-Q198</f>
        <v>-4333.95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">
        <v>348</v>
      </c>
      <c r="B199" s="12" t="s">
        <v>84</v>
      </c>
      <c r="C199" s="494" t="s">
        <v>44</v>
      </c>
      <c r="D199" s="107"/>
      <c r="E199" s="108"/>
      <c r="F199" s="31">
        <v>14779.948499279693</v>
      </c>
      <c r="G199" s="109"/>
      <c r="H199" s="108"/>
      <c r="I199" s="31">
        <v>14779.948499279693</v>
      </c>
      <c r="J199" s="110"/>
      <c r="K199" s="108"/>
      <c r="L199" s="111">
        <v>17561.88</v>
      </c>
      <c r="M199" s="110"/>
      <c r="N199" s="112">
        <f t="shared" si="79"/>
        <v>2781.9315007203077</v>
      </c>
      <c r="O199" s="110"/>
      <c r="P199" s="108"/>
      <c r="Q199" s="111">
        <v>8265.98</v>
      </c>
      <c r="R199" s="110"/>
      <c r="S199" s="113">
        <f t="shared" si="80"/>
        <v>9295.9000000000015</v>
      </c>
      <c r="T199" s="14"/>
      <c r="U199" s="14" t="s">
        <v>349</v>
      </c>
      <c r="V199" s="14"/>
      <c r="W199" s="14"/>
      <c r="X199" s="14"/>
      <c r="Y199" s="14">
        <f>(45000*1.3)/12</f>
        <v>4875</v>
      </c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">
        <v>350</v>
      </c>
      <c r="B200" s="12" t="s">
        <v>84</v>
      </c>
      <c r="C200" s="494" t="s">
        <v>45</v>
      </c>
      <c r="D200" s="82"/>
      <c r="E200" s="14"/>
      <c r="F200" s="31">
        <v>27180.556809766003</v>
      </c>
      <c r="G200" s="84"/>
      <c r="H200" s="14"/>
      <c r="I200" s="31">
        <v>27180.556809766003</v>
      </c>
      <c r="J200" s="42"/>
      <c r="K200" s="14"/>
      <c r="L200" s="34">
        <v>24792.86</v>
      </c>
      <c r="M200" s="42"/>
      <c r="N200" s="60">
        <f t="shared" si="79"/>
        <v>-2387.6968097660028</v>
      </c>
      <c r="O200" s="42"/>
      <c r="P200" s="14"/>
      <c r="Q200" s="34">
        <v>18299.27</v>
      </c>
      <c r="R200" s="42"/>
      <c r="S200" s="86">
        <f t="shared" si="80"/>
        <v>6493.59</v>
      </c>
      <c r="T200" s="14"/>
      <c r="U200" s="515" t="s">
        <v>490</v>
      </c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">
        <v>351</v>
      </c>
      <c r="B201" s="12" t="s">
        <v>84</v>
      </c>
      <c r="C201" s="481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f t="shared" si="79"/>
        <v>0</v>
      </c>
      <c r="O201" s="42"/>
      <c r="P201" s="14"/>
      <c r="Q201" s="34">
        <v>0</v>
      </c>
      <c r="R201" s="42"/>
      <c r="S201" s="86">
        <f t="shared" si="80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">
        <v>351</v>
      </c>
      <c r="B202" s="12" t="s">
        <v>84</v>
      </c>
      <c r="C202" s="481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f t="shared" si="79"/>
        <v>0</v>
      </c>
      <c r="O202" s="42"/>
      <c r="P202" s="14"/>
      <c r="Q202" s="34">
        <v>0</v>
      </c>
      <c r="R202" s="42"/>
      <c r="S202" s="86">
        <f t="shared" si="80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">
        <v>351</v>
      </c>
      <c r="B203" s="12" t="s">
        <v>84</v>
      </c>
      <c r="C203" s="481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f t="shared" si="79"/>
        <v>0</v>
      </c>
      <c r="O203" s="42"/>
      <c r="P203" s="14"/>
      <c r="Q203" s="34">
        <v>0</v>
      </c>
      <c r="R203" s="42"/>
      <c r="S203" s="86">
        <f t="shared" si="80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">
        <v>352</v>
      </c>
      <c r="B204" s="12" t="s">
        <v>84</v>
      </c>
      <c r="C204" s="106" t="s">
        <v>46</v>
      </c>
      <c r="D204" s="82"/>
      <c r="E204" s="14"/>
      <c r="F204" s="31">
        <v>16555.47915254144</v>
      </c>
      <c r="G204" s="84"/>
      <c r="H204" s="14"/>
      <c r="I204" s="31">
        <v>16555.47915254144</v>
      </c>
      <c r="J204" s="42"/>
      <c r="K204" s="14"/>
      <c r="L204" s="34">
        <v>19707.28</v>
      </c>
      <c r="M204" s="42"/>
      <c r="N204" s="60">
        <f t="shared" si="79"/>
        <v>3151.8008474585586</v>
      </c>
      <c r="O204" s="42"/>
      <c r="P204" s="14"/>
      <c r="Q204" s="34">
        <v>14753.38</v>
      </c>
      <c r="R204" s="42"/>
      <c r="S204" s="86">
        <f t="shared" si="80"/>
        <v>4953.8999999999996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">
        <v>353</v>
      </c>
      <c r="B205" s="12" t="s">
        <v>84</v>
      </c>
      <c r="C205" s="494" t="s">
        <v>47</v>
      </c>
      <c r="D205" s="107"/>
      <c r="E205" s="108"/>
      <c r="F205" s="56">
        <v>14827.128612563514</v>
      </c>
      <c r="G205" s="109"/>
      <c r="H205" s="108"/>
      <c r="I205" s="56">
        <v>14827.128612563514</v>
      </c>
      <c r="J205" s="110"/>
      <c r="K205" s="108"/>
      <c r="L205" s="111">
        <v>16808.12</v>
      </c>
      <c r="M205" s="110"/>
      <c r="N205" s="112">
        <f t="shared" si="79"/>
        <v>1980.9913874364847</v>
      </c>
      <c r="O205" s="110"/>
      <c r="P205" s="108"/>
      <c r="Q205" s="111">
        <v>12696.33</v>
      </c>
      <c r="R205" s="110"/>
      <c r="S205" s="113">
        <f t="shared" si="80"/>
        <v>4111.7899999999991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">
        <v>354</v>
      </c>
      <c r="B206" s="12" t="s">
        <v>84</v>
      </c>
      <c r="C206" s="494" t="s">
        <v>48</v>
      </c>
      <c r="D206" s="82"/>
      <c r="E206" s="14"/>
      <c r="F206" s="31">
        <v>11774.484486447498</v>
      </c>
      <c r="G206" s="84"/>
      <c r="H206" s="14"/>
      <c r="I206" s="31">
        <v>11774.484486447498</v>
      </c>
      <c r="J206" s="42"/>
      <c r="K206" s="14"/>
      <c r="L206" s="34">
        <v>5840.27</v>
      </c>
      <c r="M206" s="42"/>
      <c r="N206" s="60">
        <f t="shared" si="79"/>
        <v>-5934.2144864474976</v>
      </c>
      <c r="O206" s="42"/>
      <c r="P206" s="14"/>
      <c r="Q206" s="34">
        <v>9099.0400000000009</v>
      </c>
      <c r="R206" s="42"/>
      <c r="S206" s="86">
        <f t="shared" si="80"/>
        <v>-3258.7700000000004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">
        <v>355</v>
      </c>
      <c r="B207" s="12" t="s">
        <v>84</v>
      </c>
      <c r="C207" s="494" t="s">
        <v>49</v>
      </c>
      <c r="D207" s="82"/>
      <c r="E207" s="14"/>
      <c r="F207" s="31">
        <v>4797.012198182314</v>
      </c>
      <c r="G207" s="84"/>
      <c r="H207" s="14"/>
      <c r="I207" s="31">
        <v>4797.012198182314</v>
      </c>
      <c r="J207" s="42"/>
      <c r="K207" s="14"/>
      <c r="L207" s="34">
        <v>7273.93</v>
      </c>
      <c r="M207" s="42"/>
      <c r="N207" s="60">
        <f t="shared" si="79"/>
        <v>2476.9178018176863</v>
      </c>
      <c r="O207" s="42"/>
      <c r="P207" s="14"/>
      <c r="Q207" s="34">
        <v>2116.06</v>
      </c>
      <c r="R207" s="42"/>
      <c r="S207" s="86">
        <f t="shared" si="80"/>
        <v>5157.8700000000008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">
        <v>351</v>
      </c>
      <c r="B208" s="12" t="s">
        <v>84</v>
      </c>
      <c r="C208" s="481" t="s">
        <v>21</v>
      </c>
      <c r="D208" s="89"/>
      <c r="E208" s="114"/>
      <c r="F208" s="31">
        <v>0</v>
      </c>
      <c r="G208" s="91"/>
      <c r="H208" s="114"/>
      <c r="I208" s="31">
        <v>0</v>
      </c>
      <c r="J208" s="24"/>
      <c r="K208" s="114"/>
      <c r="L208" s="34">
        <v>0</v>
      </c>
      <c r="M208" s="24"/>
      <c r="N208" s="94">
        <f t="shared" si="79"/>
        <v>0</v>
      </c>
      <c r="O208" s="24"/>
      <c r="P208" s="114"/>
      <c r="Q208" s="34">
        <v>0</v>
      </c>
      <c r="R208" s="24"/>
      <c r="S208" s="95">
        <f t="shared" si="80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">
        <v>356</v>
      </c>
      <c r="B209" s="12" t="s">
        <v>84</v>
      </c>
      <c r="C209" s="96" t="s">
        <v>50</v>
      </c>
      <c r="D209" s="97" t="s">
        <v>98</v>
      </c>
      <c r="E209" s="98">
        <f>F209/F$193</f>
        <v>0.69052721814740892</v>
      </c>
      <c r="F209" s="99">
        <f>+SUM(F197:F208)</f>
        <v>111305.94625725941</v>
      </c>
      <c r="G209" s="100" t="s">
        <v>98</v>
      </c>
      <c r="H209" s="98">
        <f>I209/I$193</f>
        <v>0.69052721814740892</v>
      </c>
      <c r="I209" s="99">
        <f>+SUM(I197:I208)</f>
        <v>111305.94625725941</v>
      </c>
      <c r="J209" s="100" t="s">
        <v>98</v>
      </c>
      <c r="K209" s="98">
        <f>L209/L$193</f>
        <v>0.66951637983224521</v>
      </c>
      <c r="L209" s="99">
        <f>+SUM(L197:L208)</f>
        <v>106608.70000000001</v>
      </c>
      <c r="M209" s="151"/>
      <c r="N209" s="116">
        <f t="shared" si="79"/>
        <v>-4697.246257259394</v>
      </c>
      <c r="O209" s="100" t="s">
        <v>98</v>
      </c>
      <c r="P209" s="98">
        <f>Q209/Q$193</f>
        <v>0.6180074804106217</v>
      </c>
      <c r="Q209" s="99">
        <f>+SUM(Q197:Q208)</f>
        <v>83603.229999999981</v>
      </c>
      <c r="R209" s="151"/>
      <c r="S209" s="117">
        <f t="shared" si="80"/>
        <v>23005.47000000003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">
        <v>357</v>
      </c>
      <c r="B210" s="12" t="s">
        <v>84</v>
      </c>
      <c r="C210" s="481" t="s">
        <v>51</v>
      </c>
      <c r="D210" s="82"/>
      <c r="E210" s="14"/>
      <c r="F210" s="31">
        <v>6918.7625000000007</v>
      </c>
      <c r="G210" s="84"/>
      <c r="H210" s="14"/>
      <c r="I210" s="31">
        <v>6918.7625000000007</v>
      </c>
      <c r="J210" s="42"/>
      <c r="K210" s="14"/>
      <c r="L210" s="34">
        <v>9723.5400000000009</v>
      </c>
      <c r="M210" s="42"/>
      <c r="N210" s="60">
        <f t="shared" si="79"/>
        <v>2804.7775000000001</v>
      </c>
      <c r="O210" s="42"/>
      <c r="P210" s="14"/>
      <c r="Q210" s="34">
        <v>6489.14</v>
      </c>
      <c r="R210" s="42"/>
      <c r="S210" s="86">
        <f t="shared" si="80"/>
        <v>3234.4000000000005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">
        <v>358</v>
      </c>
      <c r="B211" s="12" t="s">
        <v>84</v>
      </c>
      <c r="C211" s="481" t="s">
        <v>52</v>
      </c>
      <c r="D211" s="82"/>
      <c r="E211" s="14"/>
      <c r="F211" s="31">
        <v>2293.5017268573383</v>
      </c>
      <c r="G211" s="84"/>
      <c r="H211" s="14"/>
      <c r="I211" s="31">
        <v>2293.5017268573383</v>
      </c>
      <c r="J211" s="42"/>
      <c r="K211" s="14"/>
      <c r="L211" s="232">
        <v>2142.3200000000002</v>
      </c>
      <c r="M211" s="42"/>
      <c r="N211" s="60">
        <f t="shared" si="79"/>
        <v>-151.18172685733816</v>
      </c>
      <c r="O211" s="42"/>
      <c r="P211" s="14"/>
      <c r="Q211" s="34">
        <v>2375.3200000000002</v>
      </c>
      <c r="R211" s="42"/>
      <c r="S211" s="86">
        <f t="shared" si="80"/>
        <v>-233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">
        <v>359</v>
      </c>
      <c r="B212" s="12" t="s">
        <v>84</v>
      </c>
      <c r="C212" s="88" t="s">
        <v>53</v>
      </c>
      <c r="D212" s="89"/>
      <c r="E212" s="114"/>
      <c r="F212" s="23">
        <v>12476.294444444444</v>
      </c>
      <c r="G212" s="91"/>
      <c r="H212" s="114"/>
      <c r="I212" s="23">
        <v>12476.294444444444</v>
      </c>
      <c r="J212" s="24"/>
      <c r="K212" s="114"/>
      <c r="L212" s="34">
        <v>15595.63</v>
      </c>
      <c r="M212" s="24"/>
      <c r="N212" s="94">
        <f t="shared" si="79"/>
        <v>3119.3355555555554</v>
      </c>
      <c r="O212" s="24"/>
      <c r="P212" s="114"/>
      <c r="Q212" s="34">
        <v>15745.4</v>
      </c>
      <c r="R212" s="24"/>
      <c r="S212" s="95">
        <f t="shared" si="80"/>
        <v>-149.77000000000044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">
        <v>360</v>
      </c>
      <c r="B213" s="12" t="s">
        <v>84</v>
      </c>
      <c r="C213" s="481" t="s">
        <v>54</v>
      </c>
      <c r="D213" s="82"/>
      <c r="E213" s="14"/>
      <c r="F213" s="31">
        <v>5968.7398199999989</v>
      </c>
      <c r="G213" s="84"/>
      <c r="H213" s="14"/>
      <c r="I213" s="31">
        <v>5968.7398199999989</v>
      </c>
      <c r="J213" s="42"/>
      <c r="K213" s="14"/>
      <c r="L213" s="111">
        <v>4091.51</v>
      </c>
      <c r="M213" s="42"/>
      <c r="N213" s="60">
        <f t="shared" si="79"/>
        <v>-1877.2298199999987</v>
      </c>
      <c r="O213" s="42"/>
      <c r="P213" s="14"/>
      <c r="Q213" s="111">
        <v>4256.16</v>
      </c>
      <c r="R213" s="42"/>
      <c r="S213" s="86">
        <f t="shared" si="80"/>
        <v>-164.64999999999964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">
        <v>361</v>
      </c>
      <c r="B214" s="12" t="s">
        <v>84</v>
      </c>
      <c r="C214" s="481" t="s">
        <v>55</v>
      </c>
      <c r="D214" s="82"/>
      <c r="E214" s="14"/>
      <c r="F214" s="31">
        <v>594.10635000000002</v>
      </c>
      <c r="G214" s="84"/>
      <c r="H214" s="14"/>
      <c r="I214" s="31">
        <v>594.10635000000002</v>
      </c>
      <c r="J214" s="42"/>
      <c r="K214" s="14"/>
      <c r="L214" s="34">
        <v>901.28</v>
      </c>
      <c r="M214" s="42"/>
      <c r="N214" s="60">
        <f t="shared" si="79"/>
        <v>307.17364999999995</v>
      </c>
      <c r="O214" s="42"/>
      <c r="P214" s="14"/>
      <c r="Q214" s="34">
        <v>839.69</v>
      </c>
      <c r="R214" s="42"/>
      <c r="S214" s="86">
        <f t="shared" si="80"/>
        <v>61.589999999999918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">
        <v>362</v>
      </c>
      <c r="B215" s="12" t="s">
        <v>84</v>
      </c>
      <c r="C215" s="88" t="s">
        <v>56</v>
      </c>
      <c r="D215" s="89"/>
      <c r="E215" s="114"/>
      <c r="F215" s="23">
        <v>3040.887733333333</v>
      </c>
      <c r="G215" s="91"/>
      <c r="H215" s="114"/>
      <c r="I215" s="23">
        <v>3040.887733333333</v>
      </c>
      <c r="J215" s="24"/>
      <c r="K215" s="114"/>
      <c r="L215" s="34">
        <v>1941.65</v>
      </c>
      <c r="M215" s="24"/>
      <c r="N215" s="94">
        <f t="shared" si="79"/>
        <v>-1099.2377333333329</v>
      </c>
      <c r="O215" s="24"/>
      <c r="P215" s="114"/>
      <c r="Q215" s="34">
        <v>2374.9</v>
      </c>
      <c r="R215" s="24"/>
      <c r="S215" s="95">
        <f t="shared" si="80"/>
        <v>-433.25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">
        <v>363</v>
      </c>
      <c r="B216" s="12" t="s">
        <v>84</v>
      </c>
      <c r="C216" s="481" t="s">
        <v>99</v>
      </c>
      <c r="D216" s="82"/>
      <c r="E216" s="14"/>
      <c r="F216" s="31"/>
      <c r="G216" s="84"/>
      <c r="H216" s="14"/>
      <c r="I216" s="31"/>
      <c r="J216" s="42"/>
      <c r="K216" s="14"/>
      <c r="L216" s="111">
        <v>0</v>
      </c>
      <c r="M216" s="42"/>
      <c r="N216" s="60">
        <f t="shared" si="79"/>
        <v>0</v>
      </c>
      <c r="O216" s="42"/>
      <c r="P216" s="14"/>
      <c r="Q216" s="111">
        <v>0</v>
      </c>
      <c r="R216" s="42"/>
      <c r="S216" s="86">
        <f t="shared" si="80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">
        <v>364</v>
      </c>
      <c r="B217" s="12" t="s">
        <v>84</v>
      </c>
      <c r="C217" s="481" t="s">
        <v>57</v>
      </c>
      <c r="D217" s="82"/>
      <c r="E217" s="14"/>
      <c r="F217" s="31">
        <v>1330.5976508606493</v>
      </c>
      <c r="G217" s="84"/>
      <c r="H217" s="14"/>
      <c r="I217" s="31">
        <v>1330.5976508606493</v>
      </c>
      <c r="J217" s="42"/>
      <c r="K217" s="14"/>
      <c r="L217" s="34">
        <v>700.67</v>
      </c>
      <c r="M217" s="42"/>
      <c r="N217" s="60">
        <f t="shared" si="79"/>
        <v>-629.92765086064935</v>
      </c>
      <c r="O217" s="42"/>
      <c r="P217" s="14"/>
      <c r="Q217" s="34">
        <v>-740.84</v>
      </c>
      <c r="R217" s="42"/>
      <c r="S217" s="86">
        <f t="shared" si="80"/>
        <v>1441.51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">
        <v>365</v>
      </c>
      <c r="B218" s="12" t="s">
        <v>84</v>
      </c>
      <c r="C218" s="481" t="s">
        <v>58</v>
      </c>
      <c r="D218" s="82"/>
      <c r="E218" s="14"/>
      <c r="F218" s="31">
        <v>707.04461320653274</v>
      </c>
      <c r="G218" s="84"/>
      <c r="H218" s="14"/>
      <c r="I218" s="31">
        <v>707.04461320653274</v>
      </c>
      <c r="J218" s="42"/>
      <c r="K218" s="14"/>
      <c r="L218" s="34">
        <v>325.68</v>
      </c>
      <c r="M218" s="42"/>
      <c r="N218" s="60">
        <f t="shared" si="79"/>
        <v>-381.36461320653274</v>
      </c>
      <c r="O218" s="42"/>
      <c r="P218" s="14"/>
      <c r="Q218" s="34">
        <v>425.65</v>
      </c>
      <c r="R218" s="42"/>
      <c r="S218" s="86">
        <f t="shared" si="80"/>
        <v>-99.96999999999997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">
        <v>366</v>
      </c>
      <c r="B219" s="12" t="s">
        <v>84</v>
      </c>
      <c r="C219" s="481" t="s">
        <v>59</v>
      </c>
      <c r="D219" s="82"/>
      <c r="E219" s="14"/>
      <c r="F219" s="31">
        <v>489.64823999999999</v>
      </c>
      <c r="G219" s="84"/>
      <c r="H219" s="14"/>
      <c r="I219" s="31">
        <v>489.64823999999999</v>
      </c>
      <c r="J219" s="42"/>
      <c r="K219" s="14"/>
      <c r="L219" s="33">
        <v>738.32</v>
      </c>
      <c r="M219" s="42"/>
      <c r="N219" s="60">
        <f t="shared" si="79"/>
        <v>248.67176000000006</v>
      </c>
      <c r="O219" s="42"/>
      <c r="P219" s="14"/>
      <c r="Q219" s="33">
        <v>349.99</v>
      </c>
      <c r="R219" s="42"/>
      <c r="S219" s="86">
        <f t="shared" si="80"/>
        <v>388.33000000000004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">
        <v>367</v>
      </c>
      <c r="B220" s="12" t="s">
        <v>84</v>
      </c>
      <c r="C220" s="481" t="s">
        <v>60</v>
      </c>
      <c r="D220" s="82"/>
      <c r="E220" s="14"/>
      <c r="F220" s="31">
        <v>226.09839500000001</v>
      </c>
      <c r="G220" s="84"/>
      <c r="H220" s="14"/>
      <c r="I220" s="31">
        <v>226.09839500000001</v>
      </c>
      <c r="J220" s="42"/>
      <c r="K220" s="14"/>
      <c r="L220" s="34">
        <v>198.67</v>
      </c>
      <c r="M220" s="42"/>
      <c r="N220" s="60">
        <f t="shared" si="79"/>
        <v>-27.428395000000023</v>
      </c>
      <c r="O220" s="42"/>
      <c r="P220" s="14"/>
      <c r="Q220" s="34">
        <v>104.35</v>
      </c>
      <c r="R220" s="42"/>
      <c r="S220" s="86">
        <f t="shared" si="80"/>
        <v>94.32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">
        <v>368</v>
      </c>
      <c r="B221" s="12" t="s">
        <v>84</v>
      </c>
      <c r="C221" s="481" t="s">
        <v>61</v>
      </c>
      <c r="D221" s="82"/>
      <c r="E221" s="14"/>
      <c r="F221" s="31">
        <v>120.68780499999997</v>
      </c>
      <c r="G221" s="84"/>
      <c r="H221" s="14"/>
      <c r="I221" s="31">
        <v>120.68780499999997</v>
      </c>
      <c r="J221" s="42"/>
      <c r="K221" s="14"/>
      <c r="L221" s="34">
        <v>150.72999999999999</v>
      </c>
      <c r="M221" s="42"/>
      <c r="N221" s="60">
        <f t="shared" si="79"/>
        <v>30.042195000000021</v>
      </c>
      <c r="O221" s="42"/>
      <c r="P221" s="14"/>
      <c r="Q221" s="34">
        <v>197.4</v>
      </c>
      <c r="R221" s="42"/>
      <c r="S221" s="86">
        <f t="shared" si="80"/>
        <v>-46.670000000000016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">
        <v>369</v>
      </c>
      <c r="B222" s="12" t="s">
        <v>84</v>
      </c>
      <c r="C222" s="481" t="s">
        <v>62</v>
      </c>
      <c r="D222" s="82"/>
      <c r="E222" s="14"/>
      <c r="F222" s="31">
        <v>582.1751949999998</v>
      </c>
      <c r="G222" s="84"/>
      <c r="H222" s="14"/>
      <c r="I222" s="31">
        <v>582.1751949999998</v>
      </c>
      <c r="J222" s="42"/>
      <c r="K222" s="14"/>
      <c r="L222" s="34">
        <v>105.15</v>
      </c>
      <c r="M222" s="42"/>
      <c r="N222" s="60">
        <f t="shared" si="79"/>
        <v>-477.02519499999983</v>
      </c>
      <c r="O222" s="42"/>
      <c r="P222" s="14"/>
      <c r="Q222" s="34">
        <v>602.79999999999995</v>
      </c>
      <c r="R222" s="42"/>
      <c r="S222" s="86">
        <f t="shared" si="80"/>
        <v>-497.65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">
        <v>370</v>
      </c>
      <c r="B223" s="12" t="s">
        <v>84</v>
      </c>
      <c r="C223" s="481" t="s">
        <v>63</v>
      </c>
      <c r="D223" s="82"/>
      <c r="E223" s="14"/>
      <c r="F223" s="31">
        <v>864.94219999999996</v>
      </c>
      <c r="G223" s="84"/>
      <c r="H223" s="14"/>
      <c r="I223" s="31">
        <v>864.94219999999996</v>
      </c>
      <c r="J223" s="42"/>
      <c r="K223" s="14"/>
      <c r="L223" s="34">
        <v>2563.9299999999998</v>
      </c>
      <c r="M223" s="42"/>
      <c r="N223" s="60">
        <f t="shared" si="79"/>
        <v>1698.9877999999999</v>
      </c>
      <c r="O223" s="42"/>
      <c r="P223" s="14"/>
      <c r="Q223" s="34">
        <v>3976.7</v>
      </c>
      <c r="R223" s="42"/>
      <c r="S223" s="86">
        <f t="shared" si="80"/>
        <v>-1412.77</v>
      </c>
      <c r="T223" s="14"/>
      <c r="U223" s="14"/>
      <c r="V223" s="14"/>
      <c r="W223" s="495" t="s">
        <v>496</v>
      </c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">
        <v>371</v>
      </c>
      <c r="B224" s="12" t="s">
        <v>84</v>
      </c>
      <c r="C224" s="481" t="s">
        <v>64</v>
      </c>
      <c r="D224" s="82"/>
      <c r="E224" s="14"/>
      <c r="F224" s="31">
        <v>1393.340367565695</v>
      </c>
      <c r="G224" s="84"/>
      <c r="H224" s="14"/>
      <c r="I224" s="31">
        <v>1393.340367565695</v>
      </c>
      <c r="J224" s="496"/>
      <c r="K224" s="497"/>
      <c r="L224" s="498">
        <v>1867.2600000000002</v>
      </c>
      <c r="M224" s="42"/>
      <c r="N224" s="60">
        <f t="shared" si="79"/>
        <v>473.91963243430519</v>
      </c>
      <c r="O224" s="42"/>
      <c r="P224" s="14"/>
      <c r="Q224" s="34">
        <f>AL447*W5</f>
        <v>1584.018</v>
      </c>
      <c r="R224" s="42"/>
      <c r="S224" s="86">
        <f t="shared" si="80"/>
        <v>283.24200000000019</v>
      </c>
      <c r="T224" s="14"/>
      <c r="U224" s="499" t="s">
        <v>497</v>
      </c>
      <c r="V224" s="497"/>
      <c r="W224" s="500">
        <v>9785</v>
      </c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">
        <v>351</v>
      </c>
      <c r="B225" s="12" t="s">
        <v>84</v>
      </c>
      <c r="C225" s="481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f t="shared" si="79"/>
        <v>0</v>
      </c>
      <c r="O225" s="42"/>
      <c r="P225" s="14"/>
      <c r="Q225" s="34">
        <v>0</v>
      </c>
      <c r="R225" s="42"/>
      <c r="S225" s="86">
        <f t="shared" si="80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">
        <v>351</v>
      </c>
      <c r="B226" s="12" t="s">
        <v>84</v>
      </c>
      <c r="C226" s="481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f t="shared" si="79"/>
        <v>0</v>
      </c>
      <c r="O226" s="42"/>
      <c r="P226" s="14"/>
      <c r="Q226" s="34">
        <v>0</v>
      </c>
      <c r="R226" s="42"/>
      <c r="S226" s="86">
        <f t="shared" si="80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">
        <v>351</v>
      </c>
      <c r="B227" s="12" t="s">
        <v>84</v>
      </c>
      <c r="C227" s="481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f t="shared" si="79"/>
        <v>0</v>
      </c>
      <c r="O227" s="42"/>
      <c r="P227" s="14"/>
      <c r="Q227" s="34">
        <v>0</v>
      </c>
      <c r="R227" s="42"/>
      <c r="S227" s="86">
        <f t="shared" si="80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6" t="s">
        <v>65</v>
      </c>
      <c r="D228" s="97" t="s">
        <v>98</v>
      </c>
      <c r="E228" s="98">
        <f>F228/F$193</f>
        <v>0.22958541020087186</v>
      </c>
      <c r="F228" s="99">
        <f>+SUM(F210:F227)</f>
        <v>37006.827041267999</v>
      </c>
      <c r="G228" s="100" t="s">
        <v>98</v>
      </c>
      <c r="H228" s="98">
        <f>I228/I$193</f>
        <v>0.22958541020087186</v>
      </c>
      <c r="I228" s="99">
        <f>+SUM(I210:I227)</f>
        <v>37006.827041267999</v>
      </c>
      <c r="J228" s="100" t="s">
        <v>98</v>
      </c>
      <c r="K228" s="98">
        <f>L228/L$193</f>
        <v>0.25777630683202662</v>
      </c>
      <c r="L228" s="99">
        <f>+SUM(L210:L227)</f>
        <v>41046.340000000004</v>
      </c>
      <c r="M228" s="103"/>
      <c r="N228" s="99">
        <f t="shared" si="79"/>
        <v>4039.5129587320043</v>
      </c>
      <c r="O228" s="100" t="s">
        <v>98</v>
      </c>
      <c r="P228" s="98">
        <f>Q228/Q$193</f>
        <v>0.28519409600937079</v>
      </c>
      <c r="Q228" s="99">
        <f>+SUM(Q210:Q227)</f>
        <v>38580.678</v>
      </c>
      <c r="R228" s="103"/>
      <c r="S228" s="104">
        <f t="shared" si="80"/>
        <v>2465.6620000000039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4"/>
      <c r="F229" s="60"/>
      <c r="G229" s="91"/>
      <c r="H229" s="114"/>
      <c r="I229" s="60"/>
      <c r="J229" s="24"/>
      <c r="K229" s="114"/>
      <c r="L229" s="94"/>
      <c r="M229" s="24"/>
      <c r="N229" s="94"/>
      <c r="O229" s="24"/>
      <c r="P229" s="114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6" t="s">
        <v>66</v>
      </c>
      <c r="D230" s="97" t="s">
        <v>40</v>
      </c>
      <c r="E230" s="98">
        <f>F230/F$193</f>
        <v>0.92011262834828078</v>
      </c>
      <c r="F230" s="99">
        <f>F209+F228</f>
        <v>148312.77329852741</v>
      </c>
      <c r="G230" s="100" t="s">
        <v>40</v>
      </c>
      <c r="H230" s="98">
        <f>I230/I$193</f>
        <v>0.92011262834828078</v>
      </c>
      <c r="I230" s="99">
        <f>I209+I228</f>
        <v>148312.77329852741</v>
      </c>
      <c r="J230" s="100" t="s">
        <v>40</v>
      </c>
      <c r="K230" s="98">
        <f>L230/L$193</f>
        <v>0.92729268666427178</v>
      </c>
      <c r="L230" s="99">
        <f>L209+L228</f>
        <v>147655.04000000001</v>
      </c>
      <c r="M230" s="103"/>
      <c r="N230" s="116">
        <f t="shared" ref="N230:N231" si="81">L230-I230</f>
        <v>-657.73329852739698</v>
      </c>
      <c r="O230" s="100" t="s">
        <v>40</v>
      </c>
      <c r="P230" s="98">
        <f>Q230/Q$193</f>
        <v>0.90320157641999244</v>
      </c>
      <c r="Q230" s="99">
        <f>Q209+Q228</f>
        <v>122183.90799999998</v>
      </c>
      <c r="R230" s="103"/>
      <c r="S230" s="117">
        <f>L230-Q230</f>
        <v>25471.132000000027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481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81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27" t="s">
        <v>73</v>
      </c>
      <c r="D232" s="156"/>
      <c r="E232" s="128"/>
      <c r="F232" s="130">
        <f>F193-F230</f>
        <v>12877.029698490136</v>
      </c>
      <c r="G232" s="157"/>
      <c r="H232" s="128"/>
      <c r="I232" s="130">
        <f>I193-I230</f>
        <v>12877.029698490136</v>
      </c>
      <c r="J232" s="158"/>
      <c r="K232" s="129"/>
      <c r="L232" s="130">
        <f>L193-L230</f>
        <v>11577.360000000015</v>
      </c>
      <c r="M232" s="158"/>
      <c r="N232" s="130">
        <f>L232-I232</f>
        <v>-1299.6696984901209</v>
      </c>
      <c r="O232" s="158"/>
      <c r="P232" s="129"/>
      <c r="Q232" s="130">
        <f>Q193-Q230</f>
        <v>13094.762000000061</v>
      </c>
      <c r="R232" s="158"/>
      <c r="S232" s="132">
        <f>L232-Q232</f>
        <v>-1517.4020000000455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59"/>
      <c r="M234" s="159"/>
      <c r="N234" s="11"/>
      <c r="O234" s="159"/>
      <c r="P234" s="11"/>
      <c r="Q234" s="159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475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Juillet 2022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64" t="s">
        <v>5</v>
      </c>
      <c r="E237" s="565"/>
      <c r="F237" s="566"/>
      <c r="G237" s="562" t="s">
        <v>75</v>
      </c>
      <c r="H237" s="565"/>
      <c r="I237" s="566"/>
      <c r="J237" s="562" t="s">
        <v>7</v>
      </c>
      <c r="K237" s="565"/>
      <c r="L237" s="566"/>
      <c r="M237" s="562" t="s">
        <v>8</v>
      </c>
      <c r="N237" s="566"/>
      <c r="O237" s="564" t="s">
        <v>9</v>
      </c>
      <c r="P237" s="565"/>
      <c r="Q237" s="566"/>
      <c r="R237" s="562" t="s">
        <v>10</v>
      </c>
      <c r="S237" s="563"/>
      <c r="T237" s="153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">
        <v>100</v>
      </c>
      <c r="B238" s="12" t="s">
        <v>100</v>
      </c>
      <c r="C238" s="481"/>
      <c r="D238" s="81" t="s">
        <v>41</v>
      </c>
      <c r="E238" s="81" t="s">
        <v>85</v>
      </c>
      <c r="F238" s="137" t="s">
        <v>13</v>
      </c>
      <c r="G238" s="138" t="s">
        <v>41</v>
      </c>
      <c r="H238" s="81" t="s">
        <v>85</v>
      </c>
      <c r="I238" s="137" t="s">
        <v>13</v>
      </c>
      <c r="J238" s="138" t="s">
        <v>41</v>
      </c>
      <c r="K238" s="81" t="s">
        <v>85</v>
      </c>
      <c r="L238" s="137" t="s">
        <v>13</v>
      </c>
      <c r="M238" s="138" t="s">
        <v>41</v>
      </c>
      <c r="N238" s="137" t="s">
        <v>13</v>
      </c>
      <c r="O238" s="81" t="s">
        <v>41</v>
      </c>
      <c r="P238" s="81" t="s">
        <v>85</v>
      </c>
      <c r="Q238" s="137" t="s">
        <v>13</v>
      </c>
      <c r="R238" s="138" t="s">
        <v>86</v>
      </c>
      <c r="S238" s="139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">
        <v>100</v>
      </c>
      <c r="B239" s="12" t="s">
        <v>100</v>
      </c>
      <c r="C239" s="481"/>
      <c r="D239" s="81"/>
      <c r="E239" s="81"/>
      <c r="F239" s="137"/>
      <c r="G239" s="138"/>
      <c r="H239" s="81"/>
      <c r="I239" s="137"/>
      <c r="J239" s="138"/>
      <c r="K239" s="31"/>
      <c r="L239" s="34"/>
      <c r="M239" s="138"/>
      <c r="N239" s="137"/>
      <c r="O239" s="81"/>
      <c r="P239" s="81"/>
      <c r="Q239" s="137"/>
      <c r="R239" s="138"/>
      <c r="S239" s="139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">
        <v>372</v>
      </c>
      <c r="B240" s="12" t="s">
        <v>100</v>
      </c>
      <c r="C240" s="481" t="s">
        <v>101</v>
      </c>
      <c r="D240" s="81">
        <v>0</v>
      </c>
      <c r="E240" s="83">
        <v>88708.721270915063</v>
      </c>
      <c r="F240" s="83">
        <v>19622.453170860212</v>
      </c>
      <c r="G240" s="160">
        <v>0</v>
      </c>
      <c r="H240" s="83">
        <v>88708.721270915063</v>
      </c>
      <c r="I240" s="83">
        <v>19622.453170860212</v>
      </c>
      <c r="J240" s="61">
        <v>40</v>
      </c>
      <c r="K240" s="31">
        <v>83278.680000000008</v>
      </c>
      <c r="L240" s="34">
        <v>20646.130000000008</v>
      </c>
      <c r="M240" s="161">
        <f>IFERROR((K240-H240)/H240,0)</f>
        <v>-6.1212034094503438E-2</v>
      </c>
      <c r="N240" s="60">
        <f>L240-I240</f>
        <v>1023.6768291397966</v>
      </c>
      <c r="O240" s="61">
        <v>58</v>
      </c>
      <c r="P240" s="31">
        <v>54809.440000000002</v>
      </c>
      <c r="Q240" s="34">
        <v>13545.490000000005</v>
      </c>
      <c r="R240" s="161">
        <f>IF(O240=0,0,J240/O240)</f>
        <v>0.68965517241379315</v>
      </c>
      <c r="S240" s="86">
        <f>L240-Q240</f>
        <v>7100.6400000000031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">
        <v>373</v>
      </c>
      <c r="B241" s="12" t="s">
        <v>100</v>
      </c>
      <c r="C241" s="481" t="s">
        <v>88</v>
      </c>
      <c r="D241" s="81"/>
      <c r="E241" s="147"/>
      <c r="F241" s="162">
        <f>IFERROR(F240/E240,0)</f>
        <v>0.22120094720939043</v>
      </c>
      <c r="G241" s="42"/>
      <c r="H241" s="147"/>
      <c r="I241" s="162">
        <f>IFERROR(I240/H240,0)</f>
        <v>0.22120094720939043</v>
      </c>
      <c r="J241" s="61"/>
      <c r="K241" s="14"/>
      <c r="L241" s="162">
        <f>IFERROR(L240/K240,0)</f>
        <v>0.24791615333000003</v>
      </c>
      <c r="M241" s="161"/>
      <c r="N241" s="60">
        <f>IFERROR(N240/M240,0)</f>
        <v>-16723.457148301466</v>
      </c>
      <c r="O241" s="61"/>
      <c r="P241" s="14"/>
      <c r="Q241" s="162">
        <f>IFERROR(Q240/P240,0)</f>
        <v>0.24713790179210013</v>
      </c>
      <c r="R241" s="61"/>
      <c r="S241" s="86">
        <f>IFERROR(S240/R240,0)</f>
        <v>10295.928000000004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">
        <v>100</v>
      </c>
      <c r="B242" s="12" t="s">
        <v>100</v>
      </c>
      <c r="C242" s="481"/>
      <c r="D242" s="81"/>
      <c r="E242" s="209"/>
      <c r="F242" s="210"/>
      <c r="G242" s="138"/>
      <c r="H242" s="209"/>
      <c r="I242" s="210"/>
      <c r="J242" s="138"/>
      <c r="K242" s="81"/>
      <c r="L242" s="137"/>
      <c r="M242" s="138"/>
      <c r="N242" s="137"/>
      <c r="O242" s="138"/>
      <c r="P242" s="81"/>
      <c r="Q242" s="137"/>
      <c r="R242" s="211"/>
      <c r="S242" s="139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">
        <v>374</v>
      </c>
      <c r="B243" s="12" t="s">
        <v>100</v>
      </c>
      <c r="C243" s="15" t="s">
        <v>102</v>
      </c>
      <c r="D243" s="108">
        <v>0</v>
      </c>
      <c r="E243" s="83">
        <v>0</v>
      </c>
      <c r="F243" s="83">
        <v>0</v>
      </c>
      <c r="G243" s="212">
        <v>0</v>
      </c>
      <c r="H243" s="83">
        <v>0</v>
      </c>
      <c r="I243" s="83">
        <v>0</v>
      </c>
      <c r="J243" s="168">
        <v>0</v>
      </c>
      <c r="K243" s="169">
        <v>0</v>
      </c>
      <c r="L243" s="111">
        <v>0</v>
      </c>
      <c r="M243" s="176" t="e">
        <f>(K243-H243)/H243</f>
        <v>#DIV/0!</v>
      </c>
      <c r="N243" s="112">
        <f>L243-I243</f>
        <v>0</v>
      </c>
      <c r="O243" s="168">
        <v>0</v>
      </c>
      <c r="P243" s="169">
        <v>0</v>
      </c>
      <c r="Q243" s="111">
        <v>0</v>
      </c>
      <c r="R243" s="161">
        <f>IF(O243=0,0,J243/O243)</f>
        <v>0</v>
      </c>
      <c r="S243" s="113">
        <f>L243-Q243</f>
        <v>0</v>
      </c>
      <c r="T243" s="152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">
        <v>373</v>
      </c>
      <c r="B244" s="12" t="s">
        <v>100</v>
      </c>
      <c r="C244" s="481" t="s">
        <v>88</v>
      </c>
      <c r="D244" s="14"/>
      <c r="E244" s="147"/>
      <c r="F244" s="162" t="e">
        <f>F243/E243</f>
        <v>#DIV/0!</v>
      </c>
      <c r="G244" s="42"/>
      <c r="H244" s="147"/>
      <c r="I244" s="162" t="e">
        <f>I243/H243</f>
        <v>#DIV/0!</v>
      </c>
      <c r="J244" s="61"/>
      <c r="K244" s="14"/>
      <c r="L244" s="162">
        <f>IFERROR(L243/K243,0)</f>
        <v>0</v>
      </c>
      <c r="M244" s="161"/>
      <c r="N244" s="60" t="e">
        <f>N243/I243</f>
        <v>#DIV/0!</v>
      </c>
      <c r="O244" s="61"/>
      <c r="P244" s="14"/>
      <c r="Q244" s="162">
        <f>IFERROR(Q243/P243,0)</f>
        <v>0</v>
      </c>
      <c r="R244" s="61"/>
      <c r="S244" s="86">
        <f>IF(Q243=0,0,S243/Q243)</f>
        <v>0</v>
      </c>
      <c r="T244" s="152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">
        <v>100</v>
      </c>
      <c r="B245" s="12" t="s">
        <v>100</v>
      </c>
      <c r="C245" s="88"/>
      <c r="D245" s="114"/>
      <c r="E245" s="163"/>
      <c r="F245" s="164"/>
      <c r="G245" s="24"/>
      <c r="H245" s="173"/>
      <c r="I245" s="164"/>
      <c r="J245" s="165"/>
      <c r="K245" s="213"/>
      <c r="L245" s="164"/>
      <c r="M245" s="166"/>
      <c r="N245" s="94"/>
      <c r="O245" s="165"/>
      <c r="P245" s="213"/>
      <c r="Q245" s="164"/>
      <c r="R245" s="165"/>
      <c r="S245" s="95"/>
      <c r="T245" s="152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">
        <v>375</v>
      </c>
      <c r="B246" s="12" t="s">
        <v>100</v>
      </c>
      <c r="C246" s="15" t="s">
        <v>103</v>
      </c>
      <c r="D246" s="167">
        <v>0</v>
      </c>
      <c r="E246" s="83">
        <v>0</v>
      </c>
      <c r="F246" s="83">
        <v>0</v>
      </c>
      <c r="G246" s="168">
        <v>0</v>
      </c>
      <c r="H246" s="83">
        <v>0</v>
      </c>
      <c r="I246" s="83">
        <v>0</v>
      </c>
      <c r="J246" s="168">
        <v>0</v>
      </c>
      <c r="K246" s="31">
        <v>0</v>
      </c>
      <c r="L246" s="34">
        <v>0</v>
      </c>
      <c r="M246" s="161" t="e">
        <f>(K246-H246)/H246</f>
        <v>#DIV/0!</v>
      </c>
      <c r="N246" s="112">
        <f>L246-I246</f>
        <v>0</v>
      </c>
      <c r="O246" s="168">
        <v>0</v>
      </c>
      <c r="P246" s="31">
        <v>0</v>
      </c>
      <c r="Q246" s="34">
        <v>0</v>
      </c>
      <c r="R246" s="161">
        <f>IF(O246=0,0,J246/O246)</f>
        <v>0</v>
      </c>
      <c r="S246" s="86">
        <f>L246-Q246</f>
        <v>0</v>
      </c>
      <c r="T246" s="152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">
        <v>373</v>
      </c>
      <c r="B247" s="12" t="s">
        <v>100</v>
      </c>
      <c r="C247" s="481" t="s">
        <v>88</v>
      </c>
      <c r="D247" s="14"/>
      <c r="E247" s="14"/>
      <c r="F247" s="162" t="e">
        <f>F246/E246</f>
        <v>#DIV/0!</v>
      </c>
      <c r="G247" s="42"/>
      <c r="H247" s="14"/>
      <c r="I247" s="162" t="e">
        <f>I246/H246</f>
        <v>#DIV/0!</v>
      </c>
      <c r="J247" s="42"/>
      <c r="K247" s="14"/>
      <c r="L247" s="162">
        <f>IFERROR(L246/K246,0)</f>
        <v>0</v>
      </c>
      <c r="M247" s="43"/>
      <c r="N247" s="44" t="e">
        <f>N246/I246</f>
        <v>#DIV/0!</v>
      </c>
      <c r="O247" s="42"/>
      <c r="P247" s="14"/>
      <c r="Q247" s="162">
        <f>IFERROR(Q246/P246,0)</f>
        <v>0</v>
      </c>
      <c r="R247" s="43"/>
      <c r="S247" s="45">
        <f>IF(Q246=0,0,S246/Q246)</f>
        <v>0</v>
      </c>
      <c r="T247" s="152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">
        <v>100</v>
      </c>
      <c r="B248" s="12" t="s">
        <v>100</v>
      </c>
      <c r="C248" s="481"/>
      <c r="D248" s="14"/>
      <c r="E248" s="14"/>
      <c r="F248" s="162"/>
      <c r="G248" s="42"/>
      <c r="H248" s="14"/>
      <c r="I248" s="162"/>
      <c r="J248" s="42"/>
      <c r="K248" s="14"/>
      <c r="L248" s="162"/>
      <c r="M248" s="43"/>
      <c r="N248" s="44"/>
      <c r="O248" s="42"/>
      <c r="P248" s="14"/>
      <c r="Q248" s="162"/>
      <c r="R248" s="43"/>
      <c r="S248" s="45"/>
      <c r="T248" s="152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">
        <v>376</v>
      </c>
      <c r="B249" s="12" t="s">
        <v>100</v>
      </c>
      <c r="C249" s="63" t="s">
        <v>97</v>
      </c>
      <c r="D249" s="64"/>
      <c r="E249" s="64">
        <f t="shared" ref="E249:F249" si="82">E243+E246+E240</f>
        <v>88708.721270915063</v>
      </c>
      <c r="F249" s="66">
        <f t="shared" si="82"/>
        <v>19622.453170860212</v>
      </c>
      <c r="G249" s="67"/>
      <c r="H249" s="64">
        <f t="shared" ref="H249:I249" si="83">H243+H246+H240</f>
        <v>88708.721270915063</v>
      </c>
      <c r="I249" s="66">
        <f t="shared" si="83"/>
        <v>19622.453170860212</v>
      </c>
      <c r="J249" s="67"/>
      <c r="K249" s="64">
        <f t="shared" ref="K249:L249" si="84">K243+K246+K240</f>
        <v>83278.680000000008</v>
      </c>
      <c r="L249" s="66">
        <f t="shared" si="84"/>
        <v>20646.130000000008</v>
      </c>
      <c r="M249" s="208">
        <f>L250-I250</f>
        <v>2.6715206120609597E-2</v>
      </c>
      <c r="N249" s="66">
        <f>L249-I249</f>
        <v>1023.6768291397966</v>
      </c>
      <c r="O249" s="67"/>
      <c r="P249" s="64">
        <f t="shared" ref="P249:Q249" si="85">P243+P246+P240</f>
        <v>54809.440000000002</v>
      </c>
      <c r="Q249" s="66">
        <f t="shared" si="85"/>
        <v>13545.490000000005</v>
      </c>
      <c r="R249" s="516">
        <f>L250-Q250</f>
        <v>7.7825153789989887E-4</v>
      </c>
      <c r="S249" s="69">
        <f>L249-Q249</f>
        <v>7100.6400000000031</v>
      </c>
      <c r="T249" s="152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">
        <v>100</v>
      </c>
      <c r="B250" s="12" t="s">
        <v>100</v>
      </c>
      <c r="C250" s="70"/>
      <c r="D250" s="71"/>
      <c r="E250" s="71"/>
      <c r="F250" s="75">
        <f>F249/E249</f>
        <v>0.22120094720939043</v>
      </c>
      <c r="G250" s="73"/>
      <c r="H250" s="71"/>
      <c r="I250" s="75">
        <f>I249/H249</f>
        <v>0.22120094720939043</v>
      </c>
      <c r="J250" s="73"/>
      <c r="K250" s="71"/>
      <c r="L250" s="75">
        <f>IF(K249=0,0,L249/K249)</f>
        <v>0.24791615333000003</v>
      </c>
      <c r="M250" s="74"/>
      <c r="N250" s="75">
        <f>N249/I249</f>
        <v>5.2168646816290021E-2</v>
      </c>
      <c r="O250" s="73"/>
      <c r="P250" s="71"/>
      <c r="Q250" s="75">
        <f>IF(P249=0,0,Q249/P249)</f>
        <v>0.24713790179210013</v>
      </c>
      <c r="R250" s="74"/>
      <c r="S250" s="517">
        <f>S249/Q249</f>
        <v>0.52420695006234552</v>
      </c>
      <c r="T250" s="152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">
        <v>100</v>
      </c>
      <c r="B251" s="12" t="s">
        <v>100</v>
      </c>
      <c r="C251" s="481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">
        <v>377</v>
      </c>
      <c r="B252" s="12" t="s">
        <v>100</v>
      </c>
      <c r="C252" s="487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">
        <v>378</v>
      </c>
      <c r="B253" s="12" t="s">
        <v>100</v>
      </c>
      <c r="C253" s="494" t="s">
        <v>42</v>
      </c>
      <c r="D253" s="14"/>
      <c r="E253" s="14"/>
      <c r="F253" s="31">
        <v>325.80440613026821</v>
      </c>
      <c r="G253" s="42"/>
      <c r="H253" s="14"/>
      <c r="I253" s="31">
        <v>325.80440613026821</v>
      </c>
      <c r="J253" s="42"/>
      <c r="K253" s="14"/>
      <c r="L253" s="34">
        <v>901.88</v>
      </c>
      <c r="M253" s="42"/>
      <c r="N253" s="60">
        <f t="shared" ref="N253:N283" si="86">L253-I253</f>
        <v>576.07559386973185</v>
      </c>
      <c r="O253" s="42"/>
      <c r="P253" s="14"/>
      <c r="Q253" s="34">
        <v>809.12</v>
      </c>
      <c r="R253" s="42"/>
      <c r="S253" s="35">
        <f>L253-Q253</f>
        <v>92.759999999999991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">
        <v>379</v>
      </c>
      <c r="B254" s="12" t="s">
        <v>100</v>
      </c>
      <c r="C254" s="106" t="s">
        <v>43</v>
      </c>
      <c r="D254" s="82"/>
      <c r="E254" s="14"/>
      <c r="F254" s="23">
        <v>545.66820983524906</v>
      </c>
      <c r="G254" s="84"/>
      <c r="H254" s="14"/>
      <c r="I254" s="23">
        <v>545.66820983524906</v>
      </c>
      <c r="J254" s="42"/>
      <c r="K254" s="14"/>
      <c r="L254" s="34">
        <v>396.27</v>
      </c>
      <c r="M254" s="42"/>
      <c r="N254" s="60">
        <f t="shared" si="86"/>
        <v>-149.39820983524908</v>
      </c>
      <c r="O254" s="42"/>
      <c r="P254" s="14"/>
      <c r="Q254" s="34">
        <v>498.5</v>
      </c>
      <c r="R254" s="42"/>
      <c r="S254" s="86">
        <f>L254-Q254</f>
        <v>-102.23000000000002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">
        <v>380</v>
      </c>
      <c r="B255" s="12" t="s">
        <v>100</v>
      </c>
      <c r="C255" s="494" t="s">
        <v>44</v>
      </c>
      <c r="D255" s="107"/>
      <c r="E255" s="108"/>
      <c r="F255" s="31">
        <v>469.91855390038313</v>
      </c>
      <c r="G255" s="109"/>
      <c r="H255" s="108"/>
      <c r="I255" s="31">
        <v>469.91855390038313</v>
      </c>
      <c r="J255" s="110"/>
      <c r="K255" s="108"/>
      <c r="L255" s="111">
        <v>1.23</v>
      </c>
      <c r="M255" s="110"/>
      <c r="N255" s="112">
        <f t="shared" si="86"/>
        <v>-468.68855390038311</v>
      </c>
      <c r="O255" s="110"/>
      <c r="P255" s="108"/>
      <c r="Q255" s="111">
        <v>4370.16</v>
      </c>
      <c r="R255" s="110"/>
      <c r="S255" s="113">
        <f t="shared" ref="S255:S284" si="87">L255-Q255</f>
        <v>-4368.93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">
        <v>381</v>
      </c>
      <c r="B256" s="12" t="s">
        <v>100</v>
      </c>
      <c r="C256" s="494" t="s">
        <v>45</v>
      </c>
      <c r="D256" s="82"/>
      <c r="E256" s="14"/>
      <c r="F256" s="31">
        <v>4293.1034482758623</v>
      </c>
      <c r="G256" s="84"/>
      <c r="H256" s="14"/>
      <c r="I256" s="31">
        <v>4293.1034482758623</v>
      </c>
      <c r="J256" s="42"/>
      <c r="K256" s="14"/>
      <c r="L256" s="34">
        <v>2753.05</v>
      </c>
      <c r="M256" s="42"/>
      <c r="N256" s="60">
        <f t="shared" si="86"/>
        <v>-1540.0534482758621</v>
      </c>
      <c r="O256" s="42"/>
      <c r="P256" s="14"/>
      <c r="Q256" s="34">
        <v>1711.56</v>
      </c>
      <c r="R256" s="42"/>
      <c r="S256" s="86">
        <f t="shared" si="87"/>
        <v>1041.4900000000002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">
        <v>382</v>
      </c>
      <c r="B257" s="12" t="s">
        <v>100</v>
      </c>
      <c r="C257" s="481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f t="shared" si="86"/>
        <v>0</v>
      </c>
      <c r="O257" s="42"/>
      <c r="P257" s="14"/>
      <c r="Q257" s="34">
        <v>0</v>
      </c>
      <c r="R257" s="42"/>
      <c r="S257" s="86">
        <f t="shared" si="87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">
        <v>382</v>
      </c>
      <c r="B258" s="12" t="s">
        <v>100</v>
      </c>
      <c r="C258" s="481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f t="shared" si="86"/>
        <v>0</v>
      </c>
      <c r="O258" s="42"/>
      <c r="P258" s="14"/>
      <c r="Q258" s="34">
        <v>0</v>
      </c>
      <c r="R258" s="42"/>
      <c r="S258" s="86">
        <f t="shared" si="87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">
        <v>382</v>
      </c>
      <c r="B259" s="12" t="s">
        <v>100</v>
      </c>
      <c r="C259" s="481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f t="shared" si="86"/>
        <v>0</v>
      </c>
      <c r="O259" s="42"/>
      <c r="P259" s="14"/>
      <c r="Q259" s="34">
        <v>0</v>
      </c>
      <c r="R259" s="42"/>
      <c r="S259" s="86">
        <f t="shared" si="87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">
        <v>383</v>
      </c>
      <c r="B260" s="12" t="s">
        <v>100</v>
      </c>
      <c r="C260" s="106" t="s">
        <v>46</v>
      </c>
      <c r="D260" s="82"/>
      <c r="E260" s="14"/>
      <c r="F260" s="23">
        <v>685.83684543664049</v>
      </c>
      <c r="G260" s="84"/>
      <c r="H260" s="14"/>
      <c r="I260" s="23">
        <v>685.83684543664049</v>
      </c>
      <c r="J260" s="42"/>
      <c r="K260" s="14"/>
      <c r="L260" s="34">
        <v>924.62</v>
      </c>
      <c r="M260" s="42"/>
      <c r="N260" s="60">
        <f t="shared" si="86"/>
        <v>238.78315456335952</v>
      </c>
      <c r="O260" s="42"/>
      <c r="P260" s="14"/>
      <c r="Q260" s="34">
        <v>443.68</v>
      </c>
      <c r="R260" s="42"/>
      <c r="S260" s="86">
        <f t="shared" si="87"/>
        <v>480.94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">
        <v>384</v>
      </c>
      <c r="B261" s="12" t="s">
        <v>100</v>
      </c>
      <c r="C261" s="494" t="s">
        <v>47</v>
      </c>
      <c r="D261" s="107"/>
      <c r="E261" s="108"/>
      <c r="F261" s="31">
        <v>614.23719729445975</v>
      </c>
      <c r="G261" s="109"/>
      <c r="H261" s="108"/>
      <c r="I261" s="31">
        <v>614.23719729445975</v>
      </c>
      <c r="J261" s="110"/>
      <c r="K261" s="108"/>
      <c r="L261" s="111">
        <v>1758.56</v>
      </c>
      <c r="M261" s="110"/>
      <c r="N261" s="112">
        <f t="shared" si="86"/>
        <v>1144.3228027055402</v>
      </c>
      <c r="O261" s="110"/>
      <c r="P261" s="108"/>
      <c r="Q261" s="111">
        <v>886.33</v>
      </c>
      <c r="R261" s="110"/>
      <c r="S261" s="113">
        <f t="shared" si="87"/>
        <v>872.2299999999999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">
        <v>385</v>
      </c>
      <c r="B262" s="12" t="s">
        <v>100</v>
      </c>
      <c r="C262" s="494" t="s">
        <v>48</v>
      </c>
      <c r="D262" s="82"/>
      <c r="E262" s="14"/>
      <c r="F262" s="31">
        <v>487.77659785148285</v>
      </c>
      <c r="G262" s="84"/>
      <c r="H262" s="14"/>
      <c r="I262" s="31">
        <v>487.77659785148285</v>
      </c>
      <c r="J262" s="42"/>
      <c r="K262" s="14"/>
      <c r="L262" s="34">
        <v>1606.88</v>
      </c>
      <c r="M262" s="42"/>
      <c r="N262" s="60">
        <f t="shared" si="86"/>
        <v>1119.1034021485173</v>
      </c>
      <c r="O262" s="42"/>
      <c r="P262" s="14"/>
      <c r="Q262" s="34">
        <v>635.21</v>
      </c>
      <c r="R262" s="42"/>
      <c r="S262" s="86">
        <f t="shared" si="87"/>
        <v>971.67000000000007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">
        <v>386</v>
      </c>
      <c r="B263" s="12" t="s">
        <v>100</v>
      </c>
      <c r="C263" s="494" t="s">
        <v>49</v>
      </c>
      <c r="D263" s="82"/>
      <c r="E263" s="14"/>
      <c r="F263" s="31">
        <v>198.72379912467818</v>
      </c>
      <c r="G263" s="84"/>
      <c r="H263" s="14"/>
      <c r="I263" s="31">
        <v>198.72379912467818</v>
      </c>
      <c r="J263" s="42"/>
      <c r="K263" s="14"/>
      <c r="L263" s="34">
        <v>466.12</v>
      </c>
      <c r="M263" s="42"/>
      <c r="N263" s="60">
        <f t="shared" si="86"/>
        <v>267.39620087532182</v>
      </c>
      <c r="O263" s="42"/>
      <c r="P263" s="14"/>
      <c r="Q263" s="34">
        <v>147.72</v>
      </c>
      <c r="R263" s="42"/>
      <c r="S263" s="86">
        <f t="shared" si="87"/>
        <v>318.39999999999998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">
        <v>382</v>
      </c>
      <c r="B264" s="12" t="s">
        <v>100</v>
      </c>
      <c r="C264" s="481" t="s">
        <v>21</v>
      </c>
      <c r="D264" s="89"/>
      <c r="E264" s="114"/>
      <c r="F264" s="31">
        <v>0</v>
      </c>
      <c r="G264" s="91"/>
      <c r="H264" s="114"/>
      <c r="I264" s="31">
        <v>0</v>
      </c>
      <c r="J264" s="24"/>
      <c r="K264" s="114"/>
      <c r="L264" s="34">
        <v>0</v>
      </c>
      <c r="M264" s="24"/>
      <c r="N264" s="94">
        <f t="shared" si="86"/>
        <v>0</v>
      </c>
      <c r="O264" s="24"/>
      <c r="P264" s="114"/>
      <c r="Q264" s="34">
        <v>0</v>
      </c>
      <c r="R264" s="24"/>
      <c r="S264" s="95">
        <f t="shared" si="87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">
        <v>387</v>
      </c>
      <c r="B265" s="12" t="s">
        <v>100</v>
      </c>
      <c r="C265" s="96" t="s">
        <v>50</v>
      </c>
      <c r="D265" s="97" t="s">
        <v>40</v>
      </c>
      <c r="E265" s="98" t="e">
        <f>F265/F$243</f>
        <v>#DIV/0!</v>
      </c>
      <c r="F265" s="99">
        <f>+SUM(F253:F264)</f>
        <v>7621.0690578490239</v>
      </c>
      <c r="G265" s="100" t="s">
        <v>40</v>
      </c>
      <c r="H265" s="98" t="e">
        <f>I265/I$243</f>
        <v>#DIV/0!</v>
      </c>
      <c r="I265" s="99">
        <f>+SUM(I253:I264)</f>
        <v>7621.0690578490239</v>
      </c>
      <c r="J265" s="100" t="s">
        <v>40</v>
      </c>
      <c r="K265" s="98">
        <f>IF(L243=0,0,L265/L$243)</f>
        <v>0</v>
      </c>
      <c r="L265" s="99">
        <f>+SUM(L253:L264)</f>
        <v>8808.6100000000024</v>
      </c>
      <c r="M265" s="151"/>
      <c r="N265" s="116">
        <f t="shared" si="86"/>
        <v>1187.5409421509785</v>
      </c>
      <c r="O265" s="100" t="s">
        <v>40</v>
      </c>
      <c r="P265" s="98">
        <f>IF(Q243=0,0,Q265/Q$243)</f>
        <v>0</v>
      </c>
      <c r="Q265" s="99">
        <f>+SUM(Q253:Q264)</f>
        <v>9502.2800000000007</v>
      </c>
      <c r="R265" s="151"/>
      <c r="S265" s="117">
        <f t="shared" si="87"/>
        <v>-693.66999999999825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">
        <v>388</v>
      </c>
      <c r="B266" s="12" t="s">
        <v>100</v>
      </c>
      <c r="C266" s="214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0.06</v>
      </c>
      <c r="M266" s="42"/>
      <c r="N266" s="60">
        <f t="shared" si="86"/>
        <v>0.06</v>
      </c>
      <c r="O266" s="42"/>
      <c r="P266" s="14"/>
      <c r="Q266" s="34">
        <v>0.08</v>
      </c>
      <c r="R266" s="42"/>
      <c r="S266" s="86">
        <f t="shared" si="87"/>
        <v>-2.0000000000000004E-2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">
        <v>389</v>
      </c>
      <c r="B267" s="12" t="s">
        <v>100</v>
      </c>
      <c r="C267" s="494" t="s">
        <v>52</v>
      </c>
      <c r="D267" s="82"/>
      <c r="E267" s="14"/>
      <c r="F267" s="31">
        <v>307.94991081251476</v>
      </c>
      <c r="G267" s="84"/>
      <c r="H267" s="14"/>
      <c r="I267" s="31">
        <v>307.94991081251476</v>
      </c>
      <c r="J267" s="42"/>
      <c r="K267" s="14"/>
      <c r="L267" s="34">
        <v>15.15</v>
      </c>
      <c r="M267" s="42"/>
      <c r="N267" s="60">
        <f t="shared" si="86"/>
        <v>-292.79991081251478</v>
      </c>
      <c r="O267" s="42"/>
      <c r="P267" s="14"/>
      <c r="Q267" s="34">
        <v>187.47</v>
      </c>
      <c r="R267" s="42"/>
      <c r="S267" s="86">
        <f t="shared" si="87"/>
        <v>-172.32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">
        <v>390</v>
      </c>
      <c r="B268" s="12" t="s">
        <v>100</v>
      </c>
      <c r="C268" s="106" t="s">
        <v>53</v>
      </c>
      <c r="D268" s="89"/>
      <c r="E268" s="114"/>
      <c r="F268" s="23">
        <v>379.94</v>
      </c>
      <c r="G268" s="91"/>
      <c r="H268" s="114"/>
      <c r="I268" s="23">
        <v>379.94</v>
      </c>
      <c r="J268" s="24"/>
      <c r="K268" s="114"/>
      <c r="L268" s="34">
        <v>901.54</v>
      </c>
      <c r="M268" s="24"/>
      <c r="N268" s="94">
        <f t="shared" si="86"/>
        <v>521.59999999999991</v>
      </c>
      <c r="O268" s="24"/>
      <c r="P268" s="114"/>
      <c r="Q268" s="34">
        <v>478.35</v>
      </c>
      <c r="R268" s="24"/>
      <c r="S268" s="95">
        <f t="shared" si="87"/>
        <v>423.18999999999994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">
        <v>391</v>
      </c>
      <c r="B269" s="12" t="s">
        <v>100</v>
      </c>
      <c r="C269" s="494" t="s">
        <v>54</v>
      </c>
      <c r="D269" s="82"/>
      <c r="E269" s="14"/>
      <c r="F269" s="31">
        <v>1313.4198641666667</v>
      </c>
      <c r="G269" s="84"/>
      <c r="H269" s="14"/>
      <c r="I269" s="31">
        <v>1313.4198641666667</v>
      </c>
      <c r="J269" s="42"/>
      <c r="K269" s="14"/>
      <c r="L269" s="111">
        <v>1475.24</v>
      </c>
      <c r="M269" s="42"/>
      <c r="N269" s="60">
        <f t="shared" si="86"/>
        <v>161.82013583333332</v>
      </c>
      <c r="O269" s="42"/>
      <c r="P269" s="14"/>
      <c r="Q269" s="111">
        <v>1475.95</v>
      </c>
      <c r="R269" s="42"/>
      <c r="S269" s="86">
        <f t="shared" si="87"/>
        <v>-0.71000000000003638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">
        <v>392</v>
      </c>
      <c r="B270" s="12" t="s">
        <v>100</v>
      </c>
      <c r="C270" s="494" t="s">
        <v>55</v>
      </c>
      <c r="D270" s="82"/>
      <c r="E270" s="14"/>
      <c r="F270" s="31">
        <v>173.28101875000004</v>
      </c>
      <c r="G270" s="84"/>
      <c r="H270" s="14"/>
      <c r="I270" s="31">
        <v>173.28101875000004</v>
      </c>
      <c r="J270" s="42"/>
      <c r="K270" s="14"/>
      <c r="L270" s="34">
        <v>111.16</v>
      </c>
      <c r="M270" s="42"/>
      <c r="N270" s="60">
        <f t="shared" si="86"/>
        <v>-62.121018750000047</v>
      </c>
      <c r="O270" s="42"/>
      <c r="P270" s="14"/>
      <c r="Q270" s="34">
        <v>244.91</v>
      </c>
      <c r="R270" s="42"/>
      <c r="S270" s="86">
        <f t="shared" si="87"/>
        <v>-133.75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">
        <v>393</v>
      </c>
      <c r="B271" s="12" t="s">
        <v>100</v>
      </c>
      <c r="C271" s="494" t="s">
        <v>56</v>
      </c>
      <c r="D271" s="89"/>
      <c r="E271" s="114"/>
      <c r="F271" s="23">
        <v>886.92558888888902</v>
      </c>
      <c r="G271" s="91"/>
      <c r="H271" s="114"/>
      <c r="I271" s="23">
        <v>886.92558888888902</v>
      </c>
      <c r="J271" s="24"/>
      <c r="K271" s="114"/>
      <c r="L271" s="34">
        <v>566.32000000000005</v>
      </c>
      <c r="M271" s="24"/>
      <c r="N271" s="94">
        <f t="shared" si="86"/>
        <v>-320.60558888888897</v>
      </c>
      <c r="O271" s="24"/>
      <c r="P271" s="114"/>
      <c r="Q271" s="34">
        <v>619.99</v>
      </c>
      <c r="R271" s="24"/>
      <c r="S271" s="95">
        <f t="shared" si="87"/>
        <v>-53.669999999999959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">
        <v>394</v>
      </c>
      <c r="B272" s="12" t="s">
        <v>100</v>
      </c>
      <c r="C272" s="215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f t="shared" si="86"/>
        <v>0</v>
      </c>
      <c r="O272" s="42"/>
      <c r="P272" s="14"/>
      <c r="Q272" s="34">
        <v>0</v>
      </c>
      <c r="R272" s="42"/>
      <c r="S272" s="86">
        <f t="shared" si="87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">
        <v>395</v>
      </c>
      <c r="B273" s="12" t="s">
        <v>100</v>
      </c>
      <c r="C273" s="494" t="s">
        <v>57</v>
      </c>
      <c r="D273" s="82"/>
      <c r="E273" s="14"/>
      <c r="F273" s="31">
        <v>99.362811590243282</v>
      </c>
      <c r="G273" s="84"/>
      <c r="H273" s="14"/>
      <c r="I273" s="31">
        <v>99.362811590243282</v>
      </c>
      <c r="J273" s="42"/>
      <c r="K273" s="14"/>
      <c r="L273" s="34">
        <v>0</v>
      </c>
      <c r="M273" s="42"/>
      <c r="N273" s="60">
        <f t="shared" si="86"/>
        <v>-99.362811590243282</v>
      </c>
      <c r="O273" s="42"/>
      <c r="P273" s="14"/>
      <c r="Q273" s="34">
        <v>0</v>
      </c>
      <c r="R273" s="42"/>
      <c r="S273" s="86">
        <f t="shared" si="87"/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">
        <v>396</v>
      </c>
      <c r="B274" s="12" t="s">
        <v>100</v>
      </c>
      <c r="C274" s="494" t="s">
        <v>58</v>
      </c>
      <c r="D274" s="82"/>
      <c r="E274" s="14"/>
      <c r="F274" s="31">
        <v>52.798786051137185</v>
      </c>
      <c r="G274" s="84"/>
      <c r="H274" s="14"/>
      <c r="I274" s="31">
        <v>52.798786051137185</v>
      </c>
      <c r="J274" s="42"/>
      <c r="K274" s="14"/>
      <c r="L274" s="34">
        <v>0</v>
      </c>
      <c r="M274" s="42"/>
      <c r="N274" s="60">
        <f t="shared" si="86"/>
        <v>-52.798786051137185</v>
      </c>
      <c r="O274" s="42"/>
      <c r="P274" s="14"/>
      <c r="Q274" s="34">
        <v>0</v>
      </c>
      <c r="R274" s="42"/>
      <c r="S274" s="86">
        <f t="shared" si="87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">
        <v>397</v>
      </c>
      <c r="B275" s="12" t="s">
        <v>100</v>
      </c>
      <c r="C275" s="494" t="s">
        <v>59</v>
      </c>
      <c r="D275" s="82"/>
      <c r="E275" s="14"/>
      <c r="F275" s="31">
        <v>142.81407000000002</v>
      </c>
      <c r="G275" s="84"/>
      <c r="H275" s="14"/>
      <c r="I275" s="31">
        <v>142.81407000000002</v>
      </c>
      <c r="J275" s="42"/>
      <c r="K275" s="14"/>
      <c r="L275" s="33">
        <v>215.36</v>
      </c>
      <c r="M275" s="42"/>
      <c r="N275" s="60">
        <f t="shared" si="86"/>
        <v>72.545929999999998</v>
      </c>
      <c r="O275" s="42"/>
      <c r="P275" s="14"/>
      <c r="Q275" s="33">
        <v>102.09</v>
      </c>
      <c r="R275" s="42"/>
      <c r="S275" s="86">
        <f t="shared" si="87"/>
        <v>113.27000000000001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">
        <v>398</v>
      </c>
      <c r="B276" s="12" t="s">
        <v>100</v>
      </c>
      <c r="C276" s="494" t="s">
        <v>60</v>
      </c>
      <c r="D276" s="82"/>
      <c r="E276" s="14"/>
      <c r="F276" s="31">
        <v>65.945365208333342</v>
      </c>
      <c r="G276" s="84"/>
      <c r="H276" s="14"/>
      <c r="I276" s="31">
        <v>65.945365208333342</v>
      </c>
      <c r="J276" s="42"/>
      <c r="K276" s="14"/>
      <c r="L276" s="34">
        <v>27.16</v>
      </c>
      <c r="M276" s="42"/>
      <c r="N276" s="60">
        <f t="shared" si="86"/>
        <v>-38.785365208333346</v>
      </c>
      <c r="O276" s="42"/>
      <c r="P276" s="14"/>
      <c r="Q276" s="34">
        <v>19.510000000000002</v>
      </c>
      <c r="R276" s="42"/>
      <c r="S276" s="86">
        <f t="shared" si="87"/>
        <v>7.6499999999999986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">
        <v>399</v>
      </c>
      <c r="B277" s="12" t="s">
        <v>100</v>
      </c>
      <c r="C277" s="494" t="s">
        <v>61</v>
      </c>
      <c r="D277" s="82"/>
      <c r="E277" s="14"/>
      <c r="F277" s="31">
        <v>35.200609791666665</v>
      </c>
      <c r="G277" s="84"/>
      <c r="H277" s="14"/>
      <c r="I277" s="31">
        <v>35.200609791666665</v>
      </c>
      <c r="J277" s="42"/>
      <c r="K277" s="14"/>
      <c r="L277" s="34">
        <v>43.97</v>
      </c>
      <c r="M277" s="42"/>
      <c r="N277" s="60">
        <f t="shared" si="86"/>
        <v>8.7693902083333342</v>
      </c>
      <c r="O277" s="42"/>
      <c r="P277" s="14"/>
      <c r="Q277" s="34">
        <v>53.06</v>
      </c>
      <c r="R277" s="42"/>
      <c r="S277" s="86">
        <f t="shared" si="87"/>
        <v>-9.0900000000000034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">
        <v>400</v>
      </c>
      <c r="B278" s="12" t="s">
        <v>100</v>
      </c>
      <c r="C278" s="494" t="s">
        <v>62</v>
      </c>
      <c r="D278" s="82"/>
      <c r="E278" s="14"/>
      <c r="F278" s="31">
        <v>169.80109854166665</v>
      </c>
      <c r="G278" s="84"/>
      <c r="H278" s="14"/>
      <c r="I278" s="31">
        <v>169.80109854166665</v>
      </c>
      <c r="J278" s="42"/>
      <c r="K278" s="14"/>
      <c r="L278" s="34">
        <v>30.67</v>
      </c>
      <c r="M278" s="42"/>
      <c r="N278" s="60">
        <f t="shared" si="86"/>
        <v>-139.13109854166663</v>
      </c>
      <c r="O278" s="42"/>
      <c r="P278" s="14"/>
      <c r="Q278" s="34">
        <v>175.81</v>
      </c>
      <c r="R278" s="42"/>
      <c r="S278" s="86">
        <f t="shared" si="87"/>
        <v>-145.13999999999999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">
        <v>401</v>
      </c>
      <c r="B279" s="12" t="s">
        <v>100</v>
      </c>
      <c r="C279" s="494" t="s">
        <v>63</v>
      </c>
      <c r="D279" s="82"/>
      <c r="E279" s="14"/>
      <c r="F279" s="31">
        <v>252.27480833333334</v>
      </c>
      <c r="G279" s="84"/>
      <c r="H279" s="14"/>
      <c r="I279" s="31">
        <v>252.27480833333334</v>
      </c>
      <c r="J279" s="42"/>
      <c r="K279" s="14"/>
      <c r="L279" s="34">
        <v>80.680000000000007</v>
      </c>
      <c r="M279" s="42"/>
      <c r="N279" s="60">
        <f t="shared" si="86"/>
        <v>-171.59480833333333</v>
      </c>
      <c r="O279" s="42"/>
      <c r="P279" s="14"/>
      <c r="Q279" s="34">
        <v>6.2</v>
      </c>
      <c r="R279" s="42"/>
      <c r="S279" s="86">
        <f t="shared" si="87"/>
        <v>74.48</v>
      </c>
      <c r="T279" s="14"/>
      <c r="U279" s="14"/>
      <c r="V279" s="14"/>
      <c r="W279" s="495" t="s">
        <v>496</v>
      </c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">
        <v>402</v>
      </c>
      <c r="B280" s="12" t="s">
        <v>100</v>
      </c>
      <c r="C280" s="494" t="s">
        <v>64</v>
      </c>
      <c r="D280" s="82"/>
      <c r="E280" s="14"/>
      <c r="F280" s="31">
        <v>406.3909405399944</v>
      </c>
      <c r="G280" s="84"/>
      <c r="H280" s="14"/>
      <c r="I280" s="31">
        <v>406.3909405399944</v>
      </c>
      <c r="J280" s="496"/>
      <c r="K280" s="497"/>
      <c r="L280" s="498">
        <v>207.48000000000002</v>
      </c>
      <c r="M280" s="42"/>
      <c r="N280" s="60">
        <f t="shared" si="86"/>
        <v>-198.91094053999439</v>
      </c>
      <c r="O280" s="42"/>
      <c r="P280" s="14"/>
      <c r="Q280" s="34">
        <f>AL447*W6</f>
        <v>176.00200000000001</v>
      </c>
      <c r="R280" s="42"/>
      <c r="S280" s="86">
        <f t="shared" si="87"/>
        <v>31.478000000000009</v>
      </c>
      <c r="T280" s="14"/>
      <c r="U280" s="499" t="s">
        <v>497</v>
      </c>
      <c r="V280" s="497"/>
      <c r="W280" s="500">
        <v>1087</v>
      </c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">
        <v>382</v>
      </c>
      <c r="B281" s="12" t="s">
        <v>100</v>
      </c>
      <c r="C281" s="494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f t="shared" si="86"/>
        <v>0</v>
      </c>
      <c r="O281" s="42"/>
      <c r="P281" s="14"/>
      <c r="Q281" s="34">
        <v>0</v>
      </c>
      <c r="R281" s="42"/>
      <c r="S281" s="86">
        <f t="shared" si="87"/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">
        <v>382</v>
      </c>
      <c r="B282" s="12" t="s">
        <v>100</v>
      </c>
      <c r="C282" s="494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f t="shared" si="86"/>
        <v>0</v>
      </c>
      <c r="O282" s="42"/>
      <c r="P282" s="14"/>
      <c r="Q282" s="34">
        <v>0</v>
      </c>
      <c r="R282" s="42"/>
      <c r="S282" s="86">
        <f t="shared" si="87"/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">
        <v>382</v>
      </c>
      <c r="B283" s="12" t="s">
        <v>100</v>
      </c>
      <c r="C283" s="494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f t="shared" si="86"/>
        <v>0</v>
      </c>
      <c r="O283" s="42"/>
      <c r="P283" s="14"/>
      <c r="Q283" s="34">
        <v>0</v>
      </c>
      <c r="R283" s="42"/>
      <c r="S283" s="86">
        <f t="shared" si="87"/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6" t="s">
        <v>65</v>
      </c>
      <c r="D284" s="97" t="s">
        <v>40</v>
      </c>
      <c r="E284" s="98" t="e">
        <f>F284/F$243</f>
        <v>#DIV/0!</v>
      </c>
      <c r="F284" s="99">
        <f>+SUM(F266:F283)</f>
        <v>4286.1048726744457</v>
      </c>
      <c r="G284" s="100" t="s">
        <v>40</v>
      </c>
      <c r="H284" s="98" t="e">
        <f>I284/I$243</f>
        <v>#DIV/0!</v>
      </c>
      <c r="I284" s="99">
        <f>+SUM(I266:I283)</f>
        <v>4286.1048726744457</v>
      </c>
      <c r="J284" s="100" t="s">
        <v>40</v>
      </c>
      <c r="K284" s="98" t="e">
        <f>IF(L261=0,0,L284/L$243)</f>
        <v>#DIV/0!</v>
      </c>
      <c r="L284" s="99">
        <f>+SUM(L266:L283)</f>
        <v>3674.7899999999995</v>
      </c>
      <c r="M284" s="103"/>
      <c r="N284" s="99">
        <f>+SUM(N266:N283)</f>
        <v>-611.31487267444538</v>
      </c>
      <c r="O284" s="100" t="s">
        <v>40</v>
      </c>
      <c r="P284" s="98" t="e">
        <f>IF(Q261=0,0,Q284/Q$243)</f>
        <v>#DIV/0!</v>
      </c>
      <c r="Q284" s="99">
        <f>+SUM(Q266:Q283)</f>
        <v>3539.422</v>
      </c>
      <c r="R284" s="103"/>
      <c r="S284" s="104">
        <f t="shared" si="87"/>
        <v>135.36799999999948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4"/>
      <c r="F285" s="60"/>
      <c r="G285" s="91"/>
      <c r="H285" s="114"/>
      <c r="I285" s="60"/>
      <c r="J285" s="24"/>
      <c r="K285" s="114"/>
      <c r="L285" s="94"/>
      <c r="M285" s="24"/>
      <c r="N285" s="94"/>
      <c r="O285" s="24"/>
      <c r="P285" s="114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6" t="s">
        <v>66</v>
      </c>
      <c r="D286" s="97" t="s">
        <v>40</v>
      </c>
      <c r="E286" s="98" t="e">
        <f>F286/F$243</f>
        <v>#DIV/0!</v>
      </c>
      <c r="F286" s="99">
        <f>F265+F284</f>
        <v>11907.17393052347</v>
      </c>
      <c r="G286" s="100" t="s">
        <v>40</v>
      </c>
      <c r="H286" s="98" t="e">
        <f>I286/I$243</f>
        <v>#DIV/0!</v>
      </c>
      <c r="I286" s="99">
        <f>I265+I284</f>
        <v>11907.17393052347</v>
      </c>
      <c r="J286" s="100" t="s">
        <v>40</v>
      </c>
      <c r="K286" s="98" t="e">
        <f>IF(L263=0,0,L286/L$243)</f>
        <v>#DIV/0!</v>
      </c>
      <c r="L286" s="99">
        <f>L265+L284</f>
        <v>12483.400000000001</v>
      </c>
      <c r="M286" s="103"/>
      <c r="N286" s="116">
        <f t="shared" ref="N286:N288" si="88">L286-I286</f>
        <v>576.22606947653185</v>
      </c>
      <c r="O286" s="100" t="s">
        <v>40</v>
      </c>
      <c r="P286" s="98" t="e">
        <f>IF(Q263=0,0,Q286/Q$243)</f>
        <v>#DIV/0!</v>
      </c>
      <c r="Q286" s="99">
        <f>Q265+Q284</f>
        <v>13041.702000000001</v>
      </c>
      <c r="R286" s="103"/>
      <c r="S286" s="117">
        <f>L286-Q286</f>
        <v>-558.30199999999968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481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8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9.25" customHeight="1" thickBot="1">
      <c r="B288" s="12"/>
      <c r="C288" s="127" t="s">
        <v>73</v>
      </c>
      <c r="D288" s="156"/>
      <c r="E288" s="128"/>
      <c r="F288" s="130">
        <f>F249-F286</f>
        <v>7715.2792403367421</v>
      </c>
      <c r="G288" s="157"/>
      <c r="H288" s="128"/>
      <c r="I288" s="130">
        <f>I249-I286</f>
        <v>7715.2792403367421</v>
      </c>
      <c r="J288" s="158"/>
      <c r="K288" s="129"/>
      <c r="L288" s="130">
        <f>L249-L286</f>
        <v>8162.7300000000068</v>
      </c>
      <c r="M288" s="158"/>
      <c r="N288" s="130">
        <f t="shared" si="88"/>
        <v>447.45075966326476</v>
      </c>
      <c r="O288" s="158"/>
      <c r="P288" s="129"/>
      <c r="Q288" s="130">
        <f>Q249-Q286</f>
        <v>503.7880000000041</v>
      </c>
      <c r="R288" s="158"/>
      <c r="S288" s="132">
        <f>L288-Q288</f>
        <v>7658.9420000000027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475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Juillet 2022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64" t="s">
        <v>5</v>
      </c>
      <c r="E292" s="565"/>
      <c r="F292" s="566"/>
      <c r="G292" s="562" t="s">
        <v>75</v>
      </c>
      <c r="H292" s="565"/>
      <c r="I292" s="566"/>
      <c r="J292" s="562" t="s">
        <v>7</v>
      </c>
      <c r="K292" s="565"/>
      <c r="L292" s="566"/>
      <c r="M292" s="562" t="s">
        <v>8</v>
      </c>
      <c r="N292" s="566"/>
      <c r="O292" s="564" t="s">
        <v>9</v>
      </c>
      <c r="P292" s="565"/>
      <c r="Q292" s="566"/>
      <c r="R292" s="562" t="s">
        <v>10</v>
      </c>
      <c r="S292" s="563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">
        <v>104</v>
      </c>
      <c r="B293" s="12" t="s">
        <v>104</v>
      </c>
      <c r="C293" s="481"/>
      <c r="D293" s="81" t="s">
        <v>85</v>
      </c>
      <c r="E293" s="81" t="s">
        <v>105</v>
      </c>
      <c r="F293" s="137" t="s">
        <v>13</v>
      </c>
      <c r="G293" s="138" t="s">
        <v>85</v>
      </c>
      <c r="H293" s="81" t="s">
        <v>105</v>
      </c>
      <c r="I293" s="137" t="s">
        <v>13</v>
      </c>
      <c r="J293" s="138" t="s">
        <v>85</v>
      </c>
      <c r="K293" s="81" t="s">
        <v>105</v>
      </c>
      <c r="L293" s="137" t="s">
        <v>13</v>
      </c>
      <c r="M293" s="138" t="s">
        <v>491</v>
      </c>
      <c r="N293" s="137" t="s">
        <v>13</v>
      </c>
      <c r="O293" s="81" t="s">
        <v>85</v>
      </c>
      <c r="P293" s="81" t="s">
        <v>105</v>
      </c>
      <c r="Q293" s="137" t="s">
        <v>13</v>
      </c>
      <c r="R293" s="138" t="s">
        <v>86</v>
      </c>
      <c r="S293" s="139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">
        <v>403</v>
      </c>
      <c r="B294" s="12" t="s">
        <v>104</v>
      </c>
      <c r="C294" s="481" t="s">
        <v>106</v>
      </c>
      <c r="D294" s="83">
        <v>79379.673824367113</v>
      </c>
      <c r="E294" s="152">
        <f>IF(D294=0,0,F294/D294)</f>
        <v>0.35811007851031496</v>
      </c>
      <c r="F294" s="86">
        <v>28426.661225367301</v>
      </c>
      <c r="G294" s="83">
        <v>79379.673824367113</v>
      </c>
      <c r="H294" s="152">
        <f>IF(G294=0,0,I294/G294)</f>
        <v>0.35811007851031496</v>
      </c>
      <c r="I294" s="86">
        <v>28426.661225367301</v>
      </c>
      <c r="J294" s="31">
        <v>71797.939999999988</v>
      </c>
      <c r="K294" s="152">
        <f t="shared" ref="K294:K303" si="89">IF(J294&lt;=0,0,L294/J294)</f>
        <v>0.3770915990068795</v>
      </c>
      <c r="L294" s="86">
        <v>27074.399999999991</v>
      </c>
      <c r="M294" s="161">
        <f t="shared" ref="M294:M300" si="90">(+J294-G294)/G294</f>
        <v>-9.5512282415549141E-2</v>
      </c>
      <c r="N294" s="60">
        <f t="shared" ref="N294:N303" si="91">L294-I294</f>
        <v>-1352.2612253673105</v>
      </c>
      <c r="O294" s="31">
        <v>73917.490000000005</v>
      </c>
      <c r="P294" s="152">
        <f t="shared" ref="P294:P303" si="92">IF(O294&lt;=0,0,Q294/O294)</f>
        <v>0.33315227559810279</v>
      </c>
      <c r="Q294" s="86">
        <v>24625.78000000001</v>
      </c>
      <c r="R294" s="161">
        <f>IF(O294=0,0,(J294-O294)/O294)</f>
        <v>-2.8674539679310232E-2</v>
      </c>
      <c r="S294" s="86">
        <f t="shared" ref="S294:S303" si="93">L294-Q294</f>
        <v>2448.6199999999808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">
        <v>404</v>
      </c>
      <c r="B295" s="12" t="s">
        <v>104</v>
      </c>
      <c r="C295" s="481" t="s">
        <v>107</v>
      </c>
      <c r="D295" s="83">
        <v>43018.019402990292</v>
      </c>
      <c r="E295" s="152">
        <f t="shared" ref="E295:E302" si="94">IF(D295=0,0,F295/D295)</f>
        <v>0.2571723304036081</v>
      </c>
      <c r="F295" s="86">
        <v>11063.044299214644</v>
      </c>
      <c r="G295" s="83">
        <v>43018.019402990292</v>
      </c>
      <c r="H295" s="152">
        <f t="shared" ref="H295:H302" si="95">IF(G295=0,0,I295/G295)</f>
        <v>0.2571723304036081</v>
      </c>
      <c r="I295" s="86">
        <v>11063.044299214644</v>
      </c>
      <c r="J295" s="31">
        <v>43137.599999999999</v>
      </c>
      <c r="K295" s="152">
        <f t="shared" si="89"/>
        <v>0.25002967248989283</v>
      </c>
      <c r="L295" s="86">
        <v>10785.68</v>
      </c>
      <c r="M295" s="161">
        <f t="shared" si="90"/>
        <v>2.7797792336621127E-3</v>
      </c>
      <c r="N295" s="60">
        <f t="shared" si="91"/>
        <v>-277.36429921464332</v>
      </c>
      <c r="O295" s="31">
        <v>19736.7</v>
      </c>
      <c r="P295" s="152">
        <f t="shared" si="92"/>
        <v>0.28486474435949277</v>
      </c>
      <c r="Q295" s="86">
        <v>5622.2900000000009</v>
      </c>
      <c r="R295" s="161">
        <f t="shared" ref="R295:R302" si="96">IF(O295=0,0,(J295-O295)/O295)</f>
        <v>1.1856541367097841</v>
      </c>
      <c r="S295" s="86">
        <f t="shared" si="93"/>
        <v>5163.3899999999994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">
        <v>405</v>
      </c>
      <c r="B296" s="12" t="s">
        <v>104</v>
      </c>
      <c r="C296" s="481" t="s">
        <v>108</v>
      </c>
      <c r="D296" s="83">
        <v>72921.095203981851</v>
      </c>
      <c r="E296" s="152">
        <f t="shared" si="94"/>
        <v>0.24177651145507992</v>
      </c>
      <c r="F296" s="86">
        <v>17630.608009902491</v>
      </c>
      <c r="G296" s="83">
        <v>72921.095203981851</v>
      </c>
      <c r="H296" s="152">
        <f t="shared" si="95"/>
        <v>0.24177651145507992</v>
      </c>
      <c r="I296" s="86">
        <v>17630.608009902491</v>
      </c>
      <c r="J296" s="31">
        <v>70082.789999999994</v>
      </c>
      <c r="K296" s="152">
        <f t="shared" si="89"/>
        <v>0.23647845640848481</v>
      </c>
      <c r="L296" s="86">
        <v>16573.069999999992</v>
      </c>
      <c r="M296" s="161">
        <f t="shared" si="90"/>
        <v>-3.8922964555623843E-2</v>
      </c>
      <c r="N296" s="60">
        <f t="shared" si="91"/>
        <v>-1057.5380099024987</v>
      </c>
      <c r="O296" s="31">
        <v>64208.3</v>
      </c>
      <c r="P296" s="152">
        <f t="shared" si="92"/>
        <v>0.23106436395294688</v>
      </c>
      <c r="Q296" s="86">
        <v>14836.25</v>
      </c>
      <c r="R296" s="161">
        <f t="shared" si="96"/>
        <v>9.1491131208893406E-2</v>
      </c>
      <c r="S296" s="86">
        <f t="shared" si="93"/>
        <v>1736.8199999999924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">
        <v>406</v>
      </c>
      <c r="B297" s="12" t="s">
        <v>104</v>
      </c>
      <c r="C297" s="481" t="s">
        <v>109</v>
      </c>
      <c r="D297" s="83">
        <v>61015.569195122443</v>
      </c>
      <c r="E297" s="152">
        <f t="shared" si="94"/>
        <v>0.32393223852119107</v>
      </c>
      <c r="F297" s="86">
        <v>19764.909914020642</v>
      </c>
      <c r="G297" s="83">
        <v>61015.569195122443</v>
      </c>
      <c r="H297" s="152">
        <f t="shared" si="95"/>
        <v>0.32393223852119107</v>
      </c>
      <c r="I297" s="86">
        <v>19764.909914020642</v>
      </c>
      <c r="J297" s="31">
        <v>49676.78</v>
      </c>
      <c r="K297" s="152">
        <f t="shared" si="89"/>
        <v>0.31532357773591613</v>
      </c>
      <c r="L297" s="86">
        <v>15664.260000000002</v>
      </c>
      <c r="M297" s="161">
        <f t="shared" si="90"/>
        <v>-0.18583435907746743</v>
      </c>
      <c r="N297" s="60">
        <f t="shared" si="91"/>
        <v>-4100.6499140206397</v>
      </c>
      <c r="O297" s="31">
        <v>50091.519999999997</v>
      </c>
      <c r="P297" s="152">
        <f t="shared" si="92"/>
        <v>0.33594907880615316</v>
      </c>
      <c r="Q297" s="86">
        <v>16828.199999999997</v>
      </c>
      <c r="R297" s="161">
        <f t="shared" si="96"/>
        <v>-8.279644937905617E-3</v>
      </c>
      <c r="S297" s="86">
        <f t="shared" si="93"/>
        <v>-1163.9399999999951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">
        <v>407</v>
      </c>
      <c r="B298" s="12" t="s">
        <v>104</v>
      </c>
      <c r="C298" s="481" t="s">
        <v>110</v>
      </c>
      <c r="D298" s="83">
        <v>19201.56770742701</v>
      </c>
      <c r="E298" s="152">
        <f t="shared" si="94"/>
        <v>0.28113730707120016</v>
      </c>
      <c r="F298" s="86">
        <v>5398.2770368113479</v>
      </c>
      <c r="G298" s="83">
        <v>19201.56770742701</v>
      </c>
      <c r="H298" s="152">
        <f t="shared" si="95"/>
        <v>0.28113730707120016</v>
      </c>
      <c r="I298" s="86">
        <v>5398.2770368113479</v>
      </c>
      <c r="J298" s="31">
        <v>17580.88</v>
      </c>
      <c r="K298" s="152">
        <f t="shared" si="89"/>
        <v>0.23921043770277714</v>
      </c>
      <c r="L298" s="86">
        <v>4205.5300000000007</v>
      </c>
      <c r="M298" s="161">
        <f t="shared" si="90"/>
        <v>-8.4403926393996465E-2</v>
      </c>
      <c r="N298" s="60">
        <f t="shared" si="91"/>
        <v>-1192.7470368113472</v>
      </c>
      <c r="O298" s="31">
        <v>16671.490000000002</v>
      </c>
      <c r="P298" s="152">
        <f t="shared" si="92"/>
        <v>0.26749258764513556</v>
      </c>
      <c r="Q298" s="86">
        <v>4459.5000000000018</v>
      </c>
      <c r="R298" s="161">
        <f t="shared" si="96"/>
        <v>5.4547613920531361E-2</v>
      </c>
      <c r="S298" s="86">
        <f t="shared" si="93"/>
        <v>-253.97000000000116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">
        <v>408</v>
      </c>
      <c r="B299" s="12" t="s">
        <v>104</v>
      </c>
      <c r="C299" s="481" t="s">
        <v>111</v>
      </c>
      <c r="D299" s="83">
        <v>57835.091512829393</v>
      </c>
      <c r="E299" s="152">
        <f t="shared" si="94"/>
        <v>0.18194830719212418</v>
      </c>
      <c r="F299" s="86">
        <v>10522.996997060896</v>
      </c>
      <c r="G299" s="83">
        <v>57835.091512829393</v>
      </c>
      <c r="H299" s="152">
        <f t="shared" si="95"/>
        <v>0.18194830719212418</v>
      </c>
      <c r="I299" s="86">
        <v>10522.996997060896</v>
      </c>
      <c r="J299" s="31">
        <v>68251.39</v>
      </c>
      <c r="K299" s="152">
        <f t="shared" si="89"/>
        <v>0.17980630138082168</v>
      </c>
      <c r="L299" s="86">
        <v>12272.029999999999</v>
      </c>
      <c r="M299" s="161">
        <f t="shared" si="90"/>
        <v>0.18010343227104583</v>
      </c>
      <c r="N299" s="60">
        <f t="shared" si="91"/>
        <v>1749.0330029391025</v>
      </c>
      <c r="O299" s="31">
        <v>55314.11</v>
      </c>
      <c r="P299" s="152">
        <f t="shared" si="92"/>
        <v>0.19188865191901308</v>
      </c>
      <c r="Q299" s="86">
        <v>10614.150000000001</v>
      </c>
      <c r="R299" s="161">
        <f t="shared" si="96"/>
        <v>0.23388751983897055</v>
      </c>
      <c r="S299" s="86">
        <f t="shared" si="93"/>
        <v>1657.8799999999974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">
        <v>409</v>
      </c>
      <c r="B300" s="12" t="s">
        <v>104</v>
      </c>
      <c r="C300" s="481" t="s">
        <v>21</v>
      </c>
      <c r="D300" s="83">
        <v>0</v>
      </c>
      <c r="E300" s="152">
        <f t="shared" si="94"/>
        <v>0</v>
      </c>
      <c r="F300" s="86">
        <v>0</v>
      </c>
      <c r="G300" s="83">
        <v>0</v>
      </c>
      <c r="H300" s="152">
        <f t="shared" si="95"/>
        <v>0</v>
      </c>
      <c r="I300" s="86">
        <v>0</v>
      </c>
      <c r="J300" s="31">
        <v>0</v>
      </c>
      <c r="K300" s="152">
        <f t="shared" si="89"/>
        <v>0</v>
      </c>
      <c r="L300" s="86">
        <v>0</v>
      </c>
      <c r="M300" s="161" t="e">
        <f t="shared" si="90"/>
        <v>#DIV/0!</v>
      </c>
      <c r="N300" s="60">
        <f t="shared" si="91"/>
        <v>0</v>
      </c>
      <c r="O300" s="31">
        <v>0</v>
      </c>
      <c r="P300" s="152">
        <f t="shared" si="92"/>
        <v>0</v>
      </c>
      <c r="Q300" s="86">
        <v>0</v>
      </c>
      <c r="R300" s="161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">
        <v>410</v>
      </c>
      <c r="B301" s="12" t="s">
        <v>104</v>
      </c>
      <c r="C301" s="481" t="s">
        <v>112</v>
      </c>
      <c r="D301" s="83">
        <v>0</v>
      </c>
      <c r="E301" s="152">
        <f t="shared" si="94"/>
        <v>0</v>
      </c>
      <c r="F301" s="86">
        <v>5524.7288148974949</v>
      </c>
      <c r="G301" s="83">
        <v>0</v>
      </c>
      <c r="H301" s="152">
        <f t="shared" si="95"/>
        <v>0</v>
      </c>
      <c r="I301" s="86">
        <v>5524.7288148974949</v>
      </c>
      <c r="J301" s="31">
        <v>0</v>
      </c>
      <c r="K301" s="152">
        <f t="shared" si="89"/>
        <v>0</v>
      </c>
      <c r="L301" s="86">
        <v>7855.65</v>
      </c>
      <c r="M301" s="161"/>
      <c r="N301" s="60">
        <f t="shared" si="91"/>
        <v>2330.9211851025048</v>
      </c>
      <c r="O301" s="31">
        <v>0</v>
      </c>
      <c r="P301" s="152">
        <f t="shared" si="92"/>
        <v>0</v>
      </c>
      <c r="Q301" s="86">
        <v>7736.16</v>
      </c>
      <c r="R301" s="161">
        <f t="shared" si="96"/>
        <v>0</v>
      </c>
      <c r="S301" s="86">
        <f t="shared" si="93"/>
        <v>119.48999999999978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">
        <v>411</v>
      </c>
      <c r="B302" s="12" t="s">
        <v>104</v>
      </c>
      <c r="C302" s="88" t="s">
        <v>113</v>
      </c>
      <c r="D302" s="83">
        <v>0</v>
      </c>
      <c r="E302" s="152">
        <f t="shared" si="94"/>
        <v>0</v>
      </c>
      <c r="F302" s="86">
        <v>0</v>
      </c>
      <c r="G302" s="83">
        <v>0</v>
      </c>
      <c r="H302" s="152">
        <f t="shared" si="95"/>
        <v>0</v>
      </c>
      <c r="I302" s="86">
        <v>0</v>
      </c>
      <c r="J302" s="31">
        <v>0</v>
      </c>
      <c r="K302" s="152">
        <f t="shared" si="89"/>
        <v>0</v>
      </c>
      <c r="L302" s="86">
        <v>0</v>
      </c>
      <c r="M302" s="161"/>
      <c r="N302" s="60">
        <f t="shared" si="91"/>
        <v>0</v>
      </c>
      <c r="O302" s="31">
        <v>0</v>
      </c>
      <c r="P302" s="152">
        <f t="shared" si="92"/>
        <v>0</v>
      </c>
      <c r="Q302" s="86">
        <v>0</v>
      </c>
      <c r="R302" s="161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">
        <v>412</v>
      </c>
      <c r="B303" s="12" t="s">
        <v>104</v>
      </c>
      <c r="C303" s="484" t="s">
        <v>114</v>
      </c>
      <c r="D303" s="197">
        <f>SUM(D294:D302)</f>
        <v>333371.01684671815</v>
      </c>
      <c r="E303" s="216">
        <f>IF(D303&lt;=0,0,F303/D303)</f>
        <v>0.29496033346680184</v>
      </c>
      <c r="F303" s="201">
        <f>SUM(F294:F302)</f>
        <v>98331.226297274799</v>
      </c>
      <c r="G303" s="197">
        <f>SUM(G294:G302)</f>
        <v>333371.01684671815</v>
      </c>
      <c r="H303" s="216">
        <f>IF(G303&lt;=0,0,I303/G303)</f>
        <v>0.29496033346680184</v>
      </c>
      <c r="I303" s="201">
        <f>SUM(I294:I302)</f>
        <v>98331.226297274799</v>
      </c>
      <c r="J303" s="197">
        <f>SUM(J294:J302)</f>
        <v>320527.37999999995</v>
      </c>
      <c r="K303" s="216">
        <f t="shared" si="89"/>
        <v>0.29461015155709935</v>
      </c>
      <c r="L303" s="199">
        <f>SUM(L294:L302)</f>
        <v>94430.619999999966</v>
      </c>
      <c r="M303" s="217">
        <f>(+J303-G303)/G303</f>
        <v>-3.8526555092291137E-2</v>
      </c>
      <c r="N303" s="199">
        <f t="shared" si="91"/>
        <v>-3900.6062972748332</v>
      </c>
      <c r="O303" s="197">
        <f>SUM(O294:O302)</f>
        <v>279939.61</v>
      </c>
      <c r="P303" s="216">
        <f t="shared" si="92"/>
        <v>0.30264502404643639</v>
      </c>
      <c r="Q303" s="199">
        <f>SUM(Q294:Q302)</f>
        <v>84722.330000000016</v>
      </c>
      <c r="R303" s="217">
        <f>IF(O303=0,0,(J303-O303)/O303)</f>
        <v>0.14498759214532006</v>
      </c>
      <c r="S303" s="201">
        <f t="shared" si="93"/>
        <v>9708.2899999999499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">
        <v>104</v>
      </c>
      <c r="B304" s="12" t="s">
        <v>104</v>
      </c>
      <c r="C304" s="481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-3.9668032670339394E-2</v>
      </c>
      <c r="O304" s="42"/>
      <c r="P304" s="14"/>
      <c r="Q304" s="41"/>
      <c r="R304" s="42"/>
      <c r="S304" s="45">
        <f>IF(Q303=0,0,S303/Q303)</f>
        <v>0.11458950668613514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">
        <v>104</v>
      </c>
      <c r="B305" s="12" t="s">
        <v>104</v>
      </c>
      <c r="C305" s="88"/>
      <c r="D305" s="114"/>
      <c r="E305" s="114"/>
      <c r="F305" s="218"/>
      <c r="G305" s="24"/>
      <c r="H305" s="219"/>
      <c r="I305" s="218"/>
      <c r="J305" s="24"/>
      <c r="K305" s="114"/>
      <c r="L305" s="218"/>
      <c r="M305" s="24"/>
      <c r="N305" s="171"/>
      <c r="O305" s="24"/>
      <c r="P305" s="114"/>
      <c r="Q305" s="218"/>
      <c r="R305" s="24"/>
      <c r="S305" s="172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">
        <v>413</v>
      </c>
      <c r="B306" s="12" t="s">
        <v>104</v>
      </c>
      <c r="C306" s="481" t="s">
        <v>115</v>
      </c>
      <c r="D306" s="83">
        <v>22593.353815060615</v>
      </c>
      <c r="E306" s="152">
        <f t="shared" ref="E306:E307" si="97">IF(D306=0,0,F306/D306)</f>
        <v>0.1816444838198383</v>
      </c>
      <c r="F306" s="113">
        <v>4103.9580914956596</v>
      </c>
      <c r="G306" s="83">
        <v>22593.353815060615</v>
      </c>
      <c r="H306" s="152">
        <f t="shared" ref="H306:H307" si="98">IF(G306=0,0,I306/G306)</f>
        <v>0.1816444838198383</v>
      </c>
      <c r="I306" s="113">
        <v>4103.9580914956596</v>
      </c>
      <c r="J306" s="31">
        <v>29798.17</v>
      </c>
      <c r="K306" s="152">
        <f t="shared" ref="K306:K308" si="99">IF(J306&lt;=0,0,L306/J306)</f>
        <v>0.19305044571529056</v>
      </c>
      <c r="L306" s="113">
        <v>5752.5499999999993</v>
      </c>
      <c r="M306" s="161">
        <f t="shared" ref="M306:M308" si="100">(+J306-G306)/G306</f>
        <v>0.31889095545154034</v>
      </c>
      <c r="N306" s="60">
        <f t="shared" ref="N306:N308" si="101">L306-I306</f>
        <v>1648.5919085043397</v>
      </c>
      <c r="O306" s="31">
        <v>26431.119999999999</v>
      </c>
      <c r="P306" s="152">
        <f t="shared" ref="P306:P308" si="102">IF(O306&lt;=0,0,Q306/O306)</f>
        <v>0.12185257378423615</v>
      </c>
      <c r="Q306" s="113">
        <v>3220.7</v>
      </c>
      <c r="R306" s="161">
        <f t="shared" ref="R306:R307" si="103">IF(O306=0,0,(J306-O306)/O306)</f>
        <v>0.12738960740218347</v>
      </c>
      <c r="S306" s="86">
        <f t="shared" ref="S306:S308" si="104">L306-Q306</f>
        <v>2531.8499999999995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">
        <v>414</v>
      </c>
      <c r="B307" s="12" t="s">
        <v>104</v>
      </c>
      <c r="C307" s="88" t="s">
        <v>116</v>
      </c>
      <c r="D307" s="83">
        <v>19461.570150997708</v>
      </c>
      <c r="E307" s="152">
        <f t="shared" si="97"/>
        <v>0.29130399895825637</v>
      </c>
      <c r="F307" s="95">
        <v>5669.23321099227</v>
      </c>
      <c r="G307" s="83">
        <v>19461.570150997708</v>
      </c>
      <c r="H307" s="152">
        <f t="shared" si="98"/>
        <v>0.29130399895825637</v>
      </c>
      <c r="I307" s="95">
        <v>5669.23321099227</v>
      </c>
      <c r="J307" s="31">
        <v>24986.639999999999</v>
      </c>
      <c r="K307" s="152">
        <f t="shared" si="99"/>
        <v>0.33051182551955771</v>
      </c>
      <c r="L307" s="95">
        <v>8258.380000000001</v>
      </c>
      <c r="M307" s="161">
        <f t="shared" si="100"/>
        <v>0.28389640743961481</v>
      </c>
      <c r="N307" s="60">
        <f t="shared" si="101"/>
        <v>2589.1467890077311</v>
      </c>
      <c r="O307" s="31">
        <v>18216.47</v>
      </c>
      <c r="P307" s="152">
        <f t="shared" si="102"/>
        <v>0.26480157791273512</v>
      </c>
      <c r="Q307" s="95">
        <v>4823.7500000000018</v>
      </c>
      <c r="R307" s="161">
        <f t="shared" si="103"/>
        <v>0.37165103886757411</v>
      </c>
      <c r="S307" s="86">
        <f t="shared" si="104"/>
        <v>3434.6299999999992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">
        <v>415</v>
      </c>
      <c r="B308" s="12" t="s">
        <v>104</v>
      </c>
      <c r="C308" s="484" t="s">
        <v>117</v>
      </c>
      <c r="D308" s="197">
        <f>D303+D306+D307</f>
        <v>375425.94081277651</v>
      </c>
      <c r="E308" s="216">
        <f>IF(D308&lt;=0,0,F308/D308)</f>
        <v>0.28795137961357337</v>
      </c>
      <c r="F308" s="199">
        <f t="shared" ref="F308" si="105">F303+F306+F307</f>
        <v>108104.41759976273</v>
      </c>
      <c r="G308" s="200">
        <f>G303+G306+G307</f>
        <v>375425.94081277651</v>
      </c>
      <c r="H308" s="216">
        <f>IF(G308&lt;=0,0,I308/G308)</f>
        <v>0.28795137961357337</v>
      </c>
      <c r="I308" s="199">
        <f t="shared" ref="I308:J308" si="106">I303+I306+I307</f>
        <v>108104.41759976273</v>
      </c>
      <c r="J308" s="200">
        <f t="shared" si="106"/>
        <v>375312.18999999994</v>
      </c>
      <c r="K308" s="216">
        <f t="shared" si="99"/>
        <v>0.28893692475056565</v>
      </c>
      <c r="L308" s="199">
        <f>L303+L306+L307</f>
        <v>108441.54999999997</v>
      </c>
      <c r="M308" s="217">
        <f t="shared" si="100"/>
        <v>-3.0299135038537058E-4</v>
      </c>
      <c r="N308" s="199">
        <f t="shared" si="101"/>
        <v>337.13240023724211</v>
      </c>
      <c r="O308" s="200">
        <f t="shared" ref="O308" si="107">O303+O306+O307</f>
        <v>324587.19999999995</v>
      </c>
      <c r="P308" s="216">
        <f t="shared" si="102"/>
        <v>0.28579925517703725</v>
      </c>
      <c r="Q308" s="199">
        <f>Q303+Q306+Q307</f>
        <v>92766.780000000013</v>
      </c>
      <c r="R308" s="217">
        <f>IF(O308=0,0,(J308-O308)/O308)</f>
        <v>0.15627538609039418</v>
      </c>
      <c r="S308" s="201">
        <f t="shared" si="104"/>
        <v>15674.76999999996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">
        <v>104</v>
      </c>
      <c r="B309" s="12" t="s">
        <v>104</v>
      </c>
      <c r="C309" s="481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3.1185811618301717E-3</v>
      </c>
      <c r="O309" s="42"/>
      <c r="P309" s="14"/>
      <c r="Q309" s="41"/>
      <c r="R309" s="42"/>
      <c r="S309" s="45">
        <f>IF(Q308=0,0,S308/Q308)</f>
        <v>0.16896964624620966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">
        <v>104</v>
      </c>
      <c r="B310" s="12" t="s">
        <v>104</v>
      </c>
      <c r="C310" s="481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">
        <v>416</v>
      </c>
      <c r="B311" s="12" t="s">
        <v>104</v>
      </c>
      <c r="C311" s="88" t="s">
        <v>118</v>
      </c>
      <c r="D311" s="92">
        <v>0</v>
      </c>
      <c r="E311" s="220">
        <f t="shared" ref="E311" si="108">IF(D311=0,0,F311/D311)</f>
        <v>0</v>
      </c>
      <c r="F311" s="150">
        <v>0</v>
      </c>
      <c r="G311" s="175">
        <v>0</v>
      </c>
      <c r="H311" s="220">
        <f t="shared" ref="H311" si="109">IF(G311=0,0,I311/G311)</f>
        <v>0</v>
      </c>
      <c r="I311" s="150">
        <v>0</v>
      </c>
      <c r="J311" s="47">
        <v>0</v>
      </c>
      <c r="K311" s="221">
        <f>IF(J311&lt;=0,0,L311/J311)</f>
        <v>0</v>
      </c>
      <c r="L311" s="23">
        <v>0</v>
      </c>
      <c r="M311" s="221">
        <f>IF(F311=0,0,(+L311-F311)/F311)</f>
        <v>0</v>
      </c>
      <c r="N311" s="94">
        <f>L311-I311</f>
        <v>0</v>
      </c>
      <c r="O311" s="47">
        <v>0</v>
      </c>
      <c r="P311" s="221">
        <f>IF(O311&lt;=0,0,Q311/O311)</f>
        <v>0</v>
      </c>
      <c r="Q311" s="23">
        <v>0</v>
      </c>
      <c r="R311" s="221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">
        <v>104</v>
      </c>
      <c r="B312" s="12" t="s">
        <v>104</v>
      </c>
      <c r="C312" s="481"/>
      <c r="D312" s="83"/>
      <c r="E312" s="152"/>
      <c r="F312" s="60"/>
      <c r="G312" s="61"/>
      <c r="H312" s="152"/>
      <c r="I312" s="60"/>
      <c r="J312" s="61"/>
      <c r="K312" s="152"/>
      <c r="L312" s="60"/>
      <c r="M312" s="161"/>
      <c r="N312" s="60"/>
      <c r="O312" s="61"/>
      <c r="P312" s="152"/>
      <c r="Q312" s="60"/>
      <c r="R312" s="161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">
        <v>417</v>
      </c>
      <c r="B313" s="12" t="s">
        <v>104</v>
      </c>
      <c r="C313" s="63" t="s">
        <v>119</v>
      </c>
      <c r="D313" s="64">
        <f>D308+D311</f>
        <v>375425.94081277651</v>
      </c>
      <c r="E313" s="222">
        <f>IF(D313&lt;=0,0,F313/D313)</f>
        <v>0.28795137961357337</v>
      </c>
      <c r="F313" s="66">
        <f t="shared" ref="F313" si="110">F308+F311</f>
        <v>108104.41759976273</v>
      </c>
      <c r="G313" s="67">
        <f>G308+G311</f>
        <v>375425.94081277651</v>
      </c>
      <c r="H313" s="222">
        <f>IF(G313&lt;=0,0,I313/G313)</f>
        <v>0.28795137961357337</v>
      </c>
      <c r="I313" s="66">
        <f t="shared" ref="I313:J313" si="111">I308+I311</f>
        <v>108104.41759976273</v>
      </c>
      <c r="J313" s="67">
        <f t="shared" si="111"/>
        <v>375312.18999999994</v>
      </c>
      <c r="K313" s="222">
        <f>IF(J313&lt;=0,0,L313/J313)</f>
        <v>0.28893692475056565</v>
      </c>
      <c r="L313" s="66">
        <f>L308+L311</f>
        <v>108441.54999999997</v>
      </c>
      <c r="M313" s="223">
        <f>(+J313-G313)/G313</f>
        <v>-3.0299135038537058E-4</v>
      </c>
      <c r="N313" s="224">
        <f>L313-I313</f>
        <v>337.13240023724211</v>
      </c>
      <c r="O313" s="67">
        <f t="shared" ref="O313" si="112">O308+O311</f>
        <v>324587.19999999995</v>
      </c>
      <c r="P313" s="222">
        <f>IF(O313&lt;=0,0,Q313/O313)</f>
        <v>0.28579925517703725</v>
      </c>
      <c r="Q313" s="66">
        <f>Q308+Q311</f>
        <v>92766.780000000013</v>
      </c>
      <c r="R313" s="223">
        <f>IF(O313=0,0,(J313-O313)/O313)</f>
        <v>0.15627538609039418</v>
      </c>
      <c r="S313" s="225">
        <f>L313-Q313</f>
        <v>15674.76999999996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">
        <v>104</v>
      </c>
      <c r="B314" s="12" t="s">
        <v>104</v>
      </c>
      <c r="C314" s="226"/>
      <c r="D314" s="227"/>
      <c r="E314" s="228"/>
      <c r="F314" s="229"/>
      <c r="G314" s="230"/>
      <c r="H314" s="228"/>
      <c r="I314" s="229"/>
      <c r="J314" s="230"/>
      <c r="K314" s="228"/>
      <c r="L314" s="229"/>
      <c r="M314" s="231"/>
      <c r="N314" s="75">
        <f>N313/I313</f>
        <v>3.1185811618301717E-3</v>
      </c>
      <c r="O314" s="230"/>
      <c r="P314" s="228"/>
      <c r="Q314" s="229"/>
      <c r="R314" s="231"/>
      <c r="S314" s="76">
        <f>IF(Q313=0,0,S313/Q313)</f>
        <v>0.16896964624620966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">
        <v>104</v>
      </c>
      <c r="B315" s="12" t="s">
        <v>104</v>
      </c>
      <c r="C315" s="484"/>
      <c r="D315" s="115"/>
      <c r="E315" s="177"/>
      <c r="F315" s="179"/>
      <c r="G315" s="178"/>
      <c r="H315" s="177"/>
      <c r="I315" s="179"/>
      <c r="J315" s="178"/>
      <c r="K315" s="177"/>
      <c r="L315" s="179"/>
      <c r="M315" s="42"/>
      <c r="N315" s="44"/>
      <c r="O315" s="178"/>
      <c r="P315" s="177"/>
      <c r="Q315" s="179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">
        <v>418</v>
      </c>
      <c r="B316" s="12" t="s">
        <v>104</v>
      </c>
      <c r="C316" s="487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">
        <v>419</v>
      </c>
      <c r="B317" s="12" t="s">
        <v>104</v>
      </c>
      <c r="C317" s="494" t="s">
        <v>42</v>
      </c>
      <c r="D317" s="14"/>
      <c r="E317" s="14"/>
      <c r="F317" s="31">
        <v>2606.4352490421456</v>
      </c>
      <c r="G317" s="42"/>
      <c r="H317" s="14"/>
      <c r="I317" s="31">
        <v>2606.4352490421456</v>
      </c>
      <c r="J317" s="42"/>
      <c r="K317" s="14"/>
      <c r="L317" s="34">
        <v>15959.67</v>
      </c>
      <c r="M317" s="42"/>
      <c r="N317" s="60">
        <f t="shared" ref="N317:N347" si="113">L317-I317</f>
        <v>13353.234750957854</v>
      </c>
      <c r="O317" s="42"/>
      <c r="P317" s="14"/>
      <c r="Q317" s="34">
        <v>4299.82</v>
      </c>
      <c r="R317" s="42"/>
      <c r="S317" s="35">
        <f>L317-Q317</f>
        <v>11659.85</v>
      </c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">
        <v>420</v>
      </c>
      <c r="B318" s="12" t="s">
        <v>104</v>
      </c>
      <c r="C318" s="106" t="s">
        <v>43</v>
      </c>
      <c r="D318" s="82"/>
      <c r="E318" s="14"/>
      <c r="F318" s="23">
        <v>4365.3456786819925</v>
      </c>
      <c r="G318" s="84"/>
      <c r="H318" s="14"/>
      <c r="I318" s="23">
        <v>4365.3456786819925</v>
      </c>
      <c r="J318" s="42"/>
      <c r="K318" s="14"/>
      <c r="L318" s="34">
        <v>3170.08</v>
      </c>
      <c r="M318" s="42"/>
      <c r="N318" s="60">
        <f t="shared" si="113"/>
        <v>-1195.2656786819925</v>
      </c>
      <c r="O318" s="42"/>
      <c r="P318" s="14"/>
      <c r="Q318" s="34">
        <v>3988</v>
      </c>
      <c r="R318" s="42"/>
      <c r="S318" s="86">
        <f t="shared" ref="S318:S347" si="114">L318-Q318</f>
        <v>-817.92000000000007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">
        <v>421</v>
      </c>
      <c r="B319" s="12" t="s">
        <v>104</v>
      </c>
      <c r="C319" s="494" t="s">
        <v>44</v>
      </c>
      <c r="D319" s="107"/>
      <c r="E319" s="108"/>
      <c r="F319" s="31">
        <v>24550.484569134096</v>
      </c>
      <c r="G319" s="109"/>
      <c r="H319" s="108"/>
      <c r="I319" s="31">
        <v>24550.484569134096</v>
      </c>
      <c r="J319" s="110"/>
      <c r="K319" s="108"/>
      <c r="L319" s="111">
        <v>24289.83</v>
      </c>
      <c r="M319" s="110"/>
      <c r="N319" s="112">
        <f t="shared" si="113"/>
        <v>-260.65456913409434</v>
      </c>
      <c r="O319" s="110"/>
      <c r="P319" s="108"/>
      <c r="Q319" s="111">
        <v>17949.509999999998</v>
      </c>
      <c r="R319" s="110"/>
      <c r="S319" s="113">
        <f t="shared" si="114"/>
        <v>6340.3200000000033</v>
      </c>
      <c r="T319" s="14"/>
      <c r="U319" s="518"/>
      <c r="V319" s="518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">
        <v>422</v>
      </c>
      <c r="B320" s="12" t="s">
        <v>104</v>
      </c>
      <c r="C320" s="494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f t="shared" si="113"/>
        <v>0</v>
      </c>
      <c r="O320" s="42"/>
      <c r="P320" s="14"/>
      <c r="Q320" s="34"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">
        <v>409</v>
      </c>
      <c r="B321" s="12" t="s">
        <v>104</v>
      </c>
      <c r="C321" s="233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f t="shared" si="113"/>
        <v>0</v>
      </c>
      <c r="O321" s="42"/>
      <c r="P321" s="14"/>
      <c r="Q321" s="34"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">
        <v>409</v>
      </c>
      <c r="B322" s="12" t="s">
        <v>104</v>
      </c>
      <c r="C322" s="233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f t="shared" si="113"/>
        <v>0</v>
      </c>
      <c r="O322" s="42"/>
      <c r="P322" s="14"/>
      <c r="Q322" s="34"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">
        <v>409</v>
      </c>
      <c r="B323" s="12" t="s">
        <v>104</v>
      </c>
      <c r="C323" s="233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f t="shared" si="113"/>
        <v>0</v>
      </c>
      <c r="O323" s="42"/>
      <c r="P323" s="14"/>
      <c r="Q323" s="34"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">
        <v>423</v>
      </c>
      <c r="B324" s="12" t="s">
        <v>104</v>
      </c>
      <c r="C324" s="106" t="s">
        <v>46</v>
      </c>
      <c r="D324" s="82"/>
      <c r="E324" s="14"/>
      <c r="F324" s="23">
        <v>3943.0674077405433</v>
      </c>
      <c r="G324" s="84"/>
      <c r="H324" s="14"/>
      <c r="I324" s="23">
        <v>3943.0674077405433</v>
      </c>
      <c r="J324" s="42"/>
      <c r="K324" s="14"/>
      <c r="L324" s="34">
        <v>4682.1899999999996</v>
      </c>
      <c r="M324" s="42"/>
      <c r="N324" s="60">
        <f t="shared" si="113"/>
        <v>739.12259225945627</v>
      </c>
      <c r="O324" s="42"/>
      <c r="P324" s="14"/>
      <c r="Q324" s="34">
        <v>3361.6</v>
      </c>
      <c r="R324" s="42"/>
      <c r="S324" s="86">
        <f t="shared" si="114"/>
        <v>1320.5899999999997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">
        <v>424</v>
      </c>
      <c r="B325" s="12" t="s">
        <v>104</v>
      </c>
      <c r="C325" s="105" t="s">
        <v>47</v>
      </c>
      <c r="D325" s="107"/>
      <c r="E325" s="108"/>
      <c r="F325" s="31">
        <v>3531.4210506315403</v>
      </c>
      <c r="G325" s="109"/>
      <c r="H325" s="108"/>
      <c r="I325" s="31">
        <v>3531.4210506315403</v>
      </c>
      <c r="J325" s="110"/>
      <c r="K325" s="108"/>
      <c r="L325" s="111">
        <v>58.41</v>
      </c>
      <c r="M325" s="110"/>
      <c r="N325" s="112">
        <f t="shared" si="113"/>
        <v>-3473.0110506315405</v>
      </c>
      <c r="O325" s="110"/>
      <c r="P325" s="108"/>
      <c r="Q325" s="111">
        <v>48.61</v>
      </c>
      <c r="R325" s="110"/>
      <c r="S325" s="113">
        <f t="shared" si="114"/>
        <v>9.7999999999999972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">
        <v>425</v>
      </c>
      <c r="B326" s="12" t="s">
        <v>104</v>
      </c>
      <c r="C326" s="105" t="s">
        <v>48</v>
      </c>
      <c r="D326" s="82"/>
      <c r="E326" s="14"/>
      <c r="F326" s="31">
        <v>2804.3637755015175</v>
      </c>
      <c r="G326" s="84"/>
      <c r="H326" s="14"/>
      <c r="I326" s="31">
        <v>2804.3637755015175</v>
      </c>
      <c r="J326" s="42"/>
      <c r="K326" s="14"/>
      <c r="L326" s="34">
        <v>5738.85</v>
      </c>
      <c r="M326" s="42"/>
      <c r="N326" s="60">
        <f t="shared" si="113"/>
        <v>2934.4862244984829</v>
      </c>
      <c r="O326" s="42"/>
      <c r="P326" s="14"/>
      <c r="Q326" s="34">
        <v>2255.4299999999998</v>
      </c>
      <c r="R326" s="42"/>
      <c r="S326" s="86">
        <f t="shared" si="114"/>
        <v>3483.4200000000005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">
        <v>426</v>
      </c>
      <c r="B327" s="12" t="s">
        <v>104</v>
      </c>
      <c r="C327" s="105" t="s">
        <v>49</v>
      </c>
      <c r="D327" s="82"/>
      <c r="E327" s="14"/>
      <c r="F327" s="31">
        <v>1142.5185752043219</v>
      </c>
      <c r="G327" s="84"/>
      <c r="H327" s="14"/>
      <c r="I327" s="31">
        <v>1142.5185752043219</v>
      </c>
      <c r="J327" s="42"/>
      <c r="K327" s="14"/>
      <c r="L327" s="34">
        <v>7762.4</v>
      </c>
      <c r="M327" s="42"/>
      <c r="N327" s="60">
        <f t="shared" si="113"/>
        <v>6619.881424795678</v>
      </c>
      <c r="O327" s="42"/>
      <c r="P327" s="14"/>
      <c r="Q327" s="34">
        <v>3623.0199999999995</v>
      </c>
      <c r="R327" s="42"/>
      <c r="S327" s="86">
        <f t="shared" si="114"/>
        <v>4139.38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">
        <v>409</v>
      </c>
      <c r="B328" s="12" t="s">
        <v>104</v>
      </c>
      <c r="C328" s="30" t="s">
        <v>21</v>
      </c>
      <c r="D328" s="89"/>
      <c r="E328" s="114"/>
      <c r="F328" s="31">
        <v>0</v>
      </c>
      <c r="G328" s="91"/>
      <c r="H328" s="114"/>
      <c r="I328" s="31">
        <v>0</v>
      </c>
      <c r="J328" s="24"/>
      <c r="K328" s="114"/>
      <c r="L328" s="34">
        <v>0</v>
      </c>
      <c r="M328" s="24"/>
      <c r="N328" s="94">
        <f t="shared" si="113"/>
        <v>0</v>
      </c>
      <c r="O328" s="24"/>
      <c r="P328" s="114"/>
      <c r="Q328" s="34"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">
        <v>427</v>
      </c>
      <c r="B329" s="12" t="s">
        <v>104</v>
      </c>
      <c r="C329" s="96" t="s">
        <v>50</v>
      </c>
      <c r="D329" s="97" t="s">
        <v>40</v>
      </c>
      <c r="E329" s="98">
        <f>F329/F$313</f>
        <v>0.39724219656709397</v>
      </c>
      <c r="F329" s="99">
        <f>+SUM(F317:F328)</f>
        <v>42943.636305936161</v>
      </c>
      <c r="G329" s="100" t="s">
        <v>40</v>
      </c>
      <c r="H329" s="98">
        <f>I329/I$313</f>
        <v>0.39724219656709397</v>
      </c>
      <c r="I329" s="99">
        <f>+SUM(I317:I328)</f>
        <v>42943.636305936161</v>
      </c>
      <c r="J329" s="100" t="s">
        <v>40</v>
      </c>
      <c r="K329" s="98">
        <f>L329/L$313</f>
        <v>0.5686144286945366</v>
      </c>
      <c r="L329" s="99">
        <f>+SUM(L317:L328)</f>
        <v>61661.430000000008</v>
      </c>
      <c r="M329" s="151"/>
      <c r="N329" s="116">
        <f t="shared" si="113"/>
        <v>18717.793694063846</v>
      </c>
      <c r="O329" s="100" t="s">
        <v>40</v>
      </c>
      <c r="P329" s="98">
        <f>Q329/Q$313</f>
        <v>0.38296025797165745</v>
      </c>
      <c r="Q329" s="99">
        <f>+SUM(Q317:Q328)</f>
        <v>35525.99</v>
      </c>
      <c r="R329" s="151"/>
      <c r="S329" s="117">
        <f t="shared" si="114"/>
        <v>26135.44000000001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">
        <v>428</v>
      </c>
      <c r="B330" s="12" t="s">
        <v>104</v>
      </c>
      <c r="C330" s="214" t="s">
        <v>51</v>
      </c>
      <c r="D330" s="82"/>
      <c r="E330" s="14"/>
      <c r="F330" s="31">
        <v>3725.4874999999997</v>
      </c>
      <c r="G330" s="84"/>
      <c r="H330" s="14"/>
      <c r="I330" s="31">
        <v>3725.4874999999997</v>
      </c>
      <c r="J330" s="42"/>
      <c r="K330" s="14"/>
      <c r="L330" s="34">
        <v>1697.44</v>
      </c>
      <c r="M330" s="42"/>
      <c r="N330" s="60">
        <f t="shared" si="113"/>
        <v>-2028.0474999999997</v>
      </c>
      <c r="O330" s="42"/>
      <c r="P330" s="14"/>
      <c r="Q330" s="34">
        <v>3836.47</v>
      </c>
      <c r="R330" s="42"/>
      <c r="S330" s="86">
        <f t="shared" si="114"/>
        <v>-2139.0299999999997</v>
      </c>
      <c r="T330" s="14"/>
      <c r="U330" s="14"/>
      <c r="V330" s="14"/>
      <c r="W330" s="83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">
        <v>429</v>
      </c>
      <c r="B331" s="12" t="s">
        <v>104</v>
      </c>
      <c r="C331" s="105" t="s">
        <v>52</v>
      </c>
      <c r="D331" s="82"/>
      <c r="E331" s="14"/>
      <c r="F331" s="31">
        <v>665.54770811836352</v>
      </c>
      <c r="G331" s="84"/>
      <c r="H331" s="14"/>
      <c r="I331" s="31">
        <v>665.54770811836352</v>
      </c>
      <c r="J331" s="42"/>
      <c r="K331" s="14"/>
      <c r="L331" s="34">
        <v>1163.6400000000001</v>
      </c>
      <c r="M331" s="42"/>
      <c r="N331" s="60">
        <f t="shared" si="113"/>
        <v>498.09229188163658</v>
      </c>
      <c r="O331" s="42"/>
      <c r="P331" s="14"/>
      <c r="Q331" s="34">
        <v>-30.06</v>
      </c>
      <c r="R331" s="42"/>
      <c r="S331" s="86">
        <f t="shared" si="114"/>
        <v>1193.7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">
        <v>430</v>
      </c>
      <c r="B332" s="12" t="s">
        <v>104</v>
      </c>
      <c r="C332" s="106" t="s">
        <v>53</v>
      </c>
      <c r="D332" s="89"/>
      <c r="E332" s="114"/>
      <c r="F332" s="23">
        <v>433.5</v>
      </c>
      <c r="G332" s="91"/>
      <c r="H332" s="114"/>
      <c r="I332" s="23">
        <v>433.5</v>
      </c>
      <c r="J332" s="24"/>
      <c r="K332" s="114"/>
      <c r="L332" s="34">
        <v>275.75</v>
      </c>
      <c r="M332" s="24"/>
      <c r="N332" s="94">
        <f t="shared" si="113"/>
        <v>-157.75</v>
      </c>
      <c r="O332" s="24"/>
      <c r="P332" s="114"/>
      <c r="Q332" s="34">
        <v>348.59</v>
      </c>
      <c r="R332" s="24"/>
      <c r="S332" s="95">
        <f t="shared" si="114"/>
        <v>-72.839999999999975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">
        <v>431</v>
      </c>
      <c r="B333" s="12" t="s">
        <v>104</v>
      </c>
      <c r="C333" s="105" t="s">
        <v>54</v>
      </c>
      <c r="D333" s="82"/>
      <c r="E333" s="14"/>
      <c r="F333" s="31">
        <v>3489.4852291666666</v>
      </c>
      <c r="G333" s="84"/>
      <c r="H333" s="14"/>
      <c r="I333" s="31">
        <v>3489.4852291666666</v>
      </c>
      <c r="J333" s="42"/>
      <c r="K333" s="14"/>
      <c r="L333" s="111">
        <v>4009.01</v>
      </c>
      <c r="M333" s="42"/>
      <c r="N333" s="60">
        <f t="shared" si="113"/>
        <v>519.5247708333336</v>
      </c>
      <c r="O333" s="42"/>
      <c r="P333" s="14"/>
      <c r="Q333" s="111">
        <v>4099.2299999999996</v>
      </c>
      <c r="R333" s="42"/>
      <c r="S333" s="86">
        <f t="shared" si="114"/>
        <v>-90.219999999999345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">
        <v>432</v>
      </c>
      <c r="B334" s="12" t="s">
        <v>104</v>
      </c>
      <c r="C334" s="105" t="s">
        <v>55</v>
      </c>
      <c r="D334" s="82"/>
      <c r="E334" s="14"/>
      <c r="F334" s="31">
        <v>618.86078125000006</v>
      </c>
      <c r="G334" s="84"/>
      <c r="H334" s="14"/>
      <c r="I334" s="31">
        <v>618.86078125000006</v>
      </c>
      <c r="J334" s="42"/>
      <c r="K334" s="14"/>
      <c r="L334" s="34">
        <v>396.96</v>
      </c>
      <c r="M334" s="42"/>
      <c r="N334" s="60">
        <f t="shared" si="113"/>
        <v>-221.90078125000008</v>
      </c>
      <c r="O334" s="42"/>
      <c r="P334" s="14"/>
      <c r="Q334" s="34">
        <v>874.68</v>
      </c>
      <c r="R334" s="42"/>
      <c r="S334" s="86">
        <f t="shared" si="114"/>
        <v>-477.71999999999997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">
        <v>433</v>
      </c>
      <c r="B335" s="12" t="s">
        <v>104</v>
      </c>
      <c r="C335" s="234" t="s">
        <v>56</v>
      </c>
      <c r="D335" s="89"/>
      <c r="E335" s="114"/>
      <c r="F335" s="23">
        <v>8136.425888888888</v>
      </c>
      <c r="G335" s="91"/>
      <c r="H335" s="114"/>
      <c r="I335" s="23">
        <v>8136.425888888888</v>
      </c>
      <c r="J335" s="24"/>
      <c r="K335" s="114"/>
      <c r="L335" s="49">
        <v>9872.31</v>
      </c>
      <c r="M335" s="24"/>
      <c r="N335" s="94">
        <f t="shared" si="113"/>
        <v>1735.8841111111115</v>
      </c>
      <c r="O335" s="24"/>
      <c r="P335" s="114"/>
      <c r="Q335" s="49">
        <v>5339.09</v>
      </c>
      <c r="R335" s="24"/>
      <c r="S335" s="95">
        <f t="shared" si="114"/>
        <v>4533.2199999999993</v>
      </c>
      <c r="T335" s="14"/>
      <c r="U335" s="14" t="s">
        <v>492</v>
      </c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">
        <v>434</v>
      </c>
      <c r="B336" s="12" t="s">
        <v>104</v>
      </c>
      <c r="C336" s="105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f t="shared" si="113"/>
        <v>0</v>
      </c>
      <c r="O336" s="42"/>
      <c r="P336" s="14"/>
      <c r="Q336" s="34"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">
        <v>435</v>
      </c>
      <c r="B337" s="12" t="s">
        <v>104</v>
      </c>
      <c r="C337" s="105" t="s">
        <v>57</v>
      </c>
      <c r="D337" s="82"/>
      <c r="E337" s="14"/>
      <c r="F337" s="31">
        <v>99.362811590243282</v>
      </c>
      <c r="G337" s="84"/>
      <c r="H337" s="14"/>
      <c r="I337" s="31">
        <v>99.362811590243282</v>
      </c>
      <c r="J337" s="42"/>
      <c r="K337" s="14"/>
      <c r="L337" s="34">
        <v>0</v>
      </c>
      <c r="M337" s="42"/>
      <c r="N337" s="60">
        <f t="shared" si="113"/>
        <v>-99.362811590243282</v>
      </c>
      <c r="O337" s="42"/>
      <c r="P337" s="14"/>
      <c r="Q337" s="34">
        <v>28.95</v>
      </c>
      <c r="R337" s="42"/>
      <c r="S337" s="86">
        <f t="shared" si="114"/>
        <v>-28.95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">
        <v>436</v>
      </c>
      <c r="B338" s="12" t="s">
        <v>104</v>
      </c>
      <c r="C338" s="105" t="s">
        <v>58</v>
      </c>
      <c r="D338" s="82"/>
      <c r="E338" s="14"/>
      <c r="F338" s="31">
        <v>52.798786051137185</v>
      </c>
      <c r="G338" s="84"/>
      <c r="H338" s="14"/>
      <c r="I338" s="31">
        <v>52.798786051137185</v>
      </c>
      <c r="J338" s="42"/>
      <c r="K338" s="14"/>
      <c r="L338" s="34">
        <v>0</v>
      </c>
      <c r="M338" s="42"/>
      <c r="N338" s="60">
        <f t="shared" si="113"/>
        <v>-52.798786051137185</v>
      </c>
      <c r="O338" s="42"/>
      <c r="P338" s="14"/>
      <c r="Q338" s="34">
        <v>0</v>
      </c>
      <c r="R338" s="42"/>
      <c r="S338" s="86">
        <f t="shared" si="114"/>
        <v>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">
        <v>437</v>
      </c>
      <c r="B339" s="12" t="s">
        <v>104</v>
      </c>
      <c r="C339" s="105" t="s">
        <v>59</v>
      </c>
      <c r="D339" s="82"/>
      <c r="E339" s="14"/>
      <c r="F339" s="31">
        <v>510.05025000000001</v>
      </c>
      <c r="G339" s="84"/>
      <c r="H339" s="14"/>
      <c r="I339" s="31">
        <v>510.05025000000001</v>
      </c>
      <c r="J339" s="42"/>
      <c r="K339" s="14"/>
      <c r="L339" s="33">
        <v>769.1</v>
      </c>
      <c r="M339" s="42"/>
      <c r="N339" s="60">
        <f t="shared" si="113"/>
        <v>259.04975000000002</v>
      </c>
      <c r="O339" s="42"/>
      <c r="P339" s="14"/>
      <c r="Q339" s="33">
        <v>364.56</v>
      </c>
      <c r="R339" s="42"/>
      <c r="S339" s="86">
        <f t="shared" si="114"/>
        <v>404.54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">
        <v>438</v>
      </c>
      <c r="B340" s="12" t="s">
        <v>104</v>
      </c>
      <c r="C340" s="105" t="s">
        <v>60</v>
      </c>
      <c r="D340" s="82"/>
      <c r="E340" s="14"/>
      <c r="F340" s="31">
        <v>235.51916145833334</v>
      </c>
      <c r="G340" s="84"/>
      <c r="H340" s="14"/>
      <c r="I340" s="31">
        <v>235.51916145833334</v>
      </c>
      <c r="J340" s="42"/>
      <c r="K340" s="14"/>
      <c r="L340" s="34">
        <v>96.95</v>
      </c>
      <c r="M340" s="42"/>
      <c r="N340" s="60">
        <f t="shared" si="113"/>
        <v>-138.56916145833333</v>
      </c>
      <c r="O340" s="42"/>
      <c r="P340" s="14"/>
      <c r="Q340" s="34">
        <v>69.69</v>
      </c>
      <c r="R340" s="42"/>
      <c r="S340" s="86">
        <f t="shared" si="114"/>
        <v>27.260000000000005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">
        <v>439</v>
      </c>
      <c r="B341" s="12" t="s">
        <v>104</v>
      </c>
      <c r="C341" s="105" t="s">
        <v>61</v>
      </c>
      <c r="D341" s="82"/>
      <c r="E341" s="14"/>
      <c r="F341" s="31">
        <v>125.71646354166664</v>
      </c>
      <c r="G341" s="84"/>
      <c r="H341" s="14"/>
      <c r="I341" s="31">
        <v>125.71646354166664</v>
      </c>
      <c r="J341" s="42"/>
      <c r="K341" s="14"/>
      <c r="L341" s="34">
        <v>95.92</v>
      </c>
      <c r="M341" s="42"/>
      <c r="N341" s="60">
        <f t="shared" si="113"/>
        <v>-29.79646354166664</v>
      </c>
      <c r="O341" s="42"/>
      <c r="P341" s="14"/>
      <c r="Q341" s="34">
        <v>87.25</v>
      </c>
      <c r="R341" s="42"/>
      <c r="S341" s="86">
        <f t="shared" si="114"/>
        <v>8.6700000000000017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">
        <v>440</v>
      </c>
      <c r="B342" s="12" t="s">
        <v>104</v>
      </c>
      <c r="C342" s="105" t="s">
        <v>62</v>
      </c>
      <c r="D342" s="82"/>
      <c r="E342" s="14"/>
      <c r="F342" s="31">
        <v>606.4324947916665</v>
      </c>
      <c r="G342" s="84"/>
      <c r="H342" s="14"/>
      <c r="I342" s="31">
        <v>606.4324947916665</v>
      </c>
      <c r="J342" s="42"/>
      <c r="K342" s="14"/>
      <c r="L342" s="34">
        <v>109.54</v>
      </c>
      <c r="M342" s="42"/>
      <c r="N342" s="60">
        <f t="shared" si="113"/>
        <v>-496.89249479166648</v>
      </c>
      <c r="O342" s="42"/>
      <c r="P342" s="14"/>
      <c r="Q342" s="34">
        <v>627.91999999999996</v>
      </c>
      <c r="R342" s="42"/>
      <c r="S342" s="86">
        <f t="shared" si="114"/>
        <v>-518.38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">
        <v>441</v>
      </c>
      <c r="B343" s="12" t="s">
        <v>104</v>
      </c>
      <c r="C343" s="105" t="s">
        <v>63</v>
      </c>
      <c r="D343" s="82"/>
      <c r="E343" s="14"/>
      <c r="F343" s="31">
        <v>900.98145833333331</v>
      </c>
      <c r="G343" s="84"/>
      <c r="H343" s="14"/>
      <c r="I343" s="31">
        <v>900.98145833333331</v>
      </c>
      <c r="J343" s="42"/>
      <c r="K343" s="14"/>
      <c r="L343" s="34">
        <v>288.13</v>
      </c>
      <c r="M343" s="42"/>
      <c r="N343" s="60">
        <f t="shared" si="113"/>
        <v>-612.85145833333331</v>
      </c>
      <c r="O343" s="42"/>
      <c r="P343" s="14"/>
      <c r="Q343" s="34">
        <v>22.14</v>
      </c>
      <c r="R343" s="42"/>
      <c r="S343" s="86">
        <f t="shared" si="114"/>
        <v>265.99</v>
      </c>
      <c r="T343" s="14"/>
      <c r="U343" s="14"/>
      <c r="V343" s="14"/>
      <c r="W343" s="495" t="s">
        <v>496</v>
      </c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">
        <v>442</v>
      </c>
      <c r="B344" s="12" t="s">
        <v>104</v>
      </c>
      <c r="C344" s="105" t="s">
        <v>64</v>
      </c>
      <c r="D344" s="82"/>
      <c r="E344" s="14"/>
      <c r="F344" s="31">
        <v>1451.3962162142657</v>
      </c>
      <c r="G344" s="84"/>
      <c r="H344" s="14"/>
      <c r="I344" s="31">
        <v>1451.3962162142657</v>
      </c>
      <c r="J344" s="496"/>
      <c r="K344" s="497"/>
      <c r="L344" s="498">
        <v>1659.5200000000004</v>
      </c>
      <c r="M344" s="42"/>
      <c r="N344" s="60">
        <f t="shared" si="113"/>
        <v>208.12378378573476</v>
      </c>
      <c r="O344" s="42"/>
      <c r="P344" s="14"/>
      <c r="Q344" s="34">
        <f>AL447*W7</f>
        <v>1408.0160000000001</v>
      </c>
      <c r="R344" s="42"/>
      <c r="S344" s="86">
        <f t="shared" si="114"/>
        <v>251.50400000000036</v>
      </c>
      <c r="T344" s="14"/>
      <c r="U344" s="499" t="s">
        <v>497</v>
      </c>
      <c r="V344" s="497"/>
      <c r="W344" s="500">
        <v>8697.75</v>
      </c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">
        <v>409</v>
      </c>
      <c r="B345" s="12" t="s">
        <v>104</v>
      </c>
      <c r="C345" s="105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f t="shared" si="113"/>
        <v>0</v>
      </c>
      <c r="O345" s="42"/>
      <c r="P345" s="14"/>
      <c r="Q345" s="34">
        <v>0</v>
      </c>
      <c r="R345" s="42"/>
      <c r="S345" s="86">
        <f t="shared" si="114"/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">
        <v>409</v>
      </c>
      <c r="B346" s="12" t="s">
        <v>104</v>
      </c>
      <c r="C346" s="105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f t="shared" si="113"/>
        <v>0</v>
      </c>
      <c r="O346" s="42"/>
      <c r="P346" s="14"/>
      <c r="Q346" s="34">
        <v>0</v>
      </c>
      <c r="R346" s="42"/>
      <c r="S346" s="86">
        <f t="shared" si="114"/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">
        <v>409</v>
      </c>
      <c r="B347" s="12" t="s">
        <v>104</v>
      </c>
      <c r="C347" s="105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f t="shared" si="113"/>
        <v>0</v>
      </c>
      <c r="O347" s="42"/>
      <c r="P347" s="14"/>
      <c r="Q347" s="34">
        <v>0</v>
      </c>
      <c r="R347" s="42"/>
      <c r="S347" s="86">
        <f t="shared" si="114"/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6" t="s">
        <v>65</v>
      </c>
      <c r="D348" s="97" t="s">
        <v>40</v>
      </c>
      <c r="E348" s="98">
        <f>F348/F$313</f>
        <v>0.19473362159300664</v>
      </c>
      <c r="F348" s="99">
        <f>+SUM(F330:F347)</f>
        <v>21051.564749404562</v>
      </c>
      <c r="G348" s="100" t="s">
        <v>40</v>
      </c>
      <c r="H348" s="98">
        <f>I348/I$313</f>
        <v>0.19473362159300664</v>
      </c>
      <c r="I348" s="99">
        <f>+SUM(I330:I347)</f>
        <v>21051.564749404562</v>
      </c>
      <c r="J348" s="100" t="s">
        <v>40</v>
      </c>
      <c r="K348" s="98">
        <f>L348/L$313</f>
        <v>0.18843579790218792</v>
      </c>
      <c r="L348" s="99">
        <f>+SUM(L330:L347)</f>
        <v>20434.27</v>
      </c>
      <c r="M348" s="103"/>
      <c r="N348" s="99">
        <f>+SUM(N330:N347)</f>
        <v>-617.29474940456362</v>
      </c>
      <c r="O348" s="100" t="s">
        <v>40</v>
      </c>
      <c r="P348" s="98">
        <f>Q348/Q$313</f>
        <v>0.1840801847385454</v>
      </c>
      <c r="Q348" s="99">
        <f>+SUM(Q330:Q347)</f>
        <v>17076.526000000002</v>
      </c>
      <c r="R348" s="103"/>
      <c r="S348" s="104">
        <f>+SUM(S330:S347)</f>
        <v>3357.7440000000011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4"/>
      <c r="F349" s="60"/>
      <c r="G349" s="91"/>
      <c r="H349" s="114"/>
      <c r="I349" s="60"/>
      <c r="J349" s="24"/>
      <c r="K349" s="114"/>
      <c r="L349" s="94"/>
      <c r="M349" s="24"/>
      <c r="N349" s="94"/>
      <c r="O349" s="24"/>
      <c r="P349" s="114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6" t="s">
        <v>66</v>
      </c>
      <c r="D350" s="97" t="s">
        <v>40</v>
      </c>
      <c r="E350" s="98">
        <f>F350/F$313</f>
        <v>0.59197581816010059</v>
      </c>
      <c r="F350" s="99">
        <f>F329+F348</f>
        <v>63995.201055340724</v>
      </c>
      <c r="G350" s="100" t="s">
        <v>40</v>
      </c>
      <c r="H350" s="98">
        <f>I350/I$313</f>
        <v>0.59197581816010059</v>
      </c>
      <c r="I350" s="99">
        <f>I329+I348</f>
        <v>63995.201055340724</v>
      </c>
      <c r="J350" s="100" t="s">
        <v>40</v>
      </c>
      <c r="K350" s="98">
        <f>L350/L$313</f>
        <v>0.7570502265967245</v>
      </c>
      <c r="L350" s="99">
        <f>L329+L348</f>
        <v>82095.700000000012</v>
      </c>
      <c r="M350" s="103"/>
      <c r="N350" s="116">
        <f t="shared" ref="N350:N351" si="115">L350-I350</f>
        <v>18100.498944659288</v>
      </c>
      <c r="O350" s="100" t="s">
        <v>40</v>
      </c>
      <c r="P350" s="98">
        <f>Q350/Q$313</f>
        <v>0.56704044271020293</v>
      </c>
      <c r="Q350" s="99">
        <f>Q329+Q348</f>
        <v>52602.516000000003</v>
      </c>
      <c r="R350" s="103"/>
      <c r="S350" s="117">
        <f>L350-Q350</f>
        <v>29493.184000000008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4" customHeight="1" thickBot="1">
      <c r="B352" s="7"/>
      <c r="C352" s="127" t="s">
        <v>73</v>
      </c>
      <c r="D352" s="156"/>
      <c r="E352" s="128"/>
      <c r="F352" s="130">
        <f>F313-F350</f>
        <v>44109.216544422008</v>
      </c>
      <c r="G352" s="157"/>
      <c r="H352" s="128"/>
      <c r="I352" s="130">
        <f>I313-I350</f>
        <v>44109.216544422008</v>
      </c>
      <c r="J352" s="158"/>
      <c r="K352" s="129"/>
      <c r="L352" s="130">
        <f>L313-L350</f>
        <v>26345.849999999962</v>
      </c>
      <c r="M352" s="158"/>
      <c r="N352" s="130">
        <f>L352-I352</f>
        <v>-17763.366544422046</v>
      </c>
      <c r="O352" s="158"/>
      <c r="P352" s="129"/>
      <c r="Q352" s="130">
        <f>Q313-Q350</f>
        <v>40164.26400000001</v>
      </c>
      <c r="R352" s="158"/>
      <c r="S352" s="132">
        <f>L352-Q352</f>
        <v>-13818.414000000048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5"/>
      <c r="G353" s="82"/>
      <c r="H353" s="14"/>
      <c r="I353" s="115"/>
      <c r="J353" s="77"/>
      <c r="K353" s="77"/>
      <c r="L353" s="115"/>
      <c r="M353" s="77"/>
      <c r="N353" s="115"/>
      <c r="O353" s="77"/>
      <c r="P353" s="77"/>
      <c r="Q353" s="115"/>
      <c r="R353" s="77"/>
      <c r="S353" s="11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5"/>
      <c r="G354" s="82"/>
      <c r="H354" s="14"/>
      <c r="I354" s="115"/>
      <c r="J354" s="77"/>
      <c r="K354" s="77"/>
      <c r="L354" s="115"/>
      <c r="M354" s="77"/>
      <c r="N354" s="115"/>
      <c r="O354" s="77"/>
      <c r="P354" s="77"/>
      <c r="Q354" s="115"/>
      <c r="R354" s="77"/>
      <c r="S354" s="11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475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Juillet 2022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64" t="s">
        <v>5</v>
      </c>
      <c r="E357" s="565"/>
      <c r="F357" s="566"/>
      <c r="G357" s="562" t="s">
        <v>75</v>
      </c>
      <c r="H357" s="565"/>
      <c r="I357" s="566"/>
      <c r="J357" s="562" t="s">
        <v>7</v>
      </c>
      <c r="K357" s="565"/>
      <c r="L357" s="566"/>
      <c r="M357" s="562" t="s">
        <v>8</v>
      </c>
      <c r="N357" s="566"/>
      <c r="O357" s="564" t="s">
        <v>9</v>
      </c>
      <c r="P357" s="565"/>
      <c r="Q357" s="566"/>
      <c r="R357" s="562" t="s">
        <v>10</v>
      </c>
      <c r="S357" s="563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">
        <v>120</v>
      </c>
      <c r="B358" s="12" t="s">
        <v>120</v>
      </c>
      <c r="C358" s="30"/>
      <c r="D358" s="235" t="s">
        <v>85</v>
      </c>
      <c r="E358" s="235" t="s">
        <v>105</v>
      </c>
      <c r="F358" s="236" t="s">
        <v>13</v>
      </c>
      <c r="G358" s="237" t="s">
        <v>85</v>
      </c>
      <c r="H358" s="235" t="s">
        <v>105</v>
      </c>
      <c r="I358" s="236" t="s">
        <v>13</v>
      </c>
      <c r="J358" s="138" t="s">
        <v>85</v>
      </c>
      <c r="K358" s="81" t="s">
        <v>105</v>
      </c>
      <c r="L358" s="137" t="s">
        <v>13</v>
      </c>
      <c r="M358" s="138" t="s">
        <v>41</v>
      </c>
      <c r="N358" s="137" t="s">
        <v>13</v>
      </c>
      <c r="O358" s="138" t="s">
        <v>85</v>
      </c>
      <c r="P358" s="81" t="s">
        <v>105</v>
      </c>
      <c r="Q358" s="137" t="s">
        <v>13</v>
      </c>
      <c r="R358" s="138" t="s">
        <v>86</v>
      </c>
      <c r="S358" s="139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">
        <v>443</v>
      </c>
      <c r="B359" s="12" t="s">
        <v>120</v>
      </c>
      <c r="C359" s="63" t="s">
        <v>120</v>
      </c>
      <c r="D359" s="238">
        <v>0</v>
      </c>
      <c r="E359" s="239">
        <f>IFERROR(F359/D359,0)</f>
        <v>0</v>
      </c>
      <c r="F359" s="240">
        <v>0</v>
      </c>
      <c r="G359" s="238">
        <v>0</v>
      </c>
      <c r="H359" s="239">
        <f>IFERROR(I359/G359,0)</f>
        <v>0</v>
      </c>
      <c r="I359" s="238">
        <v>0</v>
      </c>
      <c r="J359" s="241">
        <v>0</v>
      </c>
      <c r="K359" s="222">
        <f>IF(J359&lt;=0,0,L359/J359)</f>
        <v>0</v>
      </c>
      <c r="L359" s="242">
        <v>0</v>
      </c>
      <c r="M359" s="223">
        <f>IF(G359=0,0,(+J359-G359)/G359)</f>
        <v>0</v>
      </c>
      <c r="N359" s="224">
        <f>L359-I359</f>
        <v>0</v>
      </c>
      <c r="O359" s="241">
        <v>0</v>
      </c>
      <c r="P359" s="222">
        <f>IF(O359&lt;=0,0,Q359/O359)</f>
        <v>0</v>
      </c>
      <c r="Q359" s="242">
        <v>0</v>
      </c>
      <c r="R359" s="223">
        <f>IF(O359=0,0,(J359-O359)/O359)</f>
        <v>0</v>
      </c>
      <c r="S359" s="225">
        <f>L359-Q359</f>
        <v>0</v>
      </c>
      <c r="T359" s="11"/>
      <c r="U359" s="11"/>
      <c r="V359" s="243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">
        <v>120</v>
      </c>
      <c r="B360" s="12" t="s">
        <v>120</v>
      </c>
      <c r="C360" s="226"/>
      <c r="D360" s="227"/>
      <c r="E360" s="228"/>
      <c r="F360" s="229"/>
      <c r="G360" s="230"/>
      <c r="H360" s="228"/>
      <c r="I360" s="229"/>
      <c r="J360" s="230"/>
      <c r="K360" s="228"/>
      <c r="L360" s="229"/>
      <c r="M360" s="231"/>
      <c r="N360" s="75"/>
      <c r="O360" s="230"/>
      <c r="P360" s="228"/>
      <c r="Q360" s="229"/>
      <c r="R360" s="231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">
        <v>444</v>
      </c>
      <c r="B361" s="12" t="s">
        <v>120</v>
      </c>
      <c r="C361" s="54" t="s">
        <v>121</v>
      </c>
      <c r="D361" s="244">
        <f>+D359</f>
        <v>0</v>
      </c>
      <c r="E361" s="177">
        <f>IF(D361&lt;=0,0,F361/D361)</f>
        <v>0</v>
      </c>
      <c r="F361" s="179">
        <f t="shared" ref="F361" si="116">+F359</f>
        <v>0</v>
      </c>
      <c r="G361" s="178">
        <f>+G359</f>
        <v>0</v>
      </c>
      <c r="H361" s="177">
        <f>IF(G361&lt;=0,0,I361/G361)</f>
        <v>0</v>
      </c>
      <c r="I361" s="179">
        <f t="shared" ref="I361:J361" si="117">+I359</f>
        <v>0</v>
      </c>
      <c r="J361" s="178">
        <f t="shared" si="117"/>
        <v>0</v>
      </c>
      <c r="K361" s="177">
        <f>IF(J361&lt;=0,0,L361/J361)</f>
        <v>0</v>
      </c>
      <c r="L361" s="179">
        <f>+L359</f>
        <v>0</v>
      </c>
      <c r="M361" s="245">
        <f>IF(G361=0,0,(+J361-G361)/G361)</f>
        <v>0</v>
      </c>
      <c r="N361" s="246">
        <f>L361-I361</f>
        <v>0</v>
      </c>
      <c r="O361" s="178">
        <f t="shared" ref="O361" si="118">+O359</f>
        <v>0</v>
      </c>
      <c r="P361" s="177">
        <f>IF(O361&lt;=0,0,Q361/O361)</f>
        <v>0</v>
      </c>
      <c r="Q361" s="179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47"/>
      <c r="I362" s="60"/>
      <c r="J362" s="42"/>
      <c r="K362" s="14"/>
      <c r="L362" s="41"/>
      <c r="M362" s="42"/>
      <c r="N362" s="248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">
        <v>445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">
        <v>446</v>
      </c>
      <c r="B364" s="12" t="s">
        <v>120</v>
      </c>
      <c r="C364" s="105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">
        <v>447</v>
      </c>
      <c r="B365" s="12" t="s">
        <v>120</v>
      </c>
      <c r="C365" s="106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f t="shared" ref="N365:N393" si="119">L365-I365</f>
        <v>0</v>
      </c>
      <c r="O365" s="42"/>
      <c r="P365" s="14"/>
      <c r="Q365" s="23">
        <v>0</v>
      </c>
      <c r="R365" s="42"/>
      <c r="S365" s="86">
        <f t="shared" ref="S365:S393" si="120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">
        <v>448</v>
      </c>
      <c r="B366" s="12" t="s">
        <v>120</v>
      </c>
      <c r="C366" s="105" t="s">
        <v>44</v>
      </c>
      <c r="D366" s="107"/>
      <c r="E366" s="108"/>
      <c r="F366" s="31">
        <v>0</v>
      </c>
      <c r="G366" s="109"/>
      <c r="H366" s="108"/>
      <c r="I366" s="31">
        <v>0</v>
      </c>
      <c r="J366" s="110"/>
      <c r="K366" s="108"/>
      <c r="L366" s="34">
        <v>0</v>
      </c>
      <c r="M366" s="110"/>
      <c r="N366" s="112">
        <f t="shared" si="119"/>
        <v>0</v>
      </c>
      <c r="O366" s="110"/>
      <c r="P366" s="108"/>
      <c r="Q366" s="34">
        <v>0</v>
      </c>
      <c r="R366" s="110"/>
      <c r="S366" s="113">
        <f t="shared" si="120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">
        <v>449</v>
      </c>
      <c r="B367" s="12" t="s">
        <v>120</v>
      </c>
      <c r="C367" s="105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f t="shared" si="119"/>
        <v>0</v>
      </c>
      <c r="O367" s="42"/>
      <c r="P367" s="14"/>
      <c r="Q367" s="34">
        <v>0</v>
      </c>
      <c r="R367" s="42"/>
      <c r="S367" s="86">
        <f t="shared" si="120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">
        <v>450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f t="shared" si="119"/>
        <v>0</v>
      </c>
      <c r="O368" s="42"/>
      <c r="P368" s="14"/>
      <c r="Q368" s="34">
        <v>0</v>
      </c>
      <c r="R368" s="42"/>
      <c r="S368" s="86">
        <f t="shared" si="120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">
        <v>450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f t="shared" si="119"/>
        <v>0</v>
      </c>
      <c r="O369" s="42"/>
      <c r="P369" s="14"/>
      <c r="Q369" s="34">
        <v>0</v>
      </c>
      <c r="R369" s="42"/>
      <c r="S369" s="86">
        <f t="shared" si="120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">
        <v>450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f t="shared" si="119"/>
        <v>0</v>
      </c>
      <c r="O370" s="42"/>
      <c r="P370" s="14"/>
      <c r="Q370" s="34">
        <v>0</v>
      </c>
      <c r="R370" s="42"/>
      <c r="S370" s="86">
        <f t="shared" si="120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">
        <v>451</v>
      </c>
      <c r="B371" s="12" t="s">
        <v>120</v>
      </c>
      <c r="C371" s="106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f t="shared" si="119"/>
        <v>0</v>
      </c>
      <c r="O371" s="42"/>
      <c r="P371" s="14"/>
      <c r="Q371" s="23">
        <v>0</v>
      </c>
      <c r="R371" s="42"/>
      <c r="S371" s="86">
        <f t="shared" si="120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">
        <v>452</v>
      </c>
      <c r="B372" s="12" t="s">
        <v>120</v>
      </c>
      <c r="C372" s="105" t="s">
        <v>47</v>
      </c>
      <c r="D372" s="107"/>
      <c r="E372" s="108"/>
      <c r="F372" s="31">
        <v>0</v>
      </c>
      <c r="G372" s="109"/>
      <c r="H372" s="108"/>
      <c r="I372" s="31">
        <v>0</v>
      </c>
      <c r="J372" s="110"/>
      <c r="K372" s="108"/>
      <c r="L372" s="34">
        <v>0</v>
      </c>
      <c r="M372" s="110"/>
      <c r="N372" s="112">
        <f t="shared" si="119"/>
        <v>0</v>
      </c>
      <c r="O372" s="110"/>
      <c r="P372" s="108"/>
      <c r="Q372" s="34">
        <v>0</v>
      </c>
      <c r="R372" s="110"/>
      <c r="S372" s="113">
        <f t="shared" si="120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">
        <v>453</v>
      </c>
      <c r="B373" s="12" t="s">
        <v>120</v>
      </c>
      <c r="C373" s="105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f t="shared" si="119"/>
        <v>0</v>
      </c>
      <c r="O373" s="42"/>
      <c r="P373" s="14"/>
      <c r="Q373" s="34">
        <v>0</v>
      </c>
      <c r="R373" s="42"/>
      <c r="S373" s="86">
        <f t="shared" si="120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">
        <v>454</v>
      </c>
      <c r="B374" s="12" t="s">
        <v>120</v>
      </c>
      <c r="C374" s="105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f t="shared" si="119"/>
        <v>0</v>
      </c>
      <c r="O374" s="42"/>
      <c r="P374" s="14"/>
      <c r="Q374" s="34">
        <v>0</v>
      </c>
      <c r="R374" s="42"/>
      <c r="S374" s="86">
        <f t="shared" si="120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">
        <v>450</v>
      </c>
      <c r="B375" s="12" t="s">
        <v>120</v>
      </c>
      <c r="C375" s="30" t="s">
        <v>21</v>
      </c>
      <c r="D375" s="89"/>
      <c r="E375" s="114"/>
      <c r="F375" s="31">
        <v>0</v>
      </c>
      <c r="G375" s="91"/>
      <c r="H375" s="114"/>
      <c r="I375" s="31">
        <v>0</v>
      </c>
      <c r="J375" s="24"/>
      <c r="K375" s="114"/>
      <c r="L375" s="34">
        <v>0</v>
      </c>
      <c r="M375" s="24"/>
      <c r="N375" s="94">
        <f t="shared" si="119"/>
        <v>0</v>
      </c>
      <c r="O375" s="24"/>
      <c r="P375" s="114"/>
      <c r="Q375" s="34">
        <v>0</v>
      </c>
      <c r="R375" s="24"/>
      <c r="S375" s="95">
        <f t="shared" si="120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">
        <v>455</v>
      </c>
      <c r="B376" s="12" t="s">
        <v>120</v>
      </c>
      <c r="C376" s="96" t="s">
        <v>50</v>
      </c>
      <c r="D376" s="97" t="s">
        <v>40</v>
      </c>
      <c r="E376" s="98">
        <f>IFERROR(F376/F$359,0)</f>
        <v>0</v>
      </c>
      <c r="F376" s="99">
        <f>+SUM(F364:F375)</f>
        <v>0</v>
      </c>
      <c r="G376" s="100" t="s">
        <v>40</v>
      </c>
      <c r="H376" s="98">
        <f>IFERROR(I376/I$359,0)</f>
        <v>0</v>
      </c>
      <c r="I376" s="99">
        <f>+SUM(I364:I375)</f>
        <v>0</v>
      </c>
      <c r="J376" s="100" t="s">
        <v>40</v>
      </c>
      <c r="K376" s="98">
        <f>IFERROR(L376/L$359,0)</f>
        <v>0</v>
      </c>
      <c r="L376" s="99">
        <f>+SUM(L364:L375)</f>
        <v>0</v>
      </c>
      <c r="M376" s="151"/>
      <c r="N376" s="116">
        <f t="shared" si="119"/>
        <v>0</v>
      </c>
      <c r="O376" s="100" t="s">
        <v>40</v>
      </c>
      <c r="P376" s="98">
        <f>IFERROR(Q376/Q$359,0)</f>
        <v>0</v>
      </c>
      <c r="Q376" s="99">
        <f>+SUM(Q364:Q375)</f>
        <v>0</v>
      </c>
      <c r="R376" s="151"/>
      <c r="S376" s="117">
        <f t="shared" si="120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">
        <v>456</v>
      </c>
      <c r="B377" s="12" t="s">
        <v>120</v>
      </c>
      <c r="C377" s="214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f t="shared" si="119"/>
        <v>0</v>
      </c>
      <c r="O377" s="42"/>
      <c r="P377" s="14"/>
      <c r="Q377" s="34">
        <v>0</v>
      </c>
      <c r="R377" s="42"/>
      <c r="S377" s="86">
        <f t="shared" si="120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">
        <v>457</v>
      </c>
      <c r="B378" s="12" t="s">
        <v>120</v>
      </c>
      <c r="C378" s="105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f t="shared" si="119"/>
        <v>0</v>
      </c>
      <c r="O378" s="42"/>
      <c r="P378" s="14"/>
      <c r="Q378" s="34">
        <v>0</v>
      </c>
      <c r="R378" s="42"/>
      <c r="S378" s="86">
        <f t="shared" si="120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">
        <v>458</v>
      </c>
      <c r="B379" s="12" t="s">
        <v>120</v>
      </c>
      <c r="C379" s="106" t="s">
        <v>53</v>
      </c>
      <c r="D379" s="89"/>
      <c r="E379" s="114"/>
      <c r="F379" s="23">
        <v>0</v>
      </c>
      <c r="G379" s="91"/>
      <c r="H379" s="114"/>
      <c r="I379" s="23">
        <v>0</v>
      </c>
      <c r="J379" s="24"/>
      <c r="K379" s="114"/>
      <c r="L379" s="23">
        <v>0</v>
      </c>
      <c r="M379" s="24"/>
      <c r="N379" s="94">
        <f t="shared" si="119"/>
        <v>0</v>
      </c>
      <c r="O379" s="24"/>
      <c r="P379" s="114"/>
      <c r="Q379" s="23">
        <v>0</v>
      </c>
      <c r="R379" s="24"/>
      <c r="S379" s="95">
        <f t="shared" si="120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">
        <v>459</v>
      </c>
      <c r="B380" s="12" t="s">
        <v>120</v>
      </c>
      <c r="C380" s="105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f t="shared" si="119"/>
        <v>0</v>
      </c>
      <c r="O380" s="42"/>
      <c r="P380" s="14"/>
      <c r="Q380" s="34">
        <v>0</v>
      </c>
      <c r="R380" s="42"/>
      <c r="S380" s="86">
        <f t="shared" si="120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">
        <v>460</v>
      </c>
      <c r="B381" s="12" t="s">
        <v>120</v>
      </c>
      <c r="C381" s="105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f t="shared" si="119"/>
        <v>0</v>
      </c>
      <c r="O381" s="42"/>
      <c r="P381" s="14"/>
      <c r="Q381" s="34">
        <v>0</v>
      </c>
      <c r="R381" s="42"/>
      <c r="S381" s="86">
        <f t="shared" si="120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">
        <v>461</v>
      </c>
      <c r="B382" s="12" t="s">
        <v>120</v>
      </c>
      <c r="C382" s="105" t="s">
        <v>56</v>
      </c>
      <c r="D382" s="89"/>
      <c r="E382" s="114"/>
      <c r="F382" s="23">
        <v>0</v>
      </c>
      <c r="G382" s="91"/>
      <c r="H382" s="114"/>
      <c r="I382" s="23">
        <v>0</v>
      </c>
      <c r="J382" s="24"/>
      <c r="K382" s="114"/>
      <c r="L382" s="23">
        <v>0</v>
      </c>
      <c r="M382" s="24"/>
      <c r="N382" s="94">
        <f t="shared" si="119"/>
        <v>0</v>
      </c>
      <c r="O382" s="24"/>
      <c r="P382" s="114"/>
      <c r="Q382" s="23">
        <v>0</v>
      </c>
      <c r="R382" s="24"/>
      <c r="S382" s="95">
        <f t="shared" si="120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">
        <v>462</v>
      </c>
      <c r="B383" s="12" t="s">
        <v>120</v>
      </c>
      <c r="C383" s="214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f t="shared" si="119"/>
        <v>0</v>
      </c>
      <c r="O383" s="42"/>
      <c r="P383" s="14"/>
      <c r="Q383" s="34">
        <v>0</v>
      </c>
      <c r="R383" s="42"/>
      <c r="S383" s="86">
        <f t="shared" si="120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">
        <v>463</v>
      </c>
      <c r="B384" s="12" t="s">
        <v>120</v>
      </c>
      <c r="C384" s="105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f t="shared" si="119"/>
        <v>0</v>
      </c>
      <c r="O384" s="42"/>
      <c r="P384" s="14"/>
      <c r="Q384" s="34">
        <v>0</v>
      </c>
      <c r="R384" s="42"/>
      <c r="S384" s="86">
        <f t="shared" si="120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">
        <v>464</v>
      </c>
      <c r="B385" s="12" t="s">
        <v>120</v>
      </c>
      <c r="C385" s="105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f t="shared" si="119"/>
        <v>0</v>
      </c>
      <c r="O385" s="42"/>
      <c r="P385" s="14"/>
      <c r="Q385" s="34">
        <v>0</v>
      </c>
      <c r="R385" s="42"/>
      <c r="S385" s="86">
        <f t="shared" si="120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">
        <v>465</v>
      </c>
      <c r="B386" s="12" t="s">
        <v>120</v>
      </c>
      <c r="C386" s="105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f t="shared" si="119"/>
        <v>0</v>
      </c>
      <c r="O386" s="42"/>
      <c r="P386" s="14"/>
      <c r="Q386" s="34">
        <v>0</v>
      </c>
      <c r="R386" s="42"/>
      <c r="S386" s="86">
        <f t="shared" si="120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">
        <v>466</v>
      </c>
      <c r="B387" s="12" t="s">
        <v>120</v>
      </c>
      <c r="C387" s="105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f t="shared" si="119"/>
        <v>0</v>
      </c>
      <c r="O387" s="42"/>
      <c r="P387" s="14"/>
      <c r="Q387" s="34">
        <v>0</v>
      </c>
      <c r="R387" s="42"/>
      <c r="S387" s="86">
        <f t="shared" si="120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">
        <v>467</v>
      </c>
      <c r="B388" s="12" t="s">
        <v>120</v>
      </c>
      <c r="C388" s="105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f t="shared" si="119"/>
        <v>0</v>
      </c>
      <c r="O388" s="42"/>
      <c r="P388" s="14"/>
      <c r="Q388" s="34">
        <v>0</v>
      </c>
      <c r="R388" s="42"/>
      <c r="S388" s="86">
        <f t="shared" si="120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">
        <v>468</v>
      </c>
      <c r="B389" s="12" t="s">
        <v>120</v>
      </c>
      <c r="C389" s="105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f t="shared" si="119"/>
        <v>0</v>
      </c>
      <c r="O389" s="42"/>
      <c r="P389" s="14"/>
      <c r="Q389" s="34">
        <v>0</v>
      </c>
      <c r="R389" s="42"/>
      <c r="S389" s="86">
        <f t="shared" si="120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">
        <v>469</v>
      </c>
      <c r="B390" s="12" t="s">
        <v>120</v>
      </c>
      <c r="C390" s="105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f t="shared" si="119"/>
        <v>0</v>
      </c>
      <c r="O390" s="42"/>
      <c r="P390" s="14"/>
      <c r="Q390" s="34">
        <v>0</v>
      </c>
      <c r="R390" s="42"/>
      <c r="S390" s="86">
        <f t="shared" si="120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">
        <v>450</v>
      </c>
      <c r="B391" s="12" t="s">
        <v>120</v>
      </c>
      <c r="C391" s="105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f t="shared" si="119"/>
        <v>0</v>
      </c>
      <c r="O391" s="42"/>
      <c r="P391" s="14"/>
      <c r="Q391" s="34">
        <v>0</v>
      </c>
      <c r="R391" s="42"/>
      <c r="S391" s="86">
        <f t="shared" si="120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">
        <v>450</v>
      </c>
      <c r="B392" s="12" t="s">
        <v>120</v>
      </c>
      <c r="C392" s="105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f t="shared" si="119"/>
        <v>0</v>
      </c>
      <c r="O392" s="42"/>
      <c r="P392" s="14"/>
      <c r="Q392" s="34">
        <v>0</v>
      </c>
      <c r="R392" s="42"/>
      <c r="S392" s="86">
        <f t="shared" si="120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">
        <v>450</v>
      </c>
      <c r="B393" s="12" t="s">
        <v>120</v>
      </c>
      <c r="C393" s="105" t="s">
        <v>21</v>
      </c>
      <c r="D393" s="89"/>
      <c r="E393" s="114"/>
      <c r="F393" s="31">
        <v>0</v>
      </c>
      <c r="G393" s="91"/>
      <c r="H393" s="114"/>
      <c r="I393" s="31">
        <v>0</v>
      </c>
      <c r="J393" s="24"/>
      <c r="K393" s="114"/>
      <c r="L393" s="34">
        <v>0</v>
      </c>
      <c r="M393" s="24"/>
      <c r="N393" s="94">
        <f t="shared" si="119"/>
        <v>0</v>
      </c>
      <c r="O393" s="24"/>
      <c r="P393" s="114"/>
      <c r="Q393" s="34">
        <v>0</v>
      </c>
      <c r="R393" s="24"/>
      <c r="S393" s="95">
        <f t="shared" si="120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6" t="s">
        <v>65</v>
      </c>
      <c r="D394" s="97" t="s">
        <v>40</v>
      </c>
      <c r="E394" s="98">
        <f>IFERROR(F394/F$359,0)</f>
        <v>0</v>
      </c>
      <c r="F394" s="99">
        <f>+SUM(F377:F393)</f>
        <v>0</v>
      </c>
      <c r="G394" s="100" t="s">
        <v>40</v>
      </c>
      <c r="H394" s="98">
        <f>IFERROR(I394/I$359,0)</f>
        <v>0</v>
      </c>
      <c r="I394" s="99">
        <f>+SUM(I377:I393)</f>
        <v>0</v>
      </c>
      <c r="J394" s="100" t="s">
        <v>40</v>
      </c>
      <c r="K394" s="98">
        <f>IFERROR(L394/L$359,0)</f>
        <v>0</v>
      </c>
      <c r="L394" s="99">
        <f>+SUM(L377:L393)</f>
        <v>0</v>
      </c>
      <c r="M394" s="151"/>
      <c r="N394" s="99">
        <f>+SUM(N377:N393)</f>
        <v>0</v>
      </c>
      <c r="O394" s="100" t="s">
        <v>40</v>
      </c>
      <c r="P394" s="98">
        <f>IFERROR(Q394/Q$359,0)</f>
        <v>0</v>
      </c>
      <c r="Q394" s="99">
        <f>+SUM(Q377:Q393)</f>
        <v>0</v>
      </c>
      <c r="R394" s="151"/>
      <c r="S394" s="117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49"/>
      <c r="T395" s="250"/>
      <c r="U395" s="250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6" t="s">
        <v>66</v>
      </c>
      <c r="D396" s="97" t="s">
        <v>40</v>
      </c>
      <c r="E396" s="98">
        <f>IFERROR(F396/F$359,0)</f>
        <v>0</v>
      </c>
      <c r="F396" s="99">
        <f>F376+F394</f>
        <v>0</v>
      </c>
      <c r="G396" s="100" t="s">
        <v>40</v>
      </c>
      <c r="H396" s="98">
        <f>IFERROR(I396/I$359,0)</f>
        <v>0</v>
      </c>
      <c r="I396" s="99">
        <f>I376+I394</f>
        <v>0</v>
      </c>
      <c r="J396" s="100" t="s">
        <v>40</v>
      </c>
      <c r="K396" s="98">
        <f>IFERROR(L396/L$359,0)</f>
        <v>0</v>
      </c>
      <c r="L396" s="99">
        <f>L376+L394</f>
        <v>0</v>
      </c>
      <c r="M396" s="251"/>
      <c r="N396" s="99">
        <f>L396-I396</f>
        <v>0</v>
      </c>
      <c r="O396" s="100" t="s">
        <v>40</v>
      </c>
      <c r="P396" s="98">
        <f>IFERROR(Q396/Q$359,0)</f>
        <v>0</v>
      </c>
      <c r="Q396" s="99">
        <f>Q376+Q394</f>
        <v>0</v>
      </c>
      <c r="R396" s="103"/>
      <c r="S396" s="104">
        <f>L396-Q396</f>
        <v>0</v>
      </c>
      <c r="T396" s="250"/>
      <c r="U396" s="250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49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2" t="s">
        <v>73</v>
      </c>
      <c r="D398" s="253"/>
      <c r="E398" s="253"/>
      <c r="F398" s="254">
        <f>F361-F396</f>
        <v>0</v>
      </c>
      <c r="G398" s="255"/>
      <c r="H398" s="253"/>
      <c r="I398" s="254">
        <f>I361-I396</f>
        <v>0</v>
      </c>
      <c r="J398" s="256"/>
      <c r="K398" s="257"/>
      <c r="L398" s="254">
        <f>L361-L396</f>
        <v>0</v>
      </c>
      <c r="M398" s="255"/>
      <c r="N398" s="254">
        <f>L398-I398</f>
        <v>0</v>
      </c>
      <c r="O398" s="256"/>
      <c r="P398" s="257"/>
      <c r="Q398" s="254">
        <f>Q361-Q396</f>
        <v>0</v>
      </c>
      <c r="R398" s="256"/>
      <c r="S398" s="258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5"/>
      <c r="G399" s="82"/>
      <c r="H399" s="14"/>
      <c r="I399" s="115"/>
      <c r="J399" s="77"/>
      <c r="K399" s="77"/>
      <c r="L399" s="115"/>
      <c r="M399" s="77"/>
      <c r="N399" s="115"/>
      <c r="O399" s="77"/>
      <c r="P399" s="77"/>
      <c r="Q399" s="115"/>
      <c r="R399" s="77"/>
      <c r="S399" s="11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519" t="s">
        <v>470</v>
      </c>
      <c r="E401" s="520" t="s">
        <v>471</v>
      </c>
      <c r="F401" s="521"/>
      <c r="G401" s="521"/>
      <c r="H401" s="521"/>
      <c r="I401" s="521"/>
      <c r="V401" s="522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523" t="s">
        <v>122</v>
      </c>
      <c r="AF401" s="6"/>
      <c r="AG401" s="6"/>
      <c r="AH401" s="1"/>
      <c r="AI401" s="1"/>
      <c r="AJ401" s="259"/>
      <c r="AK401" s="2"/>
      <c r="AL401" s="1"/>
      <c r="AM401" s="6"/>
      <c r="AN401" s="6"/>
      <c r="AO401" s="524" t="str">
        <f>$S$1</f>
        <v>Réalisé, Juillet 2022</v>
      </c>
      <c r="AP401" s="250"/>
      <c r="AQ401" s="250"/>
      <c r="AR401" s="250"/>
      <c r="AS401" s="250"/>
      <c r="AT401" s="250"/>
      <c r="AU401" s="250"/>
      <c r="AV401" s="250"/>
      <c r="AW401" s="250"/>
      <c r="AX401" s="250"/>
      <c r="AY401" s="250"/>
      <c r="AZ401" s="250"/>
      <c r="BA401" s="250"/>
      <c r="BB401" s="250"/>
      <c r="BC401" s="250"/>
      <c r="BD401" s="250"/>
      <c r="BE401" s="250"/>
      <c r="BF401" s="250"/>
      <c r="BG401" s="250"/>
      <c r="BH401" s="250"/>
      <c r="BI401" s="250"/>
    </row>
    <row r="402" spans="1:61" ht="15.75" customHeight="1" thickBot="1">
      <c r="B402" s="7"/>
      <c r="C402" s="519" t="s">
        <v>470</v>
      </c>
      <c r="V402" s="26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0"/>
      <c r="AQ402" s="250"/>
      <c r="AR402" s="250"/>
      <c r="AS402" s="250"/>
      <c r="AT402" s="250"/>
      <c r="AU402" s="250"/>
      <c r="AV402" s="250"/>
      <c r="AW402" s="250"/>
      <c r="AX402" s="250"/>
      <c r="AY402" s="250"/>
      <c r="AZ402" s="250"/>
      <c r="BA402" s="250"/>
      <c r="BB402" s="250"/>
      <c r="BC402" s="250"/>
      <c r="BD402" s="250"/>
      <c r="BE402" s="250"/>
      <c r="BF402" s="250"/>
      <c r="BG402" s="250"/>
      <c r="BH402" s="250"/>
      <c r="BI402" s="250"/>
    </row>
    <row r="403" spans="1:61" ht="15.75" customHeight="1" thickTop="1" thickBot="1">
      <c r="A403" t="s">
        <v>472</v>
      </c>
      <c r="B403" s="7"/>
      <c r="C403" s="519" t="s">
        <v>470</v>
      </c>
      <c r="V403" s="261"/>
      <c r="W403" s="262"/>
      <c r="X403" s="571" t="s">
        <v>123</v>
      </c>
      <c r="Y403" s="569"/>
      <c r="Z403" s="572"/>
      <c r="AA403" s="568" t="s">
        <v>75</v>
      </c>
      <c r="AB403" s="569"/>
      <c r="AC403" s="572"/>
      <c r="AD403" s="568" t="s">
        <v>7</v>
      </c>
      <c r="AE403" s="569"/>
      <c r="AF403" s="572"/>
      <c r="AG403" s="568" t="s">
        <v>124</v>
      </c>
      <c r="AH403" s="569"/>
      <c r="AI403" s="572"/>
      <c r="AJ403" s="568" t="s">
        <v>125</v>
      </c>
      <c r="AK403" s="569"/>
      <c r="AL403" s="569"/>
      <c r="AM403" s="568" t="s">
        <v>126</v>
      </c>
      <c r="AN403" s="569"/>
      <c r="AO403" s="570"/>
      <c r="AP403" s="250"/>
      <c r="AQ403" s="250"/>
      <c r="AR403" s="250"/>
      <c r="AS403" s="250"/>
      <c r="AT403" s="250"/>
      <c r="AU403" s="250"/>
      <c r="AV403" s="250"/>
      <c r="AW403" s="250"/>
      <c r="AX403" s="250"/>
      <c r="AY403" s="250"/>
      <c r="AZ403" s="250"/>
      <c r="BA403" s="250"/>
      <c r="BB403" s="250"/>
      <c r="BC403" s="250"/>
      <c r="BD403" s="250"/>
      <c r="BE403" s="250"/>
      <c r="BF403" s="250"/>
      <c r="BG403" s="250"/>
      <c r="BH403" s="250"/>
      <c r="BI403" s="250"/>
    </row>
    <row r="404" spans="1:61" ht="15.75" customHeight="1">
      <c r="A404" t="s">
        <v>472</v>
      </c>
      <c r="B404" s="7"/>
      <c r="C404" s="519" t="s">
        <v>470</v>
      </c>
      <c r="V404" s="88"/>
      <c r="W404" s="263" t="s">
        <v>127</v>
      </c>
      <c r="X404" s="263" t="s">
        <v>128</v>
      </c>
      <c r="Y404" s="263" t="s">
        <v>129</v>
      </c>
      <c r="Z404" s="264" t="s">
        <v>130</v>
      </c>
      <c r="AA404" s="263" t="s">
        <v>128</v>
      </c>
      <c r="AB404" s="263" t="s">
        <v>129</v>
      </c>
      <c r="AC404" s="264" t="s">
        <v>130</v>
      </c>
      <c r="AD404" s="265" t="s">
        <v>128</v>
      </c>
      <c r="AE404" s="263" t="s">
        <v>129</v>
      </c>
      <c r="AF404" s="263" t="s">
        <v>130</v>
      </c>
      <c r="AG404" s="265" t="s">
        <v>131</v>
      </c>
      <c r="AH404" s="263" t="s">
        <v>132</v>
      </c>
      <c r="AI404" s="263" t="s">
        <v>133</v>
      </c>
      <c r="AJ404" s="265" t="s">
        <v>128</v>
      </c>
      <c r="AK404" s="263" t="s">
        <v>129</v>
      </c>
      <c r="AL404" s="263" t="s">
        <v>130</v>
      </c>
      <c r="AM404" s="266" t="s">
        <v>131</v>
      </c>
      <c r="AN404" s="263" t="s">
        <v>132</v>
      </c>
      <c r="AO404" s="142" t="s">
        <v>133</v>
      </c>
      <c r="AP404" s="250"/>
      <c r="AQ404" s="250"/>
      <c r="AR404" s="250"/>
      <c r="AS404" s="250"/>
      <c r="AT404" s="250"/>
      <c r="AU404" s="250"/>
      <c r="AV404" s="250"/>
      <c r="AW404" s="250"/>
      <c r="AX404" s="250"/>
      <c r="AY404" s="250"/>
      <c r="AZ404" s="250"/>
      <c r="BA404" s="250"/>
      <c r="BB404" s="250"/>
      <c r="BC404" s="250"/>
      <c r="BD404" s="250"/>
      <c r="BE404" s="250"/>
      <c r="BF404" s="250"/>
      <c r="BG404" s="250"/>
      <c r="BH404" s="250"/>
      <c r="BI404" s="250"/>
    </row>
    <row r="405" spans="1:61" ht="15.75" customHeight="1">
      <c r="A405" t="s">
        <v>16</v>
      </c>
      <c r="B405" s="7"/>
      <c r="C405" s="519" t="s">
        <v>470</v>
      </c>
      <c r="V405" s="106" t="s">
        <v>16</v>
      </c>
      <c r="W405" s="267"/>
      <c r="X405" s="267"/>
      <c r="Y405" s="267"/>
      <c r="Z405" s="268">
        <f>F5+F93+E193+E249+D313+D361</f>
        <v>5494518.5913875336</v>
      </c>
      <c r="AA405" s="267"/>
      <c r="AB405" s="267"/>
      <c r="AC405" s="268">
        <f>I5+I93+H193+H249+G313+G361</f>
        <v>5494518.5913875336</v>
      </c>
      <c r="AD405" s="269"/>
      <c r="AE405" s="270"/>
      <c r="AF405" s="270">
        <f>L5+L93+K193+K249+J313+J361</f>
        <v>5074158.8599999994</v>
      </c>
      <c r="AG405" s="269"/>
      <c r="AH405" s="270"/>
      <c r="AI405" s="271"/>
      <c r="AJ405" s="269"/>
      <c r="AK405" s="270"/>
      <c r="AL405" s="270">
        <f>Q5+Q93+P193+P249+O313+O361</f>
        <v>5134565.080000001</v>
      </c>
      <c r="AM405" s="272"/>
      <c r="AN405" s="270"/>
      <c r="AO405" s="273"/>
      <c r="AP405" s="250"/>
      <c r="AQ405" s="250"/>
      <c r="AR405" s="250"/>
      <c r="AS405" s="250"/>
      <c r="AT405" s="250"/>
      <c r="AU405" s="250"/>
      <c r="AV405" s="250"/>
      <c r="AW405" s="250"/>
      <c r="AX405" s="250"/>
      <c r="AY405" s="250"/>
      <c r="AZ405" s="250"/>
      <c r="BA405" s="250"/>
      <c r="BB405" s="250"/>
      <c r="BC405" s="250"/>
      <c r="BD405" s="250"/>
      <c r="BE405" s="250"/>
      <c r="BF405" s="250"/>
      <c r="BG405" s="250"/>
      <c r="BH405" s="250"/>
      <c r="BI405" s="250"/>
    </row>
    <row r="406" spans="1:61" ht="15.75" customHeight="1">
      <c r="A406" t="s">
        <v>134</v>
      </c>
      <c r="B406" s="7"/>
      <c r="C406" s="519" t="s">
        <v>470</v>
      </c>
      <c r="V406" s="274" t="s">
        <v>134</v>
      </c>
      <c r="W406" s="275"/>
      <c r="X406" s="275"/>
      <c r="Y406" s="275"/>
      <c r="Z406" s="276">
        <f>F27+F107+F193+F249+F313+F361</f>
        <v>679542.09706568439</v>
      </c>
      <c r="AA406" s="275"/>
      <c r="AB406" s="275"/>
      <c r="AC406" s="276">
        <f>I27+I107+I193+I249+I313+I361</f>
        <v>679542.09706568439</v>
      </c>
      <c r="AD406" s="277"/>
      <c r="AE406" s="278"/>
      <c r="AF406" s="278">
        <f>L27+L107+L193+L249+L313+L361</f>
        <v>699287.60999999987</v>
      </c>
      <c r="AG406" s="277"/>
      <c r="AH406" s="278">
        <f>AF406-AC406</f>
        <v>19745.512934315484</v>
      </c>
      <c r="AI406" s="279">
        <f>AH406/AC406</f>
        <v>2.9057085675160001E-2</v>
      </c>
      <c r="AJ406" s="277"/>
      <c r="AK406" s="278"/>
      <c r="AL406" s="278">
        <f>Q27+Q107+Q193+Q249+Q313+Q361</f>
        <v>610165.51</v>
      </c>
      <c r="AM406" s="280"/>
      <c r="AN406" s="278">
        <f>AF406-AL406</f>
        <v>89122.09999999986</v>
      </c>
      <c r="AO406" s="281">
        <f>IF(AL406=0,0,AN406/AL406)</f>
        <v>0.14606217254069287</v>
      </c>
      <c r="AP406" s="250"/>
      <c r="AQ406" s="250"/>
      <c r="AR406" s="250"/>
      <c r="AS406" s="250"/>
      <c r="AT406" s="250"/>
      <c r="AU406" s="250"/>
      <c r="AV406" s="250"/>
      <c r="AW406" s="250"/>
      <c r="AX406" s="250"/>
      <c r="AY406" s="250"/>
      <c r="AZ406" s="250"/>
      <c r="BA406" s="250"/>
      <c r="BB406" s="250"/>
      <c r="BC406" s="250"/>
      <c r="BD406" s="250"/>
      <c r="BE406" s="250"/>
      <c r="BF406" s="250"/>
      <c r="BG406" s="250"/>
      <c r="BH406" s="250"/>
      <c r="BI406" s="250"/>
    </row>
    <row r="407" spans="1:61" ht="15.75" customHeight="1">
      <c r="A407" t="s">
        <v>135</v>
      </c>
      <c r="B407" s="7"/>
      <c r="C407" s="519" t="s">
        <v>470</v>
      </c>
      <c r="V407" s="282" t="s">
        <v>135</v>
      </c>
      <c r="W407" s="283"/>
      <c r="X407" s="283"/>
      <c r="Y407" s="283"/>
      <c r="Z407" s="284"/>
      <c r="AA407" s="283"/>
      <c r="AB407" s="283"/>
      <c r="AC407" s="284"/>
      <c r="AD407" s="285"/>
      <c r="AE407" s="283"/>
      <c r="AF407" s="286"/>
      <c r="AG407" s="285"/>
      <c r="AH407" s="286"/>
      <c r="AI407" s="287"/>
      <c r="AJ407" s="285"/>
      <c r="AK407" s="283"/>
      <c r="AL407" s="286"/>
      <c r="AM407" s="288"/>
      <c r="AN407" s="286"/>
      <c r="AO407" s="289"/>
      <c r="AP407" s="250"/>
      <c r="AQ407" s="250"/>
      <c r="AR407" s="250"/>
      <c r="AS407" s="250"/>
      <c r="AT407" s="250"/>
      <c r="AU407" s="250"/>
      <c r="AV407" s="250"/>
      <c r="AW407" s="250"/>
      <c r="AX407" s="250"/>
      <c r="AY407" s="250"/>
      <c r="AZ407" s="250"/>
      <c r="BA407" s="250"/>
      <c r="BB407" s="250"/>
      <c r="BC407" s="250"/>
      <c r="BD407" s="250"/>
      <c r="BE407" s="250"/>
      <c r="BF407" s="250"/>
      <c r="BG407" s="250"/>
      <c r="BH407" s="250"/>
      <c r="BI407" s="250"/>
    </row>
    <row r="408" spans="1:61" ht="15.75" customHeight="1">
      <c r="A408" t="s">
        <v>32</v>
      </c>
      <c r="B408" s="7"/>
      <c r="C408" s="519" t="s">
        <v>470</v>
      </c>
      <c r="V408" s="494" t="s">
        <v>32</v>
      </c>
      <c r="W408" s="290" t="s">
        <v>136</v>
      </c>
      <c r="X408" s="283"/>
      <c r="Y408" s="291">
        <f t="shared" ref="Y408:Y417" si="121">Z408/(D$13+D$96)</f>
        <v>596.10741315198209</v>
      </c>
      <c r="Z408" s="284">
        <f t="shared" ref="Z408:Z414" si="122">+SUMIF($C:$C,$V408,F:F)</f>
        <v>72864.282132539403</v>
      </c>
      <c r="AA408" s="283"/>
      <c r="AB408" s="291">
        <f t="shared" ref="AB408:AB417" si="123">IF(AC408=0,0,AC408/(G$13+G$96))</f>
        <v>596.10741315198209</v>
      </c>
      <c r="AC408" s="284">
        <f t="shared" ref="AC408:AC414" si="124">+SUMIF($C:$C,$V408,I:I)</f>
        <v>72864.282132539403</v>
      </c>
      <c r="AD408" s="292"/>
      <c r="AE408" s="291">
        <f t="shared" ref="AE408:AE413" si="125">IF(AF408=0,0,AF408/(J$13+J$96))</f>
        <v>963.63539325842703</v>
      </c>
      <c r="AF408" s="284">
        <f t="shared" ref="AF408:AF414" si="126">+SUMIF($C:$C,$V408,L:L)</f>
        <v>85763.55</v>
      </c>
      <c r="AG408" s="285">
        <f t="shared" ref="AG408:AH417" si="127">AE408-AB408</f>
        <v>367.52798010644494</v>
      </c>
      <c r="AH408" s="286">
        <f t="shared" si="127"/>
        <v>12899.2678674606</v>
      </c>
      <c r="AI408" s="287">
        <f>IF(AC408=0,0,AH408/AC408)</f>
        <v>0.17703142733221416</v>
      </c>
      <c r="AJ408" s="292"/>
      <c r="AK408" s="286">
        <f t="shared" ref="AK408:AK417" si="128">AL408/(O$13+O$96)</f>
        <v>631.37598039215698</v>
      </c>
      <c r="AL408" s="284">
        <f t="shared" ref="AL408:AL414" si="129">+SUMIF($C:$C,$V408,Q:Q)</f>
        <v>64400.350000000006</v>
      </c>
      <c r="AM408" s="288">
        <f t="shared" ref="AM408:AM417" si="130">AE408-Y408</f>
        <v>367.52798010644494</v>
      </c>
      <c r="AN408" s="286">
        <f t="shared" ref="AN408:AN430" si="131">AF408-AL408</f>
        <v>21363.199999999997</v>
      </c>
      <c r="AO408" s="293">
        <f>IF(AL408=0,0,AN408/AL408)</f>
        <v>0.33172490522178832</v>
      </c>
      <c r="AP408" s="250"/>
      <c r="AQ408" s="250"/>
      <c r="AR408" s="7"/>
      <c r="AS408" s="250"/>
      <c r="AT408" s="250"/>
      <c r="AU408" s="250"/>
      <c r="AV408" s="250"/>
      <c r="AW408" s="250"/>
      <c r="AX408" s="250"/>
      <c r="AY408" s="250"/>
      <c r="AZ408" s="250"/>
      <c r="BA408" s="250"/>
      <c r="BB408" s="250"/>
      <c r="BC408" s="250"/>
      <c r="BD408" s="250"/>
      <c r="BE408" s="250"/>
      <c r="BF408" s="250"/>
      <c r="BG408" s="250"/>
      <c r="BH408" s="250"/>
      <c r="BI408" s="250"/>
    </row>
    <row r="409" spans="1:61" ht="15.75" customHeight="1">
      <c r="A409" t="s">
        <v>33</v>
      </c>
      <c r="B409" s="7"/>
      <c r="C409" s="519" t="s">
        <v>470</v>
      </c>
      <c r="V409" s="106" t="s">
        <v>33</v>
      </c>
      <c r="W409" s="294" t="s">
        <v>137</v>
      </c>
      <c r="X409" s="267"/>
      <c r="Y409" s="295">
        <f t="shared" si="121"/>
        <v>382.36926211806554</v>
      </c>
      <c r="Z409" s="268">
        <f t="shared" si="122"/>
        <v>46738.324635929748</v>
      </c>
      <c r="AA409" s="267"/>
      <c r="AB409" s="295">
        <f t="shared" si="123"/>
        <v>382.36926211806554</v>
      </c>
      <c r="AC409" s="268">
        <f t="shared" si="124"/>
        <v>46738.324635929748</v>
      </c>
      <c r="AD409" s="296"/>
      <c r="AE409" s="295">
        <f t="shared" si="125"/>
        <v>443.50662921348311</v>
      </c>
      <c r="AF409" s="268">
        <f t="shared" si="126"/>
        <v>39472.089999999997</v>
      </c>
      <c r="AG409" s="269">
        <f t="shared" si="127"/>
        <v>61.137367095417574</v>
      </c>
      <c r="AH409" s="270">
        <f t="shared" si="127"/>
        <v>-7266.2346359297517</v>
      </c>
      <c r="AI409" s="297">
        <f t="shared" ref="AI409:AI417" si="132">IF(AC409=0,0,AH409/AC409)</f>
        <v>-0.1554663050618611</v>
      </c>
      <c r="AJ409" s="296"/>
      <c r="AK409" s="270">
        <f t="shared" si="128"/>
        <v>482.53519607843134</v>
      </c>
      <c r="AL409" s="268">
        <f t="shared" si="129"/>
        <v>49218.59</v>
      </c>
      <c r="AM409" s="272">
        <f t="shared" si="130"/>
        <v>61.137367095417574</v>
      </c>
      <c r="AN409" s="270">
        <f t="shared" si="131"/>
        <v>-9746.5</v>
      </c>
      <c r="AO409" s="298">
        <f t="shared" ref="AO409:AO417" si="133">IF(AL409=0,0,AN409/AL409)</f>
        <v>-0.19802477072179436</v>
      </c>
      <c r="AP409" s="250"/>
      <c r="AQ409" s="250"/>
      <c r="AR409" s="14"/>
      <c r="AS409" s="250"/>
      <c r="AT409" s="250"/>
      <c r="AU409" s="250"/>
      <c r="AV409" s="250"/>
      <c r="AW409" s="250"/>
      <c r="AX409" s="250"/>
      <c r="AY409" s="250"/>
      <c r="AZ409" s="250"/>
      <c r="BA409" s="250"/>
      <c r="BB409" s="250"/>
      <c r="BC409" s="250"/>
      <c r="BD409" s="250"/>
      <c r="BE409" s="250"/>
      <c r="BF409" s="250"/>
      <c r="BG409" s="250"/>
      <c r="BH409" s="250"/>
      <c r="BI409" s="250"/>
    </row>
    <row r="410" spans="1:61" ht="15.75" customHeight="1">
      <c r="A410" t="s">
        <v>34</v>
      </c>
      <c r="B410" s="7"/>
      <c r="C410" s="519" t="s">
        <v>470</v>
      </c>
      <c r="V410" s="494" t="s">
        <v>34</v>
      </c>
      <c r="W410" s="290" t="s">
        <v>138</v>
      </c>
      <c r="X410" s="283"/>
      <c r="Y410" s="291">
        <f t="shared" si="121"/>
        <v>141.09386184099409</v>
      </c>
      <c r="Z410" s="284">
        <f t="shared" si="122"/>
        <v>17246.393400799036</v>
      </c>
      <c r="AA410" s="283"/>
      <c r="AB410" s="291">
        <f t="shared" si="123"/>
        <v>141.09386184099409</v>
      </c>
      <c r="AC410" s="284">
        <f t="shared" si="124"/>
        <v>17246.393400799036</v>
      </c>
      <c r="AD410" s="292"/>
      <c r="AE410" s="291">
        <f t="shared" si="125"/>
        <v>102.10292134831461</v>
      </c>
      <c r="AF410" s="284">
        <f t="shared" si="126"/>
        <v>9087.16</v>
      </c>
      <c r="AG410" s="285">
        <f t="shared" si="127"/>
        <v>-38.990940492679485</v>
      </c>
      <c r="AH410" s="286">
        <f t="shared" si="127"/>
        <v>-8159.2334007990357</v>
      </c>
      <c r="AI410" s="287">
        <f t="shared" si="132"/>
        <v>-0.47309795220263351</v>
      </c>
      <c r="AJ410" s="292"/>
      <c r="AK410" s="286">
        <f t="shared" si="128"/>
        <v>189.95519607843138</v>
      </c>
      <c r="AL410" s="284">
        <f t="shared" si="129"/>
        <v>19375.43</v>
      </c>
      <c r="AM410" s="288">
        <f t="shared" si="130"/>
        <v>-38.990940492679485</v>
      </c>
      <c r="AN410" s="286">
        <f t="shared" si="131"/>
        <v>-10288.27</v>
      </c>
      <c r="AO410" s="293">
        <f t="shared" si="133"/>
        <v>-0.53099569919222445</v>
      </c>
      <c r="AP410" s="250"/>
      <c r="AQ410" s="250"/>
      <c r="AR410" s="14"/>
      <c r="AS410" s="250"/>
      <c r="AT410" s="250"/>
      <c r="AU410" s="250"/>
      <c r="AV410" s="250"/>
      <c r="AW410" s="250"/>
      <c r="AX410" s="250"/>
      <c r="AY410" s="250"/>
      <c r="AZ410" s="250"/>
      <c r="BA410" s="250"/>
      <c r="BB410" s="250"/>
      <c r="BC410" s="250"/>
      <c r="BD410" s="250"/>
      <c r="BE410" s="250"/>
      <c r="BF410" s="250"/>
      <c r="BG410" s="250"/>
      <c r="BH410" s="250"/>
      <c r="BI410" s="250"/>
    </row>
    <row r="411" spans="1:61" ht="15.75" customHeight="1">
      <c r="A411" t="s">
        <v>35</v>
      </c>
      <c r="B411" s="7"/>
      <c r="C411" s="519" t="s">
        <v>470</v>
      </c>
      <c r="V411" s="494" t="s">
        <v>35</v>
      </c>
      <c r="W411" s="290" t="s">
        <v>139</v>
      </c>
      <c r="X411" s="283"/>
      <c r="Y411" s="291">
        <f t="shared" si="121"/>
        <v>17.550540604857062</v>
      </c>
      <c r="Z411" s="284">
        <f t="shared" si="122"/>
        <v>2145.263611886759</v>
      </c>
      <c r="AA411" s="283"/>
      <c r="AB411" s="291">
        <f t="shared" si="123"/>
        <v>17.550540604857062</v>
      </c>
      <c r="AC411" s="284">
        <f t="shared" si="124"/>
        <v>2145.263611886759</v>
      </c>
      <c r="AD411" s="292"/>
      <c r="AE411" s="291">
        <f t="shared" si="125"/>
        <v>2.1392134831460674</v>
      </c>
      <c r="AF411" s="284">
        <f t="shared" si="126"/>
        <v>190.39</v>
      </c>
      <c r="AG411" s="285">
        <f t="shared" si="127"/>
        <v>-15.411327121710995</v>
      </c>
      <c r="AH411" s="286">
        <f t="shared" si="127"/>
        <v>-1954.8736118867591</v>
      </c>
      <c r="AI411" s="287">
        <f t="shared" si="132"/>
        <v>-0.91125100013580529</v>
      </c>
      <c r="AJ411" s="292"/>
      <c r="AK411" s="286">
        <f t="shared" si="128"/>
        <v>41.109117647058824</v>
      </c>
      <c r="AL411" s="284">
        <f t="shared" si="129"/>
        <v>4193.13</v>
      </c>
      <c r="AM411" s="288">
        <f t="shared" si="130"/>
        <v>-15.411327121710995</v>
      </c>
      <c r="AN411" s="286">
        <f t="shared" si="131"/>
        <v>-4002.7400000000002</v>
      </c>
      <c r="AO411" s="299">
        <f t="shared" si="133"/>
        <v>-0.95459477764820078</v>
      </c>
      <c r="AP411" s="250"/>
      <c r="AQ411" s="250"/>
      <c r="AR411" s="14"/>
      <c r="AS411" s="250"/>
      <c r="AT411" s="250"/>
      <c r="AU411" s="250"/>
      <c r="AV411" s="250"/>
      <c r="AW411" s="250"/>
      <c r="AX411" s="250"/>
      <c r="AY411" s="250"/>
      <c r="AZ411" s="250"/>
      <c r="BA411" s="250"/>
      <c r="BB411" s="250"/>
      <c r="BC411" s="250"/>
      <c r="BD411" s="250"/>
      <c r="BE411" s="250"/>
      <c r="BF411" s="250"/>
      <c r="BG411" s="250"/>
      <c r="BH411" s="250"/>
      <c r="BI411" s="250"/>
    </row>
    <row r="412" spans="1:61" ht="15.75" customHeight="1">
      <c r="A412" t="s">
        <v>36</v>
      </c>
      <c r="B412" s="7"/>
      <c r="C412" s="519" t="s">
        <v>470</v>
      </c>
      <c r="V412" s="106" t="s">
        <v>36</v>
      </c>
      <c r="W412" s="294"/>
      <c r="X412" s="267"/>
      <c r="Y412" s="295">
        <f t="shared" si="121"/>
        <v>45.209803119489621</v>
      </c>
      <c r="Z412" s="268">
        <f t="shared" si="122"/>
        <v>5526.1514568938528</v>
      </c>
      <c r="AA412" s="267"/>
      <c r="AB412" s="295">
        <f t="shared" si="123"/>
        <v>45.209803119489621</v>
      </c>
      <c r="AC412" s="268">
        <f t="shared" si="124"/>
        <v>5526.1514568938528</v>
      </c>
      <c r="AD412" s="296"/>
      <c r="AE412" s="295">
        <f t="shared" si="125"/>
        <v>158.19157303370787</v>
      </c>
      <c r="AF412" s="268">
        <f t="shared" si="126"/>
        <v>14079.050000000001</v>
      </c>
      <c r="AG412" s="269">
        <f t="shared" si="127"/>
        <v>112.98176991421825</v>
      </c>
      <c r="AH412" s="270">
        <f t="shared" si="127"/>
        <v>8552.8985431061483</v>
      </c>
      <c r="AI412" s="297">
        <f t="shared" si="132"/>
        <v>1.5477133787993522</v>
      </c>
      <c r="AJ412" s="296"/>
      <c r="AK412" s="270">
        <f t="shared" si="128"/>
        <v>30.395980392156861</v>
      </c>
      <c r="AL412" s="268">
        <f t="shared" si="129"/>
        <v>3100.39</v>
      </c>
      <c r="AM412" s="272">
        <f t="shared" si="130"/>
        <v>112.98176991421825</v>
      </c>
      <c r="AN412" s="270">
        <f t="shared" si="131"/>
        <v>10978.660000000002</v>
      </c>
      <c r="AO412" s="298">
        <f t="shared" si="133"/>
        <v>3.541057737897491</v>
      </c>
      <c r="AP412" s="250"/>
      <c r="AQ412" s="250"/>
      <c r="AR412" s="14"/>
      <c r="AS412" s="250"/>
      <c r="AT412" s="250"/>
      <c r="AU412" s="250"/>
      <c r="AV412" s="250"/>
      <c r="AW412" s="250"/>
      <c r="AX412" s="250"/>
      <c r="AY412" s="250"/>
      <c r="AZ412" s="250"/>
      <c r="BA412" s="250"/>
      <c r="BB412" s="250"/>
      <c r="BC412" s="250"/>
      <c r="BD412" s="250"/>
      <c r="BE412" s="250"/>
      <c r="BF412" s="250"/>
      <c r="BG412" s="250"/>
      <c r="BH412" s="250"/>
      <c r="BI412" s="250"/>
    </row>
    <row r="413" spans="1:61" ht="15.75" customHeight="1">
      <c r="A413" t="s">
        <v>37</v>
      </c>
      <c r="B413" s="7"/>
      <c r="C413" s="519" t="s">
        <v>470</v>
      </c>
      <c r="V413" s="494" t="s">
        <v>37</v>
      </c>
      <c r="W413" s="290" t="s">
        <v>140</v>
      </c>
      <c r="X413" s="287"/>
      <c r="Y413" s="291">
        <f t="shared" si="121"/>
        <v>150.24427736958049</v>
      </c>
      <c r="Z413" s="284">
        <f t="shared" si="122"/>
        <v>18364.880512340624</v>
      </c>
      <c r="AA413" s="287"/>
      <c r="AB413" s="291">
        <f t="shared" si="123"/>
        <v>150.24427736958049</v>
      </c>
      <c r="AC413" s="284">
        <f t="shared" si="124"/>
        <v>18364.880512340624</v>
      </c>
      <c r="AD413" s="292"/>
      <c r="AE413" s="291">
        <f t="shared" si="125"/>
        <v>180.4808988764045</v>
      </c>
      <c r="AF413" s="284">
        <f t="shared" si="126"/>
        <v>16062.8</v>
      </c>
      <c r="AG413" s="285">
        <f t="shared" si="127"/>
        <v>30.236621506824008</v>
      </c>
      <c r="AH413" s="286">
        <f t="shared" si="127"/>
        <v>-2302.0805123406244</v>
      </c>
      <c r="AI413" s="287">
        <f t="shared" si="132"/>
        <v>-0.12535232727453349</v>
      </c>
      <c r="AJ413" s="292"/>
      <c r="AK413" s="286">
        <f t="shared" si="128"/>
        <v>110.47058823529413</v>
      </c>
      <c r="AL413" s="284">
        <f t="shared" si="129"/>
        <v>11268.000000000002</v>
      </c>
      <c r="AM413" s="288">
        <f t="shared" si="130"/>
        <v>30.236621506824008</v>
      </c>
      <c r="AN413" s="286">
        <f t="shared" si="131"/>
        <v>4794.7999999999975</v>
      </c>
      <c r="AO413" s="293">
        <f t="shared" si="133"/>
        <v>0.4255236066737661</v>
      </c>
      <c r="AP413" s="250"/>
      <c r="AQ413" s="250"/>
      <c r="AR413" s="14"/>
      <c r="AS413" s="250"/>
      <c r="AT413" s="250"/>
      <c r="AU413" s="250"/>
      <c r="AV413" s="250"/>
      <c r="AW413" s="250"/>
      <c r="AX413" s="250"/>
      <c r="AY413" s="250"/>
      <c r="AZ413" s="250"/>
      <c r="BA413" s="250"/>
      <c r="BB413" s="250"/>
      <c r="BC413" s="250"/>
      <c r="BD413" s="250"/>
      <c r="BE413" s="250"/>
      <c r="BF413" s="250"/>
      <c r="BG413" s="250"/>
      <c r="BH413" s="250"/>
      <c r="BI413" s="250"/>
    </row>
    <row r="414" spans="1:61" ht="15.75" customHeight="1">
      <c r="A414" t="s">
        <v>38</v>
      </c>
      <c r="B414" s="7"/>
      <c r="C414" s="519" t="s">
        <v>470</v>
      </c>
      <c r="V414" s="494" t="s">
        <v>38</v>
      </c>
      <c r="W414" s="290" t="s">
        <v>141</v>
      </c>
      <c r="X414" s="283"/>
      <c r="Y414" s="291">
        <f t="shared" si="121"/>
        <v>66.332859902788286</v>
      </c>
      <c r="Z414" s="284">
        <f t="shared" si="122"/>
        <v>8108.0961450527884</v>
      </c>
      <c r="AA414" s="283"/>
      <c r="AB414" s="291">
        <f t="shared" si="123"/>
        <v>66.332859902788286</v>
      </c>
      <c r="AC414" s="284">
        <f t="shared" si="124"/>
        <v>8108.0961450527884</v>
      </c>
      <c r="AD414" s="292"/>
      <c r="AE414" s="291">
        <f>IF(AF414=0,0,AF414/(J$13+J$13))</f>
        <v>60.243000000000002</v>
      </c>
      <c r="AF414" s="284">
        <f t="shared" si="126"/>
        <v>6024.3</v>
      </c>
      <c r="AG414" s="285">
        <f t="shared" si="127"/>
        <v>-6.0898599027882838</v>
      </c>
      <c r="AH414" s="286">
        <f t="shared" si="127"/>
        <v>-2083.7961450527882</v>
      </c>
      <c r="AI414" s="287">
        <f t="shared" si="132"/>
        <v>-0.25700190374829618</v>
      </c>
      <c r="AJ414" s="292"/>
      <c r="AK414" s="286">
        <f t="shared" si="128"/>
        <v>109.90235294117647</v>
      </c>
      <c r="AL414" s="284">
        <f t="shared" si="129"/>
        <v>11210.04</v>
      </c>
      <c r="AM414" s="288">
        <f t="shared" si="130"/>
        <v>-6.0898599027882838</v>
      </c>
      <c r="AN414" s="286">
        <f t="shared" si="131"/>
        <v>-5185.7400000000007</v>
      </c>
      <c r="AO414" s="293">
        <f t="shared" si="133"/>
        <v>-0.46259781410235828</v>
      </c>
      <c r="AP414" s="250"/>
      <c r="AQ414" s="250"/>
      <c r="AR414" s="14"/>
      <c r="AS414" s="250"/>
      <c r="AT414" s="250"/>
      <c r="AU414" s="250"/>
      <c r="AV414" s="250"/>
      <c r="AW414" s="250"/>
      <c r="AX414" s="250"/>
      <c r="AY414" s="250"/>
      <c r="AZ414" s="250"/>
      <c r="BA414" s="250"/>
      <c r="BB414" s="250"/>
      <c r="BC414" s="250"/>
      <c r="BD414" s="250"/>
      <c r="BE414" s="250"/>
      <c r="BF414" s="250"/>
      <c r="BG414" s="250"/>
      <c r="BH414" s="250"/>
      <c r="BI414" s="250"/>
    </row>
    <row r="415" spans="1:61" ht="15.75" hidden="1" customHeight="1">
      <c r="A415" t="s">
        <v>21</v>
      </c>
      <c r="B415" s="7"/>
      <c r="C415" s="519" t="s">
        <v>470</v>
      </c>
      <c r="V415" s="494" t="s">
        <v>21</v>
      </c>
      <c r="W415" s="290"/>
      <c r="X415" s="287"/>
      <c r="Y415" s="291">
        <f t="shared" si="121"/>
        <v>0</v>
      </c>
      <c r="Z415" s="284">
        <f>IFERROR(SUMIF($C:$C,$V415,F:F),0)</f>
        <v>0</v>
      </c>
      <c r="AA415" s="283"/>
      <c r="AB415" s="291">
        <f t="shared" si="123"/>
        <v>0</v>
      </c>
      <c r="AC415" s="284">
        <f>IFERROR(SUMIF($C:$C,$V415,I:I),0)</f>
        <v>0</v>
      </c>
      <c r="AD415" s="292"/>
      <c r="AE415" s="291">
        <f t="shared" ref="AE415:AE417" si="134">IF(AF415=0,0,AF415/(J$13+J$13))</f>
        <v>0</v>
      </c>
      <c r="AF415" s="284">
        <f>IFERROR(SUMIF($C:$C,$V415,L:L),0)</f>
        <v>0</v>
      </c>
      <c r="AG415" s="285">
        <f t="shared" si="127"/>
        <v>0</v>
      </c>
      <c r="AH415" s="286">
        <f t="shared" si="127"/>
        <v>0</v>
      </c>
      <c r="AI415" s="287">
        <f t="shared" si="132"/>
        <v>0</v>
      </c>
      <c r="AJ415" s="292"/>
      <c r="AK415" s="286">
        <f t="shared" si="128"/>
        <v>0</v>
      </c>
      <c r="AL415" s="284">
        <f>IFERROR(SUMIF($C:$C,$V415,Q:Q),0)</f>
        <v>0</v>
      </c>
      <c r="AM415" s="288">
        <f t="shared" si="130"/>
        <v>0</v>
      </c>
      <c r="AN415" s="286">
        <f t="shared" si="131"/>
        <v>0</v>
      </c>
      <c r="AO415" s="293">
        <f t="shared" si="133"/>
        <v>0</v>
      </c>
      <c r="AP415" s="250"/>
      <c r="AQ415" s="250"/>
      <c r="AR415" s="14"/>
      <c r="AS415" s="250"/>
      <c r="AT415" s="250"/>
      <c r="AU415" s="250"/>
      <c r="AV415" s="250"/>
      <c r="AW415" s="250"/>
      <c r="AX415" s="250"/>
      <c r="AY415" s="250"/>
      <c r="AZ415" s="250"/>
      <c r="BA415" s="250"/>
      <c r="BB415" s="250"/>
      <c r="BC415" s="250"/>
      <c r="BD415" s="250"/>
      <c r="BE415" s="250"/>
      <c r="BF415" s="250"/>
      <c r="BG415" s="250"/>
      <c r="BH415" s="250"/>
      <c r="BI415" s="250"/>
    </row>
    <row r="416" spans="1:61" ht="15.75" hidden="1" customHeight="1">
      <c r="A416" t="s">
        <v>21</v>
      </c>
      <c r="B416" s="7"/>
      <c r="C416" s="519" t="s">
        <v>470</v>
      </c>
      <c r="V416" s="494" t="s">
        <v>21</v>
      </c>
      <c r="W416" s="290"/>
      <c r="X416" s="287"/>
      <c r="Y416" s="291">
        <f t="shared" si="121"/>
        <v>0</v>
      </c>
      <c r="Z416" s="284">
        <f>IFERROR(SUMIF($C:$C,$V416,F:F),0)</f>
        <v>0</v>
      </c>
      <c r="AA416" s="283"/>
      <c r="AB416" s="291">
        <f t="shared" si="123"/>
        <v>0</v>
      </c>
      <c r="AC416" s="284">
        <f>IFERROR(SUMIF($C:$C,$V416,I:I),0)</f>
        <v>0</v>
      </c>
      <c r="AD416" s="292"/>
      <c r="AE416" s="291">
        <f t="shared" si="134"/>
        <v>0</v>
      </c>
      <c r="AF416" s="284">
        <f>IFERROR(SUMIF($C:$C,$V416,L:L),0)</f>
        <v>0</v>
      </c>
      <c r="AG416" s="285">
        <f t="shared" si="127"/>
        <v>0</v>
      </c>
      <c r="AH416" s="286">
        <f t="shared" si="127"/>
        <v>0</v>
      </c>
      <c r="AI416" s="287">
        <f t="shared" si="132"/>
        <v>0</v>
      </c>
      <c r="AJ416" s="292"/>
      <c r="AK416" s="286">
        <f t="shared" si="128"/>
        <v>0</v>
      </c>
      <c r="AL416" s="284">
        <f>IFERROR(SUMIF($C:$C,$V416,Q:Q),0)</f>
        <v>0</v>
      </c>
      <c r="AM416" s="288">
        <f t="shared" si="130"/>
        <v>0</v>
      </c>
      <c r="AN416" s="286">
        <f t="shared" si="131"/>
        <v>0</v>
      </c>
      <c r="AO416" s="293">
        <f t="shared" si="133"/>
        <v>0</v>
      </c>
      <c r="AP416" s="250"/>
      <c r="AQ416" s="250"/>
      <c r="AR416" s="14"/>
      <c r="AS416" s="250"/>
      <c r="AT416" s="250"/>
      <c r="AU416" s="250"/>
      <c r="AV416" s="250"/>
      <c r="AW416" s="250"/>
      <c r="AX416" s="250"/>
      <c r="AY416" s="250"/>
      <c r="AZ416" s="250"/>
      <c r="BA416" s="250"/>
      <c r="BB416" s="250"/>
      <c r="BC416" s="250"/>
      <c r="BD416" s="250"/>
      <c r="BE416" s="250"/>
      <c r="BF416" s="250"/>
      <c r="BG416" s="250"/>
      <c r="BH416" s="250"/>
      <c r="BI416" s="250"/>
    </row>
    <row r="417" spans="1:61" ht="15.75" hidden="1" customHeight="1">
      <c r="A417" t="s">
        <v>21</v>
      </c>
      <c r="B417" s="7"/>
      <c r="C417" s="519" t="s">
        <v>470</v>
      </c>
      <c r="V417" s="494" t="s">
        <v>21</v>
      </c>
      <c r="W417" s="290" t="s">
        <v>141</v>
      </c>
      <c r="X417" s="283"/>
      <c r="Y417" s="291">
        <f t="shared" si="121"/>
        <v>0</v>
      </c>
      <c r="Z417" s="284">
        <f>IFERROR(SUMIF($C:$C,$V417,F:F),0)</f>
        <v>0</v>
      </c>
      <c r="AA417" s="283"/>
      <c r="AB417" s="291">
        <f t="shared" si="123"/>
        <v>0</v>
      </c>
      <c r="AC417" s="284">
        <f>IFERROR(SUMIF($C:$C,$V417,I:I),0)</f>
        <v>0</v>
      </c>
      <c r="AD417" s="292"/>
      <c r="AE417" s="291">
        <f t="shared" si="134"/>
        <v>0</v>
      </c>
      <c r="AF417" s="284">
        <f>IFERROR(SUMIF($C:$C,$V417,L:L),0)</f>
        <v>0</v>
      </c>
      <c r="AG417" s="285">
        <f t="shared" si="127"/>
        <v>0</v>
      </c>
      <c r="AH417" s="286">
        <f t="shared" si="127"/>
        <v>0</v>
      </c>
      <c r="AI417" s="287">
        <f t="shared" si="132"/>
        <v>0</v>
      </c>
      <c r="AJ417" s="292"/>
      <c r="AK417" s="286">
        <f t="shared" si="128"/>
        <v>0</v>
      </c>
      <c r="AL417" s="284">
        <f>IFERROR(SUMIF($C:$C,$V417,Q:Q),0)</f>
        <v>0</v>
      </c>
      <c r="AM417" s="288">
        <f t="shared" si="130"/>
        <v>0</v>
      </c>
      <c r="AN417" s="286">
        <f t="shared" si="131"/>
        <v>0</v>
      </c>
      <c r="AO417" s="293">
        <f t="shared" si="133"/>
        <v>0</v>
      </c>
      <c r="AP417" s="250"/>
      <c r="AQ417" s="250"/>
      <c r="AR417" s="14"/>
      <c r="AS417" s="250"/>
      <c r="AT417" s="250"/>
      <c r="AU417" s="250"/>
      <c r="AV417" s="250"/>
      <c r="AW417" s="250"/>
      <c r="AX417" s="250"/>
      <c r="AY417" s="250"/>
      <c r="AZ417" s="250"/>
      <c r="BA417" s="250"/>
      <c r="BB417" s="250"/>
      <c r="BC417" s="250"/>
      <c r="BD417" s="250"/>
      <c r="BE417" s="250"/>
      <c r="BF417" s="250"/>
      <c r="BG417" s="250"/>
      <c r="BH417" s="250"/>
      <c r="BI417" s="250"/>
    </row>
    <row r="418" spans="1:61" ht="15.75" customHeight="1">
      <c r="A418" t="s">
        <v>39</v>
      </c>
      <c r="B418" s="7"/>
      <c r="C418" s="519" t="s">
        <v>470</v>
      </c>
      <c r="V418" s="300" t="s">
        <v>39</v>
      </c>
      <c r="W418" s="301"/>
      <c r="X418" s="302">
        <f>Z418/Z406</f>
        <v>0.25163031493384297</v>
      </c>
      <c r="Y418" s="301"/>
      <c r="Z418" s="303">
        <f>SUM(Z408:Z417)</f>
        <v>170993.39189544224</v>
      </c>
      <c r="AA418" s="302">
        <f>AC418/AC406</f>
        <v>0.25163031493384297</v>
      </c>
      <c r="AB418" s="301"/>
      <c r="AC418" s="303">
        <f>SUM(AC408:AC417)</f>
        <v>170993.39189544224</v>
      </c>
      <c r="AD418" s="304">
        <f>AF418/AF406</f>
        <v>0.24407602474180831</v>
      </c>
      <c r="AE418" s="301"/>
      <c r="AF418" s="303">
        <f>SUM(AF408:AF417)</f>
        <v>170679.33999999997</v>
      </c>
      <c r="AG418" s="305"/>
      <c r="AH418" s="306">
        <f>AF418-AC418</f>
        <v>-314.05189544227323</v>
      </c>
      <c r="AI418" s="302">
        <f>AH418/AC418</f>
        <v>-1.8366317666492476E-3</v>
      </c>
      <c r="AJ418" s="304">
        <f>IF($AL$406=0,0,AL418/$AL$406)</f>
        <v>0.26675701483028763</v>
      </c>
      <c r="AK418" s="301"/>
      <c r="AL418" s="303">
        <f>SUM(AL408:AL417)</f>
        <v>162765.93000000002</v>
      </c>
      <c r="AM418" s="307"/>
      <c r="AN418" s="306">
        <f t="shared" si="131"/>
        <v>7913.4099999999453</v>
      </c>
      <c r="AO418" s="281">
        <f>IF(AL418=0,0,AN418/AL418)</f>
        <v>4.8618344146099522E-2</v>
      </c>
      <c r="AP418" s="250"/>
      <c r="AQ418" s="250"/>
      <c r="AR418" s="14"/>
      <c r="AS418" s="250"/>
      <c r="AT418" s="250"/>
      <c r="AU418" s="250"/>
      <c r="AV418" s="250"/>
      <c r="AW418" s="250"/>
      <c r="AX418" s="250"/>
      <c r="AY418" s="250"/>
      <c r="AZ418" s="250"/>
      <c r="BA418" s="250"/>
      <c r="BB418" s="250"/>
      <c r="BC418" s="250"/>
      <c r="BD418" s="250"/>
      <c r="BE418" s="250"/>
      <c r="BF418" s="250"/>
      <c r="BG418" s="250"/>
      <c r="BH418" s="250"/>
      <c r="BI418" s="250"/>
    </row>
    <row r="419" spans="1:61" ht="15.75" customHeight="1">
      <c r="A419" t="s">
        <v>142</v>
      </c>
      <c r="B419" s="7"/>
      <c r="C419" s="519" t="s">
        <v>470</v>
      </c>
      <c r="V419" s="494" t="s">
        <v>142</v>
      </c>
      <c r="W419" s="290" t="s">
        <v>143</v>
      </c>
      <c r="X419" s="283"/>
      <c r="Y419" s="283"/>
      <c r="Z419" s="284">
        <v>15497.547546666668</v>
      </c>
      <c r="AA419" s="283"/>
      <c r="AB419" s="283"/>
      <c r="AC419" s="284">
        <v>15497.547546666668</v>
      </c>
      <c r="AD419" s="292"/>
      <c r="AE419" s="291"/>
      <c r="AF419" s="284">
        <v>14834.24</v>
      </c>
      <c r="AG419" s="285"/>
      <c r="AH419" s="286">
        <f t="shared" ref="AH419:AH450" si="135">AF419-AC419</f>
        <v>-663.30754666666871</v>
      </c>
      <c r="AI419" s="287">
        <f>IF(AC419=0,0,AH419/AC419)</f>
        <v>-4.2800807332211602E-2</v>
      </c>
      <c r="AJ419" s="292"/>
      <c r="AK419" s="283"/>
      <c r="AL419" s="284">
        <v>2336.25</v>
      </c>
      <c r="AM419" s="288"/>
      <c r="AN419" s="286">
        <f t="shared" si="131"/>
        <v>12497.99</v>
      </c>
      <c r="AO419" s="293">
        <f t="shared" ref="AO419:AO430" si="136">IF(AL419=0,0,AN419/AL419)</f>
        <v>5.3495944355270195</v>
      </c>
      <c r="AP419" s="250"/>
      <c r="AQ419" s="250"/>
      <c r="AR419" s="250"/>
      <c r="AS419" s="250"/>
      <c r="AT419" s="250"/>
      <c r="AU419" s="250"/>
      <c r="AV419" s="250"/>
      <c r="AW419" s="250"/>
      <c r="AX419" s="250"/>
      <c r="AY419" s="250"/>
      <c r="AZ419" s="250"/>
      <c r="BA419" s="250"/>
      <c r="BB419" s="250"/>
      <c r="BC419" s="250"/>
      <c r="BD419" s="250"/>
      <c r="BE419" s="250"/>
      <c r="BF419" s="250"/>
      <c r="BG419" s="250"/>
      <c r="BH419" s="250"/>
      <c r="BI419" s="250"/>
    </row>
    <row r="420" spans="1:61" ht="15.75" customHeight="1">
      <c r="A420" t="s">
        <v>42</v>
      </c>
      <c r="B420" s="7"/>
      <c r="C420" s="519" t="s">
        <v>470</v>
      </c>
      <c r="V420" s="494" t="s">
        <v>42</v>
      </c>
      <c r="W420" s="290" t="s">
        <v>144</v>
      </c>
      <c r="X420" s="283"/>
      <c r="Y420" s="283"/>
      <c r="Z420" s="284">
        <f>+SUMIF($C:$C,$V420,F:F)</f>
        <v>38467.750957854405</v>
      </c>
      <c r="AA420" s="283"/>
      <c r="AB420" s="283"/>
      <c r="AC420" s="284">
        <f>+SUMIF($C:$C,$V420,I:I)</f>
        <v>38467.750957854405</v>
      </c>
      <c r="AD420" s="292"/>
      <c r="AE420" s="291"/>
      <c r="AF420" s="284">
        <f>+SUMIF($C:$C,$V420,L:L)</f>
        <v>51465.24</v>
      </c>
      <c r="AG420" s="285"/>
      <c r="AH420" s="286">
        <f t="shared" si="135"/>
        <v>12997.489042145593</v>
      </c>
      <c r="AI420" s="287">
        <f t="shared" ref="AI420:AI431" si="137">IF(AC420=0,0,AH420/AC420)</f>
        <v>0.33788013903869119</v>
      </c>
      <c r="AJ420" s="292"/>
      <c r="AK420" s="283"/>
      <c r="AL420" s="284">
        <f>+SUMIF($C:$C,$V420,Q:Q)</f>
        <v>34199.57</v>
      </c>
      <c r="AM420" s="288"/>
      <c r="AN420" s="286">
        <f t="shared" si="131"/>
        <v>17265.669999999998</v>
      </c>
      <c r="AO420" s="293">
        <f t="shared" si="136"/>
        <v>0.50485049958230466</v>
      </c>
      <c r="AP420" s="250"/>
      <c r="AQ420" s="250"/>
      <c r="AR420" s="250"/>
      <c r="AS420" s="250"/>
      <c r="AT420" s="250"/>
      <c r="AU420" s="250"/>
      <c r="AV420" s="250"/>
      <c r="AW420" s="250"/>
      <c r="AX420" s="250"/>
      <c r="AY420" s="250"/>
      <c r="AZ420" s="250"/>
      <c r="BA420" s="250"/>
      <c r="BB420" s="250"/>
      <c r="BC420" s="250"/>
      <c r="BD420" s="250"/>
      <c r="BE420" s="250"/>
      <c r="BF420" s="250"/>
      <c r="BG420" s="250"/>
      <c r="BH420" s="250"/>
      <c r="BI420" s="250"/>
    </row>
    <row r="421" spans="1:61" ht="15.75" customHeight="1">
      <c r="A421" t="s">
        <v>43</v>
      </c>
      <c r="B421" s="7"/>
      <c r="C421" s="519" t="s">
        <v>470</v>
      </c>
      <c r="V421" s="106" t="s">
        <v>43</v>
      </c>
      <c r="W421" s="294" t="s">
        <v>145</v>
      </c>
      <c r="X421" s="267"/>
      <c r="Y421" s="267"/>
      <c r="Z421" s="268">
        <f>+SUMIF($C:$C,$V421,F:F)</f>
        <v>26732.282612567054</v>
      </c>
      <c r="AA421" s="267"/>
      <c r="AB421" s="267"/>
      <c r="AC421" s="268">
        <f>+SUMIF($C:$C,$V421,I:I)</f>
        <v>26732.282612567054</v>
      </c>
      <c r="AD421" s="296"/>
      <c r="AE421" s="295"/>
      <c r="AF421" s="268">
        <f>+SUMIF($C:$C,$V421,L:L)</f>
        <v>17844.940000000002</v>
      </c>
      <c r="AG421" s="269"/>
      <c r="AH421" s="270">
        <f t="shared" si="135"/>
        <v>-8887.3426125670521</v>
      </c>
      <c r="AI421" s="297">
        <f t="shared" si="137"/>
        <v>-0.33245730420301045</v>
      </c>
      <c r="AJ421" s="296"/>
      <c r="AK421" s="267"/>
      <c r="AL421" s="268">
        <f>+SUMIF($C:$C,$V421,Q:Q)</f>
        <v>25348.239999999998</v>
      </c>
      <c r="AM421" s="272"/>
      <c r="AN421" s="270">
        <f t="shared" si="131"/>
        <v>-7503.2999999999956</v>
      </c>
      <c r="AO421" s="273">
        <f t="shared" si="136"/>
        <v>-0.29600871697601083</v>
      </c>
      <c r="AP421" s="250"/>
      <c r="AQ421" s="250"/>
      <c r="AR421" s="250"/>
      <c r="AS421" s="250"/>
      <c r="AT421" s="250"/>
      <c r="AU421" s="250"/>
      <c r="AV421" s="250"/>
      <c r="AW421" s="250"/>
      <c r="AX421" s="250"/>
      <c r="AY421" s="250"/>
      <c r="AZ421" s="250"/>
      <c r="BA421" s="250"/>
      <c r="BB421" s="250"/>
      <c r="BC421" s="250"/>
      <c r="BD421" s="250"/>
      <c r="BE421" s="250"/>
      <c r="BF421" s="250"/>
      <c r="BG421" s="250"/>
      <c r="BH421" s="250"/>
      <c r="BI421" s="250"/>
    </row>
    <row r="422" spans="1:61" ht="15.75" customHeight="1">
      <c r="A422" t="s">
        <v>44</v>
      </c>
      <c r="B422" s="7"/>
      <c r="C422" s="519" t="s">
        <v>470</v>
      </c>
      <c r="V422" s="494" t="s">
        <v>44</v>
      </c>
      <c r="W422" s="290" t="s">
        <v>146</v>
      </c>
      <c r="X422" s="283"/>
      <c r="Y422" s="283"/>
      <c r="Z422" s="284">
        <f>+SUMIF($C:$C,$V422,F:F)</f>
        <v>56911.548926896547</v>
      </c>
      <c r="AA422" s="283"/>
      <c r="AB422" s="283"/>
      <c r="AC422" s="284">
        <f>+SUMIF($C:$C,$V422,I:I)</f>
        <v>56911.548926896547</v>
      </c>
      <c r="AD422" s="292"/>
      <c r="AE422" s="291"/>
      <c r="AF422" s="284">
        <f>+SUMIF($C:$C,$V422,L:L)</f>
        <v>52418.960000000006</v>
      </c>
      <c r="AG422" s="285"/>
      <c r="AH422" s="286">
        <f t="shared" si="135"/>
        <v>-4492.5889268965402</v>
      </c>
      <c r="AI422" s="287">
        <f t="shared" si="137"/>
        <v>-7.8939846333602973E-2</v>
      </c>
      <c r="AJ422" s="292"/>
      <c r="AK422" s="283"/>
      <c r="AL422" s="284">
        <f>+SUMIF($C:$C,$V422,Q:Q)</f>
        <v>48239.509999999995</v>
      </c>
      <c r="AM422" s="288"/>
      <c r="AN422" s="286">
        <f t="shared" si="131"/>
        <v>4179.4500000000116</v>
      </c>
      <c r="AO422" s="293">
        <f t="shared" si="136"/>
        <v>8.6639561637338602E-2</v>
      </c>
      <c r="AP422" s="250"/>
      <c r="AQ422" s="250"/>
      <c r="AR422" s="250"/>
      <c r="AS422" s="250"/>
      <c r="AT422" s="250"/>
      <c r="AU422" s="250"/>
      <c r="AV422" s="250"/>
      <c r="AW422" s="250"/>
      <c r="AX422" s="250"/>
      <c r="AY422" s="250"/>
      <c r="AZ422" s="250"/>
      <c r="BA422" s="250"/>
      <c r="BB422" s="250"/>
      <c r="BC422" s="250"/>
      <c r="BD422" s="250"/>
      <c r="BE422" s="250"/>
      <c r="BF422" s="250"/>
      <c r="BG422" s="250"/>
      <c r="BH422" s="250"/>
      <c r="BI422" s="250"/>
    </row>
    <row r="423" spans="1:61" ht="15.75" customHeight="1">
      <c r="A423" t="s">
        <v>45</v>
      </c>
      <c r="B423" s="7"/>
      <c r="C423" s="519" t="s">
        <v>470</v>
      </c>
      <c r="V423" s="494" t="s">
        <v>45</v>
      </c>
      <c r="W423" s="290" t="s">
        <v>147</v>
      </c>
      <c r="X423" s="283"/>
      <c r="Y423" s="283"/>
      <c r="Z423" s="284">
        <f>+SUMIF($C:$C,$V423,F:F)</f>
        <v>31473.660258041866</v>
      </c>
      <c r="AA423" s="283"/>
      <c r="AB423" s="283"/>
      <c r="AC423" s="284">
        <f>+SUMIF($C:$C,$V423,I:I)</f>
        <v>31473.660258041866</v>
      </c>
      <c r="AD423" s="292"/>
      <c r="AE423" s="291"/>
      <c r="AF423" s="284">
        <f>+SUMIF($C:$C,$V423,L:L)</f>
        <v>27545.91</v>
      </c>
      <c r="AG423" s="285"/>
      <c r="AH423" s="286">
        <f t="shared" si="135"/>
        <v>-3927.7502580418659</v>
      </c>
      <c r="AI423" s="287">
        <f t="shared" si="137"/>
        <v>-0.12479483561300382</v>
      </c>
      <c r="AJ423" s="292"/>
      <c r="AK423" s="283"/>
      <c r="AL423" s="284">
        <f>+SUMIF($C:$C,$V423,Q:Q)</f>
        <v>20010.830000000002</v>
      </c>
      <c r="AM423" s="288"/>
      <c r="AN423" s="286">
        <f t="shared" si="131"/>
        <v>7535.0799999999981</v>
      </c>
      <c r="AO423" s="293">
        <f t="shared" si="136"/>
        <v>0.37655009812186691</v>
      </c>
      <c r="AP423" s="250"/>
      <c r="AQ423" s="250"/>
      <c r="AR423" s="250"/>
      <c r="AS423" s="250"/>
      <c r="AT423" s="250"/>
      <c r="AU423" s="250"/>
      <c r="AV423" s="250"/>
      <c r="AW423" s="250"/>
      <c r="AX423" s="250"/>
      <c r="AY423" s="250"/>
      <c r="AZ423" s="250"/>
      <c r="BA423" s="250"/>
      <c r="BB423" s="250"/>
      <c r="BC423" s="250"/>
      <c r="BD423" s="250"/>
      <c r="BE423" s="250"/>
      <c r="BF423" s="250"/>
      <c r="BG423" s="250"/>
      <c r="BH423" s="250"/>
      <c r="BI423" s="250"/>
    </row>
    <row r="424" spans="1:61" ht="15.75" hidden="1" customHeight="1">
      <c r="A424" t="s">
        <v>21</v>
      </c>
      <c r="B424" s="7"/>
      <c r="C424" s="519" t="s">
        <v>470</v>
      </c>
      <c r="V424" s="494" t="s">
        <v>21</v>
      </c>
      <c r="W424" s="290"/>
      <c r="X424" s="283"/>
      <c r="Y424" s="283"/>
      <c r="Z424" s="284">
        <f>IFERROR(SUMIF($C:$C,$V424,F:F),0)</f>
        <v>0</v>
      </c>
      <c r="AA424" s="283"/>
      <c r="AB424" s="283"/>
      <c r="AC424" s="284">
        <f>IFERROR(SUMIF($C:$C,$V424,I:I),0)</f>
        <v>0</v>
      </c>
      <c r="AD424" s="292"/>
      <c r="AE424" s="291"/>
      <c r="AF424" s="284">
        <f>IFERROR(SUMIF($C:$C,$V424,L:L),0)</f>
        <v>0</v>
      </c>
      <c r="AG424" s="285"/>
      <c r="AH424" s="286">
        <f t="shared" si="135"/>
        <v>0</v>
      </c>
      <c r="AI424" s="287">
        <f t="shared" si="137"/>
        <v>0</v>
      </c>
      <c r="AJ424" s="292"/>
      <c r="AK424" s="283"/>
      <c r="AL424" s="284">
        <f>IFERROR(SUMIF($C:$C,$V424,Q:Q),0)</f>
        <v>0</v>
      </c>
      <c r="AM424" s="288"/>
      <c r="AN424" s="286">
        <f t="shared" si="131"/>
        <v>0</v>
      </c>
      <c r="AO424" s="293">
        <f t="shared" si="136"/>
        <v>0</v>
      </c>
      <c r="AP424" s="250"/>
      <c r="AQ424" s="250"/>
      <c r="AR424" s="250"/>
      <c r="AS424" s="250"/>
      <c r="AT424" s="250"/>
      <c r="AU424" s="250"/>
      <c r="AV424" s="250"/>
      <c r="AW424" s="250"/>
      <c r="AX424" s="250"/>
      <c r="AY424" s="250"/>
      <c r="AZ424" s="250"/>
      <c r="BA424" s="250"/>
      <c r="BB424" s="250"/>
      <c r="BC424" s="250"/>
      <c r="BD424" s="250"/>
      <c r="BE424" s="250"/>
      <c r="BF424" s="250"/>
      <c r="BG424" s="250"/>
      <c r="BH424" s="250"/>
      <c r="BI424" s="250"/>
    </row>
    <row r="425" spans="1:61" ht="15.75" hidden="1" customHeight="1">
      <c r="A425" t="s">
        <v>21</v>
      </c>
      <c r="B425" s="7"/>
      <c r="C425" s="519" t="s">
        <v>470</v>
      </c>
      <c r="V425" s="494" t="s">
        <v>21</v>
      </c>
      <c r="W425" s="290"/>
      <c r="X425" s="283"/>
      <c r="Y425" s="283"/>
      <c r="Z425" s="284">
        <f>IFERROR(SUMIF($C:$C,$V425,F:F),0)</f>
        <v>0</v>
      </c>
      <c r="AA425" s="283"/>
      <c r="AB425" s="283"/>
      <c r="AC425" s="284">
        <f>IFERROR(SUMIF($C:$C,$V425,I:I),0)</f>
        <v>0</v>
      </c>
      <c r="AD425" s="292"/>
      <c r="AE425" s="291"/>
      <c r="AF425" s="284">
        <f>IFERROR(SUMIF($C:$C,$V425,L:L),0)</f>
        <v>0</v>
      </c>
      <c r="AG425" s="285"/>
      <c r="AH425" s="286">
        <f t="shared" si="135"/>
        <v>0</v>
      </c>
      <c r="AI425" s="287">
        <f t="shared" si="137"/>
        <v>0</v>
      </c>
      <c r="AJ425" s="292"/>
      <c r="AK425" s="283"/>
      <c r="AL425" s="284">
        <f>IFERROR(SUMIF($C:$C,$V425,Q:Q),0)</f>
        <v>0</v>
      </c>
      <c r="AM425" s="288"/>
      <c r="AN425" s="286">
        <f t="shared" si="131"/>
        <v>0</v>
      </c>
      <c r="AO425" s="293">
        <f t="shared" si="136"/>
        <v>0</v>
      </c>
      <c r="AP425" s="250"/>
      <c r="AQ425" s="250"/>
      <c r="AR425" s="250"/>
      <c r="AS425" s="250"/>
      <c r="AT425" s="250"/>
      <c r="AU425" s="250"/>
      <c r="AV425" s="250"/>
      <c r="AW425" s="250"/>
      <c r="AX425" s="250"/>
      <c r="AY425" s="250"/>
      <c r="AZ425" s="250"/>
      <c r="BA425" s="250"/>
      <c r="BB425" s="250"/>
      <c r="BC425" s="250"/>
      <c r="BD425" s="250"/>
      <c r="BE425" s="250"/>
      <c r="BF425" s="250"/>
      <c r="BG425" s="250"/>
      <c r="BH425" s="250"/>
      <c r="BI425" s="250"/>
    </row>
    <row r="426" spans="1:61" ht="15.75" hidden="1" customHeight="1">
      <c r="A426" t="s">
        <v>21</v>
      </c>
      <c r="B426" s="7"/>
      <c r="C426" s="519" t="s">
        <v>470</v>
      </c>
      <c r="V426" s="494" t="s">
        <v>21</v>
      </c>
      <c r="W426" s="290"/>
      <c r="X426" s="283"/>
      <c r="Y426" s="283"/>
      <c r="Z426" s="284">
        <f>IFERROR(SUMIF($C:$C,$V426,F:F),0)</f>
        <v>0</v>
      </c>
      <c r="AA426" s="283"/>
      <c r="AB426" s="283"/>
      <c r="AC426" s="284">
        <f>IFERROR(SUMIF($C:$C,$V426,I:I),0)</f>
        <v>0</v>
      </c>
      <c r="AD426" s="292"/>
      <c r="AE426" s="291"/>
      <c r="AF426" s="284">
        <f>IFERROR(SUMIF($C:$C,$V426,L:L),0)</f>
        <v>0</v>
      </c>
      <c r="AG426" s="285"/>
      <c r="AH426" s="286">
        <f t="shared" si="135"/>
        <v>0</v>
      </c>
      <c r="AI426" s="287">
        <f t="shared" si="137"/>
        <v>0</v>
      </c>
      <c r="AJ426" s="292"/>
      <c r="AK426" s="283"/>
      <c r="AL426" s="284">
        <f>IFERROR(SUMIF($C:$C,$V426,Q:Q),0)</f>
        <v>0</v>
      </c>
      <c r="AM426" s="288"/>
      <c r="AN426" s="286">
        <f t="shared" si="131"/>
        <v>0</v>
      </c>
      <c r="AO426" s="293">
        <f t="shared" si="136"/>
        <v>0</v>
      </c>
      <c r="AP426" s="250"/>
      <c r="AQ426" s="250"/>
      <c r="AR426" s="250"/>
      <c r="AS426" s="250"/>
      <c r="AT426" s="250"/>
      <c r="AU426" s="250"/>
      <c r="AV426" s="250"/>
      <c r="AW426" s="250"/>
      <c r="AX426" s="250"/>
      <c r="AY426" s="250"/>
      <c r="AZ426" s="250"/>
      <c r="BA426" s="250"/>
      <c r="BB426" s="250"/>
      <c r="BC426" s="250"/>
      <c r="BD426" s="250"/>
      <c r="BE426" s="250"/>
      <c r="BF426" s="250"/>
      <c r="BG426" s="250"/>
      <c r="BH426" s="250"/>
      <c r="BI426" s="250"/>
    </row>
    <row r="427" spans="1:61" ht="15.75" customHeight="1">
      <c r="A427" t="s">
        <v>46</v>
      </c>
      <c r="B427" s="7"/>
      <c r="C427" s="519" t="s">
        <v>470</v>
      </c>
      <c r="V427" s="106" t="s">
        <v>46</v>
      </c>
      <c r="W427" s="294" t="s">
        <v>148</v>
      </c>
      <c r="X427" s="267"/>
      <c r="Y427" s="267"/>
      <c r="Z427" s="268">
        <f>+SUMIF($C:$C,$V427,F:F)</f>
        <v>41821.547275255361</v>
      </c>
      <c r="AA427" s="267"/>
      <c r="AB427" s="267"/>
      <c r="AC427" s="268">
        <f>+SUMIF($C:$C,$V427,I:I)</f>
        <v>41821.547275255361</v>
      </c>
      <c r="AD427" s="296"/>
      <c r="AE427" s="295"/>
      <c r="AF427" s="268">
        <f>+SUMIF($C:$C,$V427,L:L)</f>
        <v>52184.160000000003</v>
      </c>
      <c r="AG427" s="269"/>
      <c r="AH427" s="270">
        <f t="shared" si="135"/>
        <v>10362.612724744642</v>
      </c>
      <c r="AI427" s="297">
        <f t="shared" si="137"/>
        <v>0.24778166758253609</v>
      </c>
      <c r="AJ427" s="296"/>
      <c r="AK427" s="267"/>
      <c r="AL427" s="268">
        <f>+SUMIF($C:$C,$V427,Q:Q)</f>
        <v>38214.21</v>
      </c>
      <c r="AM427" s="272"/>
      <c r="AN427" s="270">
        <f t="shared" si="131"/>
        <v>13969.950000000004</v>
      </c>
      <c r="AO427" s="298">
        <f t="shared" si="136"/>
        <v>0.36556950935267285</v>
      </c>
      <c r="AP427" s="250"/>
      <c r="AQ427" s="250"/>
      <c r="AR427" s="250"/>
      <c r="AS427" s="250"/>
      <c r="AT427" s="250"/>
      <c r="AU427" s="250"/>
      <c r="AV427" s="250"/>
      <c r="AW427" s="250"/>
      <c r="AX427" s="250"/>
      <c r="AY427" s="250"/>
      <c r="AZ427" s="250"/>
      <c r="BA427" s="250"/>
      <c r="BB427" s="250"/>
      <c r="BC427" s="250"/>
      <c r="BD427" s="250"/>
      <c r="BE427" s="250"/>
      <c r="BF427" s="250"/>
      <c r="BG427" s="250"/>
      <c r="BH427" s="250"/>
      <c r="BI427" s="250"/>
    </row>
    <row r="428" spans="1:61" ht="15.75" customHeight="1">
      <c r="A428" t="s">
        <v>47</v>
      </c>
      <c r="B428" s="7"/>
      <c r="C428" s="519" t="s">
        <v>470</v>
      </c>
      <c r="V428" s="494" t="s">
        <v>47</v>
      </c>
      <c r="W428" s="290" t="s">
        <v>149</v>
      </c>
      <c r="X428" s="283"/>
      <c r="Y428" s="283"/>
      <c r="Z428" s="284">
        <f>+SUMIF($C:$C,$V428,F:F)</f>
        <v>37455.482533190567</v>
      </c>
      <c r="AA428" s="283"/>
      <c r="AB428" s="283"/>
      <c r="AC428" s="284">
        <f>+SUMIF($C:$C,$V428,I:I)</f>
        <v>37455.482533190567</v>
      </c>
      <c r="AD428" s="292"/>
      <c r="AE428" s="291"/>
      <c r="AF428" s="284">
        <f>+SUMIF($C:$C,$V428,L:L)</f>
        <v>39887.629999999997</v>
      </c>
      <c r="AG428" s="285"/>
      <c r="AH428" s="286">
        <f t="shared" si="135"/>
        <v>2432.1474668094306</v>
      </c>
      <c r="AI428" s="287">
        <f t="shared" si="137"/>
        <v>6.493435145720583E-2</v>
      </c>
      <c r="AJ428" s="292"/>
      <c r="AK428" s="283"/>
      <c r="AL428" s="284">
        <f>+SUMIF($C:$C,$V428,Q:Q)</f>
        <v>33759.730000000003</v>
      </c>
      <c r="AM428" s="288"/>
      <c r="AN428" s="286">
        <f t="shared" si="131"/>
        <v>6127.8999999999942</v>
      </c>
      <c r="AO428" s="293">
        <f t="shared" si="136"/>
        <v>0.18151507728290461</v>
      </c>
      <c r="AP428" s="250"/>
      <c r="AQ428" s="250"/>
      <c r="AR428" s="250"/>
      <c r="AS428" s="250"/>
      <c r="AT428" s="250"/>
      <c r="AU428" s="250"/>
      <c r="AV428" s="250"/>
      <c r="AW428" s="250"/>
      <c r="AX428" s="250"/>
      <c r="AY428" s="250"/>
      <c r="AZ428" s="250"/>
      <c r="BA428" s="250"/>
      <c r="BB428" s="250"/>
      <c r="BC428" s="250"/>
      <c r="BD428" s="250"/>
      <c r="BE428" s="250"/>
      <c r="BF428" s="250"/>
      <c r="BG428" s="250"/>
      <c r="BH428" s="250"/>
      <c r="BI428" s="250"/>
    </row>
    <row r="429" spans="1:61" ht="15.75" customHeight="1">
      <c r="A429" t="s">
        <v>48</v>
      </c>
      <c r="B429" s="7"/>
      <c r="C429" s="519" t="s">
        <v>470</v>
      </c>
      <c r="V429" s="494" t="s">
        <v>48</v>
      </c>
      <c r="W429" s="290" t="s">
        <v>150</v>
      </c>
      <c r="X429" s="283"/>
      <c r="Y429" s="283"/>
      <c r="Z429" s="284">
        <f>+SUMIF($C:$C,$V429,F:F)</f>
        <v>29744.059658710157</v>
      </c>
      <c r="AA429" s="283"/>
      <c r="AB429" s="283"/>
      <c r="AC429" s="284">
        <f>+SUMIF($C:$C,$V429,I:I)</f>
        <v>29744.059658710157</v>
      </c>
      <c r="AD429" s="292"/>
      <c r="AE429" s="291"/>
      <c r="AF429" s="284">
        <f>+SUMIF($C:$C,$V429,L:L)</f>
        <v>23286.379999999997</v>
      </c>
      <c r="AG429" s="285"/>
      <c r="AH429" s="286">
        <f t="shared" si="135"/>
        <v>-6457.6796587101599</v>
      </c>
      <c r="AI429" s="287">
        <f t="shared" si="137"/>
        <v>-0.21710821363347801</v>
      </c>
      <c r="AJ429" s="292"/>
      <c r="AK429" s="283"/>
      <c r="AL429" s="284">
        <f>+SUMIF($C:$C,$V429,Q:Q)</f>
        <v>26415.07</v>
      </c>
      <c r="AM429" s="288"/>
      <c r="AN429" s="286">
        <f t="shared" si="131"/>
        <v>-3128.6900000000023</v>
      </c>
      <c r="AO429" s="293">
        <f t="shared" si="136"/>
        <v>-0.11844337342282274</v>
      </c>
      <c r="AP429" s="250"/>
      <c r="AQ429" s="250"/>
      <c r="AR429" s="250"/>
      <c r="AS429" s="250"/>
      <c r="AT429" s="250"/>
      <c r="AU429" s="250"/>
      <c r="AV429" s="250"/>
      <c r="AW429" s="250"/>
      <c r="AX429" s="250"/>
      <c r="AY429" s="250"/>
      <c r="AZ429" s="250"/>
      <c r="BA429" s="250"/>
      <c r="BB429" s="250"/>
      <c r="BC429" s="250"/>
      <c r="BD429" s="250"/>
      <c r="BE429" s="250"/>
      <c r="BF429" s="250"/>
      <c r="BG429" s="250"/>
      <c r="BH429" s="250"/>
      <c r="BI429" s="250"/>
    </row>
    <row r="430" spans="1:61" ht="15.75" customHeight="1">
      <c r="A430" t="s">
        <v>49</v>
      </c>
      <c r="B430" s="7"/>
      <c r="C430" s="519" t="s">
        <v>470</v>
      </c>
      <c r="V430" s="494" t="s">
        <v>49</v>
      </c>
      <c r="W430" s="290"/>
      <c r="X430" s="283"/>
      <c r="Y430" s="283"/>
      <c r="Z430" s="284">
        <f>+SUMIF($C:$C,$V430,F:F)</f>
        <v>12117.95023132636</v>
      </c>
      <c r="AA430" s="283"/>
      <c r="AB430" s="283"/>
      <c r="AC430" s="284">
        <f>+SUMIF($C:$C,$V430,I:I)</f>
        <v>12117.95023132636</v>
      </c>
      <c r="AD430" s="292"/>
      <c r="AE430" s="291"/>
      <c r="AF430" s="284">
        <f>+SUMIF($C:$C,$V430,L:L)</f>
        <v>22750.080000000002</v>
      </c>
      <c r="AG430" s="285"/>
      <c r="AH430" s="286">
        <f t="shared" si="135"/>
        <v>10632.129768673642</v>
      </c>
      <c r="AI430" s="310">
        <f t="shared" si="137"/>
        <v>0.8773868158979814</v>
      </c>
      <c r="AJ430" s="292"/>
      <c r="AK430" s="283"/>
      <c r="AL430" s="284">
        <f>+SUMIF($C:$C,$V430,Q:Q)</f>
        <v>9241.5399999999991</v>
      </c>
      <c r="AM430" s="288"/>
      <c r="AN430" s="286">
        <f t="shared" si="131"/>
        <v>13508.540000000003</v>
      </c>
      <c r="AO430" s="293">
        <f t="shared" si="136"/>
        <v>1.4617195835326151</v>
      </c>
      <c r="AP430" s="250"/>
      <c r="AQ430" s="250"/>
      <c r="AR430" s="250"/>
      <c r="AS430" s="250"/>
      <c r="AT430" s="250"/>
      <c r="AU430" s="250"/>
      <c r="AV430" s="250"/>
      <c r="AW430" s="250"/>
      <c r="AX430" s="250"/>
      <c r="AY430" s="250"/>
      <c r="AZ430" s="250"/>
      <c r="BA430" s="250"/>
      <c r="BB430" s="250"/>
      <c r="BC430" s="250"/>
      <c r="BD430" s="250"/>
      <c r="BE430" s="250"/>
      <c r="BF430" s="250"/>
      <c r="BG430" s="250"/>
      <c r="BH430" s="250"/>
      <c r="BI430" s="250"/>
    </row>
    <row r="431" spans="1:61" ht="15.75" hidden="1" customHeight="1">
      <c r="A431" t="s">
        <v>21</v>
      </c>
      <c r="B431" s="7"/>
      <c r="C431" s="519" t="s">
        <v>470</v>
      </c>
      <c r="V431" s="481" t="s">
        <v>21</v>
      </c>
      <c r="W431" s="290"/>
      <c r="X431" s="283"/>
      <c r="Y431" s="291"/>
      <c r="Z431" s="284">
        <f>IFERROR(SUMIF($C:$C,$V431,F:F),0)</f>
        <v>0</v>
      </c>
      <c r="AA431" s="283"/>
      <c r="AB431" s="283"/>
      <c r="AC431" s="284">
        <f>IFERROR(SUMIF($C:$C,$V431,I:I),0)</f>
        <v>0</v>
      </c>
      <c r="AD431" s="292"/>
      <c r="AE431" s="291"/>
      <c r="AF431" s="284">
        <f>IFERROR(SUMIF($C:$C,$V431,L:L),0)</f>
        <v>0</v>
      </c>
      <c r="AG431" s="285"/>
      <c r="AH431" s="286">
        <f t="shared" si="135"/>
        <v>0</v>
      </c>
      <c r="AI431" s="287">
        <f t="shared" si="137"/>
        <v>0</v>
      </c>
      <c r="AJ431" s="292"/>
      <c r="AK431" s="283"/>
      <c r="AL431" s="284">
        <f>IFERROR(SUMIF($C:$C,$V431,Q:Q),0)</f>
        <v>0</v>
      </c>
      <c r="AM431" s="288"/>
      <c r="AN431" s="286"/>
      <c r="AO431" s="298"/>
      <c r="AP431" s="250"/>
      <c r="AQ431" s="250"/>
      <c r="AR431" s="250"/>
      <c r="AS431" s="250"/>
      <c r="AT431" s="250"/>
      <c r="AU431" s="250"/>
      <c r="AV431" s="250"/>
      <c r="AW431" s="250"/>
      <c r="AX431" s="250"/>
      <c r="AY431" s="250"/>
      <c r="AZ431" s="250"/>
      <c r="BA431" s="250"/>
      <c r="BB431" s="250"/>
      <c r="BC431" s="250"/>
      <c r="BD431" s="250"/>
      <c r="BE431" s="250"/>
      <c r="BF431" s="250"/>
      <c r="BG431" s="250"/>
      <c r="BH431" s="250"/>
      <c r="BI431" s="250"/>
    </row>
    <row r="432" spans="1:61" ht="15.75" customHeight="1">
      <c r="A432" t="s">
        <v>50</v>
      </c>
      <c r="B432" s="7"/>
      <c r="C432" s="519" t="s">
        <v>470</v>
      </c>
      <c r="V432" s="300" t="s">
        <v>50</v>
      </c>
      <c r="W432" s="301"/>
      <c r="X432" s="302">
        <f>Z432/Z406</f>
        <v>0.4270844017665858</v>
      </c>
      <c r="Y432" s="301"/>
      <c r="Z432" s="303">
        <f>SUM(Z419:Z431)</f>
        <v>290221.83000050898</v>
      </c>
      <c r="AA432" s="302">
        <f>AC432/AC406</f>
        <v>0.4270844017665858</v>
      </c>
      <c r="AB432" s="301"/>
      <c r="AC432" s="303">
        <f>SUM(AC419:AC431)</f>
        <v>290221.83000050898</v>
      </c>
      <c r="AD432" s="304">
        <f>AF432/AF406</f>
        <v>0.4321791716000804</v>
      </c>
      <c r="AE432" s="311"/>
      <c r="AF432" s="303">
        <f>SUM(AF419:AF431)</f>
        <v>302217.54000000004</v>
      </c>
      <c r="AG432" s="312"/>
      <c r="AH432" s="306">
        <f t="shared" si="135"/>
        <v>11995.709999491053</v>
      </c>
      <c r="AI432" s="302">
        <f>AH432/AC432</f>
        <v>4.1332900421274361E-2</v>
      </c>
      <c r="AJ432" s="304">
        <f>IF($AL$406=0,0,AL432/$AL$406)</f>
        <v>0.38967287744599005</v>
      </c>
      <c r="AK432" s="301"/>
      <c r="AL432" s="303">
        <f>SUM(AL419:AL431)</f>
        <v>237764.95</v>
      </c>
      <c r="AM432" s="313"/>
      <c r="AN432" s="306">
        <f t="shared" ref="AN432:AN450" si="138">AF432-AL432</f>
        <v>64452.590000000026</v>
      </c>
      <c r="AO432" s="281">
        <f>IF(AL432=0,0,AN432/AL432)</f>
        <v>0.27107691861226824</v>
      </c>
      <c r="AP432" s="250"/>
      <c r="AQ432" s="250"/>
      <c r="AR432" s="250"/>
      <c r="AS432" s="250"/>
      <c r="AT432" s="250"/>
      <c r="AU432" s="250"/>
      <c r="AV432" s="250"/>
      <c r="AW432" s="250"/>
      <c r="AX432" s="250"/>
      <c r="AY432" s="250"/>
      <c r="AZ432" s="250"/>
      <c r="BA432" s="250"/>
      <c r="BB432" s="250"/>
      <c r="BC432" s="250"/>
      <c r="BD432" s="250"/>
      <c r="BE432" s="250"/>
      <c r="BF432" s="250"/>
      <c r="BG432" s="250"/>
      <c r="BH432" s="250"/>
      <c r="BI432" s="250"/>
    </row>
    <row r="433" spans="1:62" ht="15.75" customHeight="1">
      <c r="A433" t="s">
        <v>51</v>
      </c>
      <c r="B433" s="7"/>
      <c r="C433" s="519" t="s">
        <v>470</v>
      </c>
      <c r="V433" s="214" t="s">
        <v>51</v>
      </c>
      <c r="W433" s="315" t="s">
        <v>140</v>
      </c>
      <c r="X433" s="316"/>
      <c r="Y433" s="316"/>
      <c r="Z433" s="317">
        <f t="shared" ref="Z433:Z447" si="139">+SUMIF($C:$C,$V433,F:F)</f>
        <v>10644.25</v>
      </c>
      <c r="AA433" s="316"/>
      <c r="AB433" s="316"/>
      <c r="AC433" s="317">
        <f t="shared" ref="AC433:AC447" si="140">+SUMIF($C:$C,$V433,I:I)</f>
        <v>10644.25</v>
      </c>
      <c r="AD433" s="318"/>
      <c r="AE433" s="319"/>
      <c r="AF433" s="317">
        <f t="shared" ref="AF433:AF447" si="141">+SUMIF($C:$C,$V433,L:L)</f>
        <v>11421.04</v>
      </c>
      <c r="AG433" s="318"/>
      <c r="AH433" s="320">
        <f t="shared" si="135"/>
        <v>776.79000000000087</v>
      </c>
      <c r="AI433" s="321">
        <f>IF(AC433=0,0,AH433/AC433)</f>
        <v>7.2977429128402743E-2</v>
      </c>
      <c r="AJ433" s="318"/>
      <c r="AK433" s="316"/>
      <c r="AL433" s="317">
        <f t="shared" ref="AL433:AL446" si="142">+SUMIF($C:$C,$V433,Q:Q)</f>
        <v>10325.69</v>
      </c>
      <c r="AM433" s="322"/>
      <c r="AN433" s="320">
        <f t="shared" si="138"/>
        <v>1095.3500000000004</v>
      </c>
      <c r="AO433" s="289">
        <f t="shared" ref="AO433:AO450" si="143">IF(AL433=0,0,AN433/AL433)</f>
        <v>0.10608007794152258</v>
      </c>
      <c r="AP433" s="250"/>
      <c r="AQ433" s="250"/>
      <c r="AR433" s="250"/>
      <c r="AS433" s="250"/>
      <c r="AT433" s="250"/>
      <c r="AU433" s="250"/>
      <c r="AV433" s="250"/>
      <c r="AW433" s="250"/>
      <c r="AX433" s="250"/>
      <c r="AY433" s="250"/>
      <c r="AZ433" s="250"/>
      <c r="BA433" s="250"/>
      <c r="BB433" s="250"/>
      <c r="BC433" s="250"/>
      <c r="BD433" s="250"/>
      <c r="BE433" s="250"/>
      <c r="BF433" s="250"/>
      <c r="BG433" s="250"/>
      <c r="BH433" s="250"/>
      <c r="BI433" s="250"/>
    </row>
    <row r="434" spans="1:62" ht="15.75" customHeight="1">
      <c r="A434" t="s">
        <v>52</v>
      </c>
      <c r="B434" s="7"/>
      <c r="C434" s="519" t="s">
        <v>470</v>
      </c>
      <c r="V434" s="494" t="s">
        <v>52</v>
      </c>
      <c r="W434" s="290" t="s">
        <v>151</v>
      </c>
      <c r="X434" s="283"/>
      <c r="Y434" s="283"/>
      <c r="Z434" s="284">
        <f t="shared" si="139"/>
        <v>3266.9993457882165</v>
      </c>
      <c r="AA434" s="283"/>
      <c r="AB434" s="283"/>
      <c r="AC434" s="284">
        <f t="shared" si="140"/>
        <v>3266.9993457882165</v>
      </c>
      <c r="AD434" s="292"/>
      <c r="AE434" s="291"/>
      <c r="AF434" s="284">
        <f t="shared" si="141"/>
        <v>3321.1100000000006</v>
      </c>
      <c r="AG434" s="285"/>
      <c r="AH434" s="286">
        <f t="shared" si="135"/>
        <v>54.110654211784095</v>
      </c>
      <c r="AI434" s="287">
        <f t="shared" ref="AI434:AI450" si="144">IF(AC434=0,0,AH434/AC434)</f>
        <v>1.656279921866009E-2</v>
      </c>
      <c r="AJ434" s="292"/>
      <c r="AK434" s="283"/>
      <c r="AL434" s="284">
        <f t="shared" si="142"/>
        <v>2532.73</v>
      </c>
      <c r="AM434" s="288"/>
      <c r="AN434" s="286">
        <f t="shared" si="138"/>
        <v>788.38000000000056</v>
      </c>
      <c r="AO434" s="293">
        <f t="shared" si="143"/>
        <v>0.31127676459788473</v>
      </c>
      <c r="AP434" s="250"/>
      <c r="AQ434" s="250"/>
      <c r="AR434" s="250"/>
      <c r="AS434" s="250"/>
      <c r="AT434" s="250"/>
      <c r="AU434" s="250"/>
      <c r="AV434" s="250"/>
      <c r="AW434" s="250"/>
      <c r="AX434" s="250"/>
      <c r="AY434" s="250"/>
      <c r="AZ434" s="250"/>
      <c r="BA434" s="250"/>
      <c r="BB434" s="250"/>
      <c r="BC434" s="250"/>
      <c r="BD434" s="250"/>
      <c r="BE434" s="250"/>
      <c r="BF434" s="250"/>
      <c r="BG434" s="250"/>
      <c r="BH434" s="250"/>
      <c r="BI434" s="250"/>
    </row>
    <row r="435" spans="1:62" ht="15.75" customHeight="1">
      <c r="A435" t="s">
        <v>53</v>
      </c>
      <c r="B435" s="7"/>
      <c r="C435" s="519" t="s">
        <v>470</v>
      </c>
      <c r="U435" s="525"/>
      <c r="V435" s="106" t="s">
        <v>53</v>
      </c>
      <c r="W435" s="294" t="s">
        <v>152</v>
      </c>
      <c r="X435" s="267"/>
      <c r="Y435" s="267"/>
      <c r="Z435" s="268">
        <f t="shared" si="139"/>
        <v>20737.714444444442</v>
      </c>
      <c r="AA435" s="267"/>
      <c r="AB435" s="267"/>
      <c r="AC435" s="268">
        <f t="shared" si="140"/>
        <v>20737.714444444442</v>
      </c>
      <c r="AD435" s="296"/>
      <c r="AE435" s="295"/>
      <c r="AF435" s="268">
        <f t="shared" si="141"/>
        <v>23259.33</v>
      </c>
      <c r="AG435" s="269"/>
      <c r="AH435" s="270">
        <f t="shared" si="135"/>
        <v>2521.6155555555597</v>
      </c>
      <c r="AI435" s="297">
        <f t="shared" si="144"/>
        <v>0.12159563496309456</v>
      </c>
      <c r="AJ435" s="296"/>
      <c r="AK435" s="267"/>
      <c r="AL435" s="268">
        <f t="shared" si="142"/>
        <v>21712.569999999996</v>
      </c>
      <c r="AM435" s="272"/>
      <c r="AN435" s="270">
        <f t="shared" si="138"/>
        <v>1546.7600000000057</v>
      </c>
      <c r="AO435" s="273">
        <f t="shared" si="143"/>
        <v>7.1237997160170624E-2</v>
      </c>
      <c r="AP435" s="250"/>
      <c r="AQ435" s="250"/>
      <c r="AR435" s="250"/>
      <c r="AS435" s="250"/>
      <c r="AT435" s="250"/>
      <c r="AU435" s="250"/>
      <c r="AV435" s="250"/>
      <c r="AW435" s="250"/>
      <c r="AX435" s="250"/>
      <c r="AY435" s="250"/>
      <c r="AZ435" s="250"/>
      <c r="BA435" s="250"/>
      <c r="BB435" s="250"/>
      <c r="BC435" s="250"/>
      <c r="BD435" s="250"/>
      <c r="BE435" s="250"/>
      <c r="BF435" s="250"/>
      <c r="BG435" s="250"/>
      <c r="BH435" s="250"/>
      <c r="BI435" s="250"/>
      <c r="BJ435" s="250"/>
    </row>
    <row r="436" spans="1:62" ht="15.75" customHeight="1">
      <c r="A436" t="s">
        <v>54</v>
      </c>
      <c r="B436" s="7"/>
      <c r="C436" s="519" t="s">
        <v>470</v>
      </c>
      <c r="U436" s="525"/>
      <c r="V436" s="494" t="s">
        <v>54</v>
      </c>
      <c r="W436" s="290" t="s">
        <v>153</v>
      </c>
      <c r="X436" s="283"/>
      <c r="Y436" s="283"/>
      <c r="Z436" s="284">
        <f t="shared" si="139"/>
        <v>20034.212666666666</v>
      </c>
      <c r="AA436" s="283"/>
      <c r="AB436" s="283"/>
      <c r="AC436" s="284">
        <f t="shared" si="140"/>
        <v>20034.212666666666</v>
      </c>
      <c r="AD436" s="292"/>
      <c r="AE436" s="291"/>
      <c r="AF436" s="284">
        <f t="shared" si="141"/>
        <v>19669.370000000003</v>
      </c>
      <c r="AG436" s="285"/>
      <c r="AH436" s="286">
        <f t="shared" si="135"/>
        <v>-364.84266666666372</v>
      </c>
      <c r="AI436" s="287">
        <f t="shared" si="144"/>
        <v>-1.8210981022163973E-2</v>
      </c>
      <c r="AJ436" s="292"/>
      <c r="AK436" s="283"/>
      <c r="AL436" s="284">
        <f t="shared" si="142"/>
        <v>17076.88</v>
      </c>
      <c r="AM436" s="288"/>
      <c r="AN436" s="286">
        <f t="shared" si="138"/>
        <v>2592.4900000000016</v>
      </c>
      <c r="AO436" s="293">
        <f t="shared" si="143"/>
        <v>0.15181286042883721</v>
      </c>
      <c r="AP436" s="250"/>
      <c r="AQ436" s="250"/>
      <c r="AR436" s="250"/>
      <c r="AS436" s="250"/>
      <c r="AT436" s="250"/>
      <c r="AU436" s="250"/>
      <c r="AV436" s="250"/>
      <c r="AW436" s="250"/>
      <c r="AX436" s="250"/>
      <c r="AY436" s="250"/>
      <c r="AZ436" s="250"/>
      <c r="BA436" s="250"/>
      <c r="BB436" s="250"/>
      <c r="BC436" s="250"/>
      <c r="BD436" s="250"/>
      <c r="BE436" s="250"/>
      <c r="BF436" s="250"/>
      <c r="BG436" s="250"/>
      <c r="BH436" s="250"/>
      <c r="BI436" s="250"/>
      <c r="BJ436" s="250"/>
    </row>
    <row r="437" spans="1:62" ht="15.75" customHeight="1">
      <c r="A437" t="s">
        <v>55</v>
      </c>
      <c r="B437" s="7"/>
      <c r="C437" s="519" t="s">
        <v>470</v>
      </c>
      <c r="U437" s="525"/>
      <c r="V437" s="494" t="s">
        <v>55</v>
      </c>
      <c r="W437" s="290" t="s">
        <v>154</v>
      </c>
      <c r="X437" s="283"/>
      <c r="Y437" s="283"/>
      <c r="Z437" s="284">
        <f t="shared" si="139"/>
        <v>2475.4431250000002</v>
      </c>
      <c r="AA437" s="283"/>
      <c r="AB437" s="283"/>
      <c r="AC437" s="284">
        <f t="shared" si="140"/>
        <v>2475.4431250000002</v>
      </c>
      <c r="AD437" s="292"/>
      <c r="AE437" s="291"/>
      <c r="AF437" s="284">
        <f t="shared" si="141"/>
        <v>2496.81</v>
      </c>
      <c r="AG437" s="285"/>
      <c r="AH437" s="286">
        <f t="shared" si="135"/>
        <v>21.366874999999709</v>
      </c>
      <c r="AI437" s="287">
        <f t="shared" si="144"/>
        <v>8.6315354144925905E-3</v>
      </c>
      <c r="AJ437" s="292"/>
      <c r="AK437" s="283"/>
      <c r="AL437" s="284">
        <f t="shared" si="142"/>
        <v>4617.66</v>
      </c>
      <c r="AM437" s="288"/>
      <c r="AN437" s="286">
        <f t="shared" si="138"/>
        <v>-2120.85</v>
      </c>
      <c r="AO437" s="293">
        <f t="shared" si="143"/>
        <v>-0.45929106950273513</v>
      </c>
      <c r="AP437" s="250"/>
      <c r="AQ437" s="250"/>
      <c r="AR437" s="250"/>
      <c r="AS437" s="250"/>
      <c r="AT437" s="250"/>
      <c r="AU437" s="250"/>
      <c r="AV437" s="250"/>
      <c r="AW437" s="250"/>
      <c r="AX437" s="250"/>
      <c r="AY437" s="250"/>
      <c r="AZ437" s="250"/>
      <c r="BA437" s="250"/>
      <c r="BB437" s="250"/>
      <c r="BC437" s="250"/>
      <c r="BD437" s="250"/>
      <c r="BE437" s="250"/>
      <c r="BF437" s="250"/>
      <c r="BG437" s="250"/>
      <c r="BH437" s="250"/>
      <c r="BI437" s="250"/>
      <c r="BJ437" s="250"/>
    </row>
    <row r="438" spans="1:62" ht="15.75" customHeight="1">
      <c r="A438" t="s">
        <v>56</v>
      </c>
      <c r="B438" s="7"/>
      <c r="C438" s="519" t="s">
        <v>470</v>
      </c>
      <c r="V438" s="494" t="s">
        <v>56</v>
      </c>
      <c r="W438" s="290" t="s">
        <v>155</v>
      </c>
      <c r="X438" s="283"/>
      <c r="Y438" s="283"/>
      <c r="Z438" s="284">
        <f t="shared" si="139"/>
        <v>20314.200055555557</v>
      </c>
      <c r="AA438" s="283"/>
      <c r="AB438" s="283"/>
      <c r="AC438" s="284">
        <f t="shared" si="140"/>
        <v>20314.200055555557</v>
      </c>
      <c r="AD438" s="292"/>
      <c r="AE438" s="291"/>
      <c r="AF438" s="284">
        <f t="shared" si="141"/>
        <v>20259.09</v>
      </c>
      <c r="AG438" s="285"/>
      <c r="AH438" s="286">
        <f t="shared" si="135"/>
        <v>-55.110055555556755</v>
      </c>
      <c r="AI438" s="287">
        <f t="shared" si="144"/>
        <v>-2.7128833724606931E-3</v>
      </c>
      <c r="AJ438" s="292"/>
      <c r="AK438" s="283"/>
      <c r="AL438" s="284">
        <f t="shared" si="142"/>
        <v>16174.02</v>
      </c>
      <c r="AM438" s="288"/>
      <c r="AN438" s="286">
        <f t="shared" si="138"/>
        <v>4085.0699999999997</v>
      </c>
      <c r="AO438" s="293">
        <f t="shared" si="143"/>
        <v>0.25256986203800907</v>
      </c>
      <c r="AP438" s="250"/>
      <c r="AQ438" s="250"/>
      <c r="AR438" s="250"/>
      <c r="AS438" s="250"/>
      <c r="AT438" s="250"/>
      <c r="AU438" s="250"/>
      <c r="AV438" s="250"/>
      <c r="AW438" s="250"/>
      <c r="AX438" s="250"/>
      <c r="AY438" s="250"/>
      <c r="AZ438" s="250"/>
      <c r="BA438" s="250"/>
      <c r="BB438" s="250"/>
      <c r="BC438" s="250"/>
      <c r="BD438" s="250"/>
      <c r="BE438" s="250"/>
      <c r="BF438" s="250"/>
      <c r="BG438" s="250"/>
      <c r="BH438" s="250"/>
      <c r="BI438" s="250"/>
      <c r="BJ438" s="250"/>
    </row>
    <row r="439" spans="1:62" ht="15.75" customHeight="1">
      <c r="B439" s="7"/>
      <c r="C439" s="519" t="s">
        <v>470</v>
      </c>
      <c r="V439" s="215" t="s">
        <v>99</v>
      </c>
      <c r="W439" s="323"/>
      <c r="X439" s="324"/>
      <c r="Y439" s="324"/>
      <c r="Z439" s="325">
        <f t="shared" si="139"/>
        <v>0</v>
      </c>
      <c r="AA439" s="324"/>
      <c r="AB439" s="324"/>
      <c r="AC439" s="325">
        <f t="shared" si="140"/>
        <v>0</v>
      </c>
      <c r="AD439" s="326"/>
      <c r="AE439" s="327"/>
      <c r="AF439" s="325">
        <f t="shared" si="141"/>
        <v>0</v>
      </c>
      <c r="AG439" s="328"/>
      <c r="AH439" s="329">
        <f t="shared" si="135"/>
        <v>0</v>
      </c>
      <c r="AI439" s="330">
        <f t="shared" si="144"/>
        <v>0</v>
      </c>
      <c r="AJ439" s="326"/>
      <c r="AK439" s="324"/>
      <c r="AL439" s="325">
        <f t="shared" si="142"/>
        <v>0</v>
      </c>
      <c r="AM439" s="331"/>
      <c r="AN439" s="329">
        <f t="shared" si="138"/>
        <v>0</v>
      </c>
      <c r="AO439" s="332">
        <f t="shared" si="143"/>
        <v>0</v>
      </c>
      <c r="AP439" s="250"/>
      <c r="AQ439" s="250"/>
      <c r="AR439" s="250"/>
      <c r="AS439" s="250"/>
      <c r="AT439" s="250"/>
      <c r="AU439" s="250"/>
      <c r="AV439" s="250"/>
      <c r="AW439" s="250"/>
      <c r="AX439" s="250"/>
      <c r="AY439" s="250"/>
      <c r="AZ439" s="250"/>
      <c r="BA439" s="250"/>
      <c r="BB439" s="250"/>
      <c r="BC439" s="250"/>
      <c r="BD439" s="250"/>
      <c r="BE439" s="250"/>
      <c r="BF439" s="250"/>
      <c r="BG439" s="250"/>
      <c r="BH439" s="250"/>
      <c r="BI439" s="250"/>
      <c r="BJ439" s="250"/>
    </row>
    <row r="440" spans="1:62" ht="15.75" customHeight="1">
      <c r="A440" t="s">
        <v>57</v>
      </c>
      <c r="B440" s="7"/>
      <c r="C440" s="519" t="s">
        <v>470</v>
      </c>
      <c r="V440" s="494" t="s">
        <v>57</v>
      </c>
      <c r="W440" s="290" t="s">
        <v>156</v>
      </c>
      <c r="X440" s="283"/>
      <c r="Y440" s="291"/>
      <c r="Z440" s="284">
        <f t="shared" si="139"/>
        <v>1728.0488972216226</v>
      </c>
      <c r="AA440" s="283"/>
      <c r="AB440" s="291"/>
      <c r="AC440" s="284">
        <f t="shared" si="140"/>
        <v>1728.0488972216226</v>
      </c>
      <c r="AD440" s="292"/>
      <c r="AE440" s="291"/>
      <c r="AF440" s="284">
        <f t="shared" si="141"/>
        <v>1280.56</v>
      </c>
      <c r="AG440" s="285"/>
      <c r="AH440" s="286">
        <f t="shared" si="135"/>
        <v>-447.48889722162266</v>
      </c>
      <c r="AI440" s="287">
        <f t="shared" si="144"/>
        <v>-0.25895615450529241</v>
      </c>
      <c r="AJ440" s="292"/>
      <c r="AK440" s="283"/>
      <c r="AL440" s="284">
        <f t="shared" si="142"/>
        <v>-711.89</v>
      </c>
      <c r="AM440" s="288"/>
      <c r="AN440" s="286">
        <f t="shared" si="138"/>
        <v>1992.4499999999998</v>
      </c>
      <c r="AO440" s="293">
        <f t="shared" si="143"/>
        <v>-2.7988172329994803</v>
      </c>
      <c r="AP440" s="250"/>
      <c r="AQ440" s="250"/>
      <c r="AR440" s="250"/>
      <c r="AS440" s="250"/>
      <c r="AT440" s="250"/>
      <c r="AU440" s="250"/>
      <c r="AV440" s="250"/>
      <c r="AW440" s="250"/>
      <c r="AX440" s="250"/>
      <c r="AY440" s="250"/>
      <c r="AZ440" s="250"/>
      <c r="BA440" s="250"/>
      <c r="BB440" s="250"/>
      <c r="BC440" s="250"/>
      <c r="BD440" s="250"/>
      <c r="BE440" s="250"/>
      <c r="BF440" s="250"/>
      <c r="BG440" s="250"/>
      <c r="BH440" s="250"/>
      <c r="BI440" s="250"/>
      <c r="BJ440" s="250"/>
    </row>
    <row r="441" spans="1:62" ht="15.75" customHeight="1">
      <c r="A441" t="s">
        <v>58</v>
      </c>
      <c r="B441" s="7"/>
      <c r="C441" s="519" t="s">
        <v>470</v>
      </c>
      <c r="U441" s="250"/>
      <c r="V441" s="494" t="s">
        <v>58</v>
      </c>
      <c r="W441" s="290" t="s">
        <v>157</v>
      </c>
      <c r="X441" s="283"/>
      <c r="Y441" s="283"/>
      <c r="Z441" s="284">
        <f t="shared" si="139"/>
        <v>918.23975741108154</v>
      </c>
      <c r="AA441" s="283"/>
      <c r="AB441" s="283"/>
      <c r="AC441" s="284">
        <f t="shared" si="140"/>
        <v>918.23975741108154</v>
      </c>
      <c r="AD441" s="292"/>
      <c r="AE441" s="291"/>
      <c r="AF441" s="284">
        <f t="shared" si="141"/>
        <v>325.68</v>
      </c>
      <c r="AG441" s="285"/>
      <c r="AH441" s="286">
        <f t="shared" si="135"/>
        <v>-592.55975741108159</v>
      </c>
      <c r="AI441" s="310">
        <f t="shared" si="144"/>
        <v>-0.64532139087700369</v>
      </c>
      <c r="AJ441" s="292"/>
      <c r="AK441" s="283"/>
      <c r="AL441" s="284">
        <f t="shared" si="142"/>
        <v>425.65</v>
      </c>
      <c r="AM441" s="288"/>
      <c r="AN441" s="286">
        <f t="shared" si="138"/>
        <v>-99.96999999999997</v>
      </c>
      <c r="AO441" s="293">
        <f t="shared" si="143"/>
        <v>-0.23486432514977088</v>
      </c>
      <c r="AP441" s="250"/>
      <c r="AQ441" s="250"/>
      <c r="AR441" s="250"/>
      <c r="AS441" s="250"/>
      <c r="AT441" s="250"/>
      <c r="AU441" s="250"/>
      <c r="AV441" s="250"/>
      <c r="AW441" s="250"/>
      <c r="AX441" s="250"/>
      <c r="AY441" s="250"/>
      <c r="AZ441" s="250"/>
      <c r="BA441" s="250"/>
      <c r="BB441" s="250"/>
      <c r="BC441" s="250"/>
      <c r="BD441" s="250"/>
      <c r="BE441" s="250"/>
      <c r="BF441" s="250"/>
      <c r="BG441" s="250"/>
      <c r="BH441" s="250"/>
      <c r="BI441" s="250"/>
      <c r="BJ441" s="250"/>
    </row>
    <row r="442" spans="1:62" ht="15.75" customHeight="1">
      <c r="A442" t="s">
        <v>59</v>
      </c>
      <c r="B442" s="7"/>
      <c r="C442" s="519" t="s">
        <v>470</v>
      </c>
      <c r="T442" s="250"/>
      <c r="U442" s="250"/>
      <c r="V442" s="494" t="s">
        <v>59</v>
      </c>
      <c r="W442" s="290" t="s">
        <v>158</v>
      </c>
      <c r="X442" s="283"/>
      <c r="Y442" s="283"/>
      <c r="Z442" s="284">
        <f t="shared" si="139"/>
        <v>2040.2009999999998</v>
      </c>
      <c r="AA442" s="283"/>
      <c r="AB442" s="283"/>
      <c r="AC442" s="284">
        <f t="shared" si="140"/>
        <v>2040.2009999999998</v>
      </c>
      <c r="AD442" s="292"/>
      <c r="AE442" s="291"/>
      <c r="AF442" s="284">
        <f t="shared" si="141"/>
        <v>3076.4100000000003</v>
      </c>
      <c r="AG442" s="285"/>
      <c r="AH442" s="286">
        <f t="shared" si="135"/>
        <v>1036.2090000000005</v>
      </c>
      <c r="AI442" s="287">
        <f t="shared" si="144"/>
        <v>0.50789554558594996</v>
      </c>
      <c r="AJ442" s="292"/>
      <c r="AK442" s="283"/>
      <c r="AL442" s="284">
        <f t="shared" si="142"/>
        <v>1458.3</v>
      </c>
      <c r="AM442" s="288"/>
      <c r="AN442" s="286">
        <f t="shared" si="138"/>
        <v>1618.1100000000004</v>
      </c>
      <c r="AO442" s="293">
        <f t="shared" si="143"/>
        <v>1.1095865048343965</v>
      </c>
      <c r="AP442" s="250"/>
      <c r="AQ442" s="250"/>
      <c r="AR442" s="250"/>
      <c r="AS442" s="250"/>
      <c r="AT442" s="250"/>
      <c r="AU442" s="250"/>
      <c r="AV442" s="250"/>
      <c r="AW442" s="250"/>
      <c r="AX442" s="250"/>
      <c r="AY442" s="250"/>
      <c r="AZ442" s="250"/>
      <c r="BA442" s="250"/>
      <c r="BB442" s="250"/>
      <c r="BC442" s="250"/>
      <c r="BD442" s="250"/>
      <c r="BE442" s="250"/>
      <c r="BF442" s="250"/>
      <c r="BG442" s="250"/>
      <c r="BH442" s="250"/>
      <c r="BI442" s="250"/>
      <c r="BJ442" s="250"/>
    </row>
    <row r="443" spans="1:62" ht="15.75" customHeight="1">
      <c r="A443" t="s">
        <v>60</v>
      </c>
      <c r="B443" s="7"/>
      <c r="C443" s="519" t="s">
        <v>470</v>
      </c>
      <c r="T443" s="250"/>
      <c r="U443" s="250"/>
      <c r="V443" s="494" t="s">
        <v>60</v>
      </c>
      <c r="W443" s="290" t="s">
        <v>159</v>
      </c>
      <c r="X443" s="283"/>
      <c r="Y443" s="283"/>
      <c r="Z443" s="284">
        <f t="shared" si="139"/>
        <v>942.07664583333337</v>
      </c>
      <c r="AA443" s="283"/>
      <c r="AB443" s="283"/>
      <c r="AC443" s="284">
        <f t="shared" si="140"/>
        <v>942.07664583333337</v>
      </c>
      <c r="AD443" s="292"/>
      <c r="AE443" s="291"/>
      <c r="AF443" s="284">
        <f t="shared" si="141"/>
        <v>630.45000000000005</v>
      </c>
      <c r="AG443" s="285"/>
      <c r="AH443" s="286">
        <f t="shared" si="135"/>
        <v>-311.62664583333333</v>
      </c>
      <c r="AI443" s="310">
        <f t="shared" si="144"/>
        <v>-0.33078693459986747</v>
      </c>
      <c r="AJ443" s="292"/>
      <c r="AK443" s="283"/>
      <c r="AL443" s="284">
        <f t="shared" si="142"/>
        <v>443.97999999999996</v>
      </c>
      <c r="AM443" s="288"/>
      <c r="AN443" s="286">
        <f t="shared" si="138"/>
        <v>186.47000000000008</v>
      </c>
      <c r="AO443" s="293">
        <f t="shared" si="143"/>
        <v>0.41999639623406482</v>
      </c>
      <c r="AP443" s="250"/>
      <c r="AQ443" s="250"/>
      <c r="AR443" s="250"/>
      <c r="AS443" s="250"/>
      <c r="AT443" s="250"/>
      <c r="AU443" s="250"/>
      <c r="AV443" s="250"/>
      <c r="AW443" s="250"/>
      <c r="AX443" s="250"/>
      <c r="AY443" s="250"/>
      <c r="AZ443" s="250"/>
      <c r="BA443" s="250"/>
      <c r="BB443" s="250"/>
      <c r="BC443" s="250"/>
      <c r="BD443" s="250"/>
      <c r="BE443" s="250"/>
      <c r="BF443" s="250"/>
      <c r="BG443" s="250"/>
      <c r="BH443" s="250"/>
      <c r="BI443" s="250"/>
      <c r="BJ443" s="250"/>
    </row>
    <row r="444" spans="1:62" ht="15.75" customHeight="1">
      <c r="A444" t="s">
        <v>61</v>
      </c>
      <c r="B444" s="7"/>
      <c r="C444" s="519" t="s">
        <v>470</v>
      </c>
      <c r="T444" s="250"/>
      <c r="U444" s="250"/>
      <c r="V444" s="494" t="s">
        <v>61</v>
      </c>
      <c r="W444" s="290" t="s">
        <v>160</v>
      </c>
      <c r="X444" s="283"/>
      <c r="Y444" s="283"/>
      <c r="Z444" s="284">
        <f t="shared" si="139"/>
        <v>502.86585416666657</v>
      </c>
      <c r="AA444" s="283"/>
      <c r="AB444" s="283"/>
      <c r="AC444" s="284">
        <f t="shared" si="140"/>
        <v>502.86585416666657</v>
      </c>
      <c r="AD444" s="292"/>
      <c r="AE444" s="291"/>
      <c r="AF444" s="284">
        <f t="shared" si="141"/>
        <v>592.42999999999995</v>
      </c>
      <c r="AG444" s="285"/>
      <c r="AH444" s="286">
        <f t="shared" si="135"/>
        <v>89.564145833333384</v>
      </c>
      <c r="AI444" s="287">
        <f t="shared" si="144"/>
        <v>0.17810743181550129</v>
      </c>
      <c r="AJ444" s="292"/>
      <c r="AK444" s="283"/>
      <c r="AL444" s="284">
        <f t="shared" si="142"/>
        <v>705.82999999999993</v>
      </c>
      <c r="AM444" s="288"/>
      <c r="AN444" s="286">
        <f t="shared" si="138"/>
        <v>-113.39999999999998</v>
      </c>
      <c r="AO444" s="293">
        <f t="shared" si="143"/>
        <v>-0.16066191575875211</v>
      </c>
      <c r="AP444" s="250"/>
      <c r="AQ444" s="250"/>
      <c r="AR444" s="250"/>
      <c r="AS444" s="250"/>
      <c r="AT444" s="250"/>
      <c r="AU444" s="250"/>
      <c r="AV444" s="250"/>
      <c r="AW444" s="250"/>
      <c r="AX444" s="250"/>
      <c r="AY444" s="250"/>
      <c r="AZ444" s="250"/>
      <c r="BA444" s="250"/>
      <c r="BB444" s="250"/>
      <c r="BC444" s="250"/>
      <c r="BD444" s="250"/>
      <c r="BE444" s="250"/>
      <c r="BF444" s="250"/>
      <c r="BG444" s="250"/>
      <c r="BH444" s="250"/>
      <c r="BI444" s="250"/>
      <c r="BJ444" s="250"/>
    </row>
    <row r="445" spans="1:62" ht="15.75" customHeight="1">
      <c r="A445" t="s">
        <v>62</v>
      </c>
      <c r="B445" s="7"/>
      <c r="C445" s="519" t="s">
        <v>470</v>
      </c>
      <c r="T445" s="250"/>
      <c r="U445" s="250"/>
      <c r="V445" s="494" t="s">
        <v>62</v>
      </c>
      <c r="W445" s="290" t="s">
        <v>161</v>
      </c>
      <c r="X445" s="283"/>
      <c r="Y445" s="291"/>
      <c r="Z445" s="284">
        <f t="shared" si="139"/>
        <v>2425.729979166666</v>
      </c>
      <c r="AA445" s="283"/>
      <c r="AB445" s="291"/>
      <c r="AC445" s="284">
        <f t="shared" si="140"/>
        <v>2425.729979166666</v>
      </c>
      <c r="AD445" s="292"/>
      <c r="AE445" s="291"/>
      <c r="AF445" s="284">
        <f t="shared" si="141"/>
        <v>438.15000000000009</v>
      </c>
      <c r="AG445" s="285"/>
      <c r="AH445" s="286">
        <f t="shared" si="135"/>
        <v>-1987.5799791666659</v>
      </c>
      <c r="AI445" s="310">
        <f t="shared" si="144"/>
        <v>-0.81937396010147756</v>
      </c>
      <c r="AJ445" s="292"/>
      <c r="AK445" s="283"/>
      <c r="AL445" s="284">
        <f t="shared" si="142"/>
        <v>2511.64</v>
      </c>
      <c r="AM445" s="288"/>
      <c r="AN445" s="286">
        <f t="shared" si="138"/>
        <v>-2073.4899999999998</v>
      </c>
      <c r="AO445" s="293">
        <f t="shared" si="143"/>
        <v>-0.82555222882260193</v>
      </c>
      <c r="AP445" s="250"/>
      <c r="AQ445" s="250"/>
      <c r="AR445" s="250"/>
      <c r="AS445" s="250"/>
      <c r="AT445" s="250"/>
      <c r="AU445" s="250"/>
      <c r="AV445" s="250"/>
      <c r="AW445" s="250"/>
      <c r="AX445" s="250"/>
      <c r="AY445" s="250"/>
      <c r="AZ445" s="250"/>
      <c r="BA445" s="250"/>
      <c r="BB445" s="250"/>
      <c r="BC445" s="250"/>
      <c r="BD445" s="250"/>
      <c r="BE445" s="250"/>
      <c r="BF445" s="250"/>
      <c r="BG445" s="250"/>
      <c r="BH445" s="250"/>
      <c r="BI445" s="250"/>
      <c r="BJ445" s="250"/>
    </row>
    <row r="446" spans="1:62" ht="15.75" customHeight="1">
      <c r="A446" t="s">
        <v>63</v>
      </c>
      <c r="B446" s="7"/>
      <c r="C446" s="519" t="s">
        <v>470</v>
      </c>
      <c r="T446" s="250"/>
      <c r="U446" s="250"/>
      <c r="V446" s="494" t="s">
        <v>63</v>
      </c>
      <c r="W446" s="290" t="s">
        <v>162</v>
      </c>
      <c r="X446" s="283"/>
      <c r="Y446" s="291"/>
      <c r="Z446" s="284">
        <f t="shared" si="139"/>
        <v>3603.9258333333332</v>
      </c>
      <c r="AA446" s="283"/>
      <c r="AB446" s="291"/>
      <c r="AC446" s="284">
        <f t="shared" si="140"/>
        <v>3603.9258333333332</v>
      </c>
      <c r="AD446" s="292"/>
      <c r="AE446" s="291"/>
      <c r="AF446" s="284">
        <f t="shared" si="141"/>
        <v>4459.38</v>
      </c>
      <c r="AG446" s="285"/>
      <c r="AH446" s="286">
        <f t="shared" si="135"/>
        <v>855.45416666666688</v>
      </c>
      <c r="AI446" s="287">
        <f t="shared" si="144"/>
        <v>0.23736730616219218</v>
      </c>
      <c r="AJ446" s="292"/>
      <c r="AK446" s="283"/>
      <c r="AL446" s="284">
        <f t="shared" si="142"/>
        <v>4538.99</v>
      </c>
      <c r="AM446" s="288"/>
      <c r="AN446" s="286">
        <f t="shared" si="138"/>
        <v>-79.609999999999673</v>
      </c>
      <c r="AO446" s="293">
        <f t="shared" si="143"/>
        <v>-1.7539144170839696E-2</v>
      </c>
      <c r="AQ446" s="14"/>
      <c r="AR446" s="14"/>
      <c r="AS446" s="495" t="s">
        <v>496</v>
      </c>
      <c r="AT446" s="250"/>
      <c r="AU446" s="250"/>
      <c r="AV446" s="250"/>
      <c r="AW446" s="250"/>
      <c r="AX446" s="250"/>
      <c r="AY446" s="250"/>
      <c r="AZ446" s="250"/>
      <c r="BA446" s="250"/>
      <c r="BB446" s="250"/>
      <c r="BC446" s="250"/>
      <c r="BD446" s="250"/>
      <c r="BE446" s="250"/>
      <c r="BF446" s="250"/>
      <c r="BG446" s="250"/>
      <c r="BH446" s="250"/>
      <c r="BI446" s="250"/>
      <c r="BJ446" s="250"/>
    </row>
    <row r="447" spans="1:62" ht="15.75" customHeight="1">
      <c r="A447" t="s">
        <v>64</v>
      </c>
      <c r="B447" s="7"/>
      <c r="C447" s="519" t="s">
        <v>470</v>
      </c>
      <c r="T447" s="250"/>
      <c r="U447" s="250"/>
      <c r="V447" s="494" t="s">
        <v>64</v>
      </c>
      <c r="W447" s="290" t="s">
        <v>163</v>
      </c>
      <c r="X447" s="283"/>
      <c r="Y447" s="291"/>
      <c r="Z447" s="284">
        <f t="shared" si="139"/>
        <v>5805.5848648570627</v>
      </c>
      <c r="AA447" s="283"/>
      <c r="AB447" s="291"/>
      <c r="AC447" s="284">
        <f t="shared" si="140"/>
        <v>5805.5848648570627</v>
      </c>
      <c r="AD447" s="526"/>
      <c r="AE447" s="527"/>
      <c r="AF447" s="528">
        <f t="shared" si="141"/>
        <v>8313.510000000002</v>
      </c>
      <c r="AG447" s="285"/>
      <c r="AH447" s="286">
        <f t="shared" si="135"/>
        <v>2507.9251351429393</v>
      </c>
      <c r="AI447" s="287">
        <f t="shared" si="144"/>
        <v>0.43198492374543662</v>
      </c>
      <c r="AJ447" s="292"/>
      <c r="AK447" s="283"/>
      <c r="AL447" s="284">
        <v>7040.08</v>
      </c>
      <c r="AM447" s="288"/>
      <c r="AN447" s="286">
        <f t="shared" si="138"/>
        <v>1273.4300000000021</v>
      </c>
      <c r="AO447" s="293">
        <f t="shared" si="143"/>
        <v>0.18088288769445832</v>
      </c>
      <c r="AQ447" s="499" t="s">
        <v>497</v>
      </c>
      <c r="AR447" s="497"/>
      <c r="AS447" s="500">
        <v>43488.75</v>
      </c>
      <c r="AT447" s="250"/>
      <c r="AU447" s="250"/>
      <c r="AV447" s="250"/>
      <c r="AW447" s="250"/>
      <c r="AX447" s="250"/>
      <c r="AY447" s="250"/>
      <c r="AZ447" s="250"/>
      <c r="BA447" s="250"/>
      <c r="BB447" s="250"/>
      <c r="BC447" s="250"/>
      <c r="BD447" s="250"/>
      <c r="BE447" s="250"/>
      <c r="BF447" s="250"/>
      <c r="BG447" s="250"/>
      <c r="BH447" s="250"/>
      <c r="BI447" s="250"/>
      <c r="BJ447" s="250"/>
    </row>
    <row r="448" spans="1:62" ht="15.75" hidden="1" customHeight="1">
      <c r="A448" t="s">
        <v>21</v>
      </c>
      <c r="B448" s="7"/>
      <c r="C448" s="519" t="s">
        <v>470</v>
      </c>
      <c r="T448" s="250"/>
      <c r="U448" s="250"/>
      <c r="V448" s="494" t="s">
        <v>21</v>
      </c>
      <c r="W448" s="290"/>
      <c r="X448" s="283"/>
      <c r="Y448" s="291"/>
      <c r="Z448" s="284">
        <f>IFERROR(SUMIF($C:$C,$V448,F:F),0)</f>
        <v>0</v>
      </c>
      <c r="AA448" s="283"/>
      <c r="AB448" s="283"/>
      <c r="AC448" s="284">
        <f>IFERROR(SUMIF($C:$C,$V448,I:I),0)</f>
        <v>0</v>
      </c>
      <c r="AD448" s="292"/>
      <c r="AE448" s="291"/>
      <c r="AF448" s="284">
        <f>IFERROR(SUMIF($C:$C,$V448,L:L),0)</f>
        <v>0</v>
      </c>
      <c r="AG448" s="285"/>
      <c r="AH448" s="286">
        <f t="shared" si="135"/>
        <v>0</v>
      </c>
      <c r="AI448" s="287">
        <f t="shared" si="144"/>
        <v>0</v>
      </c>
      <c r="AJ448" s="292"/>
      <c r="AK448" s="283"/>
      <c r="AL448" s="284">
        <f>IFERROR(SUMIF($C:$C,$V448,Q:Q),0)</f>
        <v>0</v>
      </c>
      <c r="AM448" s="288"/>
      <c r="AN448" s="286">
        <f t="shared" si="138"/>
        <v>0</v>
      </c>
      <c r="AO448" s="293">
        <f t="shared" si="143"/>
        <v>0</v>
      </c>
      <c r="AP448" s="250"/>
      <c r="AQ448" s="250"/>
      <c r="AR448" s="250"/>
      <c r="AS448" s="250"/>
      <c r="AT448" s="250"/>
      <c r="AU448" s="250"/>
      <c r="AV448" s="250"/>
      <c r="AW448" s="250"/>
      <c r="AX448" s="250"/>
      <c r="AY448" s="250"/>
      <c r="AZ448" s="250"/>
      <c r="BA448" s="250"/>
      <c r="BB448" s="250"/>
      <c r="BC448" s="250"/>
      <c r="BD448" s="250"/>
      <c r="BE448" s="250"/>
      <c r="BF448" s="250"/>
      <c r="BG448" s="250"/>
      <c r="BH448" s="250"/>
      <c r="BI448" s="250"/>
      <c r="BJ448" s="250"/>
    </row>
    <row r="449" spans="1:62" ht="15.75" hidden="1" customHeight="1">
      <c r="A449" t="s">
        <v>21</v>
      </c>
      <c r="B449" s="7"/>
      <c r="C449" s="519" t="s">
        <v>470</v>
      </c>
      <c r="T449" s="250"/>
      <c r="U449" s="250"/>
      <c r="V449" s="494" t="s">
        <v>21</v>
      </c>
      <c r="W449" s="290"/>
      <c r="X449" s="283"/>
      <c r="Y449" s="291"/>
      <c r="Z449" s="284">
        <f>IFERROR(SUMIF($C:$C,$V449,F:F),0)</f>
        <v>0</v>
      </c>
      <c r="AA449" s="283"/>
      <c r="AB449" s="283"/>
      <c r="AC449" s="284">
        <f>IFERROR(SUMIF($C:$C,$V449,I:I),0)</f>
        <v>0</v>
      </c>
      <c r="AD449" s="292"/>
      <c r="AE449" s="291"/>
      <c r="AF449" s="284">
        <f>IFERROR(SUMIF($C:$C,$V449,L:L),0)</f>
        <v>0</v>
      </c>
      <c r="AG449" s="285"/>
      <c r="AH449" s="286">
        <f t="shared" si="135"/>
        <v>0</v>
      </c>
      <c r="AI449" s="287">
        <f t="shared" si="144"/>
        <v>0</v>
      </c>
      <c r="AJ449" s="292"/>
      <c r="AK449" s="283"/>
      <c r="AL449" s="284">
        <f>IFERROR(SUMIF($C:$C,$V449,Q:Q),0)</f>
        <v>0</v>
      </c>
      <c r="AM449" s="288"/>
      <c r="AN449" s="286">
        <f t="shared" si="138"/>
        <v>0</v>
      </c>
      <c r="AO449" s="293">
        <f t="shared" si="143"/>
        <v>0</v>
      </c>
      <c r="AP449" s="250"/>
      <c r="AQ449" s="250"/>
      <c r="AR449" s="250"/>
      <c r="AS449" s="250"/>
      <c r="AT449" s="250"/>
      <c r="AU449" s="250"/>
      <c r="AV449" s="250"/>
      <c r="AW449" s="250"/>
      <c r="AX449" s="250"/>
      <c r="AY449" s="250"/>
      <c r="AZ449" s="250"/>
      <c r="BA449" s="250"/>
      <c r="BB449" s="250"/>
      <c r="BC449" s="250"/>
      <c r="BD449" s="250"/>
      <c r="BE449" s="250"/>
      <c r="BF449" s="250"/>
      <c r="BG449" s="250"/>
      <c r="BH449" s="250"/>
      <c r="BI449" s="250"/>
      <c r="BJ449" s="250"/>
    </row>
    <row r="450" spans="1:62" ht="15.75" hidden="1" customHeight="1">
      <c r="A450" t="s">
        <v>21</v>
      </c>
      <c r="B450" s="7"/>
      <c r="C450" s="519" t="s">
        <v>470</v>
      </c>
      <c r="T450" s="250"/>
      <c r="U450" s="250"/>
      <c r="V450" s="494" t="s">
        <v>21</v>
      </c>
      <c r="W450" s="290"/>
      <c r="X450" s="283"/>
      <c r="Y450" s="291"/>
      <c r="Z450" s="284">
        <f>IFERROR(SUMIF($C:$C,$V450,F:F),0)</f>
        <v>0</v>
      </c>
      <c r="AA450" s="283"/>
      <c r="AB450" s="283"/>
      <c r="AC450" s="284">
        <f>IFERROR(SUMIF($C:$C,$V450,I:I),0)</f>
        <v>0</v>
      </c>
      <c r="AD450" s="292"/>
      <c r="AE450" s="291"/>
      <c r="AF450" s="284">
        <f>IFERROR(SUMIF($C:$C,$V450,L:L),0)</f>
        <v>0</v>
      </c>
      <c r="AG450" s="285"/>
      <c r="AH450" s="286">
        <f t="shared" si="135"/>
        <v>0</v>
      </c>
      <c r="AI450" s="287">
        <f t="shared" si="144"/>
        <v>0</v>
      </c>
      <c r="AJ450" s="292"/>
      <c r="AK450" s="283"/>
      <c r="AL450" s="284">
        <f>IFERROR(SUMIF($C:$C,$V450,Q:Q),0)</f>
        <v>0</v>
      </c>
      <c r="AM450" s="288"/>
      <c r="AN450" s="286">
        <f t="shared" si="138"/>
        <v>0</v>
      </c>
      <c r="AO450" s="293">
        <f t="shared" si="143"/>
        <v>0</v>
      </c>
      <c r="AP450" s="250"/>
      <c r="AQ450" s="250"/>
      <c r="AR450" s="250"/>
      <c r="AS450" s="250"/>
      <c r="AT450" s="250"/>
      <c r="AU450" s="250"/>
      <c r="AV450" s="250"/>
      <c r="AW450" s="250"/>
      <c r="AX450" s="250"/>
      <c r="AY450" s="250"/>
      <c r="AZ450" s="250"/>
      <c r="BA450" s="250"/>
      <c r="BB450" s="250"/>
      <c r="BC450" s="250"/>
      <c r="BD450" s="250"/>
      <c r="BE450" s="250"/>
      <c r="BF450" s="250"/>
      <c r="BG450" s="250"/>
      <c r="BH450" s="250"/>
      <c r="BI450" s="250"/>
      <c r="BJ450" s="250"/>
    </row>
    <row r="451" spans="1:62" ht="15.75" customHeight="1">
      <c r="A451" t="s">
        <v>65</v>
      </c>
      <c r="B451" s="7"/>
      <c r="C451" s="519" t="s">
        <v>470</v>
      </c>
      <c r="T451" s="250"/>
      <c r="U451" s="250"/>
      <c r="V451" s="300" t="s">
        <v>65</v>
      </c>
      <c r="W451" s="334"/>
      <c r="X451" s="302">
        <f>Z451/+Z406</f>
        <v>0.14044676979036294</v>
      </c>
      <c r="Y451" s="301"/>
      <c r="Z451" s="303">
        <f>+SUM(Z433:Z450)</f>
        <v>95439.492469444638</v>
      </c>
      <c r="AA451" s="302">
        <f>AC451/+AC406</f>
        <v>0.14044676979036294</v>
      </c>
      <c r="AB451" s="301"/>
      <c r="AC451" s="303">
        <f>+SUM(AC433:AC450)</f>
        <v>95439.492469444638</v>
      </c>
      <c r="AD451" s="304">
        <f>AF451/AF406</f>
        <v>0.1423496120573336</v>
      </c>
      <c r="AE451" s="301"/>
      <c r="AF451" s="303">
        <f>+SUM(AF433:AF450)</f>
        <v>99543.319999999978</v>
      </c>
      <c r="AG451" s="312"/>
      <c r="AH451" s="335">
        <f>+SUM(AH433:AH450)</f>
        <v>4103.8275305553598</v>
      </c>
      <c r="AI451" s="302">
        <f>AH451/AC451</f>
        <v>4.2999259786185656E-2</v>
      </c>
      <c r="AJ451" s="304">
        <f>IF($AL$406=0,0,AL451/$AL$406)</f>
        <v>0.14561971882022634</v>
      </c>
      <c r="AK451" s="302"/>
      <c r="AL451" s="303">
        <f>+SUM(AL433:AL450)</f>
        <v>88852.13</v>
      </c>
      <c r="AM451" s="313"/>
      <c r="AN451" s="306">
        <f>+SUM(AN433:AN450)</f>
        <v>10691.190000000011</v>
      </c>
      <c r="AO451" s="336">
        <f>IF(AL451=0,0,AN451/AL451)</f>
        <v>0.12032564666710872</v>
      </c>
      <c r="AP451" s="250"/>
      <c r="AQ451" s="250"/>
      <c r="AR451" s="250"/>
      <c r="AS451" s="250"/>
      <c r="AT451" s="250"/>
      <c r="AU451" s="250"/>
      <c r="AV451" s="250"/>
      <c r="AW451" s="250"/>
      <c r="AX451" s="250"/>
      <c r="AY451" s="250"/>
      <c r="AZ451" s="250"/>
      <c r="BA451" s="250"/>
      <c r="BB451" s="250"/>
      <c r="BC451" s="250"/>
      <c r="BD451" s="250"/>
      <c r="BE451" s="250"/>
      <c r="BF451" s="250"/>
      <c r="BG451" s="250"/>
      <c r="BH451" s="250"/>
      <c r="BI451" s="250"/>
      <c r="BJ451" s="250"/>
    </row>
    <row r="452" spans="1:62" ht="15.75" customHeight="1">
      <c r="A452" t="s">
        <v>164</v>
      </c>
      <c r="B452" s="7"/>
      <c r="C452" s="519" t="s">
        <v>470</v>
      </c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494" t="s">
        <v>164</v>
      </c>
      <c r="W452" s="290" t="s">
        <v>165</v>
      </c>
      <c r="X452" s="283"/>
      <c r="Y452" s="291"/>
      <c r="Z452" s="284">
        <v>26000</v>
      </c>
      <c r="AA452" s="283"/>
      <c r="AB452" s="291"/>
      <c r="AC452" s="284">
        <v>26000</v>
      </c>
      <c r="AD452" s="292"/>
      <c r="AE452" s="291"/>
      <c r="AF452" s="284">
        <v>26000</v>
      </c>
      <c r="AG452" s="285"/>
      <c r="AH452" s="286">
        <f t="shared" ref="AH452:AH460" si="145">AF452-AC452</f>
        <v>0</v>
      </c>
      <c r="AI452" s="287">
        <f>IF(AC452=0,0,AH452/AC452)</f>
        <v>0</v>
      </c>
      <c r="AJ452" s="292"/>
      <c r="AK452" s="283"/>
      <c r="AL452" s="284">
        <v>26000</v>
      </c>
      <c r="AM452" s="288"/>
      <c r="AN452" s="286">
        <f t="shared" ref="AN452:AN460" si="146">AF452-AL452</f>
        <v>0</v>
      </c>
      <c r="AO452" s="293">
        <f t="shared" ref="AO452:AO460" si="147">IF(AL452=0,0,AN452/AL452)</f>
        <v>0</v>
      </c>
      <c r="AP452" s="250"/>
      <c r="AQ452" s="250"/>
      <c r="AR452" s="250"/>
      <c r="AS452" s="250"/>
      <c r="AT452" s="250"/>
      <c r="AU452" s="250"/>
      <c r="AV452" s="250"/>
      <c r="AW452" s="250"/>
      <c r="AX452" s="250"/>
      <c r="AY452" s="250"/>
      <c r="AZ452" s="250"/>
      <c r="BA452" s="250"/>
      <c r="BB452" s="250"/>
      <c r="BC452" s="250"/>
      <c r="BD452" s="250"/>
      <c r="BE452" s="250"/>
      <c r="BF452" s="250"/>
      <c r="BG452" s="250"/>
      <c r="BH452" s="250"/>
      <c r="BI452" s="250"/>
      <c r="BJ452" s="250"/>
    </row>
    <row r="453" spans="1:62" ht="15.75" customHeight="1">
      <c r="A453" t="s">
        <v>166</v>
      </c>
      <c r="B453" s="7"/>
      <c r="C453" s="519" t="s">
        <v>470</v>
      </c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494" t="s">
        <v>166</v>
      </c>
      <c r="W453" s="290" t="s">
        <v>167</v>
      </c>
      <c r="X453" s="283"/>
      <c r="Y453" s="291"/>
      <c r="Z453" s="284">
        <v>4930.2499999999991</v>
      </c>
      <c r="AA453" s="283"/>
      <c r="AB453" s="291"/>
      <c r="AC453" s="284">
        <v>4930.2499999999991</v>
      </c>
      <c r="AD453" s="292"/>
      <c r="AE453" s="291"/>
      <c r="AF453" s="284">
        <v>4930</v>
      </c>
      <c r="AG453" s="285"/>
      <c r="AH453" s="286">
        <f t="shared" si="145"/>
        <v>-0.24999999999909051</v>
      </c>
      <c r="AI453" s="287">
        <f t="shared" ref="AI453:AI460" si="148">IF(AC453=0,0,AH453/AC453)</f>
        <v>-5.0707367780354051E-5</v>
      </c>
      <c r="AJ453" s="292"/>
      <c r="AK453" s="283"/>
      <c r="AL453" s="284">
        <v>4810</v>
      </c>
      <c r="AM453" s="288"/>
      <c r="AN453" s="286">
        <f t="shared" si="146"/>
        <v>120</v>
      </c>
      <c r="AO453" s="293">
        <f t="shared" si="147"/>
        <v>2.4948024948024949E-2</v>
      </c>
      <c r="AP453" s="250"/>
      <c r="AQ453" s="250"/>
      <c r="AR453" s="250"/>
      <c r="AS453" s="250"/>
      <c r="AT453" s="250"/>
      <c r="AU453" s="250"/>
      <c r="AV453" s="250"/>
      <c r="AW453" s="250"/>
      <c r="AX453" s="250"/>
      <c r="AY453" s="250"/>
      <c r="AZ453" s="250"/>
      <c r="BA453" s="250"/>
      <c r="BB453" s="250"/>
      <c r="BC453" s="250"/>
      <c r="BD453" s="250"/>
      <c r="BE453" s="250"/>
      <c r="BF453" s="250"/>
      <c r="BG453" s="250"/>
      <c r="BH453" s="250"/>
      <c r="BI453" s="250"/>
      <c r="BJ453" s="250"/>
    </row>
    <row r="454" spans="1:62" ht="15.75" customHeight="1">
      <c r="A454" t="s">
        <v>168</v>
      </c>
      <c r="B454" s="7"/>
      <c r="C454" s="519" t="s">
        <v>470</v>
      </c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106" t="s">
        <v>168</v>
      </c>
      <c r="W454" s="294" t="s">
        <v>169</v>
      </c>
      <c r="X454" s="267"/>
      <c r="Y454" s="295"/>
      <c r="Z454" s="268">
        <v>3279.9999999999995</v>
      </c>
      <c r="AA454" s="267"/>
      <c r="AB454" s="295"/>
      <c r="AC454" s="268">
        <v>3279.9999999999995</v>
      </c>
      <c r="AD454" s="296"/>
      <c r="AE454" s="295"/>
      <c r="AF454" s="268">
        <v>3279.9999999999995</v>
      </c>
      <c r="AG454" s="269"/>
      <c r="AH454" s="270">
        <f t="shared" si="145"/>
        <v>0</v>
      </c>
      <c r="AI454" s="297">
        <f t="shared" si="148"/>
        <v>0</v>
      </c>
      <c r="AJ454" s="296"/>
      <c r="AK454" s="267"/>
      <c r="AL454" s="268">
        <v>3200</v>
      </c>
      <c r="AM454" s="272"/>
      <c r="AN454" s="270">
        <f t="shared" si="146"/>
        <v>79.999999999999545</v>
      </c>
      <c r="AO454" s="273">
        <f t="shared" si="147"/>
        <v>2.4999999999999859E-2</v>
      </c>
      <c r="AP454" s="250"/>
      <c r="AQ454" s="250"/>
      <c r="AR454" s="250"/>
      <c r="AS454" s="250"/>
      <c r="AT454" s="250"/>
      <c r="AU454" s="250"/>
      <c r="AV454" s="250"/>
      <c r="AW454" s="250"/>
      <c r="AX454" s="250"/>
      <c r="AY454" s="250"/>
      <c r="AZ454" s="250"/>
      <c r="BA454" s="250"/>
      <c r="BB454" s="250"/>
      <c r="BC454" s="250"/>
      <c r="BD454" s="250"/>
      <c r="BE454" s="250"/>
      <c r="BF454" s="250"/>
      <c r="BG454" s="250"/>
      <c r="BH454" s="250"/>
      <c r="BI454" s="250"/>
      <c r="BJ454" s="250"/>
    </row>
    <row r="455" spans="1:62" ht="15.75" customHeight="1">
      <c r="A455" t="s">
        <v>170</v>
      </c>
      <c r="B455" s="7"/>
      <c r="C455" s="519" t="s">
        <v>470</v>
      </c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494" t="s">
        <v>170</v>
      </c>
      <c r="W455" s="290"/>
      <c r="X455" s="283"/>
      <c r="Y455" s="291"/>
      <c r="Z455" s="284">
        <v>0</v>
      </c>
      <c r="AA455" s="283"/>
      <c r="AB455" s="291"/>
      <c r="AC455" s="284">
        <v>0</v>
      </c>
      <c r="AD455" s="292"/>
      <c r="AE455" s="291"/>
      <c r="AF455" s="284">
        <v>0</v>
      </c>
      <c r="AG455" s="285"/>
      <c r="AH455" s="286">
        <f t="shared" si="145"/>
        <v>0</v>
      </c>
      <c r="AI455" s="287">
        <f t="shared" si="148"/>
        <v>0</v>
      </c>
      <c r="AJ455" s="292"/>
      <c r="AK455" s="283"/>
      <c r="AL455" s="284">
        <v>0</v>
      </c>
      <c r="AM455" s="288"/>
      <c r="AN455" s="286">
        <f t="shared" si="146"/>
        <v>0</v>
      </c>
      <c r="AO455" s="293">
        <f t="shared" si="147"/>
        <v>0</v>
      </c>
      <c r="AP455" s="250"/>
      <c r="AQ455" s="250"/>
      <c r="AR455" s="250"/>
      <c r="AS455" s="250"/>
      <c r="AT455" s="250"/>
      <c r="AU455" s="250"/>
      <c r="AV455" s="250"/>
      <c r="AW455" s="250"/>
      <c r="AX455" s="250"/>
      <c r="AY455" s="250"/>
      <c r="AZ455" s="250"/>
      <c r="BA455" s="250"/>
      <c r="BB455" s="250"/>
      <c r="BC455" s="250"/>
      <c r="BD455" s="250"/>
      <c r="BE455" s="250"/>
      <c r="BF455" s="250"/>
      <c r="BG455" s="250"/>
      <c r="BH455" s="250"/>
      <c r="BI455" s="250"/>
      <c r="BJ455" s="250"/>
    </row>
    <row r="456" spans="1:62" ht="15.75" customHeight="1">
      <c r="A456" t="s">
        <v>171</v>
      </c>
      <c r="B456" s="7"/>
      <c r="C456" s="519" t="s">
        <v>470</v>
      </c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106" t="s">
        <v>171</v>
      </c>
      <c r="W456" s="294" t="s">
        <v>172</v>
      </c>
      <c r="X456" s="267"/>
      <c r="Y456" s="295"/>
      <c r="Z456" s="268">
        <v>4270.5833333333321</v>
      </c>
      <c r="AA456" s="267"/>
      <c r="AB456" s="295"/>
      <c r="AC456" s="268">
        <v>4270.5833333333321</v>
      </c>
      <c r="AD456" s="296"/>
      <c r="AE456" s="295"/>
      <c r="AF456" s="268">
        <v>4271</v>
      </c>
      <c r="AG456" s="269"/>
      <c r="AH456" s="270">
        <f t="shared" si="145"/>
        <v>0.41666666666787933</v>
      </c>
      <c r="AI456" s="297">
        <f t="shared" si="148"/>
        <v>9.7566686830732595E-5</v>
      </c>
      <c r="AJ456" s="296"/>
      <c r="AK456" s="267"/>
      <c r="AL456" s="268">
        <v>3708.11</v>
      </c>
      <c r="AM456" s="272"/>
      <c r="AN456" s="270">
        <f t="shared" si="146"/>
        <v>562.88999999999987</v>
      </c>
      <c r="AO456" s="273">
        <f t="shared" si="147"/>
        <v>0.15179970389227931</v>
      </c>
      <c r="AP456" s="250"/>
      <c r="AQ456" s="250"/>
      <c r="AR456" s="250"/>
      <c r="AS456" s="250"/>
      <c r="AT456" s="250"/>
      <c r="AU456" s="250"/>
      <c r="AV456" s="250"/>
      <c r="AW456" s="250"/>
      <c r="AX456" s="250"/>
      <c r="AY456" s="250"/>
      <c r="AZ456" s="250"/>
      <c r="BA456" s="250"/>
      <c r="BB456" s="250"/>
      <c r="BC456" s="250"/>
      <c r="BD456" s="250"/>
      <c r="BE456" s="250"/>
      <c r="BF456" s="250"/>
      <c r="BG456" s="250"/>
      <c r="BH456" s="250"/>
      <c r="BI456" s="250"/>
      <c r="BJ456" s="250"/>
    </row>
    <row r="457" spans="1:62" ht="15.75" customHeight="1">
      <c r="A457" t="s">
        <v>173</v>
      </c>
      <c r="B457" s="7"/>
      <c r="C457" s="519" t="s">
        <v>470</v>
      </c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494" t="s">
        <v>173</v>
      </c>
      <c r="W457" s="290" t="s">
        <v>174</v>
      </c>
      <c r="X457" s="337"/>
      <c r="Y457" s="338"/>
      <c r="Z457" s="284">
        <v>2838.4863750000004</v>
      </c>
      <c r="AA457" s="337"/>
      <c r="AB457" s="338"/>
      <c r="AC457" s="284">
        <v>2838.4863750000004</v>
      </c>
      <c r="AD457" s="292"/>
      <c r="AE457" s="291"/>
      <c r="AF457" s="529">
        <v>1932.27</v>
      </c>
      <c r="AG457" s="285"/>
      <c r="AH457" s="286">
        <f t="shared" si="145"/>
        <v>-906.21637500000043</v>
      </c>
      <c r="AI457" s="287">
        <f t="shared" si="148"/>
        <v>-0.31926042801597043</v>
      </c>
      <c r="AJ457" s="292"/>
      <c r="AK457" s="283"/>
      <c r="AL457" s="284">
        <v>1742.4900000000002</v>
      </c>
      <c r="AM457" s="288"/>
      <c r="AN457" s="286">
        <f t="shared" si="146"/>
        <v>189.77999999999975</v>
      </c>
      <c r="AO457" s="293">
        <f t="shared" si="147"/>
        <v>0.10891310710534909</v>
      </c>
      <c r="AP457" s="250"/>
      <c r="AQ457" s="250"/>
      <c r="AR457" s="250"/>
      <c r="AS457" s="250"/>
      <c r="AT457" s="250"/>
      <c r="AU457" s="250"/>
      <c r="AV457" s="250"/>
      <c r="AW457" s="250"/>
      <c r="AX457" s="250"/>
      <c r="AY457" s="250"/>
      <c r="AZ457" s="250"/>
      <c r="BA457" s="250"/>
      <c r="BB457" s="250"/>
      <c r="BC457" s="250"/>
      <c r="BD457" s="250"/>
      <c r="BE457" s="250"/>
      <c r="BF457" s="250"/>
      <c r="BG457" s="250"/>
      <c r="BH457" s="250"/>
      <c r="BI457" s="250"/>
      <c r="BJ457" s="250"/>
    </row>
    <row r="458" spans="1:62" ht="15.75" customHeight="1">
      <c r="A458" t="s">
        <v>175</v>
      </c>
      <c r="B458" s="7"/>
      <c r="C458" s="519" t="s">
        <v>470</v>
      </c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494" t="s">
        <v>175</v>
      </c>
      <c r="W458" s="290" t="s">
        <v>176</v>
      </c>
      <c r="X458" s="283"/>
      <c r="Y458" s="291"/>
      <c r="Z458" s="284">
        <v>6122.833333333333</v>
      </c>
      <c r="AA458" s="283"/>
      <c r="AB458" s="291"/>
      <c r="AC458" s="284">
        <v>6122.833333333333</v>
      </c>
      <c r="AD458" s="292"/>
      <c r="AE458" s="291"/>
      <c r="AF458" s="284">
        <v>6123.33</v>
      </c>
      <c r="AG458" s="285"/>
      <c r="AH458" s="286">
        <f t="shared" si="145"/>
        <v>0.49666666666689707</v>
      </c>
      <c r="AI458" s="287">
        <f t="shared" si="148"/>
        <v>8.1117129869106967E-5</v>
      </c>
      <c r="AJ458" s="292"/>
      <c r="AK458" s="283"/>
      <c r="AL458" s="284">
        <v>6217.0899999999992</v>
      </c>
      <c r="AM458" s="288"/>
      <c r="AN458" s="286">
        <f t="shared" si="146"/>
        <v>-93.759999999999309</v>
      </c>
      <c r="AO458" s="293">
        <f t="shared" si="147"/>
        <v>-1.5081010569253352E-2</v>
      </c>
      <c r="AP458" s="250"/>
      <c r="AQ458" s="250"/>
      <c r="AR458" s="250"/>
      <c r="AS458" s="250"/>
      <c r="AT458" s="250"/>
      <c r="AU458" s="250"/>
      <c r="AV458" s="250"/>
      <c r="AW458" s="250"/>
      <c r="AX458" s="250"/>
      <c r="AY458" s="250"/>
      <c r="AZ458" s="250"/>
      <c r="BA458" s="250"/>
      <c r="BB458" s="250"/>
      <c r="BC458" s="250"/>
      <c r="BD458" s="250"/>
      <c r="BE458" s="250"/>
      <c r="BF458" s="250"/>
      <c r="BG458" s="250"/>
      <c r="BH458" s="250"/>
      <c r="BI458" s="250"/>
      <c r="BJ458" s="250"/>
    </row>
    <row r="459" spans="1:62" ht="15.75" customHeight="1">
      <c r="A459" t="s">
        <v>177</v>
      </c>
      <c r="B459" s="7"/>
      <c r="C459" s="519" t="s">
        <v>470</v>
      </c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106" t="s">
        <v>177</v>
      </c>
      <c r="W459" s="294" t="s">
        <v>178</v>
      </c>
      <c r="X459" s="267"/>
      <c r="Y459" s="295"/>
      <c r="Z459" s="268">
        <v>1188.8599166666665</v>
      </c>
      <c r="AA459" s="267"/>
      <c r="AB459" s="295"/>
      <c r="AC459" s="268">
        <v>1188.8599166666665</v>
      </c>
      <c r="AD459" s="296"/>
      <c r="AE459" s="295"/>
      <c r="AF459" s="268">
        <v>1440.6</v>
      </c>
      <c r="AG459" s="269"/>
      <c r="AH459" s="270">
        <f t="shared" si="145"/>
        <v>251.74008333333336</v>
      </c>
      <c r="AI459" s="297">
        <f t="shared" si="148"/>
        <v>0.21174915547591502</v>
      </c>
      <c r="AJ459" s="296"/>
      <c r="AK459" s="267"/>
      <c r="AL459" s="268">
        <v>1362.12</v>
      </c>
      <c r="AM459" s="272"/>
      <c r="AN459" s="270">
        <f t="shared" si="146"/>
        <v>78.480000000000018</v>
      </c>
      <c r="AO459" s="273">
        <f t="shared" si="147"/>
        <v>5.761606906880453E-2</v>
      </c>
      <c r="AP459" s="250"/>
      <c r="AQ459" s="250"/>
      <c r="AR459" s="250"/>
      <c r="AS459" s="250"/>
      <c r="AT459" s="250"/>
      <c r="AU459" s="250"/>
      <c r="AV459" s="250"/>
      <c r="AW459" s="250"/>
      <c r="AX459" s="250"/>
      <c r="AY459" s="250"/>
      <c r="AZ459" s="250"/>
      <c r="BA459" s="250"/>
      <c r="BB459" s="250"/>
      <c r="BC459" s="250"/>
      <c r="BD459" s="250"/>
      <c r="BE459" s="250"/>
      <c r="BF459" s="250"/>
      <c r="BG459" s="250"/>
      <c r="BH459" s="250"/>
      <c r="BI459" s="250"/>
      <c r="BJ459" s="250"/>
    </row>
    <row r="460" spans="1:62" ht="15.75" customHeight="1">
      <c r="A460" t="s">
        <v>179</v>
      </c>
      <c r="B460" s="7"/>
      <c r="C460" s="519" t="s">
        <v>470</v>
      </c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339"/>
      <c r="V460" s="494" t="s">
        <v>179</v>
      </c>
      <c r="W460" s="290" t="s">
        <v>180</v>
      </c>
      <c r="X460" s="283"/>
      <c r="Y460" s="291"/>
      <c r="Z460" s="284">
        <v>230.625</v>
      </c>
      <c r="AA460" s="283"/>
      <c r="AB460" s="291"/>
      <c r="AC460" s="284">
        <v>230.625</v>
      </c>
      <c r="AD460" s="292"/>
      <c r="AE460" s="291"/>
      <c r="AF460" s="284">
        <v>0</v>
      </c>
      <c r="AG460" s="285"/>
      <c r="AH460" s="286">
        <f t="shared" si="145"/>
        <v>-230.625</v>
      </c>
      <c r="AI460" s="340">
        <f t="shared" si="148"/>
        <v>-1</v>
      </c>
      <c r="AJ460" s="283"/>
      <c r="AK460" s="283"/>
      <c r="AL460" s="284">
        <v>0</v>
      </c>
      <c r="AM460" s="288"/>
      <c r="AN460" s="286">
        <f t="shared" si="146"/>
        <v>0</v>
      </c>
      <c r="AO460" s="293">
        <f t="shared" si="147"/>
        <v>0</v>
      </c>
      <c r="AP460" s="250"/>
      <c r="AQ460" s="250"/>
      <c r="AR460" s="250"/>
      <c r="AS460" s="250"/>
      <c r="AT460" s="250"/>
      <c r="AU460" s="250"/>
      <c r="AV460" s="250"/>
      <c r="AW460" s="250"/>
      <c r="AX460" s="250"/>
      <c r="AY460" s="250"/>
      <c r="AZ460" s="250"/>
      <c r="BA460" s="250"/>
      <c r="BB460" s="250"/>
      <c r="BC460" s="250"/>
      <c r="BD460" s="250"/>
      <c r="BE460" s="250"/>
      <c r="BF460" s="250"/>
      <c r="BG460" s="250"/>
      <c r="BH460" s="250"/>
      <c r="BI460" s="250"/>
      <c r="BJ460" s="250"/>
    </row>
    <row r="461" spans="1:62" ht="15.75" customHeight="1">
      <c r="A461" t="s">
        <v>181</v>
      </c>
      <c r="B461" s="7"/>
      <c r="C461" s="519" t="s">
        <v>470</v>
      </c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339"/>
      <c r="V461" s="494" t="s">
        <v>181</v>
      </c>
      <c r="W461" s="290" t="s">
        <v>182</v>
      </c>
      <c r="X461" s="283"/>
      <c r="Y461" s="291"/>
      <c r="Z461" s="284">
        <v>0</v>
      </c>
      <c r="AA461" s="283"/>
      <c r="AB461" s="291"/>
      <c r="AC461" s="284">
        <v>0</v>
      </c>
      <c r="AD461" s="292"/>
      <c r="AE461" s="291"/>
      <c r="AF461" s="284">
        <v>0</v>
      </c>
      <c r="AG461" s="285"/>
      <c r="AH461" s="286">
        <v>0</v>
      </c>
      <c r="AI461" s="310">
        <v>0</v>
      </c>
      <c r="AJ461" s="283"/>
      <c r="AK461" s="283"/>
      <c r="AL461" s="284">
        <v>0</v>
      </c>
      <c r="AM461" s="288"/>
      <c r="AN461" s="286">
        <v>0</v>
      </c>
      <c r="AO461" s="293">
        <v>0</v>
      </c>
      <c r="AP461" s="250"/>
      <c r="AQ461" s="250"/>
      <c r="AR461" s="250"/>
      <c r="AS461" s="250"/>
      <c r="AT461" s="250"/>
      <c r="AU461" s="250"/>
      <c r="AV461" s="250"/>
      <c r="AW461" s="250"/>
      <c r="AX461" s="250"/>
      <c r="AY461" s="250"/>
      <c r="AZ461" s="250"/>
      <c r="BA461" s="250"/>
      <c r="BB461" s="250"/>
      <c r="BC461" s="250"/>
      <c r="BD461" s="250"/>
      <c r="BE461" s="250"/>
      <c r="BF461" s="250"/>
      <c r="BG461" s="250"/>
      <c r="BH461" s="250"/>
      <c r="BI461" s="250"/>
      <c r="BJ461" s="250"/>
    </row>
    <row r="462" spans="1:62" ht="15.75" hidden="1" customHeight="1">
      <c r="A462" t="s">
        <v>21</v>
      </c>
      <c r="B462" s="7"/>
      <c r="C462" s="519" t="s">
        <v>470</v>
      </c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339"/>
      <c r="V462" s="494" t="s">
        <v>21</v>
      </c>
      <c r="W462" s="290"/>
      <c r="X462" s="283"/>
      <c r="Y462" s="291"/>
      <c r="Z462" s="284">
        <f>IFERROR(SUMIF($C:$C,$V462,F:F),0)</f>
        <v>0</v>
      </c>
      <c r="AA462" s="283"/>
      <c r="AB462" s="283"/>
      <c r="AC462" s="284">
        <f>IFERROR(SUMIF($C:$C,$V462,I:I),0)</f>
        <v>0</v>
      </c>
      <c r="AD462" s="292"/>
      <c r="AE462" s="291"/>
      <c r="AF462" s="284">
        <f>IFERROR(SUMIF($C:$C,$V462,L:L),0)</f>
        <v>0</v>
      </c>
      <c r="AG462" s="285"/>
      <c r="AH462" s="286">
        <f t="shared" ref="AH462:AH464" si="149">AF462-AC462</f>
        <v>0</v>
      </c>
      <c r="AI462" s="287">
        <f t="shared" ref="AI462:AI464" si="150">IF(AC462=0,0,AH462/AC462)</f>
        <v>0</v>
      </c>
      <c r="AJ462" s="292"/>
      <c r="AK462" s="283"/>
      <c r="AL462" s="284">
        <f>IFERROR(SUMIF($C:$C,$V462,Q:Q),0)</f>
        <v>0</v>
      </c>
      <c r="AM462" s="288"/>
      <c r="AN462" s="286">
        <v>0</v>
      </c>
      <c r="AO462" s="293">
        <v>1</v>
      </c>
      <c r="AP462" s="250"/>
      <c r="AQ462" s="250"/>
      <c r="AR462" s="250"/>
      <c r="AS462" s="250"/>
      <c r="AT462" s="250"/>
      <c r="AU462" s="250"/>
      <c r="AV462" s="250"/>
      <c r="AW462" s="250"/>
      <c r="AX462" s="250"/>
      <c r="AY462" s="250"/>
      <c r="AZ462" s="250"/>
      <c r="BA462" s="250"/>
      <c r="BB462" s="250"/>
      <c r="BC462" s="250"/>
      <c r="BD462" s="250"/>
      <c r="BE462" s="250"/>
      <c r="BF462" s="250"/>
      <c r="BG462" s="250"/>
      <c r="BH462" s="250"/>
      <c r="BI462" s="250"/>
      <c r="BJ462" s="250"/>
    </row>
    <row r="463" spans="1:62" ht="15.75" hidden="1" customHeight="1">
      <c r="A463" t="s">
        <v>21</v>
      </c>
      <c r="B463" s="7"/>
      <c r="C463" s="519" t="s">
        <v>470</v>
      </c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339"/>
      <c r="V463" s="494" t="s">
        <v>21</v>
      </c>
      <c r="W463" s="290"/>
      <c r="X463" s="283"/>
      <c r="Y463" s="291"/>
      <c r="Z463" s="284">
        <f>IFERROR(SUMIF($C:$C,$V463,F:F),0)</f>
        <v>0</v>
      </c>
      <c r="AA463" s="283"/>
      <c r="AB463" s="283"/>
      <c r="AC463" s="284">
        <f>IFERROR(SUMIF($C:$C,$V463,I:I),0)</f>
        <v>0</v>
      </c>
      <c r="AD463" s="292"/>
      <c r="AE463" s="291"/>
      <c r="AF463" s="284">
        <f>IFERROR(SUMIF($C:$C,$V463,L:L),0)</f>
        <v>0</v>
      </c>
      <c r="AG463" s="285"/>
      <c r="AH463" s="286">
        <f t="shared" si="149"/>
        <v>0</v>
      </c>
      <c r="AI463" s="287">
        <f t="shared" si="150"/>
        <v>0</v>
      </c>
      <c r="AJ463" s="292"/>
      <c r="AK463" s="283"/>
      <c r="AL463" s="284">
        <f>IFERROR(SUMIF($C:$C,$V463,Q:Q),0)</f>
        <v>0</v>
      </c>
      <c r="AM463" s="288"/>
      <c r="AN463" s="286">
        <v>0</v>
      </c>
      <c r="AO463" s="293">
        <v>2</v>
      </c>
      <c r="AP463" s="250"/>
      <c r="AQ463" s="250"/>
      <c r="AR463" s="250"/>
      <c r="AS463" s="250"/>
      <c r="AT463" s="250"/>
      <c r="AU463" s="250"/>
      <c r="AV463" s="250"/>
      <c r="AW463" s="250"/>
      <c r="AX463" s="250"/>
      <c r="AY463" s="250"/>
      <c r="AZ463" s="250"/>
      <c r="BA463" s="250"/>
      <c r="BB463" s="250"/>
      <c r="BC463" s="250"/>
      <c r="BD463" s="250"/>
      <c r="BE463" s="250"/>
      <c r="BF463" s="250"/>
      <c r="BG463" s="250"/>
      <c r="BH463" s="250"/>
      <c r="BI463" s="250"/>
      <c r="BJ463" s="250"/>
    </row>
    <row r="464" spans="1:62" ht="15.75" hidden="1" customHeight="1">
      <c r="A464" t="s">
        <v>21</v>
      </c>
      <c r="B464" s="7"/>
      <c r="C464" s="519" t="s">
        <v>470</v>
      </c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494" t="s">
        <v>21</v>
      </c>
      <c r="W464" s="290"/>
      <c r="X464" s="283"/>
      <c r="Y464" s="291"/>
      <c r="Z464" s="284">
        <f>IFERROR(SUMIF($C:$C,$V464,F:F),0)</f>
        <v>0</v>
      </c>
      <c r="AA464" s="283"/>
      <c r="AB464" s="283"/>
      <c r="AC464" s="284">
        <f>IFERROR(SUMIF($C:$C,$V464,I:I),0)</f>
        <v>0</v>
      </c>
      <c r="AD464" s="292"/>
      <c r="AE464" s="291"/>
      <c r="AF464" s="284">
        <f>IFERROR(SUMIF($C:$C,$V464,L:L),0)</f>
        <v>0</v>
      </c>
      <c r="AG464" s="285"/>
      <c r="AH464" s="286">
        <f t="shared" si="149"/>
        <v>0</v>
      </c>
      <c r="AI464" s="287">
        <f t="shared" si="150"/>
        <v>0</v>
      </c>
      <c r="AJ464" s="292"/>
      <c r="AK464" s="283"/>
      <c r="AL464" s="284">
        <f>IFERROR(SUMIF($C:$C,$V464,Q:Q),0)</f>
        <v>0</v>
      </c>
      <c r="AM464" s="288"/>
      <c r="AN464" s="286">
        <v>0</v>
      </c>
      <c r="AO464" s="293">
        <v>3</v>
      </c>
      <c r="AP464" s="250"/>
      <c r="AQ464" s="250"/>
      <c r="AR464" s="250"/>
      <c r="AS464" s="250"/>
      <c r="AT464" s="250"/>
      <c r="AU464" s="250"/>
      <c r="AV464" s="250"/>
      <c r="AW464" s="250"/>
      <c r="AX464" s="250"/>
      <c r="AY464" s="250"/>
      <c r="AZ464" s="250"/>
      <c r="BA464" s="250"/>
      <c r="BB464" s="250"/>
      <c r="BC464" s="250"/>
      <c r="BD464" s="250"/>
      <c r="BE464" s="250"/>
      <c r="BF464" s="250"/>
      <c r="BG464" s="250"/>
      <c r="BH464" s="250"/>
      <c r="BI464" s="250"/>
      <c r="BJ464" s="250"/>
    </row>
    <row r="465" spans="1:62" ht="15.75" customHeight="1">
      <c r="A465" t="s">
        <v>183</v>
      </c>
      <c r="B465" s="7"/>
      <c r="C465" s="519" t="s">
        <v>470</v>
      </c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300" t="s">
        <v>183</v>
      </c>
      <c r="W465" s="301"/>
      <c r="X465" s="302">
        <f>Z465/+Z406</f>
        <v>7.1903768978142324E-2</v>
      </c>
      <c r="Y465" s="301"/>
      <c r="Z465" s="303">
        <f>SUM(Z452:Z464)</f>
        <v>48861.637958333333</v>
      </c>
      <c r="AA465" s="302">
        <f>AC465/+AC406</f>
        <v>7.1903768978142324E-2</v>
      </c>
      <c r="AB465" s="301"/>
      <c r="AC465" s="303">
        <f>SUM(AC452:AC464)</f>
        <v>48861.637958333333</v>
      </c>
      <c r="AD465" s="304">
        <f>AF465/AF406</f>
        <v>6.860868019669332E-2</v>
      </c>
      <c r="AE465" s="301"/>
      <c r="AF465" s="303">
        <f>SUM(AF452:AF464)</f>
        <v>47977.2</v>
      </c>
      <c r="AG465" s="312"/>
      <c r="AH465" s="530">
        <f>SUM(AH452:AH464)</f>
        <v>-884.43795833333138</v>
      </c>
      <c r="AI465" s="531">
        <f>IF(AC465=0,0,AH465/AC465)</f>
        <v>-1.8100865940833464E-2</v>
      </c>
      <c r="AJ465" s="304">
        <f>IF($AL$406=0,0,AL465/$AL$406)</f>
        <v>7.7093525001109942E-2</v>
      </c>
      <c r="AK465" s="302"/>
      <c r="AL465" s="303">
        <f>SUM(AL452:AL464)</f>
        <v>47039.81</v>
      </c>
      <c r="AM465" s="313"/>
      <c r="AN465" s="306">
        <f>SUM(AN452:AN464)</f>
        <v>937.38999999999987</v>
      </c>
      <c r="AO465" s="336">
        <f>IF(AL465=0,0,AN465/AL465)</f>
        <v>1.9927588993237853E-2</v>
      </c>
      <c r="AP465" s="250"/>
      <c r="AQ465" s="250"/>
      <c r="AR465" s="250"/>
      <c r="AS465" s="250"/>
      <c r="AT465" s="250"/>
      <c r="AU465" s="250"/>
      <c r="AV465" s="250"/>
      <c r="AW465" s="250"/>
      <c r="AX465" s="250"/>
      <c r="AY465" s="250"/>
      <c r="AZ465" s="250"/>
      <c r="BA465" s="250"/>
      <c r="BB465" s="250"/>
      <c r="BC465" s="250"/>
      <c r="BD465" s="250"/>
      <c r="BE465" s="250"/>
      <c r="BF465" s="250"/>
      <c r="BG465" s="250"/>
      <c r="BH465" s="250"/>
      <c r="BI465" s="250"/>
      <c r="BJ465" s="250"/>
    </row>
    <row r="466" spans="1:62" ht="15.75" customHeight="1">
      <c r="A466" t="s">
        <v>472</v>
      </c>
      <c r="B466" s="7"/>
      <c r="C466" s="519" t="s">
        <v>470</v>
      </c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494"/>
      <c r="W466" s="283"/>
      <c r="X466" s="283"/>
      <c r="Y466" s="283"/>
      <c r="Z466" s="342"/>
      <c r="AA466" s="283"/>
      <c r="AB466" s="283"/>
      <c r="AC466" s="342"/>
      <c r="AD466" s="292"/>
      <c r="AE466" s="283"/>
      <c r="AF466" s="342"/>
      <c r="AG466" s="292"/>
      <c r="AH466" s="286">
        <f t="shared" ref="AH466:AH480" si="151">AF466-AC466</f>
        <v>0</v>
      </c>
      <c r="AI466" s="287"/>
      <c r="AJ466" s="292"/>
      <c r="AK466" s="283"/>
      <c r="AL466" s="342"/>
      <c r="AM466" s="343"/>
      <c r="AN466" s="286">
        <f t="shared" ref="AN466:AN482" si="152">AF466-AL466</f>
        <v>0</v>
      </c>
      <c r="AO466" s="344">
        <f>IF(AL466=0,0,AN466/AL466)</f>
        <v>0</v>
      </c>
      <c r="AP466" s="250"/>
      <c r="AQ466" s="250"/>
      <c r="AR466" s="250"/>
      <c r="AS466" s="250"/>
      <c r="AT466" s="250"/>
      <c r="AU466" s="250"/>
      <c r="AV466" s="250"/>
      <c r="AW466" s="250"/>
      <c r="AX466" s="250"/>
      <c r="AY466" s="250"/>
      <c r="AZ466" s="250"/>
      <c r="BA466" s="250"/>
      <c r="BB466" s="250"/>
      <c r="BC466" s="250"/>
      <c r="BD466" s="250"/>
      <c r="BE466" s="250"/>
      <c r="BF466" s="250"/>
      <c r="BG466" s="250"/>
      <c r="BH466" s="250"/>
      <c r="BI466" s="250"/>
      <c r="BJ466" s="250"/>
    </row>
    <row r="467" spans="1:62" ht="15.75" customHeight="1">
      <c r="A467" t="s">
        <v>66</v>
      </c>
      <c r="B467" s="7"/>
      <c r="C467" s="519" t="s">
        <v>470</v>
      </c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300" t="s">
        <v>66</v>
      </c>
      <c r="W467" s="301"/>
      <c r="X467" s="302">
        <f>Z467/+Z406</f>
        <v>0.891065255468934</v>
      </c>
      <c r="Y467" s="301"/>
      <c r="Z467" s="303">
        <f>Z418+Z432+Z451+Z465</f>
        <v>605516.3523237292</v>
      </c>
      <c r="AA467" s="302">
        <f>AC467/+AC406</f>
        <v>0.891065255468934</v>
      </c>
      <c r="AB467" s="301"/>
      <c r="AC467" s="303">
        <f>AC418+AC432+AC451+AC465</f>
        <v>605516.3523237292</v>
      </c>
      <c r="AD467" s="304">
        <f>AF467/AF406</f>
        <v>0.88721348859591553</v>
      </c>
      <c r="AE467" s="301"/>
      <c r="AF467" s="303">
        <f>AF418+AF432+AF451+AF465</f>
        <v>620417.39999999991</v>
      </c>
      <c r="AG467" s="312"/>
      <c r="AH467" s="306">
        <f t="shared" si="151"/>
        <v>14901.047676270711</v>
      </c>
      <c r="AI467" s="302">
        <f>AH467/AC467</f>
        <v>2.4608827852602922E-2</v>
      </c>
      <c r="AJ467" s="304">
        <f>IF($AL$406=0,0,AL467/$AL$406)</f>
        <v>0.87914313609761396</v>
      </c>
      <c r="AK467" s="302"/>
      <c r="AL467" s="303">
        <f>AL418+AL432+AL451+AL465</f>
        <v>536422.82000000007</v>
      </c>
      <c r="AM467" s="313"/>
      <c r="AN467" s="306">
        <f t="shared" si="152"/>
        <v>83994.579999999842</v>
      </c>
      <c r="AO467" s="281">
        <f>IF(AL467=0,0,AN467/AL467)</f>
        <v>0.15658278669054354</v>
      </c>
      <c r="AP467" s="250"/>
      <c r="AQ467" s="250"/>
      <c r="AR467" s="250"/>
      <c r="AS467" s="250"/>
      <c r="AT467" s="250"/>
      <c r="AU467" s="250"/>
      <c r="AV467" s="250"/>
      <c r="AW467" s="250"/>
      <c r="AX467" s="250"/>
      <c r="AY467" s="250"/>
      <c r="AZ467" s="250"/>
      <c r="BA467" s="250"/>
      <c r="BB467" s="250"/>
      <c r="BC467" s="250"/>
      <c r="BD467" s="250"/>
      <c r="BE467" s="250"/>
      <c r="BF467" s="250"/>
      <c r="BG467" s="250"/>
      <c r="BH467" s="250"/>
      <c r="BI467" s="250"/>
      <c r="BJ467" s="250"/>
    </row>
    <row r="468" spans="1:62" ht="15.75" customHeight="1">
      <c r="A468" t="s">
        <v>184</v>
      </c>
      <c r="B468" s="7"/>
      <c r="C468" s="519" t="s">
        <v>470</v>
      </c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494" t="s">
        <v>184</v>
      </c>
      <c r="W468" s="338"/>
      <c r="X468" s="338"/>
      <c r="Y468" s="283"/>
      <c r="Z468" s="317">
        <v>1091.5</v>
      </c>
      <c r="AA468" s="345"/>
      <c r="AB468" s="346"/>
      <c r="AC468" s="317">
        <v>1091.5</v>
      </c>
      <c r="AD468" s="347"/>
      <c r="AE468" s="346"/>
      <c r="AF468" s="284">
        <v>69252.02</v>
      </c>
      <c r="AG468" s="348"/>
      <c r="AH468" s="286">
        <f t="shared" si="151"/>
        <v>68160.52</v>
      </c>
      <c r="AI468" s="340">
        <f t="shared" ref="AI468:AI475" si="153">IF(AH468=0,0,AH468/AC468)</f>
        <v>62.446651397159876</v>
      </c>
      <c r="AJ468" s="347"/>
      <c r="AK468" s="345"/>
      <c r="AL468" s="349">
        <v>1082.47</v>
      </c>
      <c r="AM468" s="350"/>
      <c r="AN468" s="286">
        <f t="shared" si="152"/>
        <v>68169.55</v>
      </c>
      <c r="AO468" s="293">
        <f>IF(AL468=0,0,AN468/AL468)</f>
        <v>62.975925429804057</v>
      </c>
      <c r="AP468" s="250"/>
      <c r="AQ468" s="250"/>
      <c r="AR468" s="250"/>
      <c r="AS468" s="250"/>
      <c r="AT468" s="250"/>
      <c r="AU468" s="250"/>
      <c r="AV468" s="250"/>
      <c r="AW468" s="250"/>
      <c r="AX468" s="250"/>
      <c r="AY468" s="250"/>
      <c r="AZ468" s="250"/>
      <c r="BA468" s="250"/>
      <c r="BB468" s="250"/>
      <c r="BC468" s="250"/>
      <c r="BD468" s="250"/>
      <c r="BE468" s="250"/>
      <c r="BF468" s="250"/>
      <c r="BG468" s="250"/>
      <c r="BH468" s="250"/>
      <c r="BI468" s="250"/>
      <c r="BJ468" s="250"/>
    </row>
    <row r="469" spans="1:62" ht="18">
      <c r="A469" t="s">
        <v>70</v>
      </c>
      <c r="B469" s="7"/>
      <c r="C469" s="519" t="s">
        <v>470</v>
      </c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494" t="s">
        <v>70</v>
      </c>
      <c r="W469" s="283"/>
      <c r="X469" s="283"/>
      <c r="Y469" s="283"/>
      <c r="Z469" s="284">
        <f t="shared" ref="Z469:Z475" si="154">+SUMIF($C:$C,$V469,F:F)</f>
        <v>88914.009849397567</v>
      </c>
      <c r="AA469" s="337"/>
      <c r="AB469" s="286"/>
      <c r="AC469" s="284">
        <f t="shared" ref="AC469:AC475" si="155">+SUMIF($C:$C,$V469,I:I)</f>
        <v>88914.009849397567</v>
      </c>
      <c r="AD469" s="354"/>
      <c r="AE469" s="532"/>
      <c r="AF469" s="284">
        <f t="shared" ref="AF469:AF475" si="156">+SUMIF($C:$C,$V469,L:L)</f>
        <v>69130</v>
      </c>
      <c r="AG469" s="352"/>
      <c r="AH469" s="286">
        <f t="shared" si="151"/>
        <v>-19784.009849397567</v>
      </c>
      <c r="AI469" s="310">
        <f>IF(AC469=0,0,AH469/AC469)</f>
        <v>-0.22250722785877836</v>
      </c>
      <c r="AJ469" s="351"/>
      <c r="AK469" s="337"/>
      <c r="AL469" s="353">
        <f t="shared" ref="AL469:AL475" si="157">+SUMIF($C:$C,$V469,Q:Q)</f>
        <v>37897</v>
      </c>
      <c r="AM469" s="354"/>
      <c r="AN469" s="286">
        <f t="shared" si="152"/>
        <v>31233</v>
      </c>
      <c r="AO469" s="293">
        <f>IF(AL469=0,0,AN469/AL469)</f>
        <v>0.82415494630181807</v>
      </c>
      <c r="AP469" s="250"/>
      <c r="AQ469" s="250"/>
      <c r="AR469" s="250"/>
      <c r="AS469" s="250"/>
      <c r="AT469" s="250"/>
      <c r="AU469" s="250"/>
      <c r="AV469" s="250"/>
      <c r="AW469" s="250"/>
      <c r="AX469" s="250"/>
      <c r="AY469" s="250"/>
      <c r="AZ469" s="250"/>
      <c r="BA469" s="250"/>
      <c r="BB469" s="250"/>
      <c r="BC469" s="250"/>
      <c r="BD469" s="250"/>
      <c r="BE469" s="250"/>
      <c r="BF469" s="250"/>
      <c r="BG469" s="250"/>
      <c r="BH469" s="250"/>
      <c r="BI469" s="250"/>
      <c r="BJ469" s="250"/>
    </row>
    <row r="470" spans="1:62" ht="15.75" customHeight="1">
      <c r="A470" t="s">
        <v>200</v>
      </c>
      <c r="B470" s="7"/>
      <c r="C470" s="519" t="s">
        <v>470</v>
      </c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494" t="s">
        <v>200</v>
      </c>
      <c r="W470" s="283"/>
      <c r="X470" s="283"/>
      <c r="Y470" s="283"/>
      <c r="Z470" s="284">
        <f t="shared" si="154"/>
        <v>0</v>
      </c>
      <c r="AA470" s="337"/>
      <c r="AB470" s="338"/>
      <c r="AC470" s="284">
        <f t="shared" si="155"/>
        <v>0</v>
      </c>
      <c r="AD470" s="351"/>
      <c r="AF470" s="284">
        <f t="shared" si="156"/>
        <v>0</v>
      </c>
      <c r="AG470" s="352"/>
      <c r="AH470" s="286">
        <f t="shared" si="151"/>
        <v>0</v>
      </c>
      <c r="AI470" s="310">
        <f t="shared" si="153"/>
        <v>0</v>
      </c>
      <c r="AJ470" s="351"/>
      <c r="AK470" s="337"/>
      <c r="AL470" s="353">
        <f t="shared" si="157"/>
        <v>20000</v>
      </c>
      <c r="AM470" s="354"/>
      <c r="AN470" s="286">
        <f t="shared" si="152"/>
        <v>-20000</v>
      </c>
      <c r="AO470" s="293">
        <f t="shared" ref="AO470:AO479" si="158">IF(AL470=0,0,AN470/AL470)</f>
        <v>-1</v>
      </c>
      <c r="AP470" s="250"/>
      <c r="AQ470" s="250"/>
      <c r="AR470" s="250"/>
      <c r="AS470" s="250"/>
      <c r="AT470" s="250"/>
      <c r="AU470" s="250"/>
      <c r="AV470" s="250"/>
      <c r="AW470" s="250"/>
      <c r="AX470" s="250"/>
      <c r="AY470" s="250"/>
      <c r="AZ470" s="250"/>
      <c r="BA470" s="250"/>
      <c r="BB470" s="250"/>
      <c r="BC470" s="250"/>
      <c r="BD470" s="250"/>
      <c r="BE470" s="250"/>
      <c r="BF470" s="250"/>
      <c r="BG470" s="250"/>
      <c r="BH470" s="250"/>
      <c r="BI470" s="250"/>
      <c r="BJ470" s="250"/>
    </row>
    <row r="471" spans="1:62" ht="15.75" customHeight="1">
      <c r="A471" t="s">
        <v>197</v>
      </c>
      <c r="B471" s="7"/>
      <c r="C471" s="519" t="s">
        <v>470</v>
      </c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494" t="s">
        <v>197</v>
      </c>
      <c r="W471" s="283"/>
      <c r="X471" s="283"/>
      <c r="Y471" s="283"/>
      <c r="Z471" s="284">
        <f t="shared" si="154"/>
        <v>0</v>
      </c>
      <c r="AA471" s="337"/>
      <c r="AB471" s="338"/>
      <c r="AC471" s="284">
        <f t="shared" si="155"/>
        <v>0</v>
      </c>
      <c r="AD471" s="351"/>
      <c r="AE471" s="338"/>
      <c r="AF471" s="284">
        <f t="shared" si="156"/>
        <v>0</v>
      </c>
      <c r="AG471" s="352"/>
      <c r="AH471" s="286">
        <f t="shared" si="151"/>
        <v>0</v>
      </c>
      <c r="AI471" s="310">
        <f t="shared" si="153"/>
        <v>0</v>
      </c>
      <c r="AJ471" s="351"/>
      <c r="AK471" s="337"/>
      <c r="AL471" s="353">
        <f t="shared" si="157"/>
        <v>0</v>
      </c>
      <c r="AM471" s="354"/>
      <c r="AN471" s="286">
        <f t="shared" si="152"/>
        <v>0</v>
      </c>
      <c r="AO471" s="293">
        <f t="shared" si="158"/>
        <v>0</v>
      </c>
      <c r="AP471" s="250"/>
      <c r="AQ471" s="250"/>
      <c r="AR471" s="250"/>
      <c r="AS471" s="250"/>
      <c r="AT471" s="250"/>
      <c r="AU471" s="250"/>
      <c r="AV471" s="250"/>
      <c r="AW471" s="250"/>
      <c r="AX471" s="250"/>
      <c r="AY471" s="250"/>
      <c r="AZ471" s="250"/>
      <c r="BA471" s="250"/>
      <c r="BB471" s="250"/>
      <c r="BC471" s="250"/>
      <c r="BD471" s="250"/>
      <c r="BE471" s="250"/>
      <c r="BF471" s="250"/>
      <c r="BG471" s="250"/>
      <c r="BH471" s="250"/>
      <c r="BI471" s="250"/>
      <c r="BJ471" s="250"/>
    </row>
    <row r="472" spans="1:62" ht="15.75" customHeight="1">
      <c r="A472" t="s">
        <v>69</v>
      </c>
      <c r="B472" s="7"/>
      <c r="C472" s="519" t="s">
        <v>470</v>
      </c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494" t="s">
        <v>69</v>
      </c>
      <c r="W472" s="283"/>
      <c r="X472" s="283"/>
      <c r="Y472" s="283"/>
      <c r="Z472" s="284">
        <f t="shared" si="154"/>
        <v>0</v>
      </c>
      <c r="AA472" s="337"/>
      <c r="AB472" s="338"/>
      <c r="AC472" s="284">
        <f t="shared" si="155"/>
        <v>0</v>
      </c>
      <c r="AD472" s="351"/>
      <c r="AE472" s="338"/>
      <c r="AF472" s="284">
        <f t="shared" si="156"/>
        <v>0</v>
      </c>
      <c r="AG472" s="352"/>
      <c r="AH472" s="286">
        <f t="shared" si="151"/>
        <v>0</v>
      </c>
      <c r="AI472" s="310">
        <f t="shared" si="153"/>
        <v>0</v>
      </c>
      <c r="AJ472" s="351"/>
      <c r="AK472" s="337"/>
      <c r="AL472" s="353">
        <f t="shared" si="157"/>
        <v>0</v>
      </c>
      <c r="AM472" s="354"/>
      <c r="AN472" s="286">
        <f t="shared" si="152"/>
        <v>0</v>
      </c>
      <c r="AO472" s="293">
        <f t="shared" si="158"/>
        <v>0</v>
      </c>
      <c r="AP472" s="250"/>
      <c r="AQ472" s="250"/>
      <c r="AR472" s="250"/>
      <c r="AS472" s="250"/>
      <c r="AT472" s="250"/>
      <c r="AU472" s="250"/>
      <c r="AV472" s="250"/>
      <c r="AW472" s="250"/>
      <c r="AX472" s="250"/>
      <c r="AY472" s="250"/>
      <c r="AZ472" s="250"/>
      <c r="BA472" s="250"/>
      <c r="BB472" s="250"/>
      <c r="BC472" s="250"/>
      <c r="BD472" s="250"/>
      <c r="BE472" s="250"/>
      <c r="BF472" s="250"/>
      <c r="BG472" s="250"/>
      <c r="BH472" s="250"/>
      <c r="BI472" s="250"/>
      <c r="BJ472" s="250"/>
    </row>
    <row r="473" spans="1:62" ht="15.75" customHeight="1">
      <c r="A473" t="s">
        <v>215</v>
      </c>
      <c r="B473" s="7"/>
      <c r="C473" s="519" t="s">
        <v>470</v>
      </c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494" t="s">
        <v>215</v>
      </c>
      <c r="W473" s="283"/>
      <c r="X473" s="283"/>
      <c r="Y473" s="283"/>
      <c r="Z473" s="284">
        <f t="shared" si="154"/>
        <v>0</v>
      </c>
      <c r="AA473" s="337"/>
      <c r="AB473" s="338"/>
      <c r="AC473" s="284">
        <f t="shared" si="155"/>
        <v>0</v>
      </c>
      <c r="AD473" s="351"/>
      <c r="AE473" s="338"/>
      <c r="AF473" s="284">
        <f t="shared" si="156"/>
        <v>0</v>
      </c>
      <c r="AG473" s="352"/>
      <c r="AH473" s="286">
        <f t="shared" si="151"/>
        <v>0</v>
      </c>
      <c r="AI473" s="310">
        <f t="shared" si="153"/>
        <v>0</v>
      </c>
      <c r="AJ473" s="351"/>
      <c r="AK473" s="337"/>
      <c r="AL473" s="353">
        <f t="shared" si="157"/>
        <v>0</v>
      </c>
      <c r="AM473" s="354"/>
      <c r="AN473" s="286">
        <f t="shared" si="152"/>
        <v>0</v>
      </c>
      <c r="AO473" s="293">
        <f t="shared" si="158"/>
        <v>0</v>
      </c>
      <c r="AP473" s="250"/>
      <c r="AQ473" s="250"/>
      <c r="AR473" s="250"/>
      <c r="AS473" s="250"/>
      <c r="AT473" s="250"/>
      <c r="AU473" s="250"/>
      <c r="AV473" s="250"/>
      <c r="AW473" s="250"/>
      <c r="AX473" s="250"/>
      <c r="AY473" s="250"/>
      <c r="AZ473" s="250"/>
      <c r="BA473" s="250"/>
      <c r="BB473" s="250"/>
      <c r="BC473" s="250"/>
      <c r="BD473" s="250"/>
      <c r="BE473" s="250"/>
      <c r="BF473" s="250"/>
      <c r="BG473" s="250"/>
      <c r="BH473" s="250"/>
      <c r="BI473" s="250"/>
      <c r="BJ473" s="250"/>
    </row>
    <row r="474" spans="1:62" ht="15.75" customHeight="1">
      <c r="A474" t="s">
        <v>82</v>
      </c>
      <c r="B474" s="7"/>
      <c r="C474" s="519" t="s">
        <v>470</v>
      </c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494" t="s">
        <v>82</v>
      </c>
      <c r="W474" s="283"/>
      <c r="X474" s="283"/>
      <c r="Y474" s="283"/>
      <c r="Z474" s="284">
        <f t="shared" si="154"/>
        <v>0</v>
      </c>
      <c r="AA474" s="337"/>
      <c r="AB474" s="338"/>
      <c r="AC474" s="284">
        <f t="shared" si="155"/>
        <v>0</v>
      </c>
      <c r="AD474" s="351"/>
      <c r="AE474" s="338"/>
      <c r="AF474" s="284">
        <f t="shared" si="156"/>
        <v>0</v>
      </c>
      <c r="AG474" s="352"/>
      <c r="AH474" s="286">
        <f t="shared" si="151"/>
        <v>0</v>
      </c>
      <c r="AI474" s="310">
        <f t="shared" si="153"/>
        <v>0</v>
      </c>
      <c r="AJ474" s="351"/>
      <c r="AK474" s="337"/>
      <c r="AL474" s="353">
        <f t="shared" si="157"/>
        <v>0</v>
      </c>
      <c r="AM474" s="354"/>
      <c r="AN474" s="286">
        <f t="shared" si="152"/>
        <v>0</v>
      </c>
      <c r="AO474" s="293">
        <f t="shared" si="158"/>
        <v>0</v>
      </c>
      <c r="AP474" s="250"/>
      <c r="AQ474" s="250"/>
      <c r="AR474" s="250"/>
      <c r="AS474" s="250"/>
      <c r="AT474" s="250"/>
      <c r="AU474" s="250"/>
      <c r="AV474" s="250"/>
      <c r="AW474" s="250"/>
      <c r="AX474" s="250"/>
      <c r="AY474" s="250"/>
      <c r="AZ474" s="250"/>
      <c r="BA474" s="250"/>
      <c r="BB474" s="250"/>
      <c r="BC474" s="250"/>
      <c r="BD474" s="250"/>
      <c r="BE474" s="250"/>
      <c r="BF474" s="250"/>
      <c r="BG474" s="250"/>
      <c r="BH474" s="250"/>
      <c r="BI474" s="250"/>
      <c r="BJ474" s="250"/>
    </row>
    <row r="475" spans="1:62" ht="15.75" customHeight="1">
      <c r="A475" t="s">
        <v>83</v>
      </c>
      <c r="B475" s="7"/>
      <c r="C475" s="519" t="s">
        <v>470</v>
      </c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494" t="s">
        <v>83</v>
      </c>
      <c r="W475" s="283"/>
      <c r="X475" s="283"/>
      <c r="Y475" s="283"/>
      <c r="Z475" s="284">
        <f t="shared" si="154"/>
        <v>0</v>
      </c>
      <c r="AA475" s="337"/>
      <c r="AB475" s="338"/>
      <c r="AC475" s="284">
        <f t="shared" si="155"/>
        <v>0</v>
      </c>
      <c r="AD475" s="351"/>
      <c r="AE475" s="338"/>
      <c r="AF475" s="284">
        <f t="shared" si="156"/>
        <v>0</v>
      </c>
      <c r="AG475" s="352"/>
      <c r="AH475" s="286">
        <f t="shared" si="151"/>
        <v>0</v>
      </c>
      <c r="AI475" s="310">
        <f t="shared" si="153"/>
        <v>0</v>
      </c>
      <c r="AJ475" s="351"/>
      <c r="AK475" s="337"/>
      <c r="AL475" s="353">
        <f t="shared" si="157"/>
        <v>0</v>
      </c>
      <c r="AM475" s="354"/>
      <c r="AN475" s="286">
        <f t="shared" si="152"/>
        <v>0</v>
      </c>
      <c r="AO475" s="293">
        <f t="shared" si="158"/>
        <v>0</v>
      </c>
      <c r="AP475" s="250"/>
      <c r="AQ475" s="250"/>
      <c r="AR475" s="250"/>
      <c r="AS475" s="250"/>
      <c r="AT475" s="250"/>
      <c r="AU475" s="250"/>
      <c r="AV475" s="250"/>
      <c r="AW475" s="250"/>
      <c r="AX475" s="250"/>
      <c r="AY475" s="250"/>
      <c r="AZ475" s="250"/>
      <c r="BA475" s="250"/>
      <c r="BB475" s="250"/>
      <c r="BC475" s="250"/>
      <c r="BD475" s="250"/>
      <c r="BE475" s="250"/>
      <c r="BF475" s="250"/>
      <c r="BG475" s="250"/>
      <c r="BH475" s="250"/>
      <c r="BI475" s="250"/>
      <c r="BJ475" s="250"/>
    </row>
    <row r="476" spans="1:62" ht="15.75" hidden="1" customHeight="1">
      <c r="A476" t="s">
        <v>21</v>
      </c>
      <c r="B476" s="7"/>
      <c r="C476" s="519" t="s">
        <v>470</v>
      </c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494" t="s">
        <v>21</v>
      </c>
      <c r="W476" s="283"/>
      <c r="X476" s="283"/>
      <c r="Y476" s="283"/>
      <c r="Z476" s="284">
        <f>IFERROR(SUMIF($C:$C,$V476,F:F),0)</f>
        <v>0</v>
      </c>
      <c r="AA476" s="283"/>
      <c r="AB476" s="283"/>
      <c r="AC476" s="284">
        <f>IFERROR(SUMIF($C:$C,$V476,I:I),0)</f>
        <v>0</v>
      </c>
      <c r="AD476" s="292"/>
      <c r="AE476" s="291"/>
      <c r="AF476" s="284">
        <f>IFERROR(SUMIF($C:$C,$V476,L:L),0)</f>
        <v>0</v>
      </c>
      <c r="AG476" s="285"/>
      <c r="AH476" s="286">
        <f t="shared" si="151"/>
        <v>0</v>
      </c>
      <c r="AI476" s="287">
        <f t="shared" ref="AI476:AI478" si="159">IF(AC476=0,0,AH476/AC476)</f>
        <v>0</v>
      </c>
      <c r="AJ476" s="292"/>
      <c r="AK476" s="283"/>
      <c r="AL476" s="284">
        <f>IFERROR(SUMIF($C:$C,$V476,Q:Q),0)</f>
        <v>0</v>
      </c>
      <c r="AM476" s="354"/>
      <c r="AN476" s="286">
        <f t="shared" si="152"/>
        <v>0</v>
      </c>
      <c r="AO476" s="293">
        <f t="shared" si="158"/>
        <v>0</v>
      </c>
      <c r="AP476" s="250"/>
      <c r="AQ476" s="250"/>
      <c r="AR476" s="250"/>
      <c r="AS476" s="250"/>
      <c r="AT476" s="250"/>
      <c r="AU476" s="250"/>
      <c r="AV476" s="250"/>
      <c r="AW476" s="250"/>
      <c r="AX476" s="250"/>
      <c r="AY476" s="250"/>
      <c r="AZ476" s="250"/>
      <c r="BA476" s="250"/>
      <c r="BB476" s="250"/>
      <c r="BC476" s="250"/>
      <c r="BD476" s="250"/>
      <c r="BE476" s="250"/>
      <c r="BF476" s="250"/>
      <c r="BG476" s="250"/>
      <c r="BH476" s="250"/>
      <c r="BI476" s="250"/>
      <c r="BJ476" s="250"/>
    </row>
    <row r="477" spans="1:62" ht="15.75" hidden="1" customHeight="1">
      <c r="A477" t="s">
        <v>21</v>
      </c>
      <c r="B477" s="7"/>
      <c r="C477" s="519" t="s">
        <v>470</v>
      </c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494" t="s">
        <v>21</v>
      </c>
      <c r="W477" s="283"/>
      <c r="X477" s="283"/>
      <c r="Y477" s="283"/>
      <c r="Z477" s="284">
        <f>IFERROR(SUMIF($C:$C,$V477,F:F),0)</f>
        <v>0</v>
      </c>
      <c r="AA477" s="283"/>
      <c r="AB477" s="283"/>
      <c r="AC477" s="284">
        <f>IFERROR(SUMIF($C:$C,$V477,I:I),0)</f>
        <v>0</v>
      </c>
      <c r="AD477" s="292"/>
      <c r="AE477" s="291"/>
      <c r="AF477" s="284">
        <f>IFERROR(SUMIF($C:$C,$V477,L:L),0)</f>
        <v>0</v>
      </c>
      <c r="AG477" s="285"/>
      <c r="AH477" s="286">
        <f t="shared" si="151"/>
        <v>0</v>
      </c>
      <c r="AI477" s="287">
        <f t="shared" si="159"/>
        <v>0</v>
      </c>
      <c r="AJ477" s="292"/>
      <c r="AK477" s="283"/>
      <c r="AL477" s="284">
        <f>IFERROR(SUMIF($C:$C,$V477,Q:Q),0)</f>
        <v>0</v>
      </c>
      <c r="AM477" s="354"/>
      <c r="AN477" s="286">
        <f t="shared" si="152"/>
        <v>0</v>
      </c>
      <c r="AO477" s="293">
        <f t="shared" si="158"/>
        <v>0</v>
      </c>
      <c r="AP477" s="250"/>
      <c r="AQ477" s="250"/>
      <c r="AR477" s="250"/>
      <c r="AS477" s="250"/>
      <c r="AT477" s="250"/>
      <c r="AU477" s="250"/>
      <c r="AV477" s="250"/>
      <c r="AW477" s="250"/>
      <c r="AX477" s="250"/>
      <c r="AY477" s="250"/>
      <c r="AZ477" s="250"/>
      <c r="BA477" s="250"/>
      <c r="BB477" s="250"/>
      <c r="BC477" s="250"/>
      <c r="BD477" s="250"/>
      <c r="BE477" s="250"/>
      <c r="BF477" s="250"/>
      <c r="BG477" s="250"/>
      <c r="BH477" s="250"/>
      <c r="BI477" s="250"/>
      <c r="BJ477" s="250"/>
    </row>
    <row r="478" spans="1:62" ht="15.75" hidden="1" customHeight="1">
      <c r="A478" t="s">
        <v>21</v>
      </c>
      <c r="B478" s="7"/>
      <c r="C478" s="519" t="s">
        <v>470</v>
      </c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494" t="s">
        <v>21</v>
      </c>
      <c r="W478" s="283"/>
      <c r="X478" s="283"/>
      <c r="Y478" s="283"/>
      <c r="Z478" s="284">
        <f>IFERROR(SUMIF($C:$C,$V478,F:F),0)</f>
        <v>0</v>
      </c>
      <c r="AA478" s="283"/>
      <c r="AB478" s="283"/>
      <c r="AC478" s="284">
        <f>IFERROR(SUMIF($C:$C,$V478,I:I),0)</f>
        <v>0</v>
      </c>
      <c r="AD478" s="292"/>
      <c r="AE478" s="291"/>
      <c r="AF478" s="284">
        <f>IFERROR(SUMIF($C:$C,$V478,L:L),0)</f>
        <v>0</v>
      </c>
      <c r="AG478" s="285"/>
      <c r="AH478" s="286">
        <f t="shared" si="151"/>
        <v>0</v>
      </c>
      <c r="AI478" s="287">
        <f t="shared" si="159"/>
        <v>0</v>
      </c>
      <c r="AJ478" s="292"/>
      <c r="AK478" s="283"/>
      <c r="AL478" s="284">
        <f>IFERROR(SUMIF($C:$C,$V478,Q:Q),0)</f>
        <v>0</v>
      </c>
      <c r="AM478" s="354"/>
      <c r="AN478" s="286">
        <f t="shared" si="152"/>
        <v>0</v>
      </c>
      <c r="AO478" s="293">
        <f t="shared" si="158"/>
        <v>0</v>
      </c>
      <c r="AP478" s="250"/>
      <c r="AQ478" s="250"/>
      <c r="AR478" s="250"/>
      <c r="AS478" s="250"/>
      <c r="AT478" s="250"/>
      <c r="AU478" s="250"/>
      <c r="AV478" s="250"/>
      <c r="AW478" s="250"/>
      <c r="AX478" s="250"/>
      <c r="AY478" s="250"/>
      <c r="AZ478" s="250"/>
      <c r="BA478" s="250"/>
      <c r="BB478" s="250"/>
      <c r="BC478" s="250"/>
      <c r="BD478" s="250"/>
      <c r="BE478" s="250"/>
      <c r="BF478" s="250"/>
      <c r="BG478" s="250"/>
      <c r="BH478" s="250"/>
      <c r="BI478" s="250"/>
      <c r="BJ478" s="250"/>
    </row>
    <row r="479" spans="1:62" ht="15.75" customHeight="1">
      <c r="A479" t="s">
        <v>71</v>
      </c>
      <c r="B479" s="7"/>
      <c r="C479" s="519" t="s">
        <v>470</v>
      </c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106" t="s">
        <v>71</v>
      </c>
      <c r="W479" s="283"/>
      <c r="X479" s="283"/>
      <c r="Y479" s="283"/>
      <c r="Z479" s="284">
        <f>+SUMIF($C:$C,$V479,F:F)</f>
        <v>46931.374837299198</v>
      </c>
      <c r="AA479" s="337"/>
      <c r="AB479" s="338"/>
      <c r="AC479" s="284">
        <f>+SUMIF($C:$C,$V479,I:I)</f>
        <v>46931.374837299198</v>
      </c>
      <c r="AD479" s="533">
        <f>AF479/399</f>
        <v>86.629072681704258</v>
      </c>
      <c r="AE479" s="534">
        <f>(AF479/399)/(J13+J15+J96)</f>
        <v>0.94162035523591581</v>
      </c>
      <c r="AF479" s="284">
        <f>+SUMIF($C:$C,$V479,L:L)</f>
        <v>34565</v>
      </c>
      <c r="AG479" s="352"/>
      <c r="AH479" s="286">
        <f t="shared" si="151"/>
        <v>-12366.374837299198</v>
      </c>
      <c r="AI479" s="310">
        <f>IF(AH479=0,0,AH479/AC479)</f>
        <v>-0.263499095864349</v>
      </c>
      <c r="AJ479" s="351"/>
      <c r="AK479" s="337"/>
      <c r="AL479" s="353">
        <f>+SUMIF($C:$C,$V479,Q:Q)</f>
        <v>34411</v>
      </c>
      <c r="AM479" s="354"/>
      <c r="AN479" s="286">
        <f t="shared" si="152"/>
        <v>154</v>
      </c>
      <c r="AO479" s="293">
        <f t="shared" si="158"/>
        <v>4.4753131266164889E-3</v>
      </c>
      <c r="AP479" s="250"/>
      <c r="AQ479" s="250"/>
      <c r="AR479" s="250"/>
      <c r="AS479" s="250"/>
      <c r="AT479" s="250"/>
      <c r="AU479" s="250"/>
      <c r="AV479" s="250"/>
      <c r="AW479" s="250"/>
      <c r="AX479" s="250"/>
      <c r="AY479" s="250"/>
      <c r="AZ479" s="250"/>
      <c r="BA479" s="250"/>
      <c r="BB479" s="250"/>
      <c r="BC479" s="250"/>
      <c r="BD479" s="250"/>
      <c r="BE479" s="250"/>
      <c r="BF479" s="250"/>
      <c r="BG479" s="250"/>
      <c r="BH479" s="250"/>
      <c r="BI479" s="250"/>
      <c r="BJ479" s="250"/>
    </row>
    <row r="480" spans="1:62" ht="15.75" customHeight="1">
      <c r="A480" t="s">
        <v>185</v>
      </c>
      <c r="B480" s="7"/>
      <c r="C480" s="519" t="s">
        <v>470</v>
      </c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300" t="s">
        <v>185</v>
      </c>
      <c r="W480" s="301"/>
      <c r="X480" s="302">
        <f>Z480/+Z406</f>
        <v>0.20151346808093401</v>
      </c>
      <c r="Y480" s="334"/>
      <c r="Z480" s="303">
        <f>SUM(Z468:Z479)</f>
        <v>136936.88468669675</v>
      </c>
      <c r="AA480" s="302">
        <f>AC480/+AC406</f>
        <v>0.20151346808093401</v>
      </c>
      <c r="AB480" s="334"/>
      <c r="AC480" s="303">
        <f>SUM(AC468:AC479)</f>
        <v>136936.88468669675</v>
      </c>
      <c r="AD480" s="302">
        <f>AF480/+AF406</f>
        <v>0.24731886784037266</v>
      </c>
      <c r="AE480" s="334"/>
      <c r="AF480" s="303">
        <f>SUM(AF468:AF479)</f>
        <v>172947.02000000002</v>
      </c>
      <c r="AG480" s="312"/>
      <c r="AH480" s="306">
        <f t="shared" si="151"/>
        <v>36010.135313303268</v>
      </c>
      <c r="AI480" s="302">
        <f>AH480/AC480</f>
        <v>0.26296885164060996</v>
      </c>
      <c r="AJ480" s="355"/>
      <c r="AK480" s="356"/>
      <c r="AL480" s="303">
        <f>SUM(AL468:AL479)</f>
        <v>93390.47</v>
      </c>
      <c r="AM480" s="357"/>
      <c r="AN480" s="306">
        <f t="shared" si="152"/>
        <v>79556.550000000017</v>
      </c>
      <c r="AO480" s="336">
        <f>IF(AL480=0,0,AN480/AL480)</f>
        <v>0.85187011051555916</v>
      </c>
      <c r="AP480" s="250"/>
      <c r="AQ480" s="250"/>
      <c r="AR480" s="250"/>
      <c r="AS480" s="250"/>
      <c r="AT480" s="250"/>
      <c r="AU480" s="250"/>
      <c r="AV480" s="250"/>
      <c r="AW480" s="250"/>
      <c r="AX480" s="250"/>
      <c r="AY480" s="250"/>
      <c r="AZ480" s="250"/>
      <c r="BA480" s="250"/>
      <c r="BB480" s="250"/>
      <c r="BC480" s="250"/>
      <c r="BD480" s="250"/>
      <c r="BE480" s="250"/>
      <c r="BF480" s="250"/>
      <c r="BG480" s="250"/>
      <c r="BH480" s="250"/>
      <c r="BI480" s="250"/>
      <c r="BJ480" s="250"/>
    </row>
    <row r="481" spans="1:62" ht="15.75" customHeight="1" thickBot="1">
      <c r="A481" t="s">
        <v>472</v>
      </c>
      <c r="B481" s="7"/>
      <c r="C481" s="519" t="s">
        <v>470</v>
      </c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359"/>
      <c r="W481" s="360"/>
      <c r="X481" s="360"/>
      <c r="Y481" s="361"/>
      <c r="Z481" s="362"/>
      <c r="AA481" s="360"/>
      <c r="AB481" s="363"/>
      <c r="AC481" s="362"/>
      <c r="AD481" s="360"/>
      <c r="AE481" s="363"/>
      <c r="AF481" s="364"/>
      <c r="AG481" s="365"/>
      <c r="AH481" s="366"/>
      <c r="AI481" s="367"/>
      <c r="AJ481" s="368"/>
      <c r="AK481" s="369"/>
      <c r="AL481" s="364"/>
      <c r="AM481" s="370"/>
      <c r="AN481" s="366">
        <f t="shared" si="152"/>
        <v>0</v>
      </c>
      <c r="AO481" s="371">
        <f t="shared" ref="AO481" si="160">IF(AL481=0,0,AN481/AL481)</f>
        <v>0</v>
      </c>
      <c r="AP481" s="250"/>
      <c r="AQ481" s="250"/>
      <c r="AR481" s="250"/>
      <c r="AS481" s="250"/>
      <c r="AT481" s="250"/>
      <c r="AU481" s="250"/>
      <c r="AV481" s="250"/>
      <c r="AW481" s="250"/>
      <c r="AX481" s="250"/>
      <c r="AY481" s="250"/>
      <c r="AZ481" s="250"/>
      <c r="BA481" s="250"/>
      <c r="BB481" s="250"/>
      <c r="BC481" s="250"/>
      <c r="BD481" s="250"/>
      <c r="BE481" s="250"/>
      <c r="BF481" s="250"/>
      <c r="BG481" s="250"/>
      <c r="BH481" s="250"/>
      <c r="BI481" s="250"/>
      <c r="BJ481" s="250"/>
    </row>
    <row r="482" spans="1:62" ht="15.75" customHeight="1" thickTop="1" thickBot="1">
      <c r="A482" t="s">
        <v>186</v>
      </c>
      <c r="B482" s="7"/>
      <c r="C482" s="519" t="s">
        <v>470</v>
      </c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372" t="s">
        <v>186</v>
      </c>
      <c r="W482" s="373"/>
      <c r="X482" s="374" t="s">
        <v>187</v>
      </c>
      <c r="Y482" s="375">
        <f>Z482/Z405</f>
        <v>3.8395107036188487E-2</v>
      </c>
      <c r="Z482" s="376">
        <f>Z406-Z467+Z480</f>
        <v>210962.62942865194</v>
      </c>
      <c r="AA482" s="374" t="s">
        <v>187</v>
      </c>
      <c r="AB482" s="375">
        <f>AC482/AC405</f>
        <v>3.8395107036188487E-2</v>
      </c>
      <c r="AC482" s="376">
        <f>AC406-AC467+AC480</f>
        <v>210962.62942865194</v>
      </c>
      <c r="AD482" s="374" t="s">
        <v>187</v>
      </c>
      <c r="AE482" s="375">
        <f>AF482/AF405</f>
        <v>4.9627383956205112E-2</v>
      </c>
      <c r="AF482" s="377">
        <f>AF406-AF467+AF480</f>
        <v>251817.22999999998</v>
      </c>
      <c r="AG482" s="378"/>
      <c r="AH482" s="378">
        <f>AF482-AC482</f>
        <v>40854.600571348041</v>
      </c>
      <c r="AI482" s="379">
        <f>AH482/AC482</f>
        <v>0.19365799849003665</v>
      </c>
      <c r="AJ482" s="380" t="s">
        <v>187</v>
      </c>
      <c r="AK482" s="375">
        <f>IF($AL$405=0,0,AL482/$AL$405)</f>
        <v>3.2550597255259626E-2</v>
      </c>
      <c r="AL482" s="377">
        <f>AL406-AL467+AL480</f>
        <v>167133.15999999995</v>
      </c>
      <c r="AM482" s="381"/>
      <c r="AN482" s="377">
        <f t="shared" si="152"/>
        <v>84684.070000000036</v>
      </c>
      <c r="AO482" s="382">
        <f>IF(AL482=0,0,AN482/AL482)</f>
        <v>0.50668622552221276</v>
      </c>
      <c r="AP482" s="250"/>
      <c r="AQ482" s="250"/>
      <c r="AR482" s="250"/>
      <c r="AS482" s="250"/>
      <c r="AT482" s="250"/>
      <c r="AU482" s="250"/>
      <c r="AV482" s="250"/>
      <c r="AW482" s="250"/>
      <c r="AX482" s="250"/>
      <c r="AY482" s="250"/>
      <c r="AZ482" s="250"/>
      <c r="BA482" s="250"/>
      <c r="BB482" s="250"/>
      <c r="BC482" s="250"/>
      <c r="BD482" s="250"/>
      <c r="BE482" s="250"/>
      <c r="BF482" s="250"/>
      <c r="BG482" s="250"/>
      <c r="BH482" s="250"/>
      <c r="BI482" s="250"/>
      <c r="BJ482" s="250"/>
    </row>
    <row r="483" spans="1:62" ht="15.75" customHeight="1" thickTop="1">
      <c r="A483" t="s">
        <v>472</v>
      </c>
      <c r="B483" s="7"/>
      <c r="C483" s="519" t="s">
        <v>470</v>
      </c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83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0"/>
      <c r="AQ483" s="250"/>
      <c r="AR483" s="250"/>
      <c r="AS483" s="250"/>
      <c r="AT483" s="250"/>
      <c r="AU483" s="250"/>
      <c r="AV483" s="250"/>
      <c r="AW483" s="250"/>
      <c r="AX483" s="250"/>
      <c r="AY483" s="250"/>
      <c r="AZ483" s="250"/>
      <c r="BA483" s="250"/>
      <c r="BB483" s="250"/>
      <c r="BC483" s="250"/>
      <c r="BD483" s="250"/>
      <c r="BE483" s="250"/>
      <c r="BF483" s="250"/>
      <c r="BG483" s="250"/>
      <c r="BH483" s="250"/>
      <c r="BI483" s="250"/>
      <c r="BJ483" s="250"/>
    </row>
    <row r="484" spans="1:62" ht="35.25" customHeight="1">
      <c r="A484" t="s">
        <v>227</v>
      </c>
      <c r="B484" s="7"/>
      <c r="C484" s="519" t="s">
        <v>470</v>
      </c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59"/>
      <c r="AK484" s="2"/>
      <c r="AL484" s="1"/>
      <c r="AM484" s="6"/>
      <c r="AN484" s="6"/>
      <c r="AO484" s="5" t="str">
        <f>$S$1</f>
        <v>Réalisé, Juillet 2022</v>
      </c>
      <c r="AP484" s="250"/>
      <c r="AQ484" s="250"/>
      <c r="AR484" s="250"/>
      <c r="AS484" s="250"/>
      <c r="AT484" s="250"/>
      <c r="AU484" s="250"/>
      <c r="AV484" s="250"/>
      <c r="AW484" s="250"/>
      <c r="AX484" s="250"/>
      <c r="AY484" s="250"/>
      <c r="AZ484" s="250"/>
      <c r="BA484" s="250"/>
      <c r="BB484" s="250"/>
      <c r="BC484" s="250"/>
      <c r="BD484" s="250"/>
      <c r="BE484" s="250"/>
      <c r="BF484" s="250"/>
      <c r="BG484" s="250"/>
      <c r="BH484" s="250"/>
      <c r="BI484" s="250"/>
      <c r="BJ484" s="250"/>
    </row>
    <row r="485" spans="1:62" ht="15.75" customHeight="1">
      <c r="A485" t="s">
        <v>472</v>
      </c>
      <c r="B485" s="7"/>
      <c r="C485" s="519" t="s">
        <v>470</v>
      </c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83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0"/>
      <c r="AQ485" s="250"/>
      <c r="AR485" s="250"/>
      <c r="AS485" s="250"/>
      <c r="AT485" s="250"/>
      <c r="AU485" s="250"/>
      <c r="AV485" s="250"/>
      <c r="AW485" s="250"/>
      <c r="AX485" s="250"/>
      <c r="AY485" s="250"/>
      <c r="AZ485" s="250"/>
      <c r="BA485" s="250"/>
      <c r="BB485" s="250"/>
      <c r="BC485" s="250"/>
      <c r="BD485" s="250"/>
      <c r="BE485" s="250"/>
      <c r="BF485" s="250"/>
      <c r="BG485" s="250"/>
      <c r="BH485" s="250"/>
      <c r="BI485" s="250"/>
      <c r="BJ485" s="250"/>
    </row>
    <row r="486" spans="1:62" ht="15.75" customHeight="1">
      <c r="A486" t="s">
        <v>472</v>
      </c>
      <c r="B486" s="7"/>
      <c r="C486" s="519" t="s">
        <v>470</v>
      </c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83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0"/>
      <c r="AQ486" s="250"/>
      <c r="AR486" s="250"/>
      <c r="AS486" s="250"/>
      <c r="AT486" s="250"/>
      <c r="AU486" s="250"/>
      <c r="AV486" s="250"/>
      <c r="AW486" s="250"/>
      <c r="AX486" s="250"/>
      <c r="AY486" s="250"/>
      <c r="AZ486" s="250"/>
      <c r="BA486" s="250"/>
      <c r="BB486" s="250"/>
      <c r="BC486" s="250"/>
      <c r="BD486" s="250"/>
      <c r="BE486" s="250"/>
      <c r="BF486" s="250"/>
      <c r="BG486" s="250"/>
      <c r="BH486" s="250"/>
      <c r="BI486" s="250"/>
      <c r="BJ486" s="250"/>
    </row>
    <row r="487" spans="1:62" ht="15.75" customHeight="1" thickBot="1">
      <c r="A487" t="s">
        <v>472</v>
      </c>
      <c r="B487" s="7"/>
      <c r="C487" s="519" t="s">
        <v>470</v>
      </c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83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0"/>
      <c r="AQ487" s="250"/>
      <c r="AR487" s="250"/>
      <c r="AS487" s="250"/>
      <c r="AT487" s="250"/>
      <c r="AU487" s="250"/>
      <c r="AV487" s="250"/>
      <c r="AW487" s="250"/>
      <c r="AX487" s="250"/>
      <c r="AY487" s="250"/>
      <c r="AZ487" s="250"/>
      <c r="BA487" s="250"/>
      <c r="BB487" s="250"/>
      <c r="BC487" s="250"/>
      <c r="BD487" s="250"/>
      <c r="BE487" s="250"/>
      <c r="BF487" s="250"/>
      <c r="BG487" s="250"/>
      <c r="BH487" s="250"/>
      <c r="BI487" s="250"/>
      <c r="BJ487" s="250"/>
    </row>
    <row r="488" spans="1:62" ht="15.75" customHeight="1" thickTop="1" thickBot="1">
      <c r="A488" t="s">
        <v>186</v>
      </c>
      <c r="B488" s="7"/>
      <c r="C488" s="519" t="s">
        <v>470</v>
      </c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384" t="s">
        <v>186</v>
      </c>
      <c r="W488" s="385"/>
      <c r="X488" s="386" t="s">
        <v>187</v>
      </c>
      <c r="Y488" s="387">
        <f>Z488/Z405</f>
        <v>3.8395107036188487E-2</v>
      </c>
      <c r="Z488" s="388">
        <f>Z482</f>
        <v>210962.62942865194</v>
      </c>
      <c r="AA488" s="386" t="s">
        <v>187</v>
      </c>
      <c r="AB488" s="387">
        <f>AC488/AC405</f>
        <v>3.8395107036188487E-2</v>
      </c>
      <c r="AC488" s="388">
        <f>AC482</f>
        <v>210962.62942865194</v>
      </c>
      <c r="AD488" s="386" t="s">
        <v>187</v>
      </c>
      <c r="AE488" s="387">
        <f>AF488/AF405</f>
        <v>4.9627383956205112E-2</v>
      </c>
      <c r="AF488" s="388">
        <f>AF482</f>
        <v>251817.22999999998</v>
      </c>
      <c r="AG488" s="389"/>
      <c r="AH488" s="378">
        <f>AF488-AC488</f>
        <v>40854.600571348041</v>
      </c>
      <c r="AI488" s="379">
        <f>AH488/AC488</f>
        <v>0.19365799849003665</v>
      </c>
      <c r="AJ488" s="386" t="s">
        <v>187</v>
      </c>
      <c r="AK488" s="387">
        <f>IF($AL$405=0,0,AL488/$AL$405)</f>
        <v>3.2550597255259626E-2</v>
      </c>
      <c r="AL488" s="390">
        <f>AL482</f>
        <v>167133.15999999995</v>
      </c>
      <c r="AM488" s="391"/>
      <c r="AN488" s="392">
        <f>AF488-AL488</f>
        <v>84684.070000000036</v>
      </c>
      <c r="AO488" s="393">
        <f>IF(AL488=0,0,AN488/AL488)</f>
        <v>0.50668622552221276</v>
      </c>
      <c r="AP488" s="250"/>
      <c r="AQ488" s="250"/>
      <c r="AR488" s="250"/>
      <c r="AS488" s="250"/>
      <c r="AT488" s="250"/>
      <c r="AU488" s="250"/>
      <c r="AV488" s="250"/>
      <c r="AW488" s="250"/>
      <c r="AX488" s="250"/>
      <c r="AY488" s="250"/>
      <c r="AZ488" s="250"/>
      <c r="BA488" s="250"/>
      <c r="BB488" s="250"/>
      <c r="BC488" s="250"/>
      <c r="BD488" s="250"/>
      <c r="BE488" s="250"/>
      <c r="BF488" s="250"/>
      <c r="BG488" s="250"/>
      <c r="BH488" s="250"/>
      <c r="BI488" s="250"/>
      <c r="BJ488" s="250"/>
    </row>
    <row r="489" spans="1:62" ht="15.75" customHeight="1" thickTop="1">
      <c r="A489" t="s">
        <v>472</v>
      </c>
      <c r="B489" s="7"/>
      <c r="C489" s="519" t="s">
        <v>470</v>
      </c>
      <c r="D489" s="250"/>
      <c r="E489" s="250"/>
      <c r="F489" s="314"/>
      <c r="G489" s="250"/>
      <c r="H489" s="250"/>
      <c r="I489" s="314"/>
      <c r="J489" s="250"/>
      <c r="K489" s="250"/>
      <c r="L489" s="250"/>
      <c r="M489" s="314"/>
      <c r="N489" s="250"/>
      <c r="O489" s="250"/>
      <c r="P489" s="250"/>
      <c r="Q489" s="314"/>
      <c r="R489" s="314"/>
      <c r="S489" s="314"/>
      <c r="T489" s="339"/>
      <c r="U489" s="339"/>
      <c r="V489" s="535"/>
      <c r="W489" s="250"/>
      <c r="X489" s="250"/>
      <c r="Y489" s="250"/>
      <c r="Z489" s="395"/>
      <c r="AA489" s="250"/>
      <c r="AB489" s="250"/>
      <c r="AC489" s="396"/>
      <c r="AD489" s="250"/>
      <c r="AE489" s="250"/>
      <c r="AF489" s="396"/>
      <c r="AG489" s="250"/>
      <c r="AH489" s="250"/>
      <c r="AI489" s="396"/>
      <c r="AJ489" s="250"/>
      <c r="AK489" s="250"/>
      <c r="AL489" s="397"/>
      <c r="AM489" s="398"/>
      <c r="AN489" s="250"/>
      <c r="AO489" s="399"/>
      <c r="AP489" s="250"/>
      <c r="AQ489" s="250"/>
      <c r="AR489" s="250"/>
      <c r="AS489" s="250"/>
      <c r="AT489" s="250"/>
      <c r="AU489" s="250"/>
      <c r="AV489" s="250"/>
      <c r="AW489" s="250"/>
      <c r="AX489" s="250"/>
      <c r="AY489" s="250"/>
      <c r="AZ489" s="250"/>
      <c r="BA489" s="250"/>
      <c r="BB489" s="250"/>
      <c r="BC489" s="250"/>
      <c r="BD489" s="250"/>
      <c r="BE489" s="250"/>
      <c r="BF489" s="250"/>
      <c r="BG489" s="250"/>
      <c r="BH489" s="250"/>
      <c r="BI489" s="250"/>
      <c r="BJ489" s="250"/>
    </row>
    <row r="490" spans="1:62" ht="15.75" customHeight="1">
      <c r="A490" t="s">
        <v>189</v>
      </c>
      <c r="B490" s="7"/>
      <c r="C490" s="519" t="s">
        <v>470</v>
      </c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494" t="s">
        <v>189</v>
      </c>
      <c r="W490" s="290"/>
      <c r="X490" s="283"/>
      <c r="Y490" s="291"/>
      <c r="Z490" s="284">
        <v>7468.25</v>
      </c>
      <c r="AA490" s="283"/>
      <c r="AB490" s="291"/>
      <c r="AC490" s="284">
        <v>7468.25</v>
      </c>
      <c r="AD490" s="283"/>
      <c r="AE490" s="291"/>
      <c r="AF490" s="284">
        <v>4314.5</v>
      </c>
      <c r="AG490" s="283"/>
      <c r="AH490" s="286">
        <f t="shared" ref="AH490:AH496" si="161">AF490-AC490</f>
        <v>-3153.75</v>
      </c>
      <c r="AI490" s="310">
        <f>IF(AC490=0,0,AH490/AC490)</f>
        <v>-0.42228768453118198</v>
      </c>
      <c r="AJ490" s="283"/>
      <c r="AK490" s="283"/>
      <c r="AL490" s="284">
        <v>4314.5</v>
      </c>
      <c r="AM490" s="288"/>
      <c r="AN490" s="286">
        <f t="shared" ref="AN490:AN496" si="162">AF490-AL490</f>
        <v>0</v>
      </c>
      <c r="AO490" s="293">
        <f>IF(AL490=0,0,AN490/AL490)</f>
        <v>0</v>
      </c>
      <c r="AP490" s="250"/>
      <c r="AQ490" s="250"/>
      <c r="AR490" s="250"/>
      <c r="AS490" s="250"/>
      <c r="AT490" s="250"/>
      <c r="AU490" s="250"/>
      <c r="AV490" s="250"/>
      <c r="AW490" s="250"/>
      <c r="AX490" s="250"/>
      <c r="AY490" s="250"/>
      <c r="AZ490" s="250"/>
      <c r="BA490" s="250"/>
      <c r="BB490" s="250"/>
      <c r="BC490" s="250"/>
      <c r="BD490" s="250"/>
      <c r="BE490" s="250"/>
      <c r="BF490" s="250"/>
      <c r="BG490" s="250"/>
      <c r="BH490" s="250"/>
      <c r="BI490" s="250"/>
      <c r="BJ490" s="250"/>
    </row>
    <row r="491" spans="1:62" ht="15.75" customHeight="1">
      <c r="A491" t="s">
        <v>190</v>
      </c>
      <c r="B491" s="7"/>
      <c r="C491" s="519" t="s">
        <v>470</v>
      </c>
      <c r="D491" s="250"/>
      <c r="E491" s="250"/>
      <c r="F491" s="314"/>
      <c r="G491" s="250"/>
      <c r="H491" s="250"/>
      <c r="I491" s="314"/>
      <c r="J491" s="250"/>
      <c r="K491" s="250"/>
      <c r="L491" s="250"/>
      <c r="M491" s="314"/>
      <c r="N491" s="250"/>
      <c r="O491" s="250"/>
      <c r="P491" s="250"/>
      <c r="Q491" s="314"/>
      <c r="R491" s="314"/>
      <c r="S491" s="314"/>
      <c r="T491" s="250"/>
      <c r="U491" s="250"/>
      <c r="V491" s="494" t="s">
        <v>190</v>
      </c>
      <c r="W491" s="11"/>
      <c r="X491" s="11"/>
      <c r="Y491" s="11"/>
      <c r="Z491" s="284">
        <v>0</v>
      </c>
      <c r="AA491" s="11"/>
      <c r="AB491" s="11"/>
      <c r="AC491" s="284">
        <v>0</v>
      </c>
      <c r="AD491" s="11"/>
      <c r="AE491" s="14"/>
      <c r="AF491" s="284">
        <v>0</v>
      </c>
      <c r="AG491" s="11"/>
      <c r="AH491" s="286">
        <f t="shared" si="161"/>
        <v>0</v>
      </c>
      <c r="AI491" s="310">
        <f t="shared" ref="AI491:AI496" si="163">IF(AC491=0,0,AH491/AC491)</f>
        <v>0</v>
      </c>
      <c r="AJ491" s="11"/>
      <c r="AK491" s="11"/>
      <c r="AL491" s="284">
        <v>896.96</v>
      </c>
      <c r="AM491" s="400"/>
      <c r="AN491" s="286">
        <f t="shared" si="162"/>
        <v>-896.96</v>
      </c>
      <c r="AO491" s="293">
        <f t="shared" ref="AO491:AO496" si="164">IF(AL491=0,0,AN491/AL491)</f>
        <v>-1</v>
      </c>
      <c r="AP491" s="250"/>
      <c r="AQ491" s="250"/>
      <c r="AR491" s="250"/>
      <c r="AS491" s="250"/>
      <c r="AT491" s="250"/>
      <c r="AU491" s="250"/>
      <c r="AV491" s="250"/>
      <c r="AW491" s="250"/>
      <c r="AX491" s="250"/>
      <c r="AY491" s="250"/>
      <c r="AZ491" s="250"/>
      <c r="BA491" s="250"/>
      <c r="BB491" s="250"/>
      <c r="BC491" s="250"/>
      <c r="BD491" s="250"/>
      <c r="BE491" s="250"/>
      <c r="BF491" s="250"/>
      <c r="BG491" s="250"/>
      <c r="BH491" s="250"/>
      <c r="BI491" s="250"/>
      <c r="BJ491" s="250"/>
    </row>
    <row r="492" spans="1:62" ht="15.75" customHeight="1">
      <c r="A492" t="s">
        <v>191</v>
      </c>
      <c r="B492" s="7"/>
      <c r="C492" s="519" t="s">
        <v>470</v>
      </c>
      <c r="D492" s="250"/>
      <c r="E492" s="250"/>
      <c r="F492" s="314"/>
      <c r="G492" s="250"/>
      <c r="H492" s="250"/>
      <c r="I492" s="314"/>
      <c r="J492" s="250"/>
      <c r="K492" s="250"/>
      <c r="L492" s="250"/>
      <c r="M492" s="314"/>
      <c r="N492" s="250"/>
      <c r="O492" s="250"/>
      <c r="P492" s="250"/>
      <c r="Q492" s="314"/>
      <c r="R492" s="314"/>
      <c r="S492" s="314"/>
      <c r="T492" s="250"/>
      <c r="U492" s="250"/>
      <c r="V492" s="494" t="s">
        <v>191</v>
      </c>
      <c r="W492" s="14"/>
      <c r="X492" s="14"/>
      <c r="Y492" s="14"/>
      <c r="Z492" s="284">
        <v>427.39</v>
      </c>
      <c r="AA492" s="11"/>
      <c r="AB492" s="11"/>
      <c r="AC492" s="284">
        <v>427.39</v>
      </c>
      <c r="AD492" s="11"/>
      <c r="AE492" s="14"/>
      <c r="AF492" s="284">
        <v>426.79</v>
      </c>
      <c r="AG492" s="11"/>
      <c r="AH492" s="286">
        <f t="shared" si="161"/>
        <v>-0.59999999999996589</v>
      </c>
      <c r="AI492" s="310">
        <f t="shared" si="163"/>
        <v>-1.4038700016377687E-3</v>
      </c>
      <c r="AJ492" s="11"/>
      <c r="AK492" s="11"/>
      <c r="AL492" s="284">
        <v>570.58999999999992</v>
      </c>
      <c r="AM492" s="400"/>
      <c r="AN492" s="286">
        <f t="shared" si="162"/>
        <v>-143.7999999999999</v>
      </c>
      <c r="AO492" s="293">
        <f t="shared" si="164"/>
        <v>-0.25201983911389952</v>
      </c>
      <c r="AP492" s="250"/>
      <c r="AQ492" s="250"/>
      <c r="AR492" s="250"/>
      <c r="AS492" s="250"/>
      <c r="AT492" s="250"/>
      <c r="AU492" s="250"/>
      <c r="AV492" s="250"/>
      <c r="AW492" s="250"/>
      <c r="AX492" s="250"/>
      <c r="AY492" s="250"/>
      <c r="AZ492" s="250"/>
      <c r="BA492" s="250"/>
      <c r="BB492" s="250"/>
      <c r="BC492" s="250"/>
      <c r="BD492" s="250"/>
      <c r="BE492" s="250"/>
      <c r="BF492" s="250"/>
      <c r="BG492" s="250"/>
      <c r="BH492" s="250"/>
      <c r="BI492" s="250"/>
      <c r="BJ492" s="250"/>
    </row>
    <row r="493" spans="1:62" ht="15.75" customHeight="1" thickBot="1">
      <c r="A493" t="s">
        <v>192</v>
      </c>
      <c r="B493" s="7"/>
      <c r="C493" s="519" t="s">
        <v>470</v>
      </c>
      <c r="D493" s="250"/>
      <c r="E493" s="250"/>
      <c r="F493" s="314"/>
      <c r="G493" s="250"/>
      <c r="H493" s="250"/>
      <c r="I493" s="314"/>
      <c r="J493" s="250"/>
      <c r="K493" s="250"/>
      <c r="L493" s="250"/>
      <c r="M493" s="314"/>
      <c r="N493" s="250"/>
      <c r="O493" s="250"/>
      <c r="P493" s="250"/>
      <c r="Q493" s="314"/>
      <c r="R493" s="314"/>
      <c r="S493" s="314"/>
      <c r="T493" s="250"/>
      <c r="U493" s="250"/>
      <c r="V493" s="494" t="s">
        <v>192</v>
      </c>
      <c r="W493" s="14"/>
      <c r="X493" s="14"/>
      <c r="Y493" s="14"/>
      <c r="Z493" s="284">
        <v>0</v>
      </c>
      <c r="AA493" s="11"/>
      <c r="AB493" s="11"/>
      <c r="AC493" s="284">
        <v>0</v>
      </c>
      <c r="AD493" s="11"/>
      <c r="AE493" s="14"/>
      <c r="AF493" s="284">
        <v>0</v>
      </c>
      <c r="AG493" s="11"/>
      <c r="AH493" s="286">
        <f t="shared" si="161"/>
        <v>0</v>
      </c>
      <c r="AI493" s="310">
        <f t="shared" si="163"/>
        <v>0</v>
      </c>
      <c r="AJ493" s="11"/>
      <c r="AK493" s="11"/>
      <c r="AL493" s="284">
        <v>0</v>
      </c>
      <c r="AM493" s="400"/>
      <c r="AN493" s="286">
        <f t="shared" si="162"/>
        <v>0</v>
      </c>
      <c r="AO493" s="293">
        <f t="shared" si="164"/>
        <v>0</v>
      </c>
      <c r="AP493" s="250"/>
      <c r="AQ493" s="250"/>
      <c r="AR493" s="250"/>
      <c r="AS493" s="250"/>
      <c r="AT493" s="250"/>
      <c r="AU493" s="250"/>
      <c r="AV493" s="250"/>
      <c r="AW493" s="250"/>
      <c r="AX493" s="250"/>
      <c r="AY493" s="250"/>
      <c r="AZ493" s="250"/>
      <c r="BA493" s="250"/>
      <c r="BB493" s="250"/>
      <c r="BC493" s="250"/>
      <c r="BD493" s="250"/>
      <c r="BE493" s="250"/>
      <c r="BF493" s="250"/>
      <c r="BG493" s="250"/>
      <c r="BH493" s="250"/>
      <c r="BI493" s="250"/>
      <c r="BJ493" s="250"/>
    </row>
    <row r="494" spans="1:62" ht="15.75" hidden="1" customHeight="1">
      <c r="A494" t="s">
        <v>21</v>
      </c>
      <c r="B494" s="7"/>
      <c r="C494" s="519" t="s">
        <v>470</v>
      </c>
      <c r="D494" s="250"/>
      <c r="E494" s="250"/>
      <c r="F494" s="314"/>
      <c r="G494" s="250"/>
      <c r="H494" s="250"/>
      <c r="I494" s="314"/>
      <c r="J494" s="250"/>
      <c r="K494" s="250"/>
      <c r="L494" s="250"/>
      <c r="M494" s="314"/>
      <c r="N494" s="250"/>
      <c r="O494" s="250"/>
      <c r="P494" s="250"/>
      <c r="Q494" s="314"/>
      <c r="R494" s="314"/>
      <c r="S494" s="314"/>
      <c r="T494" s="250"/>
      <c r="U494" s="250"/>
      <c r="V494" s="494" t="s">
        <v>21</v>
      </c>
      <c r="W494" s="14"/>
      <c r="X494" s="14"/>
      <c r="Y494" s="14"/>
      <c r="Z494" s="284">
        <f>IFERROR(SUMIF($C:$C,$V494,F:F),0)</f>
        <v>0</v>
      </c>
      <c r="AA494" s="283"/>
      <c r="AB494" s="283"/>
      <c r="AC494" s="284">
        <f>IFERROR(SUMIF($C:$C,$V494,I:I),0)</f>
        <v>0</v>
      </c>
      <c r="AD494" s="292"/>
      <c r="AE494" s="291"/>
      <c r="AF494" s="284">
        <f>IFERROR(SUMIF($C:$C,$V494,L:L),0)</f>
        <v>0</v>
      </c>
      <c r="AG494" s="285"/>
      <c r="AH494" s="286">
        <f t="shared" si="161"/>
        <v>0</v>
      </c>
      <c r="AI494" s="287">
        <f t="shared" si="163"/>
        <v>0</v>
      </c>
      <c r="AJ494" s="292"/>
      <c r="AK494" s="283"/>
      <c r="AL494" s="284">
        <f>IFERROR(SUMIF($C:$C,$V494,Q:Q),0)</f>
        <v>0</v>
      </c>
      <c r="AM494" s="400"/>
      <c r="AN494" s="286">
        <f t="shared" si="162"/>
        <v>0</v>
      </c>
      <c r="AO494" s="293">
        <f t="shared" si="164"/>
        <v>0</v>
      </c>
      <c r="AP494" s="250"/>
      <c r="AQ494" s="250"/>
      <c r="AR494" s="250"/>
      <c r="AS494" s="250"/>
      <c r="AT494" s="250"/>
      <c r="AU494" s="250"/>
      <c r="AV494" s="250"/>
      <c r="AW494" s="250"/>
      <c r="AX494" s="250"/>
      <c r="AY494" s="250"/>
      <c r="AZ494" s="250"/>
      <c r="BA494" s="250"/>
      <c r="BB494" s="250"/>
      <c r="BC494" s="250"/>
      <c r="BD494" s="250"/>
      <c r="BE494" s="250"/>
      <c r="BF494" s="250"/>
      <c r="BG494" s="250"/>
      <c r="BH494" s="250"/>
      <c r="BI494" s="250"/>
      <c r="BJ494" s="250"/>
    </row>
    <row r="495" spans="1:62" ht="15.75" hidden="1" customHeight="1">
      <c r="A495" t="s">
        <v>21</v>
      </c>
      <c r="B495" s="7"/>
      <c r="C495" s="519" t="s">
        <v>470</v>
      </c>
      <c r="D495" s="250"/>
      <c r="E495" s="250"/>
      <c r="F495" s="314"/>
      <c r="G495" s="250"/>
      <c r="H495" s="250"/>
      <c r="I495" s="314"/>
      <c r="J495" s="250"/>
      <c r="K495" s="250"/>
      <c r="L495" s="250"/>
      <c r="M495" s="314"/>
      <c r="N495" s="250"/>
      <c r="O495" s="250"/>
      <c r="P495" s="250"/>
      <c r="Q495" s="314"/>
      <c r="R495" s="314"/>
      <c r="S495" s="314"/>
      <c r="T495" s="250"/>
      <c r="U495" s="250"/>
      <c r="V495" s="494" t="s">
        <v>21</v>
      </c>
      <c r="W495" s="14"/>
      <c r="X495" s="14"/>
      <c r="Y495" s="14"/>
      <c r="Z495" s="284">
        <f>IFERROR(SUMIF($C:$C,$V495,F:F),0)</f>
        <v>0</v>
      </c>
      <c r="AA495" s="283"/>
      <c r="AB495" s="283"/>
      <c r="AC495" s="284">
        <f>IFERROR(SUMIF($C:$C,$V495,I:I),0)</f>
        <v>0</v>
      </c>
      <c r="AD495" s="292"/>
      <c r="AE495" s="291"/>
      <c r="AF495" s="284">
        <f>IFERROR(SUMIF($C:$C,$V495,L:L),0)</f>
        <v>0</v>
      </c>
      <c r="AG495" s="285"/>
      <c r="AH495" s="286">
        <f t="shared" si="161"/>
        <v>0</v>
      </c>
      <c r="AI495" s="287">
        <f t="shared" si="163"/>
        <v>0</v>
      </c>
      <c r="AJ495" s="292"/>
      <c r="AK495" s="283"/>
      <c r="AL495" s="284">
        <f>IFERROR(SUMIF($C:$C,$V495,Q:Q),0)</f>
        <v>0</v>
      </c>
      <c r="AM495" s="400"/>
      <c r="AN495" s="286">
        <f t="shared" si="162"/>
        <v>0</v>
      </c>
      <c r="AO495" s="293">
        <f t="shared" si="164"/>
        <v>0</v>
      </c>
      <c r="AP495" s="250"/>
      <c r="AQ495" s="250"/>
      <c r="AR495" s="250"/>
      <c r="AS495" s="250"/>
      <c r="AT495" s="250"/>
      <c r="AU495" s="250"/>
      <c r="AV495" s="250"/>
      <c r="AW495" s="250"/>
      <c r="AX495" s="250"/>
      <c r="AY495" s="250"/>
      <c r="AZ495" s="250"/>
      <c r="BA495" s="250"/>
      <c r="BB495" s="250"/>
      <c r="BC495" s="250"/>
      <c r="BD495" s="250"/>
      <c r="BE495" s="250"/>
      <c r="BF495" s="250"/>
      <c r="BG495" s="250"/>
      <c r="BH495" s="250"/>
      <c r="BI495" s="250"/>
      <c r="BJ495" s="250"/>
    </row>
    <row r="496" spans="1:62" ht="15.75" hidden="1" customHeight="1" thickBot="1">
      <c r="A496" t="s">
        <v>21</v>
      </c>
      <c r="B496" s="7"/>
      <c r="C496" s="519" t="s">
        <v>470</v>
      </c>
      <c r="D496" s="250"/>
      <c r="E496" s="250"/>
      <c r="F496" s="314"/>
      <c r="G496" s="250"/>
      <c r="H496" s="250"/>
      <c r="I496" s="314"/>
      <c r="J496" s="250"/>
      <c r="K496" s="250"/>
      <c r="L496" s="250"/>
      <c r="M496" s="314"/>
      <c r="N496" s="250"/>
      <c r="O496" s="250"/>
      <c r="P496" s="250"/>
      <c r="Q496" s="314"/>
      <c r="R496" s="314"/>
      <c r="S496" s="314"/>
      <c r="T496" s="250"/>
      <c r="U496" s="250"/>
      <c r="V496" s="494" t="s">
        <v>21</v>
      </c>
      <c r="W496" s="14"/>
      <c r="X496" s="250"/>
      <c r="Y496" s="14"/>
      <c r="Z496" s="284">
        <f>IFERROR(SUMIF($C:$C,$V496,F:F),0)</f>
        <v>0</v>
      </c>
      <c r="AA496" s="283"/>
      <c r="AB496" s="283"/>
      <c r="AC496" s="284">
        <f>IFERROR(SUMIF($C:$C,$V496,I:I),0)</f>
        <v>0</v>
      </c>
      <c r="AD496" s="292"/>
      <c r="AE496" s="291"/>
      <c r="AF496" s="284">
        <f>IFERROR(SUMIF($C:$C,$V496,L:L),0)</f>
        <v>0</v>
      </c>
      <c r="AG496" s="285"/>
      <c r="AH496" s="286">
        <f t="shared" si="161"/>
        <v>0</v>
      </c>
      <c r="AI496" s="287">
        <f t="shared" si="163"/>
        <v>0</v>
      </c>
      <c r="AJ496" s="292"/>
      <c r="AK496" s="283"/>
      <c r="AL496" s="284">
        <f>IFERROR(SUMIF($C:$C,$V496,Q:Q),0)</f>
        <v>0</v>
      </c>
      <c r="AM496" s="400"/>
      <c r="AN496" s="286">
        <f t="shared" si="162"/>
        <v>0</v>
      </c>
      <c r="AO496" s="293">
        <f t="shared" si="164"/>
        <v>0</v>
      </c>
      <c r="AP496" s="250"/>
      <c r="AQ496" s="250"/>
      <c r="AR496" s="250"/>
      <c r="AS496" s="250"/>
      <c r="AT496" s="250"/>
      <c r="AU496" s="250"/>
      <c r="AV496" s="250"/>
      <c r="AW496" s="250"/>
      <c r="AX496" s="250"/>
      <c r="AY496" s="250"/>
      <c r="AZ496" s="250"/>
      <c r="BA496" s="250"/>
      <c r="BB496" s="250"/>
      <c r="BC496" s="250"/>
      <c r="BD496" s="250"/>
      <c r="BE496" s="250"/>
      <c r="BF496" s="250"/>
      <c r="BG496" s="250"/>
      <c r="BH496" s="250"/>
      <c r="BI496" s="250"/>
      <c r="BJ496" s="250"/>
    </row>
    <row r="497" spans="1:62" ht="15.75" customHeight="1" thickTop="1" thickBot="1">
      <c r="A497" t="s">
        <v>194</v>
      </c>
      <c r="B497" s="7"/>
      <c r="C497" s="519" t="s">
        <v>470</v>
      </c>
      <c r="D497" s="250"/>
      <c r="E497" s="250"/>
      <c r="F497" s="314"/>
      <c r="G497" s="250"/>
      <c r="H497" s="250"/>
      <c r="I497" s="314"/>
      <c r="J497" s="250"/>
      <c r="K497" s="250"/>
      <c r="L497" s="250"/>
      <c r="M497" s="314"/>
      <c r="N497" s="250"/>
      <c r="O497" s="250"/>
      <c r="P497" s="250"/>
      <c r="Q497" s="314"/>
      <c r="R497" s="314"/>
      <c r="S497" s="314"/>
      <c r="T497" s="250"/>
      <c r="U497" s="250"/>
      <c r="V497" s="372" t="s">
        <v>194</v>
      </c>
      <c r="W497" s="373"/>
      <c r="X497" s="374" t="s">
        <v>187</v>
      </c>
      <c r="Y497" s="375">
        <f>Z497/Z405</f>
        <v>3.6958103981475712E-2</v>
      </c>
      <c r="Z497" s="376">
        <f>Z488-Z490-Z491-Z492-Z496</f>
        <v>203066.98942865193</v>
      </c>
      <c r="AA497" s="374" t="s">
        <v>187</v>
      </c>
      <c r="AB497" s="375">
        <f>AC497/AC405</f>
        <v>3.6958103981475712E-2</v>
      </c>
      <c r="AC497" s="376">
        <f>AC488-AC490-AC491-AC492-AC496</f>
        <v>203066.98942865193</v>
      </c>
      <c r="AD497" s="374" t="s">
        <v>187</v>
      </c>
      <c r="AE497" s="375">
        <f>AF497/AF405</f>
        <v>4.869298475215654E-2</v>
      </c>
      <c r="AF497" s="377">
        <f>AF488-AF490-AF491-AF492-AF496</f>
        <v>247075.93999999997</v>
      </c>
      <c r="AG497" s="378"/>
      <c r="AH497" s="378">
        <f>AF497-AC497</f>
        <v>44008.950571348047</v>
      </c>
      <c r="AI497" s="379">
        <f>AH497/AC497</f>
        <v>0.21672134252431363</v>
      </c>
      <c r="AJ497" s="380" t="s">
        <v>187</v>
      </c>
      <c r="AK497" s="375">
        <f>IF($AL$405=0,0,AL497/$AL$405)</f>
        <v>3.142449408782251E-2</v>
      </c>
      <c r="AL497" s="377">
        <f>AL488-AL490-AL491-AL492-AL496</f>
        <v>161351.10999999996</v>
      </c>
      <c r="AM497" s="381"/>
      <c r="AN497" s="377">
        <f>AF497-AL497</f>
        <v>85724.830000000016</v>
      </c>
      <c r="AO497" s="401">
        <f>IF(AL497=0,0,AN497/AL497)</f>
        <v>0.53129371096362488</v>
      </c>
      <c r="AP497" s="250"/>
      <c r="AQ497" s="250"/>
      <c r="AR497" s="250"/>
      <c r="AS497" s="250"/>
      <c r="AT497" s="250"/>
      <c r="AU497" s="250"/>
      <c r="AV497" s="250"/>
      <c r="AW497" s="250"/>
      <c r="AX497" s="250"/>
      <c r="AY497" s="250"/>
      <c r="AZ497" s="250"/>
      <c r="BA497" s="250"/>
      <c r="BB497" s="250"/>
      <c r="BC497" s="250"/>
      <c r="BD497" s="250"/>
      <c r="BE497" s="250"/>
      <c r="BF497" s="250"/>
      <c r="BG497" s="250"/>
      <c r="BH497" s="250"/>
      <c r="BI497" s="250"/>
      <c r="BJ497" s="250"/>
    </row>
    <row r="498" spans="1:62" ht="15.75" customHeight="1" thickTop="1">
      <c r="A498" t="s">
        <v>472</v>
      </c>
      <c r="B498" s="7"/>
      <c r="C498" s="250"/>
      <c r="D498" s="250"/>
      <c r="E498" s="250"/>
      <c r="F498" s="314"/>
      <c r="G498" s="250"/>
      <c r="H498" s="250"/>
      <c r="I498" s="314"/>
      <c r="J498" s="250"/>
      <c r="K498" s="250"/>
      <c r="L498" s="250"/>
      <c r="M498" s="314"/>
      <c r="N498" s="250"/>
      <c r="O498" s="250"/>
      <c r="P498" s="250"/>
      <c r="Q498" s="314"/>
      <c r="R498" s="314"/>
      <c r="S498" s="314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402"/>
      <c r="AF498" s="403"/>
      <c r="AG498" s="250"/>
      <c r="AH498" s="250"/>
      <c r="AI498" s="250"/>
      <c r="AJ498" s="250"/>
      <c r="AK498" s="250"/>
      <c r="AL498" s="250"/>
      <c r="AM498" s="250"/>
      <c r="AN498" s="250"/>
      <c r="AO498" s="250"/>
      <c r="AP498" s="250"/>
      <c r="AQ498" s="250"/>
      <c r="AR498" s="250"/>
      <c r="AS498" s="250"/>
      <c r="AT498" s="250"/>
      <c r="AU498" s="250"/>
      <c r="AV498" s="250"/>
      <c r="AW498" s="250"/>
      <c r="AX498" s="250"/>
      <c r="AY498" s="250"/>
      <c r="AZ498" s="250"/>
      <c r="BA498" s="250"/>
      <c r="BB498" s="250"/>
      <c r="BC498" s="250"/>
      <c r="BD498" s="250"/>
      <c r="BE498" s="250"/>
      <c r="BF498" s="250"/>
      <c r="BG498" s="250"/>
      <c r="BH498" s="250"/>
      <c r="BI498" s="250"/>
      <c r="BJ498" s="250"/>
    </row>
    <row r="499" spans="1:62" ht="15.75" customHeight="1" thickBot="1">
      <c r="B499" s="7"/>
      <c r="T499" s="250"/>
      <c r="U499" s="250"/>
      <c r="V499" s="250"/>
      <c r="W499" s="250"/>
      <c r="X499" s="250"/>
      <c r="Y499" s="250"/>
      <c r="Z499" s="314">
        <f>Z497</f>
        <v>203066.98942865193</v>
      </c>
      <c r="AA499" s="250"/>
      <c r="AB499" s="250"/>
      <c r="AC499" s="314">
        <f>Z499</f>
        <v>203066.98942865193</v>
      </c>
      <c r="AD499" s="250"/>
      <c r="AE499" s="250"/>
      <c r="AF499" s="536">
        <f>AF497</f>
        <v>247075.93999999997</v>
      </c>
      <c r="AG499" s="250"/>
      <c r="AH499" s="250"/>
      <c r="AI499" s="250"/>
      <c r="AJ499" s="250"/>
      <c r="AK499" s="250"/>
      <c r="AL499" s="250">
        <v>281299</v>
      </c>
      <c r="AM499" s="250"/>
      <c r="AN499" s="250"/>
      <c r="AO499" s="250"/>
      <c r="AP499" s="250"/>
      <c r="AQ499" s="250"/>
      <c r="AR499" s="250"/>
      <c r="AS499" s="250"/>
      <c r="AT499" s="250"/>
      <c r="AU499" s="250"/>
      <c r="AV499" s="250"/>
      <c r="AW499" s="250"/>
      <c r="AX499" s="250"/>
      <c r="AY499" s="250"/>
      <c r="AZ499" s="250"/>
      <c r="BA499" s="250"/>
      <c r="BB499" s="250"/>
      <c r="BC499" s="250"/>
      <c r="BD499" s="250"/>
      <c r="BE499" s="250"/>
      <c r="BF499" s="250"/>
      <c r="BG499" s="250"/>
      <c r="BH499" s="250"/>
      <c r="BI499" s="250"/>
      <c r="BJ499" s="250"/>
    </row>
    <row r="500" spans="1:62" ht="15.75" customHeight="1" thickBot="1">
      <c r="B500" s="7"/>
      <c r="C500" s="250"/>
      <c r="D500" s="537" t="s">
        <v>473</v>
      </c>
      <c r="E500" s="538"/>
      <c r="F500" s="539"/>
      <c r="G500" s="540"/>
      <c r="H500" s="283"/>
      <c r="I500" s="286"/>
      <c r="J500" s="541" t="s">
        <v>474</v>
      </c>
      <c r="K500" s="542"/>
      <c r="O500" s="541" t="s">
        <v>475</v>
      </c>
      <c r="P500" s="250"/>
      <c r="Q500" s="314"/>
      <c r="R500" s="314"/>
      <c r="S500" s="314"/>
      <c r="W500" s="250"/>
      <c r="X500" s="250"/>
      <c r="Y500" s="250"/>
      <c r="Z500" s="314">
        <f>Z497-Z499</f>
        <v>0</v>
      </c>
      <c r="AA500" s="250"/>
      <c r="AB500" s="250"/>
      <c r="AC500" s="314">
        <f>AC497-AC499</f>
        <v>0</v>
      </c>
      <c r="AD500" s="250"/>
      <c r="AE500" s="250"/>
      <c r="AF500" s="543">
        <f>AF497-AF499</f>
        <v>0</v>
      </c>
      <c r="AG500" s="250"/>
      <c r="AH500" s="250"/>
      <c r="AI500" s="250"/>
      <c r="AJ500" s="250"/>
      <c r="AK500" s="250"/>
      <c r="AL500" s="404">
        <f>AL497-AL499</f>
        <v>-119947.89000000004</v>
      </c>
      <c r="AM500" s="250"/>
      <c r="AN500" s="250"/>
      <c r="AO500" s="250"/>
      <c r="AP500" s="250"/>
      <c r="AQ500" s="250"/>
      <c r="AR500" s="250"/>
      <c r="AS500" s="250"/>
      <c r="AT500" s="250"/>
      <c r="AU500" s="250"/>
      <c r="AV500" s="250"/>
      <c r="AW500" s="250"/>
      <c r="AX500" s="250"/>
      <c r="AY500" s="250"/>
      <c r="AZ500" s="250"/>
      <c r="BA500" s="250"/>
      <c r="BB500" s="250"/>
      <c r="BC500" s="250"/>
      <c r="BD500" s="250"/>
      <c r="BE500" s="250"/>
      <c r="BF500" s="250"/>
      <c r="BG500" s="250"/>
      <c r="BH500" s="250"/>
      <c r="BI500" s="250"/>
      <c r="BJ500" s="250"/>
    </row>
    <row r="501" spans="1:62" ht="15.75" customHeight="1">
      <c r="B501" s="7"/>
      <c r="C501" s="283"/>
      <c r="D501" s="283" t="s">
        <v>476</v>
      </c>
      <c r="E501" s="283"/>
      <c r="F501" s="286"/>
      <c r="G501" s="283"/>
      <c r="H501" s="283"/>
      <c r="I501" s="286"/>
      <c r="J501" s="283"/>
      <c r="K501" s="283"/>
      <c r="L501" s="283"/>
      <c r="M501" s="283"/>
      <c r="N501" s="283"/>
      <c r="O501" s="283"/>
      <c r="P501" s="283"/>
      <c r="Q501" s="286"/>
      <c r="R501" s="286"/>
      <c r="W501" s="250"/>
      <c r="X501" s="250"/>
      <c r="Y501" s="250"/>
      <c r="AM501" s="250"/>
      <c r="AN501" s="250"/>
      <c r="AO501" s="250"/>
      <c r="AP501" s="250"/>
      <c r="AQ501" s="250"/>
      <c r="AR501" s="250"/>
      <c r="AS501" s="250"/>
      <c r="AT501" s="250"/>
      <c r="AU501" s="250"/>
      <c r="AV501" s="250"/>
      <c r="AW501" s="250"/>
      <c r="AX501" s="250"/>
      <c r="AY501" s="250"/>
      <c r="AZ501" s="250"/>
      <c r="BA501" s="250"/>
      <c r="BB501" s="250"/>
      <c r="BC501" s="250"/>
      <c r="BD501" s="250"/>
      <c r="BE501" s="250"/>
      <c r="BF501" s="250"/>
      <c r="BG501" s="250"/>
      <c r="BH501" s="250"/>
      <c r="BI501" s="250"/>
      <c r="BJ501" s="250"/>
    </row>
    <row r="502" spans="1:62" ht="15.75" customHeight="1">
      <c r="B502" s="7"/>
      <c r="C502" s="283"/>
      <c r="D502" s="542">
        <v>4423</v>
      </c>
      <c r="E502" s="283" t="e">
        <v>#N/A</v>
      </c>
      <c r="F502" s="286"/>
      <c r="G502" s="283"/>
      <c r="H502" s="283"/>
      <c r="I502" s="286"/>
      <c r="J502" s="544" t="e">
        <v>#N/A</v>
      </c>
      <c r="K502" s="283"/>
      <c r="L502" s="283"/>
      <c r="M502" s="283"/>
      <c r="N502" s="283"/>
      <c r="O502" s="544" t="e">
        <v>#N/A</v>
      </c>
      <c r="P502" s="283"/>
      <c r="Q502" s="286"/>
      <c r="R502" s="286"/>
      <c r="W502" s="250"/>
      <c r="X502" s="250"/>
      <c r="Y502" s="250"/>
      <c r="Z502" s="250"/>
      <c r="AA502" s="250"/>
      <c r="AB502" s="250"/>
      <c r="AC502" s="250"/>
      <c r="AD502" s="250"/>
      <c r="AE502" s="545"/>
      <c r="AF502" s="309"/>
      <c r="AG502" s="250"/>
      <c r="AH502" s="250"/>
      <c r="AI502" s="250"/>
      <c r="AJ502" s="250"/>
      <c r="AK502" s="250"/>
      <c r="AL502" s="250"/>
      <c r="AM502" s="250"/>
      <c r="AN502" s="250"/>
      <c r="AO502" s="250"/>
      <c r="AP502" s="250"/>
      <c r="AQ502" s="250"/>
      <c r="AR502" s="250"/>
      <c r="AS502" s="250"/>
      <c r="AT502" s="250"/>
      <c r="AU502" s="250"/>
      <c r="AV502" s="250"/>
      <c r="AW502" s="250"/>
      <c r="AX502" s="250"/>
      <c r="AY502" s="250"/>
      <c r="AZ502" s="250"/>
      <c r="BA502" s="250"/>
      <c r="BB502" s="250"/>
      <c r="BC502" s="250"/>
      <c r="BD502" s="250"/>
      <c r="BE502" s="250"/>
      <c r="BF502" s="250"/>
      <c r="BG502" s="250"/>
      <c r="BH502" s="250"/>
      <c r="BI502" s="250"/>
      <c r="BJ502" s="250"/>
    </row>
    <row r="503" spans="1:62" ht="15.75" customHeight="1">
      <c r="B503" s="7"/>
      <c r="C503" s="283"/>
      <c r="D503" s="542">
        <v>5423</v>
      </c>
      <c r="E503" s="283" t="e">
        <v>#N/A</v>
      </c>
      <c r="F503" s="286"/>
      <c r="G503" s="283"/>
      <c r="H503" s="283"/>
      <c r="I503" s="286"/>
      <c r="J503" s="544" t="e">
        <v>#N/A</v>
      </c>
      <c r="K503" s="546" t="e">
        <f>-J503/J502</f>
        <v>#N/A</v>
      </c>
      <c r="L503" s="283"/>
      <c r="M503" s="283"/>
      <c r="N503" s="283"/>
      <c r="O503" s="544" t="e">
        <v>#N/A</v>
      </c>
      <c r="P503" s="546" t="e">
        <f>-O503/O502</f>
        <v>#N/A</v>
      </c>
      <c r="Q503" s="286"/>
      <c r="R503" s="286"/>
      <c r="W503" s="250"/>
      <c r="X503" s="250"/>
      <c r="Y503" s="250"/>
      <c r="Z503" s="250"/>
      <c r="AA503" s="250"/>
      <c r="AB503" s="250"/>
      <c r="AC503" s="250"/>
      <c r="AD503" s="250"/>
      <c r="AE503" s="250" t="s">
        <v>501</v>
      </c>
      <c r="AF503" s="309">
        <v>262943.83</v>
      </c>
      <c r="AG503" s="250"/>
      <c r="AH503" s="250"/>
      <c r="AI503" s="250"/>
      <c r="AJ503" s="250"/>
      <c r="AK503" s="250"/>
      <c r="AL503" s="250"/>
      <c r="AM503" s="250"/>
      <c r="AN503" s="250"/>
      <c r="AO503" s="250"/>
      <c r="AP503" s="250"/>
      <c r="AQ503" s="250"/>
      <c r="AR503" s="250"/>
      <c r="AS503" s="250"/>
      <c r="AT503" s="250"/>
      <c r="AU503" s="250"/>
      <c r="AV503" s="250"/>
      <c r="AW503" s="250"/>
      <c r="AX503" s="250"/>
      <c r="AY503" s="250"/>
      <c r="AZ503" s="250"/>
      <c r="BA503" s="250"/>
      <c r="BB503" s="250"/>
      <c r="BC503" s="250"/>
      <c r="BD503" s="250"/>
      <c r="BE503" s="250"/>
      <c r="BF503" s="250"/>
      <c r="BG503" s="250"/>
      <c r="BH503" s="250"/>
      <c r="BI503" s="250"/>
      <c r="BJ503" s="250"/>
    </row>
    <row r="504" spans="1:62" ht="15.75" customHeight="1" thickBot="1">
      <c r="B504" s="7"/>
      <c r="C504" s="283"/>
      <c r="D504" s="542"/>
      <c r="E504" s="283" t="s">
        <v>477</v>
      </c>
      <c r="F504" s="286"/>
      <c r="G504" s="283"/>
      <c r="H504" s="283"/>
      <c r="I504" s="286"/>
      <c r="J504" s="547" t="e">
        <f>SUM(J502:J503)</f>
        <v>#N/A</v>
      </c>
      <c r="K504" s="548" t="e">
        <f>+J504/J502</f>
        <v>#N/A</v>
      </c>
      <c r="L504" s="283"/>
      <c r="M504" s="283"/>
      <c r="N504" s="283"/>
      <c r="O504" s="547" t="e">
        <f>SUM(O502:O503)</f>
        <v>#N/A</v>
      </c>
      <c r="P504" s="548" t="e">
        <f>+O504/O502</f>
        <v>#N/A</v>
      </c>
      <c r="Q504" s="286"/>
      <c r="R504" s="286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  <c r="AH504" s="250"/>
      <c r="AI504" s="250"/>
      <c r="AJ504" s="250"/>
      <c r="AK504" s="250"/>
      <c r="AL504" s="250"/>
      <c r="AM504" s="250"/>
      <c r="AN504" s="250"/>
      <c r="AO504" s="250"/>
      <c r="AP504" s="250"/>
      <c r="AQ504" s="250"/>
      <c r="AR504" s="250"/>
      <c r="AS504" s="250"/>
      <c r="AT504" s="250"/>
      <c r="AU504" s="250"/>
      <c r="AV504" s="250"/>
      <c r="AW504" s="250"/>
      <c r="AX504" s="250"/>
      <c r="AY504" s="250"/>
      <c r="AZ504" s="250"/>
      <c r="BA504" s="250"/>
      <c r="BB504" s="250"/>
      <c r="BC504" s="250"/>
      <c r="BD504" s="250"/>
      <c r="BE504" s="250"/>
      <c r="BF504" s="250"/>
      <c r="BG504" s="250"/>
      <c r="BH504" s="250"/>
      <c r="BI504" s="250"/>
      <c r="BJ504" s="250"/>
    </row>
    <row r="505" spans="1:62" ht="15.75" customHeight="1" thickTop="1">
      <c r="B505" s="7"/>
      <c r="C505" s="283"/>
      <c r="D505" s="542"/>
      <c r="E505" s="283"/>
      <c r="F505" s="286"/>
      <c r="G505" s="283"/>
      <c r="H505" s="283"/>
      <c r="I505" s="286"/>
      <c r="J505" s="542"/>
      <c r="K505" s="283"/>
      <c r="L505" s="283"/>
      <c r="M505" s="283"/>
      <c r="N505" s="283"/>
      <c r="O505" s="542"/>
      <c r="P505" s="283"/>
      <c r="Q505" s="286"/>
      <c r="R505" s="286"/>
      <c r="W505" s="250"/>
      <c r="X505" s="250"/>
      <c r="Y505" s="250"/>
      <c r="Z505" s="250"/>
      <c r="AA505" s="250"/>
      <c r="AB505" s="250"/>
      <c r="AC505" s="250"/>
      <c r="AD505" s="250"/>
      <c r="AE505" s="250" t="s">
        <v>502</v>
      </c>
      <c r="AF505" s="549">
        <f>+AF499-AF503</f>
        <v>-15867.890000000043</v>
      </c>
      <c r="AG505" s="250"/>
      <c r="AH505" s="250"/>
      <c r="AI505" s="250"/>
      <c r="AJ505" s="250"/>
      <c r="AK505" s="250"/>
      <c r="AL505" s="250"/>
      <c r="AM505" s="250"/>
      <c r="AN505" s="250"/>
      <c r="AO505" s="250"/>
      <c r="AP505" s="250"/>
      <c r="AQ505" s="250"/>
      <c r="AR505" s="250"/>
      <c r="AS505" s="250"/>
      <c r="AT505" s="250"/>
      <c r="AU505" s="250"/>
      <c r="AV505" s="250"/>
      <c r="AW505" s="250"/>
      <c r="AX505" s="250"/>
      <c r="AY505" s="250"/>
      <c r="AZ505" s="250"/>
      <c r="BA505" s="250"/>
      <c r="BB505" s="250"/>
      <c r="BC505" s="250"/>
      <c r="BD505" s="250"/>
      <c r="BE505" s="250"/>
      <c r="BF505" s="250"/>
      <c r="BG505" s="250"/>
      <c r="BH505" s="250"/>
      <c r="BI505" s="250"/>
      <c r="BJ505" s="250"/>
    </row>
    <row r="506" spans="1:62" ht="15.75" customHeight="1" thickBot="1">
      <c r="B506" s="7"/>
      <c r="C506" s="283"/>
      <c r="D506" s="542">
        <v>4425</v>
      </c>
      <c r="E506" s="550" t="e">
        <v>#N/A</v>
      </c>
      <c r="F506" s="286"/>
      <c r="G506" s="283"/>
      <c r="H506" s="283"/>
      <c r="I506" s="286"/>
      <c r="J506" s="551" t="e">
        <v>#N/A</v>
      </c>
      <c r="K506" s="283"/>
      <c r="L506" s="283"/>
      <c r="M506" s="283"/>
      <c r="N506" s="283"/>
      <c r="O506" s="551" t="e">
        <v>#N/A</v>
      </c>
      <c r="P506" s="283"/>
      <c r="Q506" s="286"/>
      <c r="R506" s="286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314"/>
      <c r="AG506" s="250"/>
      <c r="AH506" s="250"/>
      <c r="AI506" s="250"/>
      <c r="AJ506" s="250"/>
      <c r="AK506" s="250"/>
      <c r="AL506" s="250"/>
      <c r="AM506" s="250"/>
      <c r="AN506" s="250"/>
      <c r="AO506" s="250"/>
      <c r="AP506" s="250"/>
      <c r="AQ506" s="250"/>
      <c r="AR506" s="250"/>
      <c r="AS506" s="250"/>
      <c r="AT506" s="250"/>
      <c r="AU506" s="250"/>
      <c r="AV506" s="250"/>
      <c r="AW506" s="250"/>
      <c r="AX506" s="250"/>
      <c r="AY506" s="250"/>
      <c r="AZ506" s="250"/>
      <c r="BA506" s="250"/>
      <c r="BB506" s="250"/>
      <c r="BC506" s="250"/>
      <c r="BD506" s="250"/>
      <c r="BE506" s="250"/>
      <c r="BF506" s="250"/>
      <c r="BG506" s="250"/>
      <c r="BH506" s="250"/>
      <c r="BI506" s="250"/>
      <c r="BJ506" s="250"/>
    </row>
    <row r="507" spans="1:62" ht="15.75" customHeight="1" thickTop="1">
      <c r="B507" s="7"/>
      <c r="C507" s="283"/>
      <c r="D507" s="542"/>
      <c r="E507" s="283"/>
      <c r="F507" s="286"/>
      <c r="G507" s="283"/>
      <c r="H507" s="283"/>
      <c r="I507" s="286"/>
      <c r="J507" s="283"/>
      <c r="K507" s="283"/>
      <c r="L507" s="283"/>
      <c r="M507" s="283"/>
      <c r="N507" s="283"/>
      <c r="O507" s="283"/>
      <c r="P507" s="283"/>
      <c r="Q507" s="286"/>
      <c r="R507" s="286"/>
      <c r="W507" s="250"/>
      <c r="X507" s="250"/>
      <c r="Y507" s="250"/>
      <c r="Z507" s="250"/>
      <c r="AA507" s="250"/>
      <c r="AB507" s="250"/>
      <c r="AC507" s="250"/>
      <c r="AD507" s="250"/>
      <c r="AE507" s="250"/>
      <c r="AF507" s="314"/>
      <c r="AG507" s="250"/>
      <c r="AH507" s="250"/>
      <c r="AI507" s="250"/>
      <c r="AJ507" s="250"/>
      <c r="AK507" s="250"/>
      <c r="AL507" s="250"/>
      <c r="AM507" s="250"/>
      <c r="AN507" s="250"/>
      <c r="AO507" s="250"/>
      <c r="AP507" s="250"/>
      <c r="AQ507" s="250"/>
      <c r="AR507" s="250"/>
      <c r="AS507" s="250"/>
      <c r="AT507" s="250"/>
      <c r="AU507" s="250"/>
      <c r="AV507" s="250"/>
      <c r="AW507" s="250"/>
      <c r="AX507" s="250"/>
      <c r="AY507" s="250"/>
      <c r="AZ507" s="250"/>
      <c r="BA507" s="250"/>
      <c r="BB507" s="250"/>
      <c r="BC507" s="250"/>
      <c r="BD507" s="250"/>
      <c r="BE507" s="250"/>
      <c r="BF507" s="250"/>
      <c r="BG507" s="250"/>
      <c r="BH507" s="250"/>
      <c r="BI507" s="250"/>
      <c r="BJ507" s="250"/>
    </row>
    <row r="508" spans="1:62" ht="15.75" customHeight="1">
      <c r="B508" s="7"/>
      <c r="C508" s="283"/>
      <c r="D508" s="542"/>
      <c r="E508" s="283"/>
      <c r="F508" s="286"/>
      <c r="G508" s="283"/>
      <c r="H508" s="283"/>
      <c r="I508" s="286"/>
      <c r="J508" s="283"/>
      <c r="K508" s="283"/>
      <c r="L508" s="283"/>
      <c r="M508" s="283"/>
      <c r="N508" s="283"/>
      <c r="O508" s="283"/>
      <c r="P508" s="283"/>
      <c r="Q508" s="286"/>
      <c r="R508" s="286"/>
      <c r="W508" s="250"/>
      <c r="X508" s="250"/>
      <c r="Y508" s="250"/>
      <c r="Z508" s="250"/>
      <c r="AA508" s="250"/>
      <c r="AB508" s="250"/>
      <c r="AC508" s="250"/>
      <c r="AD508" s="250"/>
      <c r="AE508" s="250"/>
      <c r="AF508" s="250"/>
      <c r="AG508" s="250"/>
      <c r="AH508" s="250"/>
      <c r="AI508" s="250"/>
      <c r="AJ508" s="250"/>
      <c r="AK508" s="250"/>
      <c r="AL508" s="250"/>
      <c r="AM508" s="250"/>
      <c r="AN508" s="250"/>
      <c r="AO508" s="250"/>
      <c r="AP508" s="250"/>
      <c r="AQ508" s="250"/>
      <c r="AR508" s="250"/>
      <c r="AS508" s="250"/>
      <c r="AT508" s="250"/>
      <c r="AU508" s="250"/>
      <c r="AV508" s="250"/>
      <c r="AW508" s="250"/>
      <c r="AX508" s="250"/>
      <c r="AY508" s="250"/>
      <c r="AZ508" s="250"/>
      <c r="BA508" s="250"/>
      <c r="BB508" s="250"/>
      <c r="BC508" s="250"/>
      <c r="BD508" s="250"/>
      <c r="BE508" s="250"/>
      <c r="BF508" s="250"/>
      <c r="BG508" s="250"/>
      <c r="BH508" s="250"/>
      <c r="BI508" s="250"/>
      <c r="BJ508" s="250"/>
    </row>
    <row r="509" spans="1:62" ht="15.75" customHeight="1">
      <c r="B509" s="7"/>
      <c r="C509" s="283"/>
      <c r="D509" s="542">
        <v>4727</v>
      </c>
      <c r="E509" s="283" t="e">
        <v>#N/A</v>
      </c>
      <c r="F509" s="286"/>
      <c r="G509" s="283"/>
      <c r="H509" s="283"/>
      <c r="I509" s="286"/>
      <c r="J509" s="544" t="e">
        <v>#N/A</v>
      </c>
      <c r="K509" s="283"/>
      <c r="L509" s="283"/>
      <c r="M509" s="283"/>
      <c r="N509" s="283"/>
      <c r="O509" s="544" t="e">
        <v>#N/A</v>
      </c>
      <c r="P509" s="283"/>
      <c r="Q509" s="286"/>
      <c r="R509" s="286"/>
      <c r="W509" s="339"/>
      <c r="X509" s="339"/>
      <c r="Y509" s="250"/>
      <c r="Z509" s="250"/>
      <c r="AA509" s="250"/>
      <c r="AB509" s="250"/>
      <c r="AC509" s="250"/>
      <c r="AD509" s="250"/>
      <c r="AE509" s="250"/>
      <c r="AF509" s="250"/>
      <c r="AG509" s="250"/>
      <c r="AH509" s="250"/>
      <c r="AI509" s="250"/>
      <c r="AJ509" s="250"/>
      <c r="AK509" s="250"/>
      <c r="AL509" s="250"/>
      <c r="AM509" s="250"/>
      <c r="AN509" s="250"/>
      <c r="AO509" s="250"/>
      <c r="AP509" s="250"/>
      <c r="AQ509" s="250"/>
      <c r="AR509" s="250"/>
      <c r="AS509" s="250"/>
      <c r="AT509" s="250"/>
      <c r="AU509" s="250"/>
      <c r="AV509" s="250"/>
      <c r="AW509" s="250"/>
      <c r="AX509" s="250"/>
      <c r="AY509" s="250"/>
      <c r="AZ509" s="250"/>
      <c r="BA509" s="250"/>
      <c r="BB509" s="250"/>
      <c r="BC509" s="250"/>
      <c r="BD509" s="250"/>
      <c r="BE509" s="250"/>
      <c r="BF509" s="250"/>
      <c r="BG509" s="250"/>
      <c r="BH509" s="250"/>
      <c r="BI509" s="250"/>
      <c r="BJ509" s="250"/>
    </row>
    <row r="510" spans="1:62" ht="15.75" customHeight="1">
      <c r="B510" s="7"/>
      <c r="C510" s="283"/>
      <c r="D510" s="542">
        <v>5727</v>
      </c>
      <c r="E510" s="283" t="e">
        <v>#N/A</v>
      </c>
      <c r="F510" s="286"/>
      <c r="G510" s="283"/>
      <c r="H510" s="283"/>
      <c r="I510" s="286"/>
      <c r="J510" s="544" t="e">
        <v>#N/A</v>
      </c>
      <c r="K510" s="546" t="e">
        <f>-J510/J509</f>
        <v>#N/A</v>
      </c>
      <c r="L510" s="283"/>
      <c r="M510" s="283"/>
      <c r="N510" s="283"/>
      <c r="O510" s="544" t="e">
        <v>#N/A</v>
      </c>
      <c r="P510" s="546" t="e">
        <f>-O510/O509</f>
        <v>#N/A</v>
      </c>
      <c r="Q510" s="286"/>
      <c r="R510" s="286"/>
      <c r="W510" s="339"/>
      <c r="X510" s="339"/>
      <c r="Y510" s="250"/>
      <c r="Z510" s="250"/>
      <c r="AA510" s="250"/>
      <c r="AB510" s="250"/>
      <c r="AC510" s="250"/>
      <c r="AD510" s="250"/>
      <c r="AE510" s="250"/>
      <c r="AF510" s="250"/>
      <c r="AG510" s="250"/>
      <c r="AH510" s="250"/>
      <c r="AI510" s="250"/>
      <c r="AJ510" s="250"/>
      <c r="AK510" s="250"/>
      <c r="AL510" s="250"/>
      <c r="AM510" s="250"/>
      <c r="AN510" s="250"/>
      <c r="AO510" s="250"/>
      <c r="AP510" s="250"/>
      <c r="AQ510" s="250"/>
      <c r="AR510" s="250"/>
      <c r="AS510" s="250"/>
      <c r="AT510" s="250"/>
      <c r="AU510" s="250"/>
      <c r="AV510" s="250"/>
      <c r="AW510" s="250"/>
      <c r="AX510" s="250"/>
      <c r="AY510" s="250"/>
      <c r="AZ510" s="250"/>
      <c r="BA510" s="250"/>
      <c r="BB510" s="250"/>
      <c r="BC510" s="250"/>
      <c r="BD510" s="250"/>
      <c r="BE510" s="250"/>
      <c r="BF510" s="250"/>
      <c r="BG510" s="250"/>
      <c r="BH510" s="250"/>
      <c r="BI510" s="250"/>
      <c r="BJ510" s="250"/>
    </row>
    <row r="511" spans="1:62" ht="15.75" customHeight="1" thickBot="1">
      <c r="B511" s="7"/>
      <c r="C511" s="283"/>
      <c r="D511" s="283"/>
      <c r="E511" s="283" t="s">
        <v>478</v>
      </c>
      <c r="F511" s="286"/>
      <c r="G511" s="283"/>
      <c r="H511" s="283"/>
      <c r="I511" s="286"/>
      <c r="J511" s="547" t="e">
        <f>SUM(J509:J510)</f>
        <v>#N/A</v>
      </c>
      <c r="K511" s="548" t="e">
        <f>+J511/J509</f>
        <v>#N/A</v>
      </c>
      <c r="L511" s="283"/>
      <c r="M511" s="283"/>
      <c r="N511" s="283"/>
      <c r="O511" s="547" t="e">
        <f>SUM(O509:O510)</f>
        <v>#N/A</v>
      </c>
      <c r="P511" s="548" t="e">
        <f>+O511/O509</f>
        <v>#N/A</v>
      </c>
      <c r="Q511" s="286"/>
      <c r="R511" s="286"/>
      <c r="W511" s="339"/>
      <c r="X511" s="339"/>
      <c r="Y511" s="250"/>
      <c r="Z511" s="250"/>
      <c r="AA511" s="250"/>
      <c r="AB511" s="250"/>
      <c r="AC511" s="250"/>
      <c r="AD511" s="250"/>
      <c r="AE511" s="250"/>
      <c r="AF511" s="250"/>
      <c r="AG511" s="250"/>
      <c r="AH511" s="250"/>
      <c r="AI511" s="250"/>
      <c r="AJ511" s="250"/>
      <c r="AK511" s="250"/>
      <c r="AL511" s="250"/>
      <c r="AM511" s="250"/>
      <c r="AN511" s="250"/>
      <c r="AO511" s="250"/>
      <c r="AP511" s="250"/>
      <c r="AQ511" s="250"/>
      <c r="AR511" s="250"/>
      <c r="AS511" s="250"/>
      <c r="AT511" s="250"/>
      <c r="AU511" s="250"/>
      <c r="AV511" s="250"/>
      <c r="AW511" s="250"/>
      <c r="AX511" s="250"/>
      <c r="AY511" s="250"/>
      <c r="AZ511" s="250"/>
      <c r="BA511" s="250"/>
      <c r="BB511" s="250"/>
      <c r="BC511" s="250"/>
      <c r="BD511" s="250"/>
      <c r="BE511" s="250"/>
      <c r="BF511" s="250"/>
      <c r="BG511" s="250"/>
      <c r="BH511" s="250"/>
      <c r="BI511" s="250"/>
      <c r="BJ511" s="250"/>
    </row>
    <row r="512" spans="1:62" ht="15.75" customHeight="1" thickTop="1">
      <c r="B512" s="7"/>
      <c r="C512" s="283"/>
      <c r="D512" s="542"/>
      <c r="E512" s="283"/>
      <c r="F512" s="286"/>
      <c r="G512" s="283"/>
      <c r="H512" s="283"/>
      <c r="I512" s="286"/>
      <c r="J512" s="542"/>
      <c r="K512" s="283"/>
      <c r="L512" s="283"/>
      <c r="M512" s="283"/>
      <c r="N512" s="283"/>
      <c r="O512" s="542"/>
      <c r="P512" s="283"/>
      <c r="Q512" s="286"/>
      <c r="R512" s="286"/>
      <c r="W512" s="339"/>
      <c r="X512" s="339"/>
      <c r="Y512" s="250"/>
      <c r="Z512" s="250"/>
      <c r="AA512" s="250"/>
      <c r="AB512" s="250"/>
      <c r="AC512" s="250"/>
      <c r="AD512" s="250"/>
      <c r="AE512" s="250"/>
      <c r="AF512" s="250"/>
      <c r="AG512" s="250"/>
      <c r="AH512" s="250"/>
      <c r="AI512" s="250"/>
      <c r="AJ512" s="250"/>
      <c r="AK512" s="250"/>
      <c r="AL512" s="250"/>
      <c r="AM512" s="250"/>
      <c r="AN512" s="250"/>
      <c r="AO512" s="250"/>
      <c r="AP512" s="250"/>
      <c r="AQ512" s="250"/>
      <c r="AR512" s="250"/>
      <c r="AS512" s="250"/>
      <c r="AT512" s="250"/>
      <c r="AU512" s="250"/>
      <c r="AV512" s="250"/>
      <c r="AW512" s="250"/>
      <c r="AX512" s="250"/>
      <c r="AY512" s="250"/>
      <c r="AZ512" s="250"/>
      <c r="BA512" s="250"/>
      <c r="BB512" s="250"/>
      <c r="BC512" s="250"/>
      <c r="BD512" s="250"/>
      <c r="BE512" s="250"/>
      <c r="BF512" s="250"/>
      <c r="BG512" s="250"/>
      <c r="BH512" s="250"/>
      <c r="BI512" s="250"/>
      <c r="BJ512" s="250"/>
    </row>
    <row r="513" spans="2:62" ht="15.75" customHeight="1" thickBot="1">
      <c r="B513" s="7"/>
      <c r="C513" s="283"/>
      <c r="D513" s="542">
        <v>4729</v>
      </c>
      <c r="E513" s="550" t="e">
        <v>#N/A</v>
      </c>
      <c r="F513" s="286"/>
      <c r="G513" s="283"/>
      <c r="H513" s="283"/>
      <c r="I513" s="286"/>
      <c r="J513" s="551" t="e">
        <v>#N/A</v>
      </c>
      <c r="K513" s="283"/>
      <c r="L513" s="283"/>
      <c r="M513" s="283"/>
      <c r="N513" s="283"/>
      <c r="O513" s="551" t="e">
        <v>#N/A</v>
      </c>
      <c r="P513" s="283"/>
      <c r="Q513" s="286"/>
      <c r="R513" s="286"/>
      <c r="W513" s="339"/>
      <c r="X513" s="339"/>
      <c r="Y513" s="250"/>
      <c r="Z513" s="250"/>
      <c r="AA513" s="250"/>
      <c r="AB513" s="250"/>
      <c r="AC513" s="250"/>
      <c r="AD513" s="250"/>
      <c r="AE513" s="250"/>
      <c r="AF513" s="250"/>
      <c r="AG513" s="250"/>
      <c r="AH513" s="250"/>
      <c r="AI513" s="250"/>
      <c r="AJ513" s="250"/>
      <c r="AK513" s="250"/>
      <c r="AL513" s="250"/>
      <c r="AM513" s="250"/>
      <c r="AN513" s="250"/>
      <c r="AO513" s="250"/>
      <c r="AP513" s="250"/>
      <c r="AQ513" s="250"/>
      <c r="AR513" s="250"/>
      <c r="AS513" s="250"/>
      <c r="AT513" s="250"/>
      <c r="AU513" s="250"/>
      <c r="AV513" s="250"/>
      <c r="AW513" s="250"/>
      <c r="AX513" s="250"/>
      <c r="AY513" s="250"/>
      <c r="AZ513" s="250"/>
      <c r="BA513" s="250"/>
      <c r="BB513" s="250"/>
      <c r="BC513" s="250"/>
      <c r="BD513" s="250"/>
      <c r="BE513" s="250"/>
      <c r="BF513" s="250"/>
      <c r="BG513" s="250"/>
      <c r="BH513" s="250"/>
      <c r="BI513" s="250"/>
      <c r="BJ513" s="250"/>
    </row>
    <row r="514" spans="2:62" ht="15.75" customHeight="1" thickTop="1">
      <c r="B514" s="7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6"/>
      <c r="R514" s="286"/>
      <c r="W514" s="339"/>
      <c r="X514" s="339"/>
      <c r="Y514" s="250"/>
      <c r="Z514" s="250"/>
      <c r="AA514" s="250"/>
      <c r="AB514" s="250"/>
      <c r="AC514" s="250"/>
      <c r="AD514" s="250"/>
      <c r="AE514" s="250"/>
      <c r="AF514" s="250"/>
      <c r="AG514" s="250"/>
      <c r="AH514" s="250"/>
      <c r="AI514" s="250"/>
      <c r="AJ514" s="250"/>
      <c r="AK514" s="250"/>
      <c r="AL514" s="250"/>
      <c r="AM514" s="250"/>
      <c r="AN514" s="250"/>
      <c r="AO514" s="250"/>
      <c r="AP514" s="250"/>
      <c r="AQ514" s="250"/>
      <c r="AR514" s="250"/>
      <c r="AS514" s="250"/>
      <c r="AT514" s="250"/>
      <c r="AU514" s="250"/>
      <c r="AV514" s="250"/>
      <c r="AW514" s="250"/>
      <c r="AX514" s="250"/>
      <c r="AY514" s="250"/>
      <c r="AZ514" s="250"/>
      <c r="BA514" s="250"/>
      <c r="BB514" s="250"/>
      <c r="BC514" s="250"/>
      <c r="BD514" s="250"/>
      <c r="BE514" s="250"/>
      <c r="BF514" s="250"/>
      <c r="BG514" s="250"/>
      <c r="BH514" s="250"/>
      <c r="BI514" s="250"/>
      <c r="BJ514" s="250"/>
    </row>
    <row r="515" spans="2:62" ht="15.75" customHeight="1">
      <c r="B515" s="7"/>
      <c r="D515" s="283" t="s">
        <v>479</v>
      </c>
      <c r="E515" s="283"/>
      <c r="F515" s="286"/>
      <c r="G515" s="283"/>
      <c r="H515" s="283"/>
      <c r="I515" s="286"/>
      <c r="J515" s="283"/>
      <c r="K515" s="283"/>
      <c r="L515" s="283"/>
      <c r="M515" s="283"/>
      <c r="N515" s="283"/>
      <c r="O515" s="283"/>
      <c r="P515" s="283"/>
      <c r="W515" s="339"/>
      <c r="X515" s="339"/>
      <c r="Y515" s="250"/>
      <c r="Z515" s="250"/>
      <c r="AA515" s="250"/>
      <c r="AB515" s="250"/>
      <c r="AC515" s="250"/>
      <c r="AD515" s="250"/>
      <c r="AE515" s="250"/>
      <c r="AF515" s="250"/>
      <c r="AG515" s="250"/>
      <c r="AH515" s="250"/>
      <c r="AI515" s="250"/>
      <c r="AJ515" s="250"/>
      <c r="AK515" s="250"/>
      <c r="AL515" s="250"/>
      <c r="AM515" s="250"/>
      <c r="AN515" s="250"/>
      <c r="AO515" s="250"/>
      <c r="AP515" s="250"/>
      <c r="AQ515" s="250"/>
      <c r="AR515" s="250"/>
      <c r="AS515" s="250"/>
      <c r="AT515" s="250"/>
      <c r="AU515" s="250"/>
      <c r="AV515" s="250"/>
      <c r="AW515" s="250"/>
      <c r="AX515" s="250"/>
      <c r="AY515" s="250"/>
      <c r="AZ515" s="250"/>
      <c r="BA515" s="250"/>
      <c r="BB515" s="250"/>
      <c r="BC515" s="250"/>
      <c r="BD515" s="250"/>
      <c r="BE515" s="250"/>
      <c r="BF515" s="250"/>
      <c r="BG515" s="250"/>
      <c r="BH515" s="250"/>
      <c r="BI515" s="250"/>
      <c r="BJ515" s="250"/>
    </row>
    <row r="516" spans="2:62" ht="15.75" customHeight="1">
      <c r="B516" s="7"/>
      <c r="D516" s="542"/>
      <c r="E516" s="283" t="s">
        <v>480</v>
      </c>
      <c r="F516" s="286"/>
      <c r="G516" s="283"/>
      <c r="H516" s="283"/>
      <c r="I516" s="286"/>
      <c r="J516" s="544" t="e">
        <f>+J502</f>
        <v>#N/A</v>
      </c>
      <c r="K516" s="283"/>
      <c r="L516" s="283"/>
      <c r="M516" s="283"/>
      <c r="N516" s="283"/>
      <c r="O516" s="544" t="e">
        <f>+O502</f>
        <v>#N/A</v>
      </c>
      <c r="P516" s="283"/>
      <c r="W516" s="339"/>
      <c r="X516" s="339"/>
      <c r="Y516" s="250"/>
      <c r="Z516" s="250"/>
      <c r="AA516" s="250"/>
      <c r="AB516" s="250"/>
      <c r="AC516" s="250"/>
      <c r="AD516" s="250"/>
      <c r="AE516" s="250"/>
      <c r="AF516" s="250"/>
      <c r="AG516" s="250"/>
      <c r="AH516" s="250"/>
      <c r="AI516" s="250"/>
      <c r="AJ516" s="250"/>
      <c r="AK516" s="250"/>
      <c r="AL516" s="250"/>
      <c r="AM516" s="250"/>
      <c r="AN516" s="250"/>
      <c r="AO516" s="250"/>
      <c r="AP516" s="250"/>
      <c r="AQ516" s="250"/>
      <c r="AR516" s="250"/>
      <c r="AS516" s="250"/>
      <c r="AT516" s="250"/>
      <c r="AU516" s="250"/>
      <c r="AV516" s="250"/>
      <c r="AW516" s="250"/>
      <c r="AX516" s="250"/>
      <c r="AY516" s="250"/>
      <c r="AZ516" s="250"/>
      <c r="BA516" s="250"/>
      <c r="BB516" s="250"/>
      <c r="BC516" s="250"/>
      <c r="BD516" s="250"/>
      <c r="BE516" s="250"/>
      <c r="BF516" s="250"/>
      <c r="BG516" s="250"/>
      <c r="BH516" s="250"/>
      <c r="BI516" s="250"/>
      <c r="BJ516" s="250"/>
    </row>
    <row r="517" spans="2:62" ht="15.75" customHeight="1">
      <c r="B517" s="7"/>
      <c r="D517" s="542"/>
      <c r="E517" s="283" t="s">
        <v>481</v>
      </c>
      <c r="F517" s="286"/>
      <c r="G517" s="283"/>
      <c r="H517" s="283"/>
      <c r="I517" s="286"/>
      <c r="J517" s="544" t="e">
        <f>+J503</f>
        <v>#N/A</v>
      </c>
      <c r="K517" s="546" t="e">
        <f>-J517/J516</f>
        <v>#N/A</v>
      </c>
      <c r="L517" s="283"/>
      <c r="M517" s="283"/>
      <c r="N517" s="283"/>
      <c r="O517" s="544" t="e">
        <f>+O503</f>
        <v>#N/A</v>
      </c>
      <c r="P517" s="546" t="e">
        <f>-O517/O516</f>
        <v>#N/A</v>
      </c>
      <c r="W517" s="339"/>
      <c r="X517" s="339"/>
      <c r="Y517" s="250"/>
      <c r="Z517" s="250"/>
      <c r="AA517" s="250"/>
      <c r="AB517" s="250"/>
      <c r="AC517" s="250"/>
      <c r="AD517" s="250"/>
      <c r="AE517" s="250"/>
      <c r="AF517" s="250"/>
      <c r="AG517" s="250"/>
      <c r="AH517" s="250"/>
      <c r="AI517" s="250"/>
      <c r="AJ517" s="250"/>
      <c r="AK517" s="250"/>
      <c r="AL517" s="250"/>
      <c r="AM517" s="250"/>
      <c r="AN517" s="250"/>
      <c r="AO517" s="250"/>
      <c r="AP517" s="250"/>
      <c r="AQ517" s="250"/>
      <c r="AR517" s="250"/>
      <c r="AS517" s="250"/>
      <c r="AT517" s="250"/>
      <c r="AU517" s="250"/>
      <c r="AV517" s="250"/>
      <c r="AW517" s="250"/>
      <c r="AX517" s="250"/>
      <c r="AY517" s="250"/>
      <c r="AZ517" s="250"/>
      <c r="BA517" s="250"/>
      <c r="BB517" s="250"/>
      <c r="BC517" s="250"/>
      <c r="BD517" s="250"/>
      <c r="BE517" s="250"/>
      <c r="BF517" s="250"/>
      <c r="BG517" s="250"/>
      <c r="BH517" s="250"/>
      <c r="BI517" s="250"/>
      <c r="BJ517" s="250"/>
    </row>
    <row r="518" spans="2:62" ht="15.75" customHeight="1" thickBot="1">
      <c r="B518" s="7"/>
      <c r="D518" s="542"/>
      <c r="E518" s="283"/>
      <c r="F518" s="286"/>
      <c r="G518" s="283"/>
      <c r="H518" s="283"/>
      <c r="I518" s="286"/>
      <c r="J518" s="547" t="e">
        <f>SUM(J516:J517)</f>
        <v>#N/A</v>
      </c>
      <c r="K518" s="548" t="e">
        <f>+J518/J516</f>
        <v>#N/A</v>
      </c>
      <c r="L518" s="283"/>
      <c r="M518" s="283"/>
      <c r="N518" s="283"/>
      <c r="O518" s="547" t="e">
        <f>SUM(O516:O517)</f>
        <v>#N/A</v>
      </c>
      <c r="P518" s="548" t="e">
        <f>+O518/O516</f>
        <v>#N/A</v>
      </c>
      <c r="W518" s="339"/>
      <c r="X518" s="339"/>
      <c r="Y518" s="250"/>
      <c r="Z518" s="250"/>
      <c r="AA518" s="250"/>
      <c r="AB518" s="250"/>
      <c r="AC518" s="250"/>
      <c r="AD518" s="250"/>
      <c r="AE518" s="250"/>
      <c r="AF518" s="250"/>
      <c r="AG518" s="250"/>
      <c r="AH518" s="250"/>
      <c r="AI518" s="250"/>
      <c r="AJ518" s="250"/>
      <c r="AK518" s="250"/>
      <c r="AL518" s="250"/>
      <c r="AM518" s="250"/>
      <c r="AN518" s="250"/>
      <c r="AO518" s="250"/>
      <c r="AP518" s="250"/>
      <c r="AQ518" s="250"/>
      <c r="AR518" s="250"/>
      <c r="AS518" s="250"/>
      <c r="AT518" s="250"/>
      <c r="AU518" s="250"/>
      <c r="AV518" s="250"/>
      <c r="AW518" s="250"/>
      <c r="AX518" s="250"/>
      <c r="AY518" s="250"/>
      <c r="AZ518" s="250"/>
      <c r="BA518" s="250"/>
      <c r="BB518" s="250"/>
      <c r="BC518" s="250"/>
      <c r="BD518" s="250"/>
      <c r="BE518" s="250"/>
      <c r="BF518" s="250"/>
      <c r="BG518" s="250"/>
      <c r="BH518" s="250"/>
      <c r="BI518" s="250"/>
      <c r="BJ518" s="250"/>
    </row>
    <row r="519" spans="2:62" ht="15.75" customHeight="1" thickTop="1">
      <c r="B519" s="7"/>
      <c r="D519" s="542"/>
      <c r="E519" s="283"/>
      <c r="F519" s="286"/>
      <c r="G519" s="283"/>
      <c r="H519" s="283"/>
      <c r="I519" s="552"/>
      <c r="J519" s="283"/>
      <c r="K519" s="283"/>
      <c r="L519" s="283"/>
      <c r="M519" s="283"/>
      <c r="N519" s="552"/>
      <c r="O519" s="283"/>
      <c r="P519" s="283"/>
      <c r="W519" s="339"/>
      <c r="X519" s="339"/>
      <c r="Y519" s="250"/>
      <c r="Z519" s="250"/>
      <c r="AA519" s="250"/>
      <c r="AB519" s="250"/>
      <c r="AC519" s="250"/>
      <c r="AD519" s="250"/>
      <c r="AE519" s="250"/>
      <c r="AF519" s="250"/>
      <c r="AG519" s="250"/>
      <c r="AH519" s="250"/>
      <c r="AI519" s="250"/>
      <c r="AJ519" s="250"/>
      <c r="AK519" s="250"/>
      <c r="AL519" s="250"/>
      <c r="AM519" s="250"/>
      <c r="AN519" s="250"/>
      <c r="AO519" s="250"/>
      <c r="AP519" s="250"/>
      <c r="AQ519" s="250"/>
      <c r="AR519" s="250"/>
      <c r="AS519" s="250"/>
      <c r="AT519" s="250"/>
      <c r="AU519" s="250"/>
      <c r="AV519" s="250"/>
      <c r="AW519" s="250"/>
      <c r="AX519" s="250"/>
      <c r="AY519" s="250"/>
      <c r="AZ519" s="250"/>
      <c r="BA519" s="250"/>
      <c r="BB519" s="250"/>
      <c r="BC519" s="250"/>
      <c r="BD519" s="250"/>
      <c r="BE519" s="250"/>
      <c r="BF519" s="250"/>
      <c r="BG519" s="250"/>
      <c r="BH519" s="250"/>
      <c r="BI519" s="250"/>
      <c r="BJ519" s="250"/>
    </row>
    <row r="520" spans="2:62" ht="15.75" customHeight="1" thickBot="1">
      <c r="B520" s="7"/>
      <c r="D520" s="542"/>
      <c r="E520" s="283" t="s">
        <v>482</v>
      </c>
      <c r="F520" s="286"/>
      <c r="G520" s="283"/>
      <c r="H520" s="283"/>
      <c r="I520" s="286"/>
      <c r="J520" s="553" t="e">
        <f>+J506+J513</f>
        <v>#N/A</v>
      </c>
      <c r="K520" s="283"/>
      <c r="L520" s="283"/>
      <c r="M520" s="283"/>
      <c r="N520" s="283"/>
      <c r="O520" s="553" t="e">
        <f>+O506+O513</f>
        <v>#N/A</v>
      </c>
      <c r="P520" s="283"/>
      <c r="W520" s="339"/>
      <c r="X520" s="339"/>
      <c r="Y520" s="250"/>
      <c r="Z520" s="250"/>
      <c r="AA520" s="250"/>
      <c r="AB520" s="250"/>
      <c r="AC520" s="250"/>
      <c r="AD520" s="250"/>
      <c r="AE520" s="250"/>
      <c r="AF520" s="250"/>
      <c r="AG520" s="250"/>
      <c r="AH520" s="250"/>
      <c r="AI520" s="250"/>
      <c r="AJ520" s="250"/>
      <c r="AK520" s="250"/>
      <c r="AL520" s="250"/>
      <c r="AM520" s="250"/>
      <c r="AN520" s="250"/>
      <c r="AO520" s="250"/>
      <c r="AP520" s="250"/>
      <c r="AQ520" s="250"/>
      <c r="AR520" s="250"/>
      <c r="AS520" s="250"/>
      <c r="AT520" s="250"/>
      <c r="AU520" s="250"/>
      <c r="AV520" s="250"/>
      <c r="AW520" s="250"/>
      <c r="AX520" s="250"/>
      <c r="AY520" s="250"/>
      <c r="AZ520" s="250"/>
      <c r="BA520" s="250"/>
      <c r="BB520" s="250"/>
      <c r="BC520" s="250"/>
      <c r="BD520" s="250"/>
      <c r="BE520" s="250"/>
      <c r="BF520" s="250"/>
      <c r="BG520" s="250"/>
      <c r="BH520" s="250"/>
      <c r="BI520" s="250"/>
      <c r="BJ520" s="250"/>
    </row>
    <row r="521" spans="2:62" ht="15.75" customHeight="1" thickTop="1">
      <c r="B521" s="7"/>
      <c r="D521" s="542"/>
      <c r="E521" s="283"/>
      <c r="F521" s="286"/>
      <c r="G521" s="283"/>
      <c r="H521" s="283"/>
      <c r="I521" s="286"/>
      <c r="J521" s="542"/>
      <c r="K521" s="283"/>
      <c r="L521" s="283"/>
      <c r="M521" s="283"/>
      <c r="N521" s="283"/>
      <c r="O521" s="542"/>
      <c r="P521" s="283"/>
      <c r="W521" s="339"/>
      <c r="X521" s="339"/>
      <c r="Y521" s="250"/>
      <c r="Z521" s="250"/>
      <c r="AA521" s="250"/>
      <c r="AB521" s="250"/>
      <c r="AC521" s="250"/>
      <c r="AD521" s="250"/>
      <c r="AE521" s="250"/>
      <c r="AF521" s="250"/>
      <c r="AG521" s="250"/>
      <c r="AH521" s="250"/>
      <c r="AI521" s="250"/>
      <c r="AJ521" s="250"/>
      <c r="AK521" s="250"/>
      <c r="AL521" s="250"/>
      <c r="AM521" s="250"/>
      <c r="AN521" s="250"/>
      <c r="AO521" s="250"/>
      <c r="AP521" s="250"/>
      <c r="AQ521" s="250"/>
      <c r="AR521" s="250"/>
      <c r="AS521" s="250"/>
      <c r="AT521" s="250"/>
      <c r="AU521" s="250"/>
      <c r="AV521" s="250"/>
      <c r="AW521" s="250"/>
      <c r="AX521" s="250"/>
      <c r="AY521" s="250"/>
      <c r="AZ521" s="250"/>
      <c r="BA521" s="250"/>
      <c r="BB521" s="250"/>
      <c r="BC521" s="250"/>
      <c r="BD521" s="250"/>
      <c r="BE521" s="250"/>
      <c r="BF521" s="250"/>
      <c r="BG521" s="250"/>
      <c r="BH521" s="250"/>
      <c r="BI521" s="250"/>
      <c r="BJ521" s="250"/>
    </row>
    <row r="522" spans="2:62" ht="15.75" customHeight="1" thickBot="1">
      <c r="B522" s="7"/>
      <c r="D522" s="542"/>
      <c r="E522" s="550"/>
      <c r="F522" s="286"/>
      <c r="G522" s="283"/>
      <c r="H522" s="283"/>
      <c r="I522" s="286"/>
      <c r="J522" s="250"/>
      <c r="K522" s="283"/>
      <c r="L522" s="283"/>
      <c r="M522" s="283"/>
      <c r="N522" s="283"/>
      <c r="O522" s="250"/>
      <c r="P522" s="283"/>
      <c r="W522" s="339"/>
      <c r="X522" s="339"/>
      <c r="Y522" s="250"/>
      <c r="Z522" s="250"/>
      <c r="AA522" s="250"/>
      <c r="AB522" s="250"/>
      <c r="AC522" s="250"/>
      <c r="AD522" s="250"/>
      <c r="AE522" s="250"/>
      <c r="AF522" s="250"/>
      <c r="AG522" s="250"/>
      <c r="AH522" s="250"/>
      <c r="AI522" s="250"/>
      <c r="AJ522" s="250"/>
      <c r="AK522" s="250"/>
      <c r="AL522" s="250"/>
      <c r="AM522" s="250"/>
      <c r="AN522" s="250"/>
      <c r="AO522" s="250"/>
      <c r="AP522" s="250"/>
      <c r="AQ522" s="250"/>
      <c r="AR522" s="250"/>
      <c r="AS522" s="250"/>
      <c r="AT522" s="250"/>
      <c r="AU522" s="250"/>
      <c r="AV522" s="250"/>
      <c r="AW522" s="250"/>
      <c r="AX522" s="250"/>
      <c r="AY522" s="250"/>
      <c r="AZ522" s="250"/>
      <c r="BA522" s="250"/>
      <c r="BB522" s="250"/>
      <c r="BC522" s="250"/>
      <c r="BD522" s="250"/>
      <c r="BE522" s="250"/>
      <c r="BF522" s="250"/>
      <c r="BG522" s="250"/>
      <c r="BH522" s="250"/>
      <c r="BI522" s="250"/>
      <c r="BJ522" s="250"/>
    </row>
    <row r="523" spans="2:62" ht="15.75" customHeight="1" thickBot="1">
      <c r="B523" s="7"/>
      <c r="D523" s="537" t="s">
        <v>483</v>
      </c>
      <c r="E523" s="538"/>
      <c r="F523" s="539"/>
      <c r="G523" s="540"/>
      <c r="J523" s="541" t="s">
        <v>474</v>
      </c>
      <c r="O523" s="541" t="s">
        <v>475</v>
      </c>
      <c r="W523" s="339"/>
      <c r="X523" s="339"/>
      <c r="Y523" s="250"/>
      <c r="Z523" s="250"/>
      <c r="AA523" s="250"/>
      <c r="AB523" s="250"/>
      <c r="AC523" s="250"/>
      <c r="AD523" s="250"/>
      <c r="AE523" s="250"/>
      <c r="AF523" s="250"/>
      <c r="AG523" s="250"/>
      <c r="AH523" s="250"/>
      <c r="AI523" s="250"/>
      <c r="AJ523" s="250"/>
      <c r="AK523" s="250"/>
      <c r="AL523" s="250"/>
      <c r="AM523" s="250"/>
      <c r="AN523" s="250"/>
      <c r="AO523" s="250"/>
      <c r="AP523" s="250"/>
      <c r="AQ523" s="250"/>
      <c r="AR523" s="250"/>
      <c r="AS523" s="250"/>
      <c r="AT523" s="250"/>
      <c r="AU523" s="250"/>
      <c r="AV523" s="250"/>
      <c r="AW523" s="250"/>
      <c r="AX523" s="250"/>
      <c r="AY523" s="250"/>
      <c r="AZ523" s="250"/>
      <c r="BA523" s="250"/>
      <c r="BB523" s="250"/>
      <c r="BC523" s="250"/>
      <c r="BD523" s="250"/>
      <c r="BE523" s="250"/>
      <c r="BF523" s="250"/>
      <c r="BG523" s="250"/>
      <c r="BH523" s="250"/>
      <c r="BI523" s="250"/>
      <c r="BJ523" s="250"/>
    </row>
    <row r="524" spans="2:62" ht="15.75" customHeight="1">
      <c r="B524" s="7"/>
      <c r="C524" s="283"/>
      <c r="D524" s="283" t="s">
        <v>476</v>
      </c>
      <c r="E524" s="283"/>
      <c r="F524" s="286"/>
      <c r="G524" s="283"/>
      <c r="H524" s="283"/>
      <c r="I524" s="286"/>
      <c r="J524" s="283"/>
      <c r="K524" s="283"/>
      <c r="L524" s="283"/>
      <c r="M524" s="283"/>
      <c r="N524" s="283"/>
      <c r="O524" s="283"/>
      <c r="P524" s="283"/>
      <c r="W524" s="339"/>
      <c r="X524" s="339"/>
      <c r="Y524" s="250"/>
      <c r="Z524" s="250"/>
      <c r="AA524" s="250"/>
      <c r="AB524" s="250"/>
      <c r="AC524" s="250"/>
      <c r="AD524" s="250"/>
      <c r="AE524" s="250"/>
      <c r="AF524" s="250"/>
      <c r="AG524" s="250"/>
      <c r="AH524" s="250"/>
      <c r="AI524" s="250"/>
      <c r="AJ524" s="250"/>
      <c r="AK524" s="250"/>
      <c r="AL524" s="250"/>
      <c r="AM524" s="250"/>
      <c r="AN524" s="250"/>
      <c r="AO524" s="250"/>
      <c r="AP524" s="250"/>
      <c r="AQ524" s="250"/>
      <c r="AR524" s="250"/>
      <c r="AS524" s="250"/>
      <c r="AT524" s="250"/>
      <c r="AU524" s="250"/>
      <c r="AV524" s="250"/>
      <c r="AW524" s="250"/>
      <c r="AX524" s="250"/>
      <c r="AY524" s="250"/>
      <c r="AZ524" s="250"/>
      <c r="BA524" s="250"/>
      <c r="BB524" s="250"/>
      <c r="BC524" s="250"/>
      <c r="BD524" s="250"/>
      <c r="BE524" s="250"/>
      <c r="BF524" s="250"/>
      <c r="BG524" s="250"/>
      <c r="BH524" s="250"/>
      <c r="BI524" s="250"/>
      <c r="BJ524" s="250"/>
    </row>
    <row r="525" spans="2:62" ht="15.75" customHeight="1">
      <c r="B525" s="7"/>
      <c r="C525" s="283"/>
      <c r="D525" s="542">
        <v>4405</v>
      </c>
      <c r="E525" s="283" t="s">
        <v>505</v>
      </c>
      <c r="F525" s="286"/>
      <c r="G525" s="283"/>
      <c r="H525" s="283"/>
      <c r="I525" s="286"/>
      <c r="J525" s="544">
        <v>53568.639999999999</v>
      </c>
      <c r="K525" s="283"/>
      <c r="L525" s="283"/>
      <c r="M525" s="283"/>
      <c r="N525" s="283"/>
      <c r="O525" s="544">
        <v>326384.87</v>
      </c>
      <c r="P525" s="283"/>
      <c r="W525" s="339"/>
      <c r="X525" s="339"/>
      <c r="Y525" s="250"/>
      <c r="Z525" s="250"/>
      <c r="AA525" s="250"/>
      <c r="AB525" s="250"/>
      <c r="AC525" s="250"/>
      <c r="AD525" s="250"/>
      <c r="AE525" s="250"/>
      <c r="AF525" s="250"/>
      <c r="AG525" s="250"/>
      <c r="AH525" s="250"/>
      <c r="AI525" s="250"/>
      <c r="AJ525" s="250"/>
      <c r="AK525" s="250"/>
      <c r="AL525" s="250"/>
      <c r="AM525" s="250"/>
      <c r="AN525" s="250"/>
      <c r="AO525" s="250"/>
      <c r="AP525" s="250"/>
      <c r="AQ525" s="250"/>
      <c r="AR525" s="250"/>
      <c r="AS525" s="250"/>
      <c r="AT525" s="250"/>
      <c r="AU525" s="250"/>
      <c r="AV525" s="250"/>
      <c r="AW525" s="250"/>
      <c r="AX525" s="250"/>
      <c r="AY525" s="250"/>
      <c r="AZ525" s="250"/>
      <c r="BA525" s="250"/>
      <c r="BB525" s="250"/>
      <c r="BC525" s="250"/>
      <c r="BD525" s="250"/>
      <c r="BE525" s="250"/>
      <c r="BF525" s="250"/>
      <c r="BG525" s="250"/>
      <c r="BH525" s="250"/>
      <c r="BI525" s="250"/>
      <c r="BJ525" s="250"/>
    </row>
    <row r="526" spans="2:62" ht="15.75" customHeight="1">
      <c r="B526" s="7"/>
      <c r="C526" s="283"/>
      <c r="D526" s="542">
        <v>5405</v>
      </c>
      <c r="E526" s="283" t="s">
        <v>506</v>
      </c>
      <c r="F526" s="286"/>
      <c r="G526" s="283"/>
      <c r="H526" s="283"/>
      <c r="I526" s="286"/>
      <c r="J526" s="544">
        <v>-13167.18</v>
      </c>
      <c r="K526" s="546">
        <f>-J526/J525</f>
        <v>0.24580015471738689</v>
      </c>
      <c r="L526" s="283"/>
      <c r="M526" s="283"/>
      <c r="N526" s="283"/>
      <c r="O526" s="544">
        <v>-91362.64</v>
      </c>
      <c r="P526" s="546">
        <f>-O526/O525</f>
        <v>0.27992302461814483</v>
      </c>
      <c r="W526" s="339"/>
      <c r="X526" s="339"/>
      <c r="Y526" s="250"/>
      <c r="Z526" s="250"/>
      <c r="AA526" s="250"/>
      <c r="AB526" s="250"/>
      <c r="AC526" s="250"/>
      <c r="AD526" s="250"/>
      <c r="AE526" s="250"/>
      <c r="AF526" s="250"/>
      <c r="AG526" s="250"/>
      <c r="AH526" s="250"/>
      <c r="AI526" s="250"/>
      <c r="AJ526" s="250"/>
      <c r="AK526" s="250"/>
      <c r="AL526" s="250"/>
      <c r="AM526" s="250"/>
      <c r="AN526" s="250"/>
      <c r="AO526" s="250"/>
      <c r="AP526" s="250"/>
      <c r="AQ526" s="250"/>
      <c r="AR526" s="250"/>
      <c r="AS526" s="250"/>
      <c r="AT526" s="250"/>
      <c r="AU526" s="250"/>
      <c r="AV526" s="250"/>
      <c r="AW526" s="250"/>
      <c r="AX526" s="250"/>
      <c r="AY526" s="250"/>
      <c r="AZ526" s="250"/>
      <c r="BA526" s="250"/>
      <c r="BB526" s="250"/>
      <c r="BC526" s="250"/>
      <c r="BD526" s="250"/>
      <c r="BE526" s="250"/>
      <c r="BF526" s="250"/>
      <c r="BG526" s="250"/>
      <c r="BH526" s="250"/>
      <c r="BI526" s="250"/>
      <c r="BJ526" s="250"/>
    </row>
    <row r="527" spans="2:62" ht="15.75" customHeight="1" thickBot="1">
      <c r="B527" s="7"/>
      <c r="C527" s="283"/>
      <c r="D527" s="542"/>
      <c r="E527" s="283" t="s">
        <v>484</v>
      </c>
      <c r="F527" s="286"/>
      <c r="G527" s="283"/>
      <c r="H527" s="283"/>
      <c r="I527" s="286"/>
      <c r="J527" s="547">
        <f>SUM(J525:J526)</f>
        <v>40401.46</v>
      </c>
      <c r="K527" s="548">
        <f>+J527/J525</f>
        <v>0.75419984528261308</v>
      </c>
      <c r="L527" s="283"/>
      <c r="M527" s="283"/>
      <c r="N527" s="283"/>
      <c r="O527" s="547">
        <f>SUM(O525:O526)</f>
        <v>235022.22999999998</v>
      </c>
      <c r="P527" s="548">
        <f>+O527/O525</f>
        <v>0.72007697538185511</v>
      </c>
      <c r="W527" s="339"/>
      <c r="X527" s="339"/>
      <c r="Y527" s="250"/>
      <c r="Z527" s="250"/>
      <c r="AA527" s="250"/>
      <c r="AB527" s="250"/>
      <c r="AC527" s="250"/>
      <c r="AD527" s="250"/>
      <c r="AE527" s="250"/>
      <c r="AF527" s="250"/>
      <c r="AG527" s="250"/>
      <c r="AH527" s="250"/>
      <c r="AI527" s="250"/>
      <c r="AJ527" s="250"/>
      <c r="AK527" s="250"/>
      <c r="AL527" s="250"/>
      <c r="AM527" s="250"/>
      <c r="AN527" s="250"/>
      <c r="AO527" s="250"/>
      <c r="AP527" s="250"/>
      <c r="AQ527" s="250"/>
      <c r="AR527" s="250"/>
      <c r="AS527" s="250"/>
      <c r="AT527" s="250"/>
      <c r="AU527" s="250"/>
      <c r="AV527" s="250"/>
      <c r="AW527" s="250"/>
      <c r="AX527" s="250"/>
      <c r="AY527" s="250"/>
      <c r="AZ527" s="250"/>
      <c r="BA527" s="250"/>
      <c r="BB527" s="250"/>
      <c r="BC527" s="250"/>
      <c r="BD527" s="250"/>
      <c r="BE527" s="250"/>
      <c r="BF527" s="250"/>
      <c r="BG527" s="250"/>
      <c r="BH527" s="250"/>
      <c r="BI527" s="250"/>
      <c r="BJ527" s="250"/>
    </row>
    <row r="528" spans="2:62" ht="15.75" customHeight="1" thickTop="1">
      <c r="B528" s="7"/>
      <c r="C528" s="283"/>
      <c r="D528" s="542"/>
      <c r="E528" s="283"/>
      <c r="F528" s="286"/>
      <c r="G528" s="283"/>
      <c r="H528" s="283"/>
      <c r="I528" s="286"/>
      <c r="J528" s="542"/>
      <c r="K528" s="283"/>
      <c r="L528" s="283"/>
      <c r="M528" s="283"/>
      <c r="N528" s="283"/>
      <c r="O528" s="542"/>
      <c r="P528" s="283"/>
      <c r="W528" s="339"/>
      <c r="X528" s="339"/>
      <c r="Y528" s="250"/>
      <c r="Z528" s="250"/>
      <c r="AA528" s="250"/>
      <c r="AB528" s="250"/>
      <c r="AC528" s="250"/>
      <c r="AD528" s="250"/>
      <c r="AE528" s="250"/>
      <c r="AF528" s="250"/>
      <c r="AG528" s="250"/>
      <c r="AH528" s="250"/>
      <c r="AI528" s="250"/>
      <c r="AJ528" s="250"/>
      <c r="AK528" s="250"/>
      <c r="AL528" s="250"/>
      <c r="AM528" s="250"/>
      <c r="AN528" s="250"/>
      <c r="AO528" s="250"/>
      <c r="AP528" s="250"/>
      <c r="AQ528" s="250"/>
      <c r="AR528" s="250"/>
      <c r="AS528" s="250"/>
      <c r="AT528" s="250"/>
      <c r="AU528" s="250"/>
      <c r="AV528" s="250"/>
      <c r="AW528" s="250"/>
      <c r="AX528" s="250"/>
      <c r="AY528" s="250"/>
      <c r="AZ528" s="250"/>
      <c r="BA528" s="250"/>
      <c r="BB528" s="250"/>
      <c r="BC528" s="250"/>
      <c r="BD528" s="250"/>
      <c r="BE528" s="250"/>
      <c r="BF528" s="250"/>
      <c r="BG528" s="250"/>
      <c r="BH528" s="250"/>
      <c r="BI528" s="250"/>
      <c r="BJ528" s="250"/>
    </row>
    <row r="529" spans="2:62" ht="15.75" customHeight="1">
      <c r="B529" s="7"/>
      <c r="C529" s="283"/>
      <c r="D529" s="542"/>
      <c r="E529" s="283"/>
      <c r="F529" s="286"/>
      <c r="G529" s="283"/>
      <c r="H529" s="283"/>
      <c r="I529" s="286"/>
      <c r="J529" s="283"/>
      <c r="K529" s="283"/>
      <c r="L529" s="283"/>
      <c r="M529" s="283"/>
      <c r="N529" s="283"/>
      <c r="O529" s="283"/>
      <c r="P529" s="283"/>
      <c r="W529" s="339"/>
      <c r="X529" s="339"/>
      <c r="Y529" s="250"/>
      <c r="Z529" s="250"/>
      <c r="AA529" s="250"/>
      <c r="AB529" s="250"/>
      <c r="AC529" s="250"/>
      <c r="AD529" s="250"/>
      <c r="AE529" s="250"/>
      <c r="AF529" s="250"/>
      <c r="AG529" s="250"/>
      <c r="AH529" s="250"/>
      <c r="AI529" s="250"/>
      <c r="AJ529" s="250"/>
      <c r="AK529" s="250"/>
      <c r="AL529" s="250"/>
      <c r="AM529" s="250"/>
      <c r="AN529" s="250"/>
      <c r="AO529" s="250"/>
      <c r="AP529" s="250"/>
      <c r="AQ529" s="250"/>
      <c r="AR529" s="250"/>
      <c r="AS529" s="250"/>
      <c r="AT529" s="250"/>
      <c r="AU529" s="250"/>
      <c r="AV529" s="250"/>
      <c r="AW529" s="250"/>
      <c r="AX529" s="250"/>
      <c r="AY529" s="250"/>
      <c r="AZ529" s="250"/>
      <c r="BA529" s="250"/>
      <c r="BB529" s="250"/>
      <c r="BC529" s="250"/>
      <c r="BD529" s="250"/>
      <c r="BE529" s="250"/>
      <c r="BF529" s="250"/>
      <c r="BG529" s="250"/>
      <c r="BH529" s="250"/>
      <c r="BI529" s="250"/>
      <c r="BJ529" s="250"/>
    </row>
    <row r="530" spans="2:62" ht="15.75" customHeight="1">
      <c r="B530" s="7"/>
      <c r="C530" s="283"/>
      <c r="D530" s="542">
        <v>4705</v>
      </c>
      <c r="E530" s="283" t="s">
        <v>507</v>
      </c>
      <c r="F530" s="286"/>
      <c r="G530" s="283"/>
      <c r="H530" s="283"/>
      <c r="I530" s="286"/>
      <c r="J530" s="544">
        <v>49676.78</v>
      </c>
      <c r="K530" s="283"/>
      <c r="L530" s="283"/>
      <c r="M530" s="283"/>
      <c r="N530" s="283"/>
      <c r="O530" s="544">
        <v>306838.40000000002</v>
      </c>
      <c r="P530" s="283"/>
      <c r="W530" s="339"/>
      <c r="X530" s="339"/>
      <c r="Y530" s="250"/>
      <c r="Z530" s="250"/>
      <c r="AA530" s="250"/>
      <c r="AB530" s="250"/>
      <c r="AC530" s="250"/>
      <c r="AD530" s="250"/>
      <c r="AE530" s="250"/>
      <c r="AF530" s="250"/>
      <c r="AG530" s="250"/>
      <c r="AH530" s="250"/>
      <c r="AI530" s="250"/>
      <c r="AJ530" s="250"/>
      <c r="AK530" s="250"/>
      <c r="AL530" s="250"/>
      <c r="AM530" s="250"/>
      <c r="AN530" s="250"/>
      <c r="AO530" s="250"/>
      <c r="AP530" s="250"/>
      <c r="AQ530" s="250"/>
      <c r="AR530" s="250"/>
      <c r="AS530" s="250"/>
      <c r="AT530" s="250"/>
      <c r="AU530" s="250"/>
      <c r="AV530" s="250"/>
      <c r="AW530" s="250"/>
      <c r="AX530" s="250"/>
      <c r="AY530" s="250"/>
      <c r="AZ530" s="250"/>
      <c r="BA530" s="250"/>
      <c r="BB530" s="250"/>
      <c r="BC530" s="250"/>
      <c r="BD530" s="250"/>
      <c r="BE530" s="250"/>
      <c r="BF530" s="250"/>
      <c r="BG530" s="250"/>
      <c r="BH530" s="250"/>
      <c r="BI530" s="250"/>
      <c r="BJ530" s="250"/>
    </row>
    <row r="531" spans="2:62" ht="15.75" customHeight="1">
      <c r="B531" s="7"/>
      <c r="C531" s="283"/>
      <c r="D531" s="542">
        <v>5705</v>
      </c>
      <c r="E531" s="283" t="s">
        <v>508</v>
      </c>
      <c r="F531" s="286"/>
      <c r="G531" s="283"/>
      <c r="H531" s="283"/>
      <c r="I531" s="286"/>
      <c r="J531" s="544">
        <v>-34012.519999999997</v>
      </c>
      <c r="K531" s="546">
        <f>-J531/J530</f>
        <v>0.68467642226408387</v>
      </c>
      <c r="L531" s="283"/>
      <c r="M531" s="283"/>
      <c r="N531" s="283"/>
      <c r="O531" s="544">
        <v>-208418.6</v>
      </c>
      <c r="P531" s="546">
        <f>-O531/O530</f>
        <v>0.67924549208964713</v>
      </c>
      <c r="W531" s="339"/>
      <c r="X531" s="339"/>
      <c r="Y531" s="250"/>
      <c r="Z531" s="250"/>
      <c r="AA531" s="250"/>
      <c r="AB531" s="250"/>
      <c r="AC531" s="250"/>
      <c r="AD531" s="250"/>
      <c r="AE531" s="250"/>
      <c r="AF531" s="250"/>
      <c r="AG531" s="250"/>
      <c r="AH531" s="250"/>
      <c r="AI531" s="250"/>
      <c r="AJ531" s="250"/>
      <c r="AK531" s="250"/>
      <c r="AL531" s="250"/>
      <c r="AM531" s="250"/>
      <c r="AN531" s="250"/>
      <c r="AO531" s="250"/>
      <c r="AP531" s="250"/>
      <c r="AQ531" s="250"/>
      <c r="AR531" s="250"/>
      <c r="AS531" s="250"/>
      <c r="AT531" s="250"/>
      <c r="AU531" s="250"/>
      <c r="AV531" s="250"/>
      <c r="AW531" s="250"/>
      <c r="AX531" s="250"/>
      <c r="AY531" s="250"/>
      <c r="AZ531" s="250"/>
      <c r="BA531" s="250"/>
      <c r="BB531" s="250"/>
      <c r="BC531" s="250"/>
      <c r="BD531" s="250"/>
      <c r="BE531" s="250"/>
      <c r="BF531" s="250"/>
      <c r="BG531" s="250"/>
      <c r="BH531" s="250"/>
      <c r="BI531" s="250"/>
      <c r="BJ531" s="250"/>
    </row>
    <row r="532" spans="2:62" ht="15.75" customHeight="1" thickBot="1">
      <c r="B532" s="7"/>
      <c r="C532" s="283"/>
      <c r="D532" s="283"/>
      <c r="E532" s="283" t="s">
        <v>485</v>
      </c>
      <c r="F532" s="286"/>
      <c r="G532" s="283"/>
      <c r="H532" s="283"/>
      <c r="I532" s="286"/>
      <c r="J532" s="547">
        <f>SUM(J530:J531)</f>
        <v>15664.260000000002</v>
      </c>
      <c r="K532" s="548">
        <f>+J532/J530</f>
        <v>0.31532357773591613</v>
      </c>
      <c r="L532" s="283"/>
      <c r="M532" s="283"/>
      <c r="N532" s="283"/>
      <c r="O532" s="547">
        <f>SUM(O530:O531)</f>
        <v>98419.800000000017</v>
      </c>
      <c r="P532" s="548">
        <f>+O532/O530</f>
        <v>0.32075450791035287</v>
      </c>
      <c r="W532" s="339"/>
      <c r="X532" s="339"/>
      <c r="Y532" s="250"/>
      <c r="Z532" s="250"/>
      <c r="AA532" s="250"/>
      <c r="AB532" s="250"/>
      <c r="AC532" s="250"/>
      <c r="AD532" s="250"/>
      <c r="AE532" s="250"/>
      <c r="AF532" s="250"/>
      <c r="AG532" s="250"/>
      <c r="AH532" s="250"/>
      <c r="AI532" s="250"/>
      <c r="AJ532" s="250"/>
      <c r="AK532" s="250"/>
      <c r="AL532" s="250"/>
      <c r="AM532" s="250"/>
      <c r="AN532" s="250"/>
      <c r="AO532" s="250"/>
      <c r="AP532" s="250"/>
      <c r="AQ532" s="250"/>
      <c r="AR532" s="250"/>
      <c r="AS532" s="250"/>
      <c r="AT532" s="250"/>
      <c r="AU532" s="250"/>
      <c r="AV532" s="250"/>
      <c r="AW532" s="250"/>
      <c r="AX532" s="250"/>
      <c r="AY532" s="250"/>
      <c r="AZ532" s="250"/>
      <c r="BA532" s="250"/>
      <c r="BB532" s="250"/>
      <c r="BC532" s="250"/>
      <c r="BD532" s="250"/>
      <c r="BE532" s="250"/>
      <c r="BF532" s="250"/>
      <c r="BG532" s="250"/>
      <c r="BH532" s="250"/>
      <c r="BI532" s="250"/>
      <c r="BJ532" s="250"/>
    </row>
    <row r="533" spans="2:62" ht="15.75" customHeight="1" thickTop="1">
      <c r="B533" s="7"/>
      <c r="C533" s="283"/>
      <c r="D533" s="542"/>
      <c r="E533" s="283"/>
      <c r="F533" s="286"/>
      <c r="G533" s="283"/>
      <c r="H533" s="283"/>
      <c r="I533" s="286"/>
      <c r="J533" s="542"/>
      <c r="K533" s="283"/>
      <c r="L533" s="283"/>
      <c r="M533" s="283"/>
      <c r="N533" s="283"/>
      <c r="O533" s="542"/>
      <c r="P533" s="283"/>
      <c r="W533" s="339"/>
      <c r="X533" s="339"/>
      <c r="Y533" s="250"/>
      <c r="Z533" s="250"/>
      <c r="AA533" s="250"/>
      <c r="AB533" s="250"/>
      <c r="AC533" s="250"/>
      <c r="AD533" s="250"/>
      <c r="AE533" s="250"/>
      <c r="AF533" s="250"/>
      <c r="AG533" s="250"/>
      <c r="AH533" s="250"/>
      <c r="AI533" s="250"/>
      <c r="AJ533" s="250"/>
      <c r="AK533" s="250"/>
      <c r="AL533" s="250"/>
      <c r="AM533" s="250"/>
      <c r="AN533" s="250"/>
      <c r="AO533" s="250"/>
      <c r="AP533" s="250"/>
      <c r="AQ533" s="250"/>
      <c r="AR533" s="250"/>
      <c r="AS533" s="250"/>
      <c r="AT533" s="250"/>
      <c r="AU533" s="250"/>
      <c r="AV533" s="250"/>
      <c r="AW533" s="250"/>
      <c r="AX533" s="250"/>
      <c r="AY533" s="250"/>
      <c r="AZ533" s="250"/>
      <c r="BA533" s="250"/>
      <c r="BB533" s="250"/>
      <c r="BC533" s="250"/>
      <c r="BD533" s="250"/>
      <c r="BE533" s="250"/>
      <c r="BF533" s="250"/>
      <c r="BG533" s="250"/>
      <c r="BH533" s="250"/>
      <c r="BI533" s="250"/>
      <c r="BJ533" s="250"/>
    </row>
    <row r="534" spans="2:62" ht="15.75" customHeight="1">
      <c r="B534" s="7"/>
      <c r="D534" s="283" t="s">
        <v>479</v>
      </c>
      <c r="E534" s="283"/>
      <c r="F534" s="286"/>
      <c r="G534" s="283"/>
      <c r="H534" s="283"/>
      <c r="I534" s="286"/>
      <c r="J534" s="283"/>
      <c r="K534" s="283"/>
      <c r="L534" s="283"/>
      <c r="M534" s="283"/>
      <c r="N534" s="283"/>
      <c r="O534" s="283"/>
      <c r="P534" s="283"/>
      <c r="W534" s="339"/>
      <c r="X534" s="339"/>
      <c r="Y534" s="250"/>
      <c r="Z534" s="250"/>
      <c r="AA534" s="250"/>
      <c r="AB534" s="250"/>
      <c r="AC534" s="250"/>
      <c r="AD534" s="250"/>
      <c r="AE534" s="250"/>
      <c r="AF534" s="250"/>
      <c r="AG534" s="250"/>
      <c r="AH534" s="250"/>
      <c r="AI534" s="250"/>
      <c r="AJ534" s="250"/>
      <c r="AK534" s="250"/>
      <c r="AL534" s="250"/>
      <c r="AM534" s="250"/>
      <c r="AN534" s="250"/>
      <c r="AO534" s="250"/>
      <c r="AP534" s="250"/>
      <c r="AQ534" s="250"/>
      <c r="AR534" s="250"/>
      <c r="AS534" s="250"/>
      <c r="AT534" s="250"/>
      <c r="AU534" s="250"/>
      <c r="AV534" s="250"/>
      <c r="AW534" s="250"/>
      <c r="AX534" s="250"/>
      <c r="AY534" s="250"/>
      <c r="AZ534" s="250"/>
      <c r="BA534" s="250"/>
      <c r="BB534" s="250"/>
      <c r="BC534" s="250"/>
      <c r="BD534" s="250"/>
      <c r="BE534" s="250"/>
      <c r="BF534" s="250"/>
      <c r="BG534" s="250"/>
      <c r="BH534" s="250"/>
      <c r="BI534" s="250"/>
      <c r="BJ534" s="250"/>
    </row>
    <row r="535" spans="2:62" ht="15.75" customHeight="1">
      <c r="B535" s="7"/>
      <c r="D535" s="542"/>
      <c r="E535" s="283" t="s">
        <v>486</v>
      </c>
      <c r="F535" s="286"/>
      <c r="G535" s="283"/>
      <c r="H535" s="283"/>
      <c r="I535" s="286"/>
      <c r="J535" s="544">
        <f>+J525</f>
        <v>53568.639999999999</v>
      </c>
      <c r="K535" s="283"/>
      <c r="L535" s="283"/>
      <c r="M535" s="283"/>
      <c r="N535" s="283"/>
      <c r="O535" s="544">
        <f>+O525</f>
        <v>326384.87</v>
      </c>
      <c r="P535" s="283"/>
      <c r="W535" s="339"/>
      <c r="X535" s="339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  <c r="AI535" s="250"/>
      <c r="AJ535" s="250"/>
      <c r="AK535" s="250"/>
      <c r="AL535" s="250"/>
      <c r="AM535" s="250"/>
      <c r="AN535" s="250"/>
      <c r="AO535" s="250"/>
      <c r="AP535" s="250"/>
      <c r="AQ535" s="250"/>
      <c r="AR535" s="250"/>
      <c r="AS535" s="250"/>
      <c r="AT535" s="250"/>
      <c r="AU535" s="250"/>
      <c r="AV535" s="250"/>
      <c r="AW535" s="250"/>
      <c r="AX535" s="250"/>
      <c r="AY535" s="250"/>
      <c r="AZ535" s="250"/>
      <c r="BA535" s="250"/>
      <c r="BB535" s="250"/>
      <c r="BC535" s="250"/>
      <c r="BD535" s="250"/>
      <c r="BE535" s="250"/>
      <c r="BF535" s="250"/>
      <c r="BG535" s="250"/>
      <c r="BH535" s="250"/>
      <c r="BI535" s="250"/>
      <c r="BJ535" s="250"/>
    </row>
    <row r="536" spans="2:62" ht="15.75" customHeight="1">
      <c r="B536" s="7"/>
      <c r="D536" s="542"/>
      <c r="E536" s="283" t="s">
        <v>487</v>
      </c>
      <c r="F536" s="286"/>
      <c r="G536" s="283"/>
      <c r="H536" s="283"/>
      <c r="I536" s="286"/>
      <c r="J536" s="544">
        <f>+J526</f>
        <v>-13167.18</v>
      </c>
      <c r="K536" s="546">
        <f>-J536/J535</f>
        <v>0.24580015471738689</v>
      </c>
      <c r="L536" s="283"/>
      <c r="M536" s="283"/>
      <c r="N536" s="283"/>
      <c r="O536" s="544">
        <f>+O526</f>
        <v>-91362.64</v>
      </c>
      <c r="P536" s="546">
        <f>-O536/O535</f>
        <v>0.27992302461814483</v>
      </c>
      <c r="W536" s="339"/>
      <c r="X536" s="339"/>
      <c r="Y536" s="250"/>
      <c r="Z536" s="250"/>
      <c r="AA536" s="250"/>
      <c r="AB536" s="250"/>
      <c r="AC536" s="250"/>
      <c r="AD536" s="250"/>
      <c r="AE536" s="250"/>
      <c r="AF536" s="250"/>
      <c r="AG536" s="250"/>
      <c r="AH536" s="250"/>
      <c r="AI536" s="250"/>
      <c r="AJ536" s="250"/>
      <c r="AK536" s="250"/>
      <c r="AL536" s="250"/>
      <c r="AM536" s="250"/>
      <c r="AN536" s="250"/>
      <c r="AO536" s="250"/>
      <c r="AP536" s="250"/>
      <c r="AQ536" s="250"/>
      <c r="AR536" s="250"/>
      <c r="AS536" s="250"/>
      <c r="AT536" s="250"/>
      <c r="AU536" s="250"/>
      <c r="AV536" s="250"/>
      <c r="AW536" s="250"/>
      <c r="AX536" s="250"/>
      <c r="AY536" s="250"/>
      <c r="AZ536" s="250"/>
      <c r="BA536" s="250"/>
      <c r="BB536" s="250"/>
      <c r="BC536" s="250"/>
      <c r="BD536" s="250"/>
      <c r="BE536" s="250"/>
      <c r="BF536" s="250"/>
      <c r="BG536" s="250"/>
      <c r="BH536" s="250"/>
      <c r="BI536" s="250"/>
      <c r="BJ536" s="250"/>
    </row>
    <row r="537" spans="2:62" ht="15.75" customHeight="1" thickBot="1">
      <c r="B537" s="7"/>
      <c r="D537" s="542"/>
      <c r="E537" s="283"/>
      <c r="F537" s="286"/>
      <c r="G537" s="283"/>
      <c r="H537" s="283"/>
      <c r="I537" s="286"/>
      <c r="J537" s="547">
        <f>SUM(J535:J536)</f>
        <v>40401.46</v>
      </c>
      <c r="K537" s="548">
        <f>+J537/J535</f>
        <v>0.75419984528261308</v>
      </c>
      <c r="L537" s="283"/>
      <c r="M537" s="283"/>
      <c r="N537" s="283"/>
      <c r="O537" s="547">
        <f>SUM(O535:O536)</f>
        <v>235022.22999999998</v>
      </c>
      <c r="P537" s="548">
        <f>+O537/O535</f>
        <v>0.72007697538185511</v>
      </c>
      <c r="W537" s="339"/>
      <c r="X537" s="339"/>
      <c r="Y537" s="250"/>
      <c r="Z537" s="250"/>
      <c r="AA537" s="250"/>
      <c r="AB537" s="250"/>
      <c r="AC537" s="250"/>
      <c r="AD537" s="250"/>
      <c r="AE537" s="250"/>
      <c r="AF537" s="250"/>
      <c r="AG537" s="250"/>
      <c r="AH537" s="250"/>
      <c r="AI537" s="250"/>
      <c r="AJ537" s="250"/>
      <c r="AK537" s="250"/>
      <c r="AL537" s="250"/>
      <c r="AM537" s="250"/>
      <c r="AN537" s="250"/>
      <c r="AO537" s="250"/>
      <c r="AP537" s="250"/>
      <c r="AQ537" s="250"/>
      <c r="AR537" s="250"/>
      <c r="AS537" s="250"/>
      <c r="AT537" s="250"/>
      <c r="AU537" s="250"/>
      <c r="AV537" s="250"/>
      <c r="AW537" s="250"/>
      <c r="AX537" s="250"/>
      <c r="AY537" s="250"/>
      <c r="AZ537" s="250"/>
      <c r="BA537" s="250"/>
      <c r="BB537" s="250"/>
      <c r="BC537" s="250"/>
      <c r="BD537" s="250"/>
      <c r="BE537" s="250"/>
      <c r="BF537" s="250"/>
      <c r="BG537" s="250"/>
      <c r="BH537" s="250"/>
      <c r="BI537" s="250"/>
      <c r="BJ537" s="250"/>
    </row>
    <row r="538" spans="2:62" ht="15.75" customHeight="1" thickTop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7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5 K178:L178 K181:L181 K184:L186 K183 K188:L189 H312:L315 L182 K306:K307 K311 K191:L195 L190 J101:K103 H135:H136 J135:K136 H155:H156 J155:K156 H172:I172 H175:I175 H178:I178 H181:I182 H188:I189 H191:I195 H364:H375 J364:K375 H284:L284 J18:J24 J49:L54 L173 L6:L14 J31:K48 J111:K120 J122:K133 H105:H133 L125:L129 O122:P133 Q125:Q129 H225:H228 J225:K228 H281:H283 J294:K302 L319:L324 J317:K347 H317:H347 J253:K274 H253:H274 H197:H218 J197:K218 J25:L26 H184:I186 I173 J28:L30 J27 L27 J177:J178 J180:J195 L176 I176:J176 L179 I179:J179 L275:L283">
    <cfRule type="expression" dxfId="1067" priority="331" stopIfTrue="1">
      <formula>"esterreur(reference)"</formula>
    </cfRule>
  </conditionalFormatting>
  <conditionalFormatting sqref="M95:M96">
    <cfRule type="expression" dxfId="1066" priority="332" stopIfTrue="1">
      <formula>"esterreur(reference)"</formula>
    </cfRule>
  </conditionalFormatting>
  <conditionalFormatting sqref="H275:H280 J275:K280">
    <cfRule type="expression" dxfId="1065" priority="333" stopIfTrue="1">
      <formula>"esterreur(reference)"</formula>
    </cfRule>
  </conditionalFormatting>
  <conditionalFormatting sqref="H219:H224 J219:K224">
    <cfRule type="expression" dxfId="1064" priority="334" stopIfTrue="1">
      <formula>"esterreur(reference)"</formula>
    </cfRule>
  </conditionalFormatting>
  <conditionalFormatting sqref="H141:H147 J141:K147">
    <cfRule type="expression" dxfId="1063" priority="335" stopIfTrue="1">
      <formula>"esterreur(reference)"</formula>
    </cfRule>
  </conditionalFormatting>
  <conditionalFormatting sqref="H137:H139 J137:K139">
    <cfRule type="expression" dxfId="1062" priority="336" stopIfTrue="1">
      <formula>"esterreur(reference)"</formula>
    </cfRule>
  </conditionalFormatting>
  <conditionalFormatting sqref="H140 J140:K140">
    <cfRule type="expression" dxfId="1061" priority="337" stopIfTrue="1">
      <formula>"esterreur(reference)"</formula>
    </cfRule>
  </conditionalFormatting>
  <conditionalFormatting sqref="L82">
    <cfRule type="expression" dxfId="1060" priority="311" stopIfTrue="1">
      <formula>"esterreur(reference)"</formula>
    </cfRule>
  </conditionalFormatting>
  <conditionalFormatting sqref="M311">
    <cfRule type="expression" dxfId="1059" priority="338" stopIfTrue="1">
      <formula>"esterreur(reference)"</formula>
    </cfRule>
  </conditionalFormatting>
  <conditionalFormatting sqref="R311">
    <cfRule type="expression" dxfId="1058" priority="339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1057" priority="340" operator="greaterThan">
      <formula>0</formula>
    </cfRule>
  </conditionalFormatting>
  <conditionalFormatting sqref="AH468:AI475 AH479:AI479">
    <cfRule type="cellIs" dxfId="1056" priority="341" operator="lessThan">
      <formula>0</formula>
    </cfRule>
  </conditionalFormatting>
  <conditionalFormatting sqref="AH491:AH493">
    <cfRule type="cellIs" dxfId="1055" priority="342" operator="greaterThan">
      <formula>0</formula>
    </cfRule>
  </conditionalFormatting>
  <conditionalFormatting sqref="J281:K283">
    <cfRule type="expression" dxfId="1054" priority="343" stopIfTrue="1">
      <formula>"esterreur(reference)"</formula>
    </cfRule>
  </conditionalFormatting>
  <conditionalFormatting sqref="K356 J356:J357 H356:I356 L355:L356 H358:L358">
    <cfRule type="expression" dxfId="1053" priority="344" stopIfTrue="1">
      <formula>"esterreur(reference)"</formula>
    </cfRule>
  </conditionalFormatting>
  <conditionalFormatting sqref="H396">
    <cfRule type="expression" dxfId="1052" priority="345" stopIfTrue="1">
      <formula>"esterreur(reference)"</formula>
    </cfRule>
  </conditionalFormatting>
  <conditionalFormatting sqref="I376:L376 H377:H392 J377:K392">
    <cfRule type="expression" dxfId="1051" priority="346" stopIfTrue="1">
      <formula>"esterreur(reference)"</formula>
    </cfRule>
  </conditionalFormatting>
  <conditionalFormatting sqref="H397:L398 I396:L396 H395:L395 H393:H394 J393:K393">
    <cfRule type="expression" dxfId="1050" priority="347" stopIfTrue="1">
      <formula>"esterreur(reference)"</formula>
    </cfRule>
  </conditionalFormatting>
  <conditionalFormatting sqref="H360:L362 H359 K359">
    <cfRule type="expression" dxfId="1049" priority="348" stopIfTrue="1">
      <formula>"esterreur(reference)"</formula>
    </cfRule>
  </conditionalFormatting>
  <conditionalFormatting sqref="K394">
    <cfRule type="expression" dxfId="1048" priority="349" stopIfTrue="1">
      <formula>"esterreur(reference)"</formula>
    </cfRule>
  </conditionalFormatting>
  <conditionalFormatting sqref="H316:L316">
    <cfRule type="expression" dxfId="1047" priority="350" stopIfTrue="1">
      <formula>"esterreur(reference)"</formula>
    </cfRule>
  </conditionalFormatting>
  <conditionalFormatting sqref="H196:L196">
    <cfRule type="expression" dxfId="1046" priority="351" stopIfTrue="1">
      <formula>"esterreur(reference)"</formula>
    </cfRule>
  </conditionalFormatting>
  <conditionalFormatting sqref="J55:K56 J71:K71">
    <cfRule type="expression" dxfId="1045" priority="352" stopIfTrue="1">
      <formula>"esterreur(reference)"</formula>
    </cfRule>
  </conditionalFormatting>
  <conditionalFormatting sqref="J61:K70">
    <cfRule type="expression" dxfId="1044" priority="353" stopIfTrue="1">
      <formula>"esterreur(reference)"</formula>
    </cfRule>
  </conditionalFormatting>
  <conditionalFormatting sqref="J57:K59">
    <cfRule type="expression" dxfId="1043" priority="354" stopIfTrue="1">
      <formula>"esterreur(reference)"</formula>
    </cfRule>
  </conditionalFormatting>
  <conditionalFormatting sqref="J60:K60">
    <cfRule type="expression" dxfId="1042" priority="355" stopIfTrue="1">
      <formula>"esterreur(reference)"</formula>
    </cfRule>
  </conditionalFormatting>
  <conditionalFormatting sqref="L19 L21:L23">
    <cfRule type="expression" dxfId="1041" priority="329" stopIfTrue="1">
      <formula>"esterreur(reference)"</formula>
    </cfRule>
  </conditionalFormatting>
  <conditionalFormatting sqref="K98">
    <cfRule type="expression" dxfId="1040" priority="356" stopIfTrue="1">
      <formula>"esterreur(reference)"</formula>
    </cfRule>
  </conditionalFormatting>
  <conditionalFormatting sqref="L331:L347">
    <cfRule type="expression" dxfId="1039" priority="230" stopIfTrue="1">
      <formula>"esterreur(reference)"</formula>
    </cfRule>
  </conditionalFormatting>
  <conditionalFormatting sqref="L16:L17">
    <cfRule type="expression" dxfId="1038" priority="330" stopIfTrue="1">
      <formula>"esterreur(reference)"</formula>
    </cfRule>
  </conditionalFormatting>
  <conditionalFormatting sqref="L20">
    <cfRule type="expression" dxfId="1037" priority="328" stopIfTrue="1">
      <formula>"esterreur(reference)"</formula>
    </cfRule>
  </conditionalFormatting>
  <conditionalFormatting sqref="L325">
    <cfRule type="expression" dxfId="1036" priority="234" stopIfTrue="1">
      <formula>"esterreur(reference)"</formula>
    </cfRule>
  </conditionalFormatting>
  <conditionalFormatting sqref="L326">
    <cfRule type="expression" dxfId="1035" priority="233" stopIfTrue="1">
      <formula>"esterreur(reference)"</formula>
    </cfRule>
  </conditionalFormatting>
  <conditionalFormatting sqref="L327">
    <cfRule type="expression" dxfId="1034" priority="232" stopIfTrue="1">
      <formula>"esterreur(reference)"</formula>
    </cfRule>
  </conditionalFormatting>
  <conditionalFormatting sqref="L328">
    <cfRule type="expression" dxfId="1033" priority="231" stopIfTrue="1">
      <formula>"esterreur(reference)"</formula>
    </cfRule>
  </conditionalFormatting>
  <conditionalFormatting sqref="L42">
    <cfRule type="expression" dxfId="1032" priority="327" stopIfTrue="1">
      <formula>"esterreur(reference)"</formula>
    </cfRule>
  </conditionalFormatting>
  <conditionalFormatting sqref="L43">
    <cfRule type="expression" dxfId="1031" priority="326" stopIfTrue="1">
      <formula>"esterreur(reference)"</formula>
    </cfRule>
  </conditionalFormatting>
  <conditionalFormatting sqref="L44">
    <cfRule type="expression" dxfId="1030" priority="325" stopIfTrue="1">
      <formula>"esterreur(reference)"</formula>
    </cfRule>
  </conditionalFormatting>
  <conditionalFormatting sqref="L45:L48">
    <cfRule type="expression" dxfId="1029" priority="324" stopIfTrue="1">
      <formula>"esterreur(reference)"</formula>
    </cfRule>
  </conditionalFormatting>
  <conditionalFormatting sqref="L55">
    <cfRule type="expression" dxfId="1028" priority="323" stopIfTrue="1">
      <formula>"esterreur(reference)"</formula>
    </cfRule>
  </conditionalFormatting>
  <conditionalFormatting sqref="L56">
    <cfRule type="expression" dxfId="1027" priority="322" stopIfTrue="1">
      <formula>"esterreur(reference)"</formula>
    </cfRule>
  </conditionalFormatting>
  <conditionalFormatting sqref="L271">
    <cfRule type="expression" dxfId="1026" priority="240" stopIfTrue="1">
      <formula>"esterreur(reference)"</formula>
    </cfRule>
  </conditionalFormatting>
  <conditionalFormatting sqref="L58">
    <cfRule type="expression" dxfId="1025" priority="321" stopIfTrue="1">
      <formula>"esterreur(reference)"</formula>
    </cfRule>
  </conditionalFormatting>
  <conditionalFormatting sqref="L61">
    <cfRule type="expression" dxfId="1024" priority="320" stopIfTrue="1">
      <formula>"esterreur(reference)"</formula>
    </cfRule>
  </conditionalFormatting>
  <conditionalFormatting sqref="L274">
    <cfRule type="expression" dxfId="1023" priority="238" stopIfTrue="1">
      <formula>"esterreur(reference)"</formula>
    </cfRule>
  </conditionalFormatting>
  <conditionalFormatting sqref="L63">
    <cfRule type="expression" dxfId="1022" priority="319" stopIfTrue="1">
      <formula>"esterreur(reference)"</formula>
    </cfRule>
  </conditionalFormatting>
  <conditionalFormatting sqref="L62">
    <cfRule type="expression" dxfId="1021" priority="318" stopIfTrue="1">
      <formula>"esterreur(reference)"</formula>
    </cfRule>
  </conditionalFormatting>
  <conditionalFormatting sqref="L64">
    <cfRule type="expression" dxfId="1020" priority="317" stopIfTrue="1">
      <formula>"esterreur(reference)"</formula>
    </cfRule>
  </conditionalFormatting>
  <conditionalFormatting sqref="L65">
    <cfRule type="expression" dxfId="1019" priority="316" stopIfTrue="1">
      <formula>"esterreur(reference)"</formula>
    </cfRule>
  </conditionalFormatting>
  <conditionalFormatting sqref="L66:L69">
    <cfRule type="expression" dxfId="1018" priority="315" stopIfTrue="1">
      <formula>"esterreur(reference)"</formula>
    </cfRule>
  </conditionalFormatting>
  <conditionalFormatting sqref="L70">
    <cfRule type="expression" dxfId="1017" priority="314" stopIfTrue="1">
      <formula>"esterreur(reference)"</formula>
    </cfRule>
  </conditionalFormatting>
  <conditionalFormatting sqref="L76:L77">
    <cfRule type="expression" dxfId="1016" priority="313" stopIfTrue="1">
      <formula>"esterreur(reference)"</formula>
    </cfRule>
  </conditionalFormatting>
  <conditionalFormatting sqref="L78:L81">
    <cfRule type="expression" dxfId="1015" priority="312" stopIfTrue="1">
      <formula>"esterreur(reference)"</formula>
    </cfRule>
  </conditionalFormatting>
  <conditionalFormatting sqref="L57">
    <cfRule type="expression" dxfId="1014" priority="310" stopIfTrue="1">
      <formula>"esterreur(reference)"</formula>
    </cfRule>
  </conditionalFormatting>
  <conditionalFormatting sqref="L94:L95">
    <cfRule type="expression" dxfId="1013" priority="309" stopIfTrue="1">
      <formula>"esterreur(reference)"</formula>
    </cfRule>
  </conditionalFormatting>
  <conditionalFormatting sqref="L98">
    <cfRule type="expression" dxfId="1012" priority="308" stopIfTrue="1">
      <formula>"esterreur(reference)"</formula>
    </cfRule>
  </conditionalFormatting>
  <conditionalFormatting sqref="L99">
    <cfRule type="expression" dxfId="1011" priority="307" stopIfTrue="1">
      <formula>"esterreur(reference)"</formula>
    </cfRule>
  </conditionalFormatting>
  <conditionalFormatting sqref="L101">
    <cfRule type="expression" dxfId="1010" priority="306" stopIfTrue="1">
      <formula>"esterreur(reference)"</formula>
    </cfRule>
  </conditionalFormatting>
  <conditionalFormatting sqref="L102">
    <cfRule type="expression" dxfId="1009" priority="305" stopIfTrue="1">
      <formula>"esterreur(reference)"</formula>
    </cfRule>
  </conditionalFormatting>
  <conditionalFormatting sqref="L103">
    <cfRule type="expression" dxfId="1008" priority="304" stopIfTrue="1">
      <formula>"esterreur(reference)"</formula>
    </cfRule>
  </conditionalFormatting>
  <conditionalFormatting sqref="L111">
    <cfRule type="expression" dxfId="1007" priority="303" stopIfTrue="1">
      <formula>"esterreur(reference)"</formula>
    </cfRule>
  </conditionalFormatting>
  <conditionalFormatting sqref="L112">
    <cfRule type="expression" dxfId="1006" priority="302" stopIfTrue="1">
      <formula>"esterreur(reference)"</formula>
    </cfRule>
  </conditionalFormatting>
  <conditionalFormatting sqref="L207">
    <cfRule type="expression" dxfId="1005" priority="263" stopIfTrue="1">
      <formula>"esterreur(reference)"</formula>
    </cfRule>
  </conditionalFormatting>
  <conditionalFormatting sqref="L114">
    <cfRule type="expression" dxfId="1004" priority="301" stopIfTrue="1">
      <formula>"esterreur(reference)"</formula>
    </cfRule>
  </conditionalFormatting>
  <conditionalFormatting sqref="L227">
    <cfRule type="expression" dxfId="1003" priority="259" stopIfTrue="1">
      <formula>"esterreur(reference)"</formula>
    </cfRule>
  </conditionalFormatting>
  <conditionalFormatting sqref="L116:L119">
    <cfRule type="expression" dxfId="1002" priority="300" stopIfTrue="1">
      <formula>"esterreur(reference)"</formula>
    </cfRule>
  </conditionalFormatting>
  <conditionalFormatting sqref="L120">
    <cfRule type="expression" dxfId="1001" priority="299" stopIfTrue="1">
      <formula>"esterreur(reference)"</formula>
    </cfRule>
  </conditionalFormatting>
  <conditionalFormatting sqref="L130">
    <cfRule type="expression" dxfId="1000" priority="296" stopIfTrue="1">
      <formula>"esterreur(reference)"</formula>
    </cfRule>
  </conditionalFormatting>
  <conditionalFormatting sqref="L124">
    <cfRule type="expression" dxfId="999" priority="298" stopIfTrue="1">
      <formula>"esterreur(reference)"</formula>
    </cfRule>
  </conditionalFormatting>
  <conditionalFormatting sqref="L123">
    <cfRule type="expression" dxfId="998" priority="297" stopIfTrue="1">
      <formula>"esterreur(reference)"</formula>
    </cfRule>
  </conditionalFormatting>
  <conditionalFormatting sqref="L138">
    <cfRule type="expression" dxfId="997" priority="290" stopIfTrue="1">
      <formula>"esterreur(reference)"</formula>
    </cfRule>
  </conditionalFormatting>
  <conditionalFormatting sqref="L131">
    <cfRule type="expression" dxfId="996" priority="295" stopIfTrue="1">
      <formula>"esterreur(reference)"</formula>
    </cfRule>
  </conditionalFormatting>
  <conditionalFormatting sqref="L132">
    <cfRule type="expression" dxfId="995" priority="294" stopIfTrue="1">
      <formula>"esterreur(reference)"</formula>
    </cfRule>
  </conditionalFormatting>
  <conditionalFormatting sqref="L133">
    <cfRule type="expression" dxfId="994" priority="293" stopIfTrue="1">
      <formula>"esterreur(reference)"</formula>
    </cfRule>
  </conditionalFormatting>
  <conditionalFormatting sqref="L139">
    <cfRule type="expression" dxfId="993" priority="289" stopIfTrue="1">
      <formula>"esterreur(reference)"</formula>
    </cfRule>
  </conditionalFormatting>
  <conditionalFormatting sqref="L136">
    <cfRule type="expression" dxfId="992" priority="292" stopIfTrue="1">
      <formula>"esterreur(reference)"</formula>
    </cfRule>
  </conditionalFormatting>
  <conditionalFormatting sqref="L137">
    <cfRule type="expression" dxfId="991" priority="291" stopIfTrue="1">
      <formula>"esterreur(reference)"</formula>
    </cfRule>
  </conditionalFormatting>
  <conditionalFormatting sqref="L140">
    <cfRule type="expression" dxfId="990" priority="288" stopIfTrue="1">
      <formula>"esterreur(reference)"</formula>
    </cfRule>
  </conditionalFormatting>
  <conditionalFormatting sqref="L141">
    <cfRule type="expression" dxfId="989" priority="287" stopIfTrue="1">
      <formula>"esterreur(reference)"</formula>
    </cfRule>
  </conditionalFormatting>
  <conditionalFormatting sqref="L142">
    <cfRule type="expression" dxfId="988" priority="286" stopIfTrue="1">
      <formula>"esterreur(reference)"</formula>
    </cfRule>
  </conditionalFormatting>
  <conditionalFormatting sqref="L143">
    <cfRule type="expression" dxfId="987" priority="285" stopIfTrue="1">
      <formula>"esterreur(reference)"</formula>
    </cfRule>
  </conditionalFormatting>
  <conditionalFormatting sqref="L144">
    <cfRule type="expression" dxfId="986" priority="284" stopIfTrue="1">
      <formula>"esterreur(reference)"</formula>
    </cfRule>
  </conditionalFormatting>
  <conditionalFormatting sqref="L145">
    <cfRule type="expression" dxfId="985" priority="283" stopIfTrue="1">
      <formula>"esterreur(reference)"</formula>
    </cfRule>
  </conditionalFormatting>
  <conditionalFormatting sqref="L146">
    <cfRule type="expression" dxfId="984" priority="282" stopIfTrue="1">
      <formula>"esterreur(reference)"</formula>
    </cfRule>
  </conditionalFormatting>
  <conditionalFormatting sqref="L147:L148">
    <cfRule type="expression" dxfId="983" priority="281" stopIfTrue="1">
      <formula>"esterreur(reference)"</formula>
    </cfRule>
  </conditionalFormatting>
  <conditionalFormatting sqref="L155">
    <cfRule type="expression" dxfId="982" priority="280" stopIfTrue="1">
      <formula>"esterreur(reference)"</formula>
    </cfRule>
  </conditionalFormatting>
  <conditionalFormatting sqref="L157">
    <cfRule type="expression" dxfId="981" priority="278" stopIfTrue="1">
      <formula>"esterreur(reference)"</formula>
    </cfRule>
  </conditionalFormatting>
  <conditionalFormatting sqref="L156">
    <cfRule type="expression" dxfId="980" priority="279" stopIfTrue="1">
      <formula>"esterreur(reference)"</formula>
    </cfRule>
  </conditionalFormatting>
  <conditionalFormatting sqref="L115">
    <cfRule type="expression" dxfId="979" priority="277" stopIfTrue="1">
      <formula>"esterreur(reference)"</formula>
    </cfRule>
  </conditionalFormatting>
  <conditionalFormatting sqref="L113">
    <cfRule type="expression" dxfId="978" priority="276" stopIfTrue="1">
      <formula>"esterreur(reference)"</formula>
    </cfRule>
  </conditionalFormatting>
  <conditionalFormatting sqref="L171">
    <cfRule type="expression" dxfId="977" priority="275" stopIfTrue="1">
      <formula>"esterreur(reference)"</formula>
    </cfRule>
  </conditionalFormatting>
  <conditionalFormatting sqref="L174">
    <cfRule type="expression" dxfId="976" priority="274" stopIfTrue="1">
      <formula>"esterreur(reference)"</formula>
    </cfRule>
  </conditionalFormatting>
  <conditionalFormatting sqref="L177">
    <cfRule type="expression" dxfId="975" priority="273" stopIfTrue="1">
      <formula>"esterreur(reference)"</formula>
    </cfRule>
  </conditionalFormatting>
  <conditionalFormatting sqref="L187">
    <cfRule type="expression" dxfId="974" priority="272" stopIfTrue="1">
      <formula>"esterreur(reference)"</formula>
    </cfRule>
  </conditionalFormatting>
  <conditionalFormatting sqref="L197">
    <cfRule type="expression" dxfId="973" priority="271" stopIfTrue="1">
      <formula>"esterreur(reference)"</formula>
    </cfRule>
  </conditionalFormatting>
  <conditionalFormatting sqref="L199">
    <cfRule type="expression" dxfId="972" priority="270" stopIfTrue="1">
      <formula>"esterreur(reference)"</formula>
    </cfRule>
  </conditionalFormatting>
  <conditionalFormatting sqref="L198">
    <cfRule type="expression" dxfId="971" priority="269" stopIfTrue="1">
      <formula>"esterreur(reference)"</formula>
    </cfRule>
  </conditionalFormatting>
  <conditionalFormatting sqref="L200">
    <cfRule type="expression" dxfId="970" priority="268" stopIfTrue="1">
      <formula>"esterreur(reference)"</formula>
    </cfRule>
  </conditionalFormatting>
  <conditionalFormatting sqref="L201">
    <cfRule type="expression" dxfId="969" priority="267" stopIfTrue="1">
      <formula>"esterreur(reference)"</formula>
    </cfRule>
  </conditionalFormatting>
  <conditionalFormatting sqref="L202:L204">
    <cfRule type="expression" dxfId="968" priority="266" stopIfTrue="1">
      <formula>"esterreur(reference)"</formula>
    </cfRule>
  </conditionalFormatting>
  <conditionalFormatting sqref="L206">
    <cfRule type="expression" dxfId="967" priority="264" stopIfTrue="1">
      <formula>"esterreur(reference)"</formula>
    </cfRule>
  </conditionalFormatting>
  <conditionalFormatting sqref="L205">
    <cfRule type="expression" dxfId="966" priority="265" stopIfTrue="1">
      <formula>"esterreur(reference)"</formula>
    </cfRule>
  </conditionalFormatting>
  <conditionalFormatting sqref="L208">
    <cfRule type="expression" dxfId="965" priority="262" stopIfTrue="1">
      <formula>"esterreur(reference)"</formula>
    </cfRule>
  </conditionalFormatting>
  <conditionalFormatting sqref="L211:L224">
    <cfRule type="expression" dxfId="964" priority="261" stopIfTrue="1">
      <formula>"esterreur(reference)"</formula>
    </cfRule>
  </conditionalFormatting>
  <conditionalFormatting sqref="L225:L226">
    <cfRule type="expression" dxfId="963" priority="260" stopIfTrue="1">
      <formula>"esterreur(reference)"</formula>
    </cfRule>
  </conditionalFormatting>
  <conditionalFormatting sqref="L180">
    <cfRule type="expression" dxfId="962" priority="258" stopIfTrue="1">
      <formula>"esterreur(reference)"</formula>
    </cfRule>
  </conditionalFormatting>
  <conditionalFormatting sqref="L243">
    <cfRule type="expression" dxfId="961" priority="257" stopIfTrue="1">
      <formula>"esterreur(reference)"</formula>
    </cfRule>
  </conditionalFormatting>
  <conditionalFormatting sqref="L246">
    <cfRule type="expression" dxfId="960" priority="256" stopIfTrue="1">
      <formula>"esterreur(reference)"</formula>
    </cfRule>
  </conditionalFormatting>
  <conditionalFormatting sqref="L253">
    <cfRule type="expression" dxfId="959" priority="255" stopIfTrue="1">
      <formula>"esterreur(reference)"</formula>
    </cfRule>
  </conditionalFormatting>
  <conditionalFormatting sqref="L254">
    <cfRule type="expression" dxfId="958" priority="254" stopIfTrue="1">
      <formula>"esterreur(reference)"</formula>
    </cfRule>
  </conditionalFormatting>
  <conditionalFormatting sqref="L255">
    <cfRule type="expression" dxfId="957" priority="253" stopIfTrue="1">
      <formula>"esterreur(reference)"</formula>
    </cfRule>
  </conditionalFormatting>
  <conditionalFormatting sqref="L256">
    <cfRule type="expression" dxfId="956" priority="252" stopIfTrue="1">
      <formula>"esterreur(reference)"</formula>
    </cfRule>
  </conditionalFormatting>
  <conditionalFormatting sqref="L257">
    <cfRule type="expression" dxfId="955" priority="251" stopIfTrue="1">
      <formula>"esterreur(reference)"</formula>
    </cfRule>
  </conditionalFormatting>
  <conditionalFormatting sqref="L258">
    <cfRule type="expression" dxfId="954" priority="250" stopIfTrue="1">
      <formula>"esterreur(reference)"</formula>
    </cfRule>
  </conditionalFormatting>
  <conditionalFormatting sqref="L259">
    <cfRule type="expression" dxfId="953" priority="249" stopIfTrue="1">
      <formula>"esterreur(reference)"</formula>
    </cfRule>
  </conditionalFormatting>
  <conditionalFormatting sqref="L260">
    <cfRule type="expression" dxfId="952" priority="248" stopIfTrue="1">
      <formula>"esterreur(reference)"</formula>
    </cfRule>
  </conditionalFormatting>
  <conditionalFormatting sqref="L261">
    <cfRule type="expression" dxfId="951" priority="247" stopIfTrue="1">
      <formula>"esterreur(reference)"</formula>
    </cfRule>
  </conditionalFormatting>
  <conditionalFormatting sqref="L262">
    <cfRule type="expression" dxfId="950" priority="246" stopIfTrue="1">
      <formula>"esterreur(reference)"</formula>
    </cfRule>
  </conditionalFormatting>
  <conditionalFormatting sqref="L263:L264">
    <cfRule type="expression" dxfId="949" priority="245" stopIfTrue="1">
      <formula>"esterreur(reference)"</formula>
    </cfRule>
  </conditionalFormatting>
  <conditionalFormatting sqref="L268">
    <cfRule type="expression" dxfId="948" priority="243" stopIfTrue="1">
      <formula>"esterreur(reference)"</formula>
    </cfRule>
  </conditionalFormatting>
  <conditionalFormatting sqref="L267">
    <cfRule type="expression" dxfId="947" priority="244" stopIfTrue="1">
      <formula>"esterreur(reference)"</formula>
    </cfRule>
  </conditionalFormatting>
  <conditionalFormatting sqref="L269">
    <cfRule type="expression" dxfId="946" priority="242" stopIfTrue="1">
      <formula>"esterreur(reference)"</formula>
    </cfRule>
  </conditionalFormatting>
  <conditionalFormatting sqref="L270">
    <cfRule type="expression" dxfId="945" priority="241" stopIfTrue="1">
      <formula>"esterreur(reference)"</formula>
    </cfRule>
  </conditionalFormatting>
  <conditionalFormatting sqref="L272:L273">
    <cfRule type="expression" dxfId="944" priority="239" stopIfTrue="1">
      <formula>"esterreur(reference)"</formula>
    </cfRule>
  </conditionalFormatting>
  <conditionalFormatting sqref="L311">
    <cfRule type="expression" dxfId="943" priority="237" stopIfTrue="1">
      <formula>"esterreur(reference)"</formula>
    </cfRule>
  </conditionalFormatting>
  <conditionalFormatting sqref="L317">
    <cfRule type="expression" dxfId="942" priority="236" stopIfTrue="1">
      <formula>"esterreur(reference)"</formula>
    </cfRule>
  </conditionalFormatting>
  <conditionalFormatting sqref="L318">
    <cfRule type="expression" dxfId="941" priority="235" stopIfTrue="1">
      <formula>"esterreur(reference)"</formula>
    </cfRule>
  </conditionalFormatting>
  <conditionalFormatting sqref="K5">
    <cfRule type="expression" dxfId="940" priority="229" stopIfTrue="1">
      <formula>"esterreur(reference)"</formula>
    </cfRule>
  </conditionalFormatting>
  <conditionalFormatting sqref="L5">
    <cfRule type="expression" dxfId="939" priority="228" stopIfTrue="1">
      <formula>"esterreur(reference)"</formula>
    </cfRule>
  </conditionalFormatting>
  <conditionalFormatting sqref="K182">
    <cfRule type="expression" dxfId="938" priority="227" stopIfTrue="1">
      <formula>"esterreur(reference)"</formula>
    </cfRule>
  </conditionalFormatting>
  <conditionalFormatting sqref="L93">
    <cfRule type="expression" dxfId="937" priority="226" stopIfTrue="1">
      <formula>"esterreur(reference)"</formula>
    </cfRule>
  </conditionalFormatting>
  <conditionalFormatting sqref="K171">
    <cfRule type="expression" dxfId="936" priority="225" stopIfTrue="1">
      <formula>"esterreur(reference)"</formula>
    </cfRule>
  </conditionalFormatting>
  <conditionalFormatting sqref="K174">
    <cfRule type="expression" dxfId="935" priority="224" stopIfTrue="1">
      <formula>"esterreur(reference)"</formula>
    </cfRule>
  </conditionalFormatting>
  <conditionalFormatting sqref="K177">
    <cfRule type="expression" dxfId="934" priority="223" stopIfTrue="1">
      <formula>"esterreur(reference)"</formula>
    </cfRule>
  </conditionalFormatting>
  <conditionalFormatting sqref="K180">
    <cfRule type="expression" dxfId="933" priority="222" stopIfTrue="1">
      <formula>"esterreur(reference)"</formula>
    </cfRule>
  </conditionalFormatting>
  <conditionalFormatting sqref="K240">
    <cfRule type="expression" dxfId="932" priority="221" stopIfTrue="1">
      <formula>"esterreur(reference)"</formula>
    </cfRule>
  </conditionalFormatting>
  <conditionalFormatting sqref="K243">
    <cfRule type="expression" dxfId="931" priority="220" stopIfTrue="1">
      <formula>"esterreur(reference)"</formula>
    </cfRule>
  </conditionalFormatting>
  <conditionalFormatting sqref="K246">
    <cfRule type="expression" dxfId="930" priority="219" stopIfTrue="1">
      <formula>"esterreur(reference)"</formula>
    </cfRule>
  </conditionalFormatting>
  <conditionalFormatting sqref="J306:J307">
    <cfRule type="expression" dxfId="929" priority="218" stopIfTrue="1">
      <formula>"esterreur(reference)"</formula>
    </cfRule>
  </conditionalFormatting>
  <conditionalFormatting sqref="K187">
    <cfRule type="expression" dxfId="928" priority="217" stopIfTrue="1">
      <formula>"esterreur(reference)"</formula>
    </cfRule>
  </conditionalFormatting>
  <conditionalFormatting sqref="K190">
    <cfRule type="expression" dxfId="927" priority="216" stopIfTrue="1">
      <formula>"esterreur(reference)"</formula>
    </cfRule>
  </conditionalFormatting>
  <conditionalFormatting sqref="J311">
    <cfRule type="expression" dxfId="926" priority="215" stopIfTrue="1">
      <formula>"esterreur(reference)"</formula>
    </cfRule>
  </conditionalFormatting>
  <conditionalFormatting sqref="L364:L375">
    <cfRule type="expression" dxfId="925" priority="214" stopIfTrue="1">
      <formula>"esterreur(reference)"</formula>
    </cfRule>
  </conditionalFormatting>
  <conditionalFormatting sqref="L377:L393">
    <cfRule type="expression" dxfId="924" priority="213" stopIfTrue="1">
      <formula>"esterreur(reference)"</formula>
    </cfRule>
  </conditionalFormatting>
  <conditionalFormatting sqref="K93">
    <cfRule type="expression" dxfId="923" priority="212" stopIfTrue="1">
      <formula>"esterreur(reference)"</formula>
    </cfRule>
  </conditionalFormatting>
  <conditionalFormatting sqref="L240">
    <cfRule type="expression" dxfId="922" priority="211" stopIfTrue="1">
      <formula>"esterreur(reference)"</formula>
    </cfRule>
  </conditionalFormatting>
  <conditionalFormatting sqref="K239">
    <cfRule type="expression" dxfId="921" priority="210" stopIfTrue="1">
      <formula>"esterreur(reference)"</formula>
    </cfRule>
  </conditionalFormatting>
  <conditionalFormatting sqref="L239">
    <cfRule type="expression" dxfId="920" priority="209" stopIfTrue="1">
      <formula>"esterreur(reference)"</formula>
    </cfRule>
  </conditionalFormatting>
  <conditionalFormatting sqref="F183">
    <cfRule type="expression" dxfId="919" priority="208" stopIfTrue="1">
      <formula>"esterreur(reference)"</formula>
    </cfRule>
  </conditionalFormatting>
  <conditionalFormatting sqref="J359">
    <cfRule type="expression" dxfId="918" priority="207" stopIfTrue="1">
      <formula>"esterreur(reference)"</formula>
    </cfRule>
  </conditionalFormatting>
  <conditionalFormatting sqref="L359">
    <cfRule type="expression" dxfId="917" priority="206" stopIfTrue="1">
      <formula>"esterreur(reference)"</formula>
    </cfRule>
  </conditionalFormatting>
  <conditionalFormatting sqref="S185">
    <cfRule type="expression" dxfId="916" priority="205" stopIfTrue="1">
      <formula>"esterreur(reference)"</formula>
    </cfRule>
  </conditionalFormatting>
  <conditionalFormatting sqref="K286">
    <cfRule type="expression" dxfId="915" priority="204" stopIfTrue="1">
      <formula>"esterreur(reference)"</formula>
    </cfRule>
  </conditionalFormatting>
  <conditionalFormatting sqref="AO408:AO413">
    <cfRule type="cellIs" dxfId="914" priority="203" operator="greaterThan">
      <formula>0</formula>
    </cfRule>
  </conditionalFormatting>
  <conditionalFormatting sqref="L71">
    <cfRule type="expression" dxfId="913" priority="202" stopIfTrue="1">
      <formula>"esterreur(reference)"</formula>
    </cfRule>
  </conditionalFormatting>
  <conditionalFormatting sqref="L210">
    <cfRule type="expression" dxfId="912" priority="199" stopIfTrue="1">
      <formula>"esterreur(reference)"</formula>
    </cfRule>
  </conditionalFormatting>
  <conditionalFormatting sqref="L122">
    <cfRule type="expression" dxfId="911" priority="201" stopIfTrue="1">
      <formula>"esterreur(reference)"</formula>
    </cfRule>
  </conditionalFormatting>
  <conditionalFormatting sqref="L266">
    <cfRule type="expression" dxfId="910" priority="198" stopIfTrue="1">
      <formula>"esterreur(reference)"</formula>
    </cfRule>
  </conditionalFormatting>
  <conditionalFormatting sqref="L135">
    <cfRule type="expression" dxfId="909" priority="200" stopIfTrue="1">
      <formula>"esterreur(reference)"</formula>
    </cfRule>
  </conditionalFormatting>
  <conditionalFormatting sqref="L330">
    <cfRule type="expression" dxfId="908" priority="197" stopIfTrue="1">
      <formula>"esterreur(reference)"</formula>
    </cfRule>
  </conditionalFormatting>
  <conditionalFormatting sqref="L75">
    <cfRule type="expression" dxfId="907" priority="196" stopIfTrue="1">
      <formula>"esterreur(reference)"</formula>
    </cfRule>
  </conditionalFormatting>
  <conditionalFormatting sqref="L60">
    <cfRule type="expression" dxfId="906" priority="194" stopIfTrue="1">
      <formula>"esterreur(reference)"</formula>
    </cfRule>
  </conditionalFormatting>
  <conditionalFormatting sqref="L59">
    <cfRule type="expression" dxfId="905" priority="195" stopIfTrue="1">
      <formula>"esterreur(reference)"</formula>
    </cfRule>
  </conditionalFormatting>
  <conditionalFormatting sqref="O25:Q26 Q18 O83:Q85 O41:Q41 O72:Q72 Q24 O13:O14 O16 O18:O24 O49:Q54 Q6:Q14 O31:P40 O42:P48 O28:Q30 O27 Q27">
    <cfRule type="expression" dxfId="904" priority="189" stopIfTrue="1">
      <formula>"esterreur(reference)"</formula>
    </cfRule>
  </conditionalFormatting>
  <conditionalFormatting sqref="P5">
    <cfRule type="expression" dxfId="903" priority="166" stopIfTrue="1">
      <formula>"esterreur(reference)"</formula>
    </cfRule>
  </conditionalFormatting>
  <conditionalFormatting sqref="Q32">
    <cfRule type="expression" dxfId="902" priority="184" stopIfTrue="1">
      <formula>"esterreur(reference)"</formula>
    </cfRule>
  </conditionalFormatting>
  <conditionalFormatting sqref="Q35">
    <cfRule type="expression" dxfId="901" priority="183" stopIfTrue="1">
      <formula>"esterreur(reference)"</formula>
    </cfRule>
  </conditionalFormatting>
  <conditionalFormatting sqref="O55:P56 O71:P71">
    <cfRule type="expression" dxfId="900" priority="190" stopIfTrue="1">
      <formula>"esterreur(reference)"</formula>
    </cfRule>
  </conditionalFormatting>
  <conditionalFormatting sqref="O61:P70">
    <cfRule type="expression" dxfId="899" priority="191" stopIfTrue="1">
      <formula>"esterreur(reference)"</formula>
    </cfRule>
  </conditionalFormatting>
  <conditionalFormatting sqref="O57:P59">
    <cfRule type="expression" dxfId="898" priority="192" stopIfTrue="1">
      <formula>"esterreur(reference)"</formula>
    </cfRule>
  </conditionalFormatting>
  <conditionalFormatting sqref="O60:P60">
    <cfRule type="expression" dxfId="897" priority="193" stopIfTrue="1">
      <formula>"esterreur(reference)"</formula>
    </cfRule>
  </conditionalFormatting>
  <conditionalFormatting sqref="Q19 Q21:Q23">
    <cfRule type="expression" dxfId="896" priority="187" stopIfTrue="1">
      <formula>"esterreur(reference)"</formula>
    </cfRule>
  </conditionalFormatting>
  <conditionalFormatting sqref="Q16:Q17">
    <cfRule type="expression" dxfId="895" priority="188" stopIfTrue="1">
      <formula>"esterreur(reference)"</formula>
    </cfRule>
  </conditionalFormatting>
  <conditionalFormatting sqref="Q20">
    <cfRule type="expression" dxfId="894" priority="186" stopIfTrue="1">
      <formula>"esterreur(reference)"</formula>
    </cfRule>
  </conditionalFormatting>
  <conditionalFormatting sqref="Q31 Q33:Q34">
    <cfRule type="expression" dxfId="893" priority="185" stopIfTrue="1">
      <formula>"esterreur(reference)"</formula>
    </cfRule>
  </conditionalFormatting>
  <conditionalFormatting sqref="Q42">
    <cfRule type="expression" dxfId="892" priority="182" stopIfTrue="1">
      <formula>"esterreur(reference)"</formula>
    </cfRule>
  </conditionalFormatting>
  <conditionalFormatting sqref="Q43">
    <cfRule type="expression" dxfId="891" priority="181" stopIfTrue="1">
      <formula>"esterreur(reference)"</formula>
    </cfRule>
  </conditionalFormatting>
  <conditionalFormatting sqref="Q44">
    <cfRule type="expression" dxfId="890" priority="180" stopIfTrue="1">
      <formula>"esterreur(reference)"</formula>
    </cfRule>
  </conditionalFormatting>
  <conditionalFormatting sqref="Q45:Q48">
    <cfRule type="expression" dxfId="889" priority="179" stopIfTrue="1">
      <formula>"esterreur(reference)"</formula>
    </cfRule>
  </conditionalFormatting>
  <conditionalFormatting sqref="Q55">
    <cfRule type="expression" dxfId="888" priority="178" stopIfTrue="1">
      <formula>"esterreur(reference)"</formula>
    </cfRule>
  </conditionalFormatting>
  <conditionalFormatting sqref="Q56">
    <cfRule type="expression" dxfId="887" priority="177" stopIfTrue="1">
      <formula>"esterreur(reference)"</formula>
    </cfRule>
  </conditionalFormatting>
  <conditionalFormatting sqref="Q58">
    <cfRule type="expression" dxfId="886" priority="176" stopIfTrue="1">
      <formula>"esterreur(reference)"</formula>
    </cfRule>
  </conditionalFormatting>
  <conditionalFormatting sqref="Q61">
    <cfRule type="expression" dxfId="885" priority="175" stopIfTrue="1">
      <formula>"esterreur(reference)"</formula>
    </cfRule>
  </conditionalFormatting>
  <conditionalFormatting sqref="Q63">
    <cfRule type="expression" dxfId="884" priority="174" stopIfTrue="1">
      <formula>"esterreur(reference)"</formula>
    </cfRule>
  </conditionalFormatting>
  <conditionalFormatting sqref="Q62">
    <cfRule type="expression" dxfId="883" priority="173" stopIfTrue="1">
      <formula>"esterreur(reference)"</formula>
    </cfRule>
  </conditionalFormatting>
  <conditionalFormatting sqref="Q64">
    <cfRule type="expression" dxfId="882" priority="172" stopIfTrue="1">
      <formula>"esterreur(reference)"</formula>
    </cfRule>
  </conditionalFormatting>
  <conditionalFormatting sqref="Q65">
    <cfRule type="expression" dxfId="881" priority="171" stopIfTrue="1">
      <formula>"esterreur(reference)"</formula>
    </cfRule>
  </conditionalFormatting>
  <conditionalFormatting sqref="Q66:Q69">
    <cfRule type="expression" dxfId="880" priority="170" stopIfTrue="1">
      <formula>"esterreur(reference)"</formula>
    </cfRule>
  </conditionalFormatting>
  <conditionalFormatting sqref="Q70">
    <cfRule type="expression" dxfId="879" priority="169" stopIfTrue="1">
      <formula>"esterreur(reference)"</formula>
    </cfRule>
  </conditionalFormatting>
  <conditionalFormatting sqref="Q75:Q82">
    <cfRule type="expression" dxfId="878" priority="168" stopIfTrue="1">
      <formula>"esterreur(reference)"</formula>
    </cfRule>
  </conditionalFormatting>
  <conditionalFormatting sqref="Q57">
    <cfRule type="expression" dxfId="877" priority="167" stopIfTrue="1">
      <formula>"esterreur(reference)"</formula>
    </cfRule>
  </conditionalFormatting>
  <conditionalFormatting sqref="Q5">
    <cfRule type="expression" dxfId="876" priority="165" stopIfTrue="1">
      <formula>"esterreur(reference)"</formula>
    </cfRule>
  </conditionalFormatting>
  <conditionalFormatting sqref="Q71">
    <cfRule type="expression" dxfId="875" priority="164" stopIfTrue="1">
      <formula>"esterreur(reference)"</formula>
    </cfRule>
  </conditionalFormatting>
  <conditionalFormatting sqref="Q60">
    <cfRule type="expression" dxfId="874" priority="162" stopIfTrue="1">
      <formula>"esterreur(reference)"</formula>
    </cfRule>
  </conditionalFormatting>
  <conditionalFormatting sqref="P98">
    <cfRule type="expression" dxfId="873" priority="161" stopIfTrue="1">
      <formula>"esterreur(reference)"</formula>
    </cfRule>
  </conditionalFormatting>
  <conditionalFormatting sqref="Q59">
    <cfRule type="expression" dxfId="872" priority="163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871" priority="157" stopIfTrue="1">
      <formula>"esterreur(reference)"</formula>
    </cfRule>
  </conditionalFormatting>
  <conditionalFormatting sqref="O141:P147">
    <cfRule type="expression" dxfId="870" priority="158" stopIfTrue="1">
      <formula>"esterreur(reference)"</formula>
    </cfRule>
  </conditionalFormatting>
  <conditionalFormatting sqref="O137:P139">
    <cfRule type="expression" dxfId="869" priority="159" stopIfTrue="1">
      <formula>"esterreur(reference)"</formula>
    </cfRule>
  </conditionalFormatting>
  <conditionalFormatting sqref="O140:P140">
    <cfRule type="expression" dxfId="868" priority="160" stopIfTrue="1">
      <formula>"esterreur(reference)"</formula>
    </cfRule>
  </conditionalFormatting>
  <conditionalFormatting sqref="Q94:Q95">
    <cfRule type="expression" dxfId="867" priority="156" stopIfTrue="1">
      <formula>"esterreur(reference)"</formula>
    </cfRule>
  </conditionalFormatting>
  <conditionalFormatting sqref="Q98">
    <cfRule type="expression" dxfId="866" priority="155" stopIfTrue="1">
      <formula>"esterreur(reference)"</formula>
    </cfRule>
  </conditionalFormatting>
  <conditionalFormatting sqref="Q99">
    <cfRule type="expression" dxfId="865" priority="154" stopIfTrue="1">
      <formula>"esterreur(reference)"</formula>
    </cfRule>
  </conditionalFormatting>
  <conditionalFormatting sqref="Q101">
    <cfRule type="expression" dxfId="864" priority="153" stopIfTrue="1">
      <formula>"esterreur(reference)"</formula>
    </cfRule>
  </conditionalFormatting>
  <conditionalFormatting sqref="Q102">
    <cfRule type="expression" dxfId="863" priority="152" stopIfTrue="1">
      <formula>"esterreur(reference)"</formula>
    </cfRule>
  </conditionalFormatting>
  <conditionalFormatting sqref="Q103">
    <cfRule type="expression" dxfId="862" priority="151" stopIfTrue="1">
      <formula>"esterreur(reference)"</formula>
    </cfRule>
  </conditionalFormatting>
  <conditionalFormatting sqref="Q111">
    <cfRule type="expression" dxfId="861" priority="150" stopIfTrue="1">
      <formula>"esterreur(reference)"</formula>
    </cfRule>
  </conditionalFormatting>
  <conditionalFormatting sqref="Q112">
    <cfRule type="expression" dxfId="860" priority="149" stopIfTrue="1">
      <formula>"esterreur(reference)"</formula>
    </cfRule>
  </conditionalFormatting>
  <conditionalFormatting sqref="Q114">
    <cfRule type="expression" dxfId="859" priority="148" stopIfTrue="1">
      <formula>"esterreur(reference)"</formula>
    </cfRule>
  </conditionalFormatting>
  <conditionalFormatting sqref="Q116:Q119">
    <cfRule type="expression" dxfId="858" priority="147" stopIfTrue="1">
      <formula>"esterreur(reference)"</formula>
    </cfRule>
  </conditionalFormatting>
  <conditionalFormatting sqref="Q120">
    <cfRule type="expression" dxfId="857" priority="146" stopIfTrue="1">
      <formula>"esterreur(reference)"</formula>
    </cfRule>
  </conditionalFormatting>
  <conditionalFormatting sqref="Q130">
    <cfRule type="expression" dxfId="856" priority="143" stopIfTrue="1">
      <formula>"esterreur(reference)"</formula>
    </cfRule>
  </conditionalFormatting>
  <conditionalFormatting sqref="Q124">
    <cfRule type="expression" dxfId="855" priority="145" stopIfTrue="1">
      <formula>"esterreur(reference)"</formula>
    </cfRule>
  </conditionalFormatting>
  <conditionalFormatting sqref="Q123">
    <cfRule type="expression" dxfId="854" priority="144" stopIfTrue="1">
      <formula>"esterreur(reference)"</formula>
    </cfRule>
  </conditionalFormatting>
  <conditionalFormatting sqref="Q139">
    <cfRule type="expression" dxfId="853" priority="136" stopIfTrue="1">
      <formula>"esterreur(reference)"</formula>
    </cfRule>
  </conditionalFormatting>
  <conditionalFormatting sqref="Q131">
    <cfRule type="expression" dxfId="852" priority="142" stopIfTrue="1">
      <formula>"esterreur(reference)"</formula>
    </cfRule>
  </conditionalFormatting>
  <conditionalFormatting sqref="Q132">
    <cfRule type="expression" dxfId="851" priority="141" stopIfTrue="1">
      <formula>"esterreur(reference)"</formula>
    </cfRule>
  </conditionalFormatting>
  <conditionalFormatting sqref="Q133">
    <cfRule type="expression" dxfId="850" priority="140" stopIfTrue="1">
      <formula>"esterreur(reference)"</formula>
    </cfRule>
  </conditionalFormatting>
  <conditionalFormatting sqref="Q141">
    <cfRule type="expression" dxfId="849" priority="134" stopIfTrue="1">
      <formula>"esterreur(reference)"</formula>
    </cfRule>
  </conditionalFormatting>
  <conditionalFormatting sqref="Q136">
    <cfRule type="expression" dxfId="848" priority="139" stopIfTrue="1">
      <formula>"esterreur(reference)"</formula>
    </cfRule>
  </conditionalFormatting>
  <conditionalFormatting sqref="Q137">
    <cfRule type="expression" dxfId="847" priority="138" stopIfTrue="1">
      <formula>"esterreur(reference)"</formula>
    </cfRule>
  </conditionalFormatting>
  <conditionalFormatting sqref="Q138">
    <cfRule type="expression" dxfId="846" priority="137" stopIfTrue="1">
      <formula>"esterreur(reference)"</formula>
    </cfRule>
  </conditionalFormatting>
  <conditionalFormatting sqref="Q143">
    <cfRule type="expression" dxfId="845" priority="132" stopIfTrue="1">
      <formula>"esterreur(reference)"</formula>
    </cfRule>
  </conditionalFormatting>
  <conditionalFormatting sqref="Q140">
    <cfRule type="expression" dxfId="844" priority="135" stopIfTrue="1">
      <formula>"esterreur(reference)"</formula>
    </cfRule>
  </conditionalFormatting>
  <conditionalFormatting sqref="Q142">
    <cfRule type="expression" dxfId="843" priority="133" stopIfTrue="1">
      <formula>"esterreur(reference)"</formula>
    </cfRule>
  </conditionalFormatting>
  <conditionalFormatting sqref="Q144">
    <cfRule type="expression" dxfId="842" priority="131" stopIfTrue="1">
      <formula>"esterreur(reference)"</formula>
    </cfRule>
  </conditionalFormatting>
  <conditionalFormatting sqref="Q145">
    <cfRule type="expression" dxfId="841" priority="130" stopIfTrue="1">
      <formula>"esterreur(reference)"</formula>
    </cfRule>
  </conditionalFormatting>
  <conditionalFormatting sqref="Q146">
    <cfRule type="expression" dxfId="840" priority="129" stopIfTrue="1">
      <formula>"esterreur(reference)"</formula>
    </cfRule>
  </conditionalFormatting>
  <conditionalFormatting sqref="Q147">
    <cfRule type="expression" dxfId="839" priority="128" stopIfTrue="1">
      <formula>"esterreur(reference)"</formula>
    </cfRule>
  </conditionalFormatting>
  <conditionalFormatting sqref="Q113">
    <cfRule type="expression" dxfId="838" priority="125" stopIfTrue="1">
      <formula>"esterreur(reference)"</formula>
    </cfRule>
  </conditionalFormatting>
  <conditionalFormatting sqref="Q155:Q161">
    <cfRule type="expression" dxfId="837" priority="127" stopIfTrue="1">
      <formula>"esterreur(reference)"</formula>
    </cfRule>
  </conditionalFormatting>
  <conditionalFormatting sqref="Q93">
    <cfRule type="expression" dxfId="836" priority="124" stopIfTrue="1">
      <formula>"esterreur(reference)"</formula>
    </cfRule>
  </conditionalFormatting>
  <conditionalFormatting sqref="Q115">
    <cfRule type="expression" dxfId="835" priority="126" stopIfTrue="1">
      <formula>"esterreur(reference)"</formula>
    </cfRule>
  </conditionalFormatting>
  <conditionalFormatting sqref="P93">
    <cfRule type="expression" dxfId="834" priority="123" stopIfTrue="1">
      <formula>"esterreur(reference)"</formula>
    </cfRule>
  </conditionalFormatting>
  <conditionalFormatting sqref="Q122">
    <cfRule type="expression" dxfId="833" priority="122" stopIfTrue="1">
      <formula>"esterreur(reference)"</formula>
    </cfRule>
  </conditionalFormatting>
  <conditionalFormatting sqref="Q135">
    <cfRule type="expression" dxfId="832" priority="121" stopIfTrue="1">
      <formula>"esterreur(reference)"</formula>
    </cfRule>
  </conditionalFormatting>
  <conditionalFormatting sqref="O231:Q231 O232:P232 P172:Q172 P175:Q175 P178:Q178 P181:Q181 P184:Q186 P183 P188:Q189 Q182 P191:Q195 Q190 Q173 O225:P228 O197:P218 Q176 Q179 O171:O195">
    <cfRule type="expression" dxfId="831" priority="118" stopIfTrue="1">
      <formula>"esterreur(reference)"</formula>
    </cfRule>
  </conditionalFormatting>
  <conditionalFormatting sqref="O219:P224">
    <cfRule type="expression" dxfId="830" priority="119" stopIfTrue="1">
      <formula>"esterreur(reference)"</formula>
    </cfRule>
  </conditionalFormatting>
  <conditionalFormatting sqref="O196:Q196">
    <cfRule type="expression" dxfId="829" priority="120" stopIfTrue="1">
      <formula>"esterreur(reference)"</formula>
    </cfRule>
  </conditionalFormatting>
  <conditionalFormatting sqref="Q207">
    <cfRule type="expression" dxfId="828" priority="104" stopIfTrue="1">
      <formula>"esterreur(reference)"</formula>
    </cfRule>
  </conditionalFormatting>
  <conditionalFormatting sqref="Q227">
    <cfRule type="expression" dxfId="827" priority="100" stopIfTrue="1">
      <formula>"esterreur(reference)"</formula>
    </cfRule>
  </conditionalFormatting>
  <conditionalFormatting sqref="Q171">
    <cfRule type="expression" dxfId="826" priority="117" stopIfTrue="1">
      <formula>"esterreur(reference)"</formula>
    </cfRule>
  </conditionalFormatting>
  <conditionalFormatting sqref="Q174">
    <cfRule type="expression" dxfId="825" priority="116" stopIfTrue="1">
      <formula>"esterreur(reference)"</formula>
    </cfRule>
  </conditionalFormatting>
  <conditionalFormatting sqref="Q177">
    <cfRule type="expression" dxfId="824" priority="115" stopIfTrue="1">
      <formula>"esterreur(reference)"</formula>
    </cfRule>
  </conditionalFormatting>
  <conditionalFormatting sqref="Q183">
    <cfRule type="expression" dxfId="823" priority="114" stopIfTrue="1">
      <formula>"esterreur(reference)"</formula>
    </cfRule>
  </conditionalFormatting>
  <conditionalFormatting sqref="Q187">
    <cfRule type="expression" dxfId="822" priority="113" stopIfTrue="1">
      <formula>"esterreur(reference)"</formula>
    </cfRule>
  </conditionalFormatting>
  <conditionalFormatting sqref="Q197">
    <cfRule type="expression" dxfId="821" priority="112" stopIfTrue="1">
      <formula>"esterreur(reference)"</formula>
    </cfRule>
  </conditionalFormatting>
  <conditionalFormatting sqref="Q199">
    <cfRule type="expression" dxfId="820" priority="111" stopIfTrue="1">
      <formula>"esterreur(reference)"</formula>
    </cfRule>
  </conditionalFormatting>
  <conditionalFormatting sqref="Q198">
    <cfRule type="expression" dxfId="819" priority="110" stopIfTrue="1">
      <formula>"esterreur(reference)"</formula>
    </cfRule>
  </conditionalFormatting>
  <conditionalFormatting sqref="Q200">
    <cfRule type="expression" dxfId="818" priority="109" stopIfTrue="1">
      <formula>"esterreur(reference)"</formula>
    </cfRule>
  </conditionalFormatting>
  <conditionalFormatting sqref="Q201">
    <cfRule type="expression" dxfId="817" priority="108" stopIfTrue="1">
      <formula>"esterreur(reference)"</formula>
    </cfRule>
  </conditionalFormatting>
  <conditionalFormatting sqref="Q202:Q204">
    <cfRule type="expression" dxfId="816" priority="107" stopIfTrue="1">
      <formula>"esterreur(reference)"</formula>
    </cfRule>
  </conditionalFormatting>
  <conditionalFormatting sqref="Q206">
    <cfRule type="expression" dxfId="815" priority="105" stopIfTrue="1">
      <formula>"esterreur(reference)"</formula>
    </cfRule>
  </conditionalFormatting>
  <conditionalFormatting sqref="Q205">
    <cfRule type="expression" dxfId="814" priority="106" stopIfTrue="1">
      <formula>"esterreur(reference)"</formula>
    </cfRule>
  </conditionalFormatting>
  <conditionalFormatting sqref="Q208">
    <cfRule type="expression" dxfId="813" priority="103" stopIfTrue="1">
      <formula>"esterreur(reference)"</formula>
    </cfRule>
  </conditionalFormatting>
  <conditionalFormatting sqref="Q211:Q224">
    <cfRule type="expression" dxfId="812" priority="102" stopIfTrue="1">
      <formula>"esterreur(reference)"</formula>
    </cfRule>
  </conditionalFormatting>
  <conditionalFormatting sqref="Q225:Q226">
    <cfRule type="expression" dxfId="811" priority="101" stopIfTrue="1">
      <formula>"esterreur(reference)"</formula>
    </cfRule>
  </conditionalFormatting>
  <conditionalFormatting sqref="Q180">
    <cfRule type="expression" dxfId="810" priority="99" stopIfTrue="1">
      <formula>"esterreur(reference)"</formula>
    </cfRule>
  </conditionalFormatting>
  <conditionalFormatting sqref="P182">
    <cfRule type="expression" dxfId="809" priority="98" stopIfTrue="1">
      <formula>"esterreur(reference)"</formula>
    </cfRule>
  </conditionalFormatting>
  <conditionalFormatting sqref="P171">
    <cfRule type="expression" dxfId="808" priority="97" stopIfTrue="1">
      <formula>"esterreur(reference)"</formula>
    </cfRule>
  </conditionalFormatting>
  <conditionalFormatting sqref="P174">
    <cfRule type="expression" dxfId="807" priority="96" stopIfTrue="1">
      <formula>"esterreur(reference)"</formula>
    </cfRule>
  </conditionalFormatting>
  <conditionalFormatting sqref="P177">
    <cfRule type="expression" dxfId="806" priority="95" stopIfTrue="1">
      <formula>"esterreur(reference)"</formula>
    </cfRule>
  </conditionalFormatting>
  <conditionalFormatting sqref="P180">
    <cfRule type="expression" dxfId="805" priority="94" stopIfTrue="1">
      <formula>"esterreur(reference)"</formula>
    </cfRule>
  </conditionalFormatting>
  <conditionalFormatting sqref="P187">
    <cfRule type="expression" dxfId="804" priority="93" stopIfTrue="1">
      <formula>"esterreur(reference)"</formula>
    </cfRule>
  </conditionalFormatting>
  <conditionalFormatting sqref="P190">
    <cfRule type="expression" dxfId="803" priority="92" stopIfTrue="1">
      <formula>"esterreur(reference)"</formula>
    </cfRule>
  </conditionalFormatting>
  <conditionalFormatting sqref="Q210">
    <cfRule type="expression" dxfId="802" priority="91" stopIfTrue="1">
      <formula>"esterreur(reference)"</formula>
    </cfRule>
  </conditionalFormatting>
  <conditionalFormatting sqref="O287:Q287 O288:P288 O242:Q242 O251:Q252 O284:Q284 Q275:Q283 O253:P274">
    <cfRule type="expression" dxfId="801" priority="88" stopIfTrue="1">
      <formula>"esterreur(reference)"</formula>
    </cfRule>
  </conditionalFormatting>
  <conditionalFormatting sqref="O275:P280">
    <cfRule type="expression" dxfId="800" priority="89" stopIfTrue="1">
      <formula>"esterreur(reference)"</formula>
    </cfRule>
  </conditionalFormatting>
  <conditionalFormatting sqref="O281:P283">
    <cfRule type="expression" dxfId="799" priority="90" stopIfTrue="1">
      <formula>"esterreur(reference)"</formula>
    </cfRule>
  </conditionalFormatting>
  <conditionalFormatting sqref="Q271">
    <cfRule type="expression" dxfId="798" priority="70" stopIfTrue="1">
      <formula>"esterreur(reference)"</formula>
    </cfRule>
  </conditionalFormatting>
  <conditionalFormatting sqref="Q274">
    <cfRule type="expression" dxfId="797" priority="68" stopIfTrue="1">
      <formula>"esterreur(reference)"</formula>
    </cfRule>
  </conditionalFormatting>
  <conditionalFormatting sqref="Q243">
    <cfRule type="expression" dxfId="796" priority="87" stopIfTrue="1">
      <formula>"esterreur(reference)"</formula>
    </cfRule>
  </conditionalFormatting>
  <conditionalFormatting sqref="Q246">
    <cfRule type="expression" dxfId="795" priority="86" stopIfTrue="1">
      <formula>"esterreur(reference)"</formula>
    </cfRule>
  </conditionalFormatting>
  <conditionalFormatting sqref="Q253">
    <cfRule type="expression" dxfId="794" priority="85" stopIfTrue="1">
      <formula>"esterreur(reference)"</formula>
    </cfRule>
  </conditionalFormatting>
  <conditionalFormatting sqref="Q254">
    <cfRule type="expression" dxfId="793" priority="84" stopIfTrue="1">
      <formula>"esterreur(reference)"</formula>
    </cfRule>
  </conditionalFormatting>
  <conditionalFormatting sqref="Q255">
    <cfRule type="expression" dxfId="792" priority="83" stopIfTrue="1">
      <formula>"esterreur(reference)"</formula>
    </cfRule>
  </conditionalFormatting>
  <conditionalFormatting sqref="Q256">
    <cfRule type="expression" dxfId="791" priority="82" stopIfTrue="1">
      <formula>"esterreur(reference)"</formula>
    </cfRule>
  </conditionalFormatting>
  <conditionalFormatting sqref="Q257">
    <cfRule type="expression" dxfId="790" priority="81" stopIfTrue="1">
      <formula>"esterreur(reference)"</formula>
    </cfRule>
  </conditionalFormatting>
  <conditionalFormatting sqref="Q258">
    <cfRule type="expression" dxfId="789" priority="80" stopIfTrue="1">
      <formula>"esterreur(reference)"</formula>
    </cfRule>
  </conditionalFormatting>
  <conditionalFormatting sqref="Q259">
    <cfRule type="expression" dxfId="788" priority="79" stopIfTrue="1">
      <formula>"esterreur(reference)"</formula>
    </cfRule>
  </conditionalFormatting>
  <conditionalFormatting sqref="Q260">
    <cfRule type="expression" dxfId="787" priority="78" stopIfTrue="1">
      <formula>"esterreur(reference)"</formula>
    </cfRule>
  </conditionalFormatting>
  <conditionalFormatting sqref="Q261">
    <cfRule type="expression" dxfId="786" priority="77" stopIfTrue="1">
      <formula>"esterreur(reference)"</formula>
    </cfRule>
  </conditionalFormatting>
  <conditionalFormatting sqref="Q262">
    <cfRule type="expression" dxfId="785" priority="76" stopIfTrue="1">
      <formula>"esterreur(reference)"</formula>
    </cfRule>
  </conditionalFormatting>
  <conditionalFormatting sqref="Q263:Q264">
    <cfRule type="expression" dxfId="784" priority="75" stopIfTrue="1">
      <formula>"esterreur(reference)"</formula>
    </cfRule>
  </conditionalFormatting>
  <conditionalFormatting sqref="Q268">
    <cfRule type="expression" dxfId="783" priority="73" stopIfTrue="1">
      <formula>"esterreur(reference)"</formula>
    </cfRule>
  </conditionalFormatting>
  <conditionalFormatting sqref="Q267">
    <cfRule type="expression" dxfId="782" priority="74" stopIfTrue="1">
      <formula>"esterreur(reference)"</formula>
    </cfRule>
  </conditionalFormatting>
  <conditionalFormatting sqref="Q269">
    <cfRule type="expression" dxfId="781" priority="72" stopIfTrue="1">
      <formula>"esterreur(reference)"</formula>
    </cfRule>
  </conditionalFormatting>
  <conditionalFormatting sqref="Q270">
    <cfRule type="expression" dxfId="780" priority="71" stopIfTrue="1">
      <formula>"esterreur(reference)"</formula>
    </cfRule>
  </conditionalFormatting>
  <conditionalFormatting sqref="Q272:Q273">
    <cfRule type="expression" dxfId="779" priority="69" stopIfTrue="1">
      <formula>"esterreur(reference)"</formula>
    </cfRule>
  </conditionalFormatting>
  <conditionalFormatting sqref="P240">
    <cfRule type="expression" dxfId="778" priority="67" stopIfTrue="1">
      <formula>"esterreur(reference)"</formula>
    </cfRule>
  </conditionalFormatting>
  <conditionalFormatting sqref="P243">
    <cfRule type="expression" dxfId="777" priority="66" stopIfTrue="1">
      <formula>"esterreur(reference)"</formula>
    </cfRule>
  </conditionalFormatting>
  <conditionalFormatting sqref="P246">
    <cfRule type="expression" dxfId="776" priority="65" stopIfTrue="1">
      <formula>"esterreur(reference)"</formula>
    </cfRule>
  </conditionalFormatting>
  <conditionalFormatting sqref="Q240">
    <cfRule type="expression" dxfId="775" priority="64" stopIfTrue="1">
      <formula>"esterreur(reference)"</formula>
    </cfRule>
  </conditionalFormatting>
  <conditionalFormatting sqref="P286">
    <cfRule type="expression" dxfId="774" priority="63" stopIfTrue="1">
      <formula>"esterreur(reference)"</formula>
    </cfRule>
  </conditionalFormatting>
  <conditionalFormatting sqref="Q266">
    <cfRule type="expression" dxfId="773" priority="6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772" priority="60" stopIfTrue="1">
      <formula>"esterreur(reference)"</formula>
    </cfRule>
  </conditionalFormatting>
  <conditionalFormatting sqref="O316:Q316">
    <cfRule type="expression" dxfId="771" priority="61" stopIfTrue="1">
      <formula>"esterreur(reference)"</formula>
    </cfRule>
  </conditionalFormatting>
  <conditionalFormatting sqref="Q331:Q347">
    <cfRule type="expression" dxfId="770" priority="52" stopIfTrue="1">
      <formula>"esterreur(reference)"</formula>
    </cfRule>
  </conditionalFormatting>
  <conditionalFormatting sqref="Q325">
    <cfRule type="expression" dxfId="769" priority="56" stopIfTrue="1">
      <formula>"esterreur(reference)"</formula>
    </cfRule>
  </conditionalFormatting>
  <conditionalFormatting sqref="Q326">
    <cfRule type="expression" dxfId="768" priority="55" stopIfTrue="1">
      <formula>"esterreur(reference)"</formula>
    </cfRule>
  </conditionalFormatting>
  <conditionalFormatting sqref="Q327">
    <cfRule type="expression" dxfId="767" priority="54" stopIfTrue="1">
      <formula>"esterreur(reference)"</formula>
    </cfRule>
  </conditionalFormatting>
  <conditionalFormatting sqref="Q328">
    <cfRule type="expression" dxfId="766" priority="53" stopIfTrue="1">
      <formula>"esterreur(reference)"</formula>
    </cfRule>
  </conditionalFormatting>
  <conditionalFormatting sqref="Q311">
    <cfRule type="expression" dxfId="765" priority="59" stopIfTrue="1">
      <formula>"esterreur(reference)"</formula>
    </cfRule>
  </conditionalFormatting>
  <conditionalFormatting sqref="Q317">
    <cfRule type="expression" dxfId="764" priority="58" stopIfTrue="1">
      <formula>"esterreur(reference)"</formula>
    </cfRule>
  </conditionalFormatting>
  <conditionalFormatting sqref="Q318">
    <cfRule type="expression" dxfId="763" priority="57" stopIfTrue="1">
      <formula>"esterreur(reference)"</formula>
    </cfRule>
  </conditionalFormatting>
  <conditionalFormatting sqref="O306:O307">
    <cfRule type="expression" dxfId="762" priority="51" stopIfTrue="1">
      <formula>"esterreur(reference)"</formula>
    </cfRule>
  </conditionalFormatting>
  <conditionalFormatting sqref="O311">
    <cfRule type="expression" dxfId="761" priority="50" stopIfTrue="1">
      <formula>"esterreur(reference)"</formula>
    </cfRule>
  </conditionalFormatting>
  <conditionalFormatting sqref="Q330">
    <cfRule type="expression" dxfId="760" priority="49" stopIfTrue="1">
      <formula>"esterreur(reference)"</formula>
    </cfRule>
  </conditionalFormatting>
  <conditionalFormatting sqref="O363:Q363 O364:P375">
    <cfRule type="expression" dxfId="759" priority="43" stopIfTrue="1">
      <formula>"esterreur(reference)"</formula>
    </cfRule>
  </conditionalFormatting>
  <conditionalFormatting sqref="O358:Q358">
    <cfRule type="expression" dxfId="758" priority="44" stopIfTrue="1">
      <formula>"esterreur(reference)"</formula>
    </cfRule>
  </conditionalFormatting>
  <conditionalFormatting sqref="O376:Q376 O377:P392">
    <cfRule type="expression" dxfId="757" priority="45" stopIfTrue="1">
      <formula>"esterreur(reference)"</formula>
    </cfRule>
  </conditionalFormatting>
  <conditionalFormatting sqref="O395:Q398 O393:P393">
    <cfRule type="expression" dxfId="756" priority="46" stopIfTrue="1">
      <formula>"esterreur(reference)"</formula>
    </cfRule>
  </conditionalFormatting>
  <conditionalFormatting sqref="O360:Q362 P359">
    <cfRule type="expression" dxfId="755" priority="47" stopIfTrue="1">
      <formula>"esterreur(reference)"</formula>
    </cfRule>
  </conditionalFormatting>
  <conditionalFormatting sqref="P394">
    <cfRule type="expression" dxfId="754" priority="48" stopIfTrue="1">
      <formula>"esterreur(reference)"</formula>
    </cfRule>
  </conditionalFormatting>
  <conditionalFormatting sqref="Q364:Q375">
    <cfRule type="expression" dxfId="753" priority="42" stopIfTrue="1">
      <formula>"esterreur(reference)"</formula>
    </cfRule>
  </conditionalFormatting>
  <conditionalFormatting sqref="Q377:Q393">
    <cfRule type="expression" dxfId="752" priority="41" stopIfTrue="1">
      <formula>"esterreur(reference)"</formula>
    </cfRule>
  </conditionalFormatting>
  <conditionalFormatting sqref="O359">
    <cfRule type="expression" dxfId="751" priority="40" stopIfTrue="1">
      <formula>"esterreur(reference)"</formula>
    </cfRule>
  </conditionalFormatting>
  <conditionalFormatting sqref="Q359">
    <cfRule type="expression" dxfId="750" priority="39" stopIfTrue="1">
      <formula>"esterreur(reference)"</formula>
    </cfRule>
  </conditionalFormatting>
  <conditionalFormatting sqref="Q36:Q40">
    <cfRule type="expression" dxfId="749" priority="38" stopIfTrue="1">
      <formula>"esterreur(reference)"</formula>
    </cfRule>
  </conditionalFormatting>
  <conditionalFormatting sqref="Q149:Q151">
    <cfRule type="expression" dxfId="748" priority="31" stopIfTrue="1">
      <formula>"esterreur(reference)"</formula>
    </cfRule>
  </conditionalFormatting>
  <conditionalFormatting sqref="H148 J148:K148">
    <cfRule type="expression" dxfId="747" priority="37" stopIfTrue="1">
      <formula>"esterreur(reference)"</formula>
    </cfRule>
  </conditionalFormatting>
  <conditionalFormatting sqref="O148:P148">
    <cfRule type="expression" dxfId="746" priority="36" stopIfTrue="1">
      <formula>"esterreur(reference)"</formula>
    </cfRule>
  </conditionalFormatting>
  <conditionalFormatting sqref="Q148">
    <cfRule type="expression" dxfId="745" priority="35" stopIfTrue="1">
      <formula>"esterreur(reference)"</formula>
    </cfRule>
  </conditionalFormatting>
  <conditionalFormatting sqref="H149:H151 J149:K151">
    <cfRule type="expression" dxfId="744" priority="34" stopIfTrue="1">
      <formula>"esterreur(reference)"</formula>
    </cfRule>
  </conditionalFormatting>
  <conditionalFormatting sqref="L149:L151">
    <cfRule type="expression" dxfId="743" priority="33" stopIfTrue="1">
      <formula>"esterreur(reference)"</formula>
    </cfRule>
  </conditionalFormatting>
  <conditionalFormatting sqref="O149:P151">
    <cfRule type="expression" dxfId="742" priority="32" stopIfTrue="1">
      <formula>"esterreur(reference)"</formula>
    </cfRule>
  </conditionalFormatting>
  <conditionalFormatting sqref="L159:L161">
    <cfRule type="expression" dxfId="741" priority="30" stopIfTrue="1">
      <formula>"esterreur(reference)"</formula>
    </cfRule>
  </conditionalFormatting>
  <conditionalFormatting sqref="AG414:AI417">
    <cfRule type="cellIs" dxfId="740" priority="29" operator="greaterThan">
      <formula>0</formula>
    </cfRule>
  </conditionalFormatting>
  <conditionalFormatting sqref="AO414:AO417">
    <cfRule type="cellIs" dxfId="739" priority="28" operator="greaterThan">
      <formula>0</formula>
    </cfRule>
  </conditionalFormatting>
  <conditionalFormatting sqref="G111:G112">
    <cfRule type="expression" dxfId="738" priority="27" stopIfTrue="1">
      <formula>"esterreur(reference)"</formula>
    </cfRule>
  </conditionalFormatting>
  <conditionalFormatting sqref="AH424:AH426">
    <cfRule type="cellIs" dxfId="737" priority="26" operator="greaterThan">
      <formula>0</formula>
    </cfRule>
  </conditionalFormatting>
  <conditionalFormatting sqref="AI431">
    <cfRule type="cellIs" dxfId="736" priority="25" operator="greaterThan">
      <formula>0</formula>
    </cfRule>
  </conditionalFormatting>
  <conditionalFormatting sqref="AH431">
    <cfRule type="cellIs" dxfId="735" priority="24" operator="greaterThan">
      <formula>0</formula>
    </cfRule>
  </conditionalFormatting>
  <conditionalFormatting sqref="AI448:AI450">
    <cfRule type="cellIs" dxfId="734" priority="23" operator="greaterThan">
      <formula>0</formula>
    </cfRule>
  </conditionalFormatting>
  <conditionalFormatting sqref="AH448:AH450">
    <cfRule type="cellIs" dxfId="733" priority="22" operator="greaterThan">
      <formula>0</formula>
    </cfRule>
  </conditionalFormatting>
  <conditionalFormatting sqref="AI462:AI464">
    <cfRule type="cellIs" dxfId="732" priority="21" operator="greaterThan">
      <formula>0</formula>
    </cfRule>
  </conditionalFormatting>
  <conditionalFormatting sqref="AH462:AH464">
    <cfRule type="cellIs" dxfId="731" priority="20" operator="greaterThan">
      <formula>0</formula>
    </cfRule>
  </conditionalFormatting>
  <conditionalFormatting sqref="AI476:AI478">
    <cfRule type="cellIs" dxfId="730" priority="19" operator="greaterThan">
      <formula>0</formula>
    </cfRule>
  </conditionalFormatting>
  <conditionalFormatting sqref="AH476:AH478">
    <cfRule type="cellIs" dxfId="729" priority="18" operator="greaterThan">
      <formula>0</formula>
    </cfRule>
  </conditionalFormatting>
  <conditionalFormatting sqref="AI494:AI496">
    <cfRule type="cellIs" dxfId="728" priority="17" operator="greaterThan">
      <formula>0</formula>
    </cfRule>
  </conditionalFormatting>
  <conditionalFormatting sqref="AH494:AH496">
    <cfRule type="cellIs" dxfId="727" priority="16" operator="greaterThan">
      <formula>0</formula>
    </cfRule>
  </conditionalFormatting>
  <conditionalFormatting sqref="H83:H85 H72 H25:H26 H28:H54">
    <cfRule type="expression" dxfId="726" priority="11" stopIfTrue="1">
      <formula>"esterreur(reference)"</formula>
    </cfRule>
  </conditionalFormatting>
  <conditionalFormatting sqref="H55:H56 H71">
    <cfRule type="expression" dxfId="725" priority="12" stopIfTrue="1">
      <formula>"esterreur(reference)"</formula>
    </cfRule>
  </conditionalFormatting>
  <conditionalFormatting sqref="H61:H70">
    <cfRule type="expression" dxfId="724" priority="13" stopIfTrue="1">
      <formula>"esterreur(reference)"</formula>
    </cfRule>
  </conditionalFormatting>
  <conditionalFormatting sqref="H57:H59">
    <cfRule type="expression" dxfId="723" priority="14" stopIfTrue="1">
      <formula>"esterreur(reference)"</formula>
    </cfRule>
  </conditionalFormatting>
  <conditionalFormatting sqref="H60">
    <cfRule type="expression" dxfId="722" priority="15" stopIfTrue="1">
      <formula>"esterreur(reference)"</formula>
    </cfRule>
  </conditionalFormatting>
  <conditionalFormatting sqref="G31:G32">
    <cfRule type="expression" dxfId="721" priority="10" stopIfTrue="1">
      <formula>"esterreur(reference)"</formula>
    </cfRule>
  </conditionalFormatting>
  <conditionalFormatting sqref="I83:I85 I13:I14 I24:I30 I20 I16:I18">
    <cfRule type="expression" dxfId="720" priority="9" stopIfTrue="1">
      <formula>"esterreur(reference)"</formula>
    </cfRule>
  </conditionalFormatting>
  <conditionalFormatting sqref="F83:F85">
    <cfRule type="expression" dxfId="719" priority="8" stopIfTrue="1">
      <formula>"esterreur(reference)"</formula>
    </cfRule>
  </conditionalFormatting>
  <conditionalFormatting sqref="F5">
    <cfRule type="expression" dxfId="718" priority="7" stopIfTrue="1">
      <formula>"esterreur(reference)"</formula>
    </cfRule>
  </conditionalFormatting>
  <conditionalFormatting sqref="G171:G180">
    <cfRule type="expression" dxfId="717" priority="6" stopIfTrue="1">
      <formula>"esterreur(reference)"</formula>
    </cfRule>
  </conditionalFormatting>
  <conditionalFormatting sqref="D171:D180">
    <cfRule type="expression" dxfId="716" priority="5" stopIfTrue="1">
      <formula>"esterreur(reference)"</formula>
    </cfRule>
  </conditionalFormatting>
  <conditionalFormatting sqref="E185">
    <cfRule type="expression" dxfId="715" priority="4" stopIfTrue="1">
      <formula>"esterreur(reference)"</formula>
    </cfRule>
  </conditionalFormatting>
  <conditionalFormatting sqref="F100">
    <cfRule type="expression" dxfId="714" priority="3" stopIfTrue="1">
      <formula>"esterreur(reference)"</formula>
    </cfRule>
  </conditionalFormatting>
  <conditionalFormatting sqref="L158">
    <cfRule type="expression" dxfId="713" priority="2" stopIfTrue="1">
      <formula>"esterreur(reference)"</formula>
    </cfRule>
  </conditionalFormatting>
  <conditionalFormatting sqref="D111:D112">
    <cfRule type="expression" dxfId="712" priority="1" stopIfTrue="1">
      <formula>"esterreur(reference)"</formula>
    </cfRule>
  </conditionalFormatting>
  <printOptions horizontalCentered="1"/>
  <pageMargins left="0.15748031496062992" right="0.15748031496062992" top="0.47244094488188981" bottom="0.55118110236220474" header="0.31496062992125984" footer="0.31496062992125984"/>
  <pageSetup scale="42" fitToHeight="0" orientation="landscape" r:id="rId1"/>
  <headerFooter>
    <oddFooter>&amp;L&amp;9&amp;F&amp;C&amp;9&amp;P de &amp;N&amp;R&amp;9Imprimé le &amp;D  @ &amp;T</oddFooter>
  </headerFooter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8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AE2A-7E59-471F-9E90-5F7C7915FA72}">
  <sheetPr>
    <tabColor rgb="FF92D050"/>
  </sheetPr>
  <dimension ref="A1:BJ692"/>
  <sheetViews>
    <sheetView zoomScale="70" zoomScaleNormal="70" workbookViewId="0">
      <pane xSplit="3" topLeftCell="D1" activePane="topRight" state="frozen"/>
      <selection activeCell="F49" sqref="F49"/>
      <selection pane="topRight" activeCell="G50" sqref="G50"/>
    </sheetView>
  </sheetViews>
  <sheetFormatPr baseColWidth="10" defaultColWidth="12.625" defaultRowHeight="15" customHeight="1"/>
  <cols>
    <col min="1" max="1" width="37.5" hidden="1" customWidth="1"/>
    <col min="2" max="2" width="21.875" hidden="1" customWidth="1"/>
    <col min="3" max="3" width="36.375" bestFit="1" customWidth="1"/>
    <col min="4" max="4" width="17.875" bestFit="1" customWidth="1"/>
    <col min="5" max="5" width="14.625" bestFit="1" customWidth="1"/>
    <col min="6" max="6" width="14" bestFit="1" customWidth="1"/>
    <col min="7" max="7" width="17.75" customWidth="1"/>
    <col min="8" max="8" width="15.125" customWidth="1"/>
    <col min="9" max="9" width="14" customWidth="1"/>
    <col min="10" max="10" width="17.375" customWidth="1"/>
    <col min="11" max="11" width="15.5" customWidth="1"/>
    <col min="12" max="12" width="14.875" bestFit="1" customWidth="1"/>
    <col min="13" max="13" width="13.5" bestFit="1" customWidth="1"/>
    <col min="14" max="14" width="14" bestFit="1" customWidth="1"/>
    <col min="15" max="15" width="15.5" customWidth="1"/>
    <col min="16" max="16" width="14.625" bestFit="1" customWidth="1"/>
    <col min="17" max="17" width="14" bestFit="1" customWidth="1"/>
    <col min="18" max="18" width="11.5" bestFit="1" customWidth="1"/>
    <col min="19" max="19" width="16.375" customWidth="1"/>
    <col min="20" max="20" width="4.625" customWidth="1"/>
    <col min="21" max="21" width="31.75" customWidth="1"/>
    <col min="22" max="22" width="34" customWidth="1"/>
    <col min="23" max="23" width="12.25" customWidth="1"/>
    <col min="24" max="24" width="13.75" customWidth="1"/>
    <col min="25" max="25" width="15.125" customWidth="1"/>
    <col min="26" max="26" width="15" bestFit="1" customWidth="1"/>
    <col min="27" max="27" width="11.125" bestFit="1" customWidth="1"/>
    <col min="28" max="28" width="9.375" bestFit="1" customWidth="1"/>
    <col min="29" max="29" width="14.5" customWidth="1"/>
    <col min="30" max="30" width="13.5" bestFit="1" customWidth="1"/>
    <col min="31" max="31" width="14.25" customWidth="1"/>
    <col min="32" max="32" width="14.125" customWidth="1"/>
    <col min="33" max="33" width="9" bestFit="1" customWidth="1"/>
    <col min="34" max="34" width="13.5" customWidth="1"/>
    <col min="35" max="35" width="10.125" bestFit="1" customWidth="1"/>
    <col min="36" max="36" width="10.875" customWidth="1"/>
    <col min="37" max="37" width="9.375" bestFit="1" customWidth="1"/>
    <col min="38" max="38" width="12.75" bestFit="1" customWidth="1"/>
    <col min="39" max="39" width="9" bestFit="1" customWidth="1"/>
    <col min="40" max="40" width="11" customWidth="1"/>
    <col min="41" max="41" width="14.75" customWidth="1"/>
    <col min="42" max="42" width="11" customWidth="1"/>
    <col min="43" max="43" width="48.375" bestFit="1" customWidth="1"/>
    <col min="44" max="62" width="11" customWidth="1"/>
  </cols>
  <sheetData>
    <row r="1" spans="1:40" ht="36" thickBot="1">
      <c r="B1" s="1"/>
      <c r="C1" s="475" t="s">
        <v>227</v>
      </c>
      <c r="D1" s="2"/>
      <c r="E1" s="476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509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Top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217</v>
      </c>
      <c r="K2" s="9"/>
      <c r="L2" s="9" t="s">
        <v>214</v>
      </c>
      <c r="M2" s="11"/>
      <c r="N2" s="11"/>
      <c r="O2" s="9" t="s">
        <v>217</v>
      </c>
      <c r="P2" s="9"/>
      <c r="Q2" s="9" t="s">
        <v>214</v>
      </c>
      <c r="R2" s="11"/>
      <c r="S2" s="11"/>
      <c r="T2" s="11"/>
      <c r="U2" s="11"/>
      <c r="V2" s="477" t="s">
        <v>494</v>
      </c>
      <c r="W2" s="478"/>
    </row>
    <row r="3" spans="1:40" ht="21" thickTop="1">
      <c r="B3" s="12"/>
      <c r="C3" s="13"/>
      <c r="D3" s="564" t="s">
        <v>5</v>
      </c>
      <c r="E3" s="565"/>
      <c r="F3" s="566"/>
      <c r="G3" s="562" t="s">
        <v>6</v>
      </c>
      <c r="H3" s="565"/>
      <c r="I3" s="566"/>
      <c r="J3" s="562" t="s">
        <v>7</v>
      </c>
      <c r="K3" s="565"/>
      <c r="L3" s="566"/>
      <c r="M3" s="562" t="s">
        <v>8</v>
      </c>
      <c r="N3" s="566"/>
      <c r="O3" s="564" t="s">
        <v>9</v>
      </c>
      <c r="P3" s="565"/>
      <c r="Q3" s="566"/>
      <c r="R3" s="562" t="s">
        <v>10</v>
      </c>
      <c r="S3" s="563"/>
      <c r="T3" s="14"/>
      <c r="U3" s="14"/>
      <c r="V3" s="479" t="s">
        <v>222</v>
      </c>
      <c r="W3" s="480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79" t="s">
        <v>223</v>
      </c>
      <c r="W4" s="480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">
        <v>228</v>
      </c>
      <c r="B5" s="12" t="s">
        <v>0</v>
      </c>
      <c r="C5" s="21" t="s">
        <v>16</v>
      </c>
      <c r="D5" s="22"/>
      <c r="E5" s="22"/>
      <c r="F5" s="23">
        <v>3254290.8344685077</v>
      </c>
      <c r="G5" s="22"/>
      <c r="H5" s="22"/>
      <c r="I5" s="25">
        <v>3254290.8344685077</v>
      </c>
      <c r="J5" s="24"/>
      <c r="K5" s="26"/>
      <c r="L5" s="23">
        <v>3632125.14</v>
      </c>
      <c r="M5" s="27"/>
      <c r="N5" s="28"/>
      <c r="O5" s="24"/>
      <c r="P5" s="26"/>
      <c r="Q5" s="23">
        <v>3249436.4000000004</v>
      </c>
      <c r="R5" s="27"/>
      <c r="S5" s="29"/>
      <c r="T5" s="14"/>
      <c r="U5" s="14"/>
      <c r="V5" s="479" t="s">
        <v>218</v>
      </c>
      <c r="W5" s="480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">
        <v>229</v>
      </c>
      <c r="B6" s="12" t="s">
        <v>0</v>
      </c>
      <c r="C6" s="481" t="s">
        <v>17</v>
      </c>
      <c r="D6" s="31">
        <v>16.597590361445782</v>
      </c>
      <c r="E6" s="31">
        <f>IF(D6=0,0,F6/D6)</f>
        <v>1450.6297619047618</v>
      </c>
      <c r="F6" s="31">
        <v>24076.958554216864</v>
      </c>
      <c r="G6" s="32">
        <v>16.597590361445782</v>
      </c>
      <c r="H6" s="31">
        <f>IF(G6=0,0,I6/G6)</f>
        <v>1450.6297619047618</v>
      </c>
      <c r="I6" s="31">
        <v>24076.958554216864</v>
      </c>
      <c r="J6" s="32">
        <v>21</v>
      </c>
      <c r="K6" s="31">
        <f>IF(J6=0,0,L6/J6)</f>
        <v>2507.9200000000019</v>
      </c>
      <c r="L6" s="33">
        <v>52666.320000000036</v>
      </c>
      <c r="M6" s="32">
        <f t="shared" ref="M6:M12" si="0">J6-G6</f>
        <v>4.402409638554218</v>
      </c>
      <c r="N6" s="34">
        <f>L6-I6</f>
        <v>28589.361445783172</v>
      </c>
      <c r="O6" s="32">
        <v>24</v>
      </c>
      <c r="P6" s="31">
        <f>IF(O6=0,0,Q6/O6)</f>
        <v>1070.9170833333328</v>
      </c>
      <c r="Q6" s="33">
        <v>25702.009999999987</v>
      </c>
      <c r="R6" s="32">
        <f t="shared" ref="R6:R12" si="1">J6-O6</f>
        <v>-3</v>
      </c>
      <c r="S6" s="35">
        <f t="shared" ref="S6:S12" si="2">L6-Q6</f>
        <v>26964.310000000049</v>
      </c>
      <c r="T6" s="14"/>
      <c r="U6" s="14"/>
      <c r="V6" s="479" t="s">
        <v>224</v>
      </c>
      <c r="W6" s="480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">
        <v>230</v>
      </c>
      <c r="B7" s="12" t="s">
        <v>0</v>
      </c>
      <c r="C7" s="481" t="s">
        <v>18</v>
      </c>
      <c r="D7" s="31">
        <v>57.301204819277103</v>
      </c>
      <c r="E7" s="31">
        <f t="shared" ref="E7:E12" si="3">IF(D7=0,0,F7/D7)</f>
        <v>2081.8275862068967</v>
      </c>
      <c r="F7" s="31">
        <v>119291.22891566265</v>
      </c>
      <c r="G7" s="32">
        <v>57.301204819277103</v>
      </c>
      <c r="H7" s="31">
        <f t="shared" ref="H7:H12" si="4">IF(G7=0,0,I7/G7)</f>
        <v>2081.8275862068967</v>
      </c>
      <c r="I7" s="31">
        <v>119291.22891566265</v>
      </c>
      <c r="J7" s="32">
        <v>50</v>
      </c>
      <c r="K7" s="31">
        <f t="shared" ref="K7:K12" si="5">IF(J7=0,0,L7/J7)</f>
        <v>3039.8857999999914</v>
      </c>
      <c r="L7" s="33">
        <v>151994.28999999957</v>
      </c>
      <c r="M7" s="32">
        <f t="shared" si="0"/>
        <v>-7.3012048192771033</v>
      </c>
      <c r="N7" s="34">
        <f t="shared" ref="N7:N12" si="6">L7-I7</f>
        <v>32703.061084336921</v>
      </c>
      <c r="O7" s="32">
        <v>39</v>
      </c>
      <c r="P7" s="31">
        <f t="shared" ref="P7:P12" si="7">IF(O7=0,0,Q7/O7)</f>
        <v>2067.4384615384638</v>
      </c>
      <c r="Q7" s="33">
        <v>80630.100000000093</v>
      </c>
      <c r="R7" s="32">
        <f t="shared" si="1"/>
        <v>11</v>
      </c>
      <c r="S7" s="35">
        <f t="shared" si="2"/>
        <v>71364.189999999478</v>
      </c>
      <c r="T7" s="14"/>
      <c r="U7" s="14"/>
      <c r="V7" s="479" t="s">
        <v>225</v>
      </c>
      <c r="W7" s="480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1" thickBot="1">
      <c r="A8" t="s">
        <v>231</v>
      </c>
      <c r="B8" s="12" t="s">
        <v>0</v>
      </c>
      <c r="C8" s="481" t="s">
        <v>19</v>
      </c>
      <c r="D8" s="31">
        <v>0</v>
      </c>
      <c r="E8" s="31">
        <f t="shared" si="3"/>
        <v>0</v>
      </c>
      <c r="F8" s="31">
        <v>0</v>
      </c>
      <c r="G8" s="32">
        <v>0</v>
      </c>
      <c r="H8" s="31">
        <f t="shared" si="4"/>
        <v>0</v>
      </c>
      <c r="I8" s="31">
        <v>0</v>
      </c>
      <c r="J8" s="32">
        <v>0</v>
      </c>
      <c r="K8" s="31">
        <f t="shared" si="5"/>
        <v>0</v>
      </c>
      <c r="L8" s="33">
        <v>0</v>
      </c>
      <c r="M8" s="32">
        <f t="shared" si="0"/>
        <v>0</v>
      </c>
      <c r="N8" s="34">
        <f t="shared" si="6"/>
        <v>0</v>
      </c>
      <c r="O8" s="32">
        <v>0</v>
      </c>
      <c r="P8" s="31">
        <f t="shared" si="7"/>
        <v>0</v>
      </c>
      <c r="Q8" s="33">
        <v>0</v>
      </c>
      <c r="R8" s="32">
        <f t="shared" si="1"/>
        <v>0</v>
      </c>
      <c r="S8" s="35">
        <f t="shared" si="2"/>
        <v>0</v>
      </c>
      <c r="T8" s="14"/>
      <c r="U8" s="14"/>
      <c r="V8" s="482"/>
      <c r="W8" s="483">
        <f t="shared" ref="W8" si="8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1" thickTop="1">
      <c r="A9" t="s">
        <v>232</v>
      </c>
      <c r="B9" s="12" t="s">
        <v>0</v>
      </c>
      <c r="C9" s="481" t="s">
        <v>20</v>
      </c>
      <c r="D9" s="31">
        <v>0</v>
      </c>
      <c r="E9" s="31">
        <f t="shared" si="3"/>
        <v>0</v>
      </c>
      <c r="F9" s="31">
        <v>0</v>
      </c>
      <c r="G9" s="32">
        <v>0</v>
      </c>
      <c r="H9" s="31">
        <f t="shared" si="4"/>
        <v>0</v>
      </c>
      <c r="I9" s="31">
        <v>0</v>
      </c>
      <c r="J9" s="32">
        <v>0</v>
      </c>
      <c r="K9" s="31">
        <f t="shared" si="5"/>
        <v>0</v>
      </c>
      <c r="L9" s="33">
        <v>0</v>
      </c>
      <c r="M9" s="32">
        <f t="shared" si="0"/>
        <v>0</v>
      </c>
      <c r="N9" s="34">
        <f t="shared" si="6"/>
        <v>0</v>
      </c>
      <c r="O9" s="32">
        <v>0</v>
      </c>
      <c r="P9" s="31">
        <f t="shared" si="7"/>
        <v>0</v>
      </c>
      <c r="Q9" s="33">
        <v>0</v>
      </c>
      <c r="R9" s="32">
        <f t="shared" si="1"/>
        <v>0</v>
      </c>
      <c r="S9" s="35">
        <f t="shared" si="2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>
      <c r="A10" t="s">
        <v>233</v>
      </c>
      <c r="B10" s="12" t="s">
        <v>0</v>
      </c>
      <c r="C10" s="481" t="s">
        <v>21</v>
      </c>
      <c r="D10" s="31">
        <v>0</v>
      </c>
      <c r="E10" s="31">
        <f t="shared" si="3"/>
        <v>0</v>
      </c>
      <c r="F10" s="31">
        <v>0</v>
      </c>
      <c r="G10" s="32">
        <v>0</v>
      </c>
      <c r="H10" s="31">
        <f t="shared" si="4"/>
        <v>0</v>
      </c>
      <c r="I10" s="31">
        <v>0</v>
      </c>
      <c r="J10" s="32">
        <v>0</v>
      </c>
      <c r="K10" s="31">
        <f t="shared" si="5"/>
        <v>0</v>
      </c>
      <c r="L10" s="33">
        <v>0</v>
      </c>
      <c r="M10" s="32">
        <f t="shared" si="0"/>
        <v>0</v>
      </c>
      <c r="N10" s="34">
        <f t="shared" si="6"/>
        <v>0</v>
      </c>
      <c r="O10" s="32">
        <v>0</v>
      </c>
      <c r="P10" s="31">
        <f t="shared" si="7"/>
        <v>0</v>
      </c>
      <c r="Q10" s="33">
        <v>0</v>
      </c>
      <c r="R10" s="32">
        <f t="shared" si="1"/>
        <v>0</v>
      </c>
      <c r="S10" s="35">
        <f t="shared" si="2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>
      <c r="A11" t="s">
        <v>233</v>
      </c>
      <c r="B11" s="12" t="s">
        <v>0</v>
      </c>
      <c r="C11" s="481" t="s">
        <v>21</v>
      </c>
      <c r="D11" s="31">
        <v>0</v>
      </c>
      <c r="E11" s="31">
        <f t="shared" si="3"/>
        <v>0</v>
      </c>
      <c r="F11" s="31">
        <v>0</v>
      </c>
      <c r="G11" s="32">
        <v>0</v>
      </c>
      <c r="H11" s="31">
        <f t="shared" si="4"/>
        <v>0</v>
      </c>
      <c r="I11" s="31">
        <v>0</v>
      </c>
      <c r="J11" s="32">
        <v>0</v>
      </c>
      <c r="K11" s="31">
        <f t="shared" si="5"/>
        <v>0</v>
      </c>
      <c r="L11" s="33">
        <v>0</v>
      </c>
      <c r="M11" s="32">
        <f t="shared" si="0"/>
        <v>0</v>
      </c>
      <c r="N11" s="34">
        <f t="shared" si="6"/>
        <v>0</v>
      </c>
      <c r="O11" s="32">
        <v>0</v>
      </c>
      <c r="P11" s="31">
        <f t="shared" si="7"/>
        <v>0</v>
      </c>
      <c r="Q11" s="33">
        <v>0</v>
      </c>
      <c r="R11" s="32">
        <f t="shared" si="1"/>
        <v>0</v>
      </c>
      <c r="S11" s="35">
        <f t="shared" si="2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>
      <c r="A12" t="s">
        <v>233</v>
      </c>
      <c r="B12" s="12" t="s">
        <v>0</v>
      </c>
      <c r="C12" s="481" t="s">
        <v>21</v>
      </c>
      <c r="D12" s="31">
        <v>0</v>
      </c>
      <c r="E12" s="31">
        <f t="shared" si="3"/>
        <v>0</v>
      </c>
      <c r="F12" s="31">
        <v>0</v>
      </c>
      <c r="G12" s="32">
        <v>0</v>
      </c>
      <c r="H12" s="31">
        <f t="shared" si="4"/>
        <v>0</v>
      </c>
      <c r="I12" s="31">
        <v>0</v>
      </c>
      <c r="J12" s="32">
        <v>0</v>
      </c>
      <c r="K12" s="31">
        <f t="shared" si="5"/>
        <v>0</v>
      </c>
      <c r="L12" s="33">
        <v>0</v>
      </c>
      <c r="M12" s="32">
        <f t="shared" si="0"/>
        <v>0</v>
      </c>
      <c r="N12" s="34">
        <f t="shared" si="6"/>
        <v>0</v>
      </c>
      <c r="O12" s="32">
        <v>0</v>
      </c>
      <c r="P12" s="31">
        <f t="shared" si="7"/>
        <v>0</v>
      </c>
      <c r="Q12" s="33">
        <v>0</v>
      </c>
      <c r="R12" s="32">
        <f t="shared" si="1"/>
        <v>0</v>
      </c>
      <c r="S12" s="35">
        <f t="shared" si="2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">
        <v>234</v>
      </c>
      <c r="B13" s="12" t="s">
        <v>0</v>
      </c>
      <c r="C13" s="36" t="s">
        <v>22</v>
      </c>
      <c r="D13" s="37">
        <f>+SUM(D6:D12)</f>
        <v>73.898795180722885</v>
      </c>
      <c r="E13" s="37">
        <f>IF(D13&lt;=0,0,F13/D13)</f>
        <v>1940.0612299465242</v>
      </c>
      <c r="F13" s="38">
        <f>+SUM(F6:F12)</f>
        <v>143368.18746987951</v>
      </c>
      <c r="G13" s="39">
        <f>+SUM(G6:G12)</f>
        <v>73.898795180722885</v>
      </c>
      <c r="H13" s="37">
        <f>IF(G13&lt;=0,0,I13/G13)</f>
        <v>1940.0612299465242</v>
      </c>
      <c r="I13" s="38">
        <f>+SUM(I6:I12)</f>
        <v>143368.18746987951</v>
      </c>
      <c r="J13" s="39">
        <f>+SUM(J6:J12)</f>
        <v>71</v>
      </c>
      <c r="K13" s="37">
        <f>IF(J13&lt;=0,0,L13/J13)</f>
        <v>2882.543802816896</v>
      </c>
      <c r="L13" s="38">
        <f>+SUM(L6:L12)</f>
        <v>204660.60999999961</v>
      </c>
      <c r="M13" s="39">
        <f>+SUM(M6:M12)</f>
        <v>-2.8987951807228853</v>
      </c>
      <c r="N13" s="38">
        <f>+SUM(N6:N12)</f>
        <v>61292.422530120093</v>
      </c>
      <c r="O13" s="39">
        <f>+SUM(O6:O12)</f>
        <v>63</v>
      </c>
      <c r="P13" s="37">
        <f>IF(O13&lt;=0,0,Q13/O13)</f>
        <v>1687.811269841271</v>
      </c>
      <c r="Q13" s="38">
        <f>+SUM(Q6:Q12)</f>
        <v>106332.11000000007</v>
      </c>
      <c r="R13" s="39">
        <f>+SUM(R6:R12)</f>
        <v>8</v>
      </c>
      <c r="S13" s="40">
        <f>+SUM(S6:S12)</f>
        <v>98328.499999999534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">
        <v>0</v>
      </c>
      <c r="B14" s="12" t="s">
        <v>0</v>
      </c>
      <c r="C14" s="481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>
        <f>R13/O13</f>
        <v>0.12698412698412698</v>
      </c>
      <c r="S14" s="45">
        <f>IF(Q13=0,0,(S13/Q13))</f>
        <v>0.92473007448078914</v>
      </c>
      <c r="T14" s="14"/>
      <c r="U14" s="14"/>
      <c r="V14" s="12"/>
      <c r="W14" s="87"/>
      <c r="X14" s="87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">
        <v>235</v>
      </c>
      <c r="B15" s="12" t="s">
        <v>0</v>
      </c>
      <c r="C15" s="46" t="s">
        <v>23</v>
      </c>
      <c r="D15" s="26">
        <v>6.9156626506024095</v>
      </c>
      <c r="E15" s="26">
        <f t="shared" ref="E15" si="9">IF(D15=0,0,F15/D15)</f>
        <v>1386.1016187312016</v>
      </c>
      <c r="F15" s="23">
        <v>9585.8111945989112</v>
      </c>
      <c r="G15" s="47">
        <v>6.9156626506024095</v>
      </c>
      <c r="H15" s="48">
        <f t="shared" ref="H15" si="10">IF(G15=0,0,I15/G15)</f>
        <v>1386.1016187312016</v>
      </c>
      <c r="I15" s="49">
        <v>9585.8111945989112</v>
      </c>
      <c r="J15" s="50">
        <v>2</v>
      </c>
      <c r="K15" s="51">
        <f>IF(J15=0,0,L15/J15)</f>
        <v>4516.8050000000003</v>
      </c>
      <c r="L15" s="51">
        <v>9033.61</v>
      </c>
      <c r="M15" s="52">
        <f>J15-G15</f>
        <v>-4.9156626506024095</v>
      </c>
      <c r="N15" s="49">
        <f>L15-I15</f>
        <v>-552.20119459891066</v>
      </c>
      <c r="O15" s="50">
        <v>14</v>
      </c>
      <c r="P15" s="51">
        <f>IF(O15=0,0,Q15/O15)</f>
        <v>2016.2535714285748</v>
      </c>
      <c r="Q15" s="51">
        <v>28227.550000000047</v>
      </c>
      <c r="R15" s="52">
        <f>J15-O15</f>
        <v>-12</v>
      </c>
      <c r="S15" s="53">
        <f>L15-Q15</f>
        <v>-19193.940000000046</v>
      </c>
      <c r="T15" s="14"/>
      <c r="U15" s="14"/>
      <c r="V15" s="87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">
        <v>0</v>
      </c>
      <c r="B16" s="12" t="s">
        <v>0</v>
      </c>
      <c r="C16" s="481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">
        <v>236</v>
      </c>
      <c r="B17" s="12" t="s">
        <v>0</v>
      </c>
      <c r="C17" s="484" t="s">
        <v>24</v>
      </c>
      <c r="D17" s="31">
        <v>1.2439949431099873</v>
      </c>
      <c r="E17" s="31">
        <f t="shared" ref="E17" si="11">IF(D17=0,0,F17/D17)</f>
        <v>1938.8731623598242</v>
      </c>
      <c r="F17" s="31">
        <v>2411.9484093072906</v>
      </c>
      <c r="G17" s="32">
        <v>1.2439949431099873</v>
      </c>
      <c r="H17" s="31">
        <f t="shared" ref="H17" si="12">IF(G17=0,0,I17/G17)</f>
        <v>1938.8731623598242</v>
      </c>
      <c r="I17" s="31">
        <v>2411.9484093072906</v>
      </c>
      <c r="J17" s="52">
        <v>4</v>
      </c>
      <c r="K17" s="31">
        <f>IF(J17=0,0,L17/J17)</f>
        <v>1549.0924999999988</v>
      </c>
      <c r="L17" s="34">
        <v>6196.3699999999953</v>
      </c>
      <c r="M17" s="52">
        <f>J17-G17</f>
        <v>2.7560050568900127</v>
      </c>
      <c r="N17" s="34">
        <f>L17-I17</f>
        <v>3784.4215906927047</v>
      </c>
      <c r="O17" s="52">
        <v>1</v>
      </c>
      <c r="P17" s="31">
        <f>IF(O17=0,0,Q17/O17)</f>
        <v>983.90000000000146</v>
      </c>
      <c r="Q17" s="34">
        <v>983.90000000000146</v>
      </c>
      <c r="R17" s="32">
        <f>J17-O17</f>
        <v>3</v>
      </c>
      <c r="S17" s="35">
        <f>L17-Q17</f>
        <v>5212.4699999999939</v>
      </c>
      <c r="T17" s="14"/>
      <c r="U17" s="14"/>
      <c r="W17" s="12"/>
      <c r="X17" s="12"/>
      <c r="Y17" s="12"/>
      <c r="Z17" s="12"/>
      <c r="AA17" s="87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">
        <v>237</v>
      </c>
      <c r="B19" s="12" t="s">
        <v>0</v>
      </c>
      <c r="C19" s="46" t="s">
        <v>25</v>
      </c>
      <c r="D19" s="31">
        <v>0</v>
      </c>
      <c r="E19" s="31">
        <f t="shared" ref="E19" si="13">IF(D19=0,0,F19/D19)</f>
        <v>0</v>
      </c>
      <c r="F19" s="31">
        <v>4909.3560599999992</v>
      </c>
      <c r="G19" s="32">
        <v>0</v>
      </c>
      <c r="H19" s="31">
        <f t="shared" ref="H19" si="14">IF(G19=0,0,I19/G19)</f>
        <v>0</v>
      </c>
      <c r="I19" s="31">
        <v>4909.3560599999992</v>
      </c>
      <c r="J19" s="47"/>
      <c r="K19" s="31"/>
      <c r="L19" s="34">
        <v>19995.210000000021</v>
      </c>
      <c r="M19" s="32"/>
      <c r="N19" s="34">
        <f>L19-I19</f>
        <v>15085.853940000023</v>
      </c>
      <c r="O19" s="47"/>
      <c r="P19" s="31"/>
      <c r="Q19" s="34">
        <v>7992.1900000000023</v>
      </c>
      <c r="R19" s="32">
        <f>O19-K19</f>
        <v>0</v>
      </c>
      <c r="S19" s="35">
        <f>L19-Q19</f>
        <v>12003.020000000019</v>
      </c>
      <c r="T19" s="14"/>
      <c r="W19" s="87"/>
      <c r="X19" s="485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W20" s="87"/>
      <c r="X20" s="485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">
        <v>238</v>
      </c>
      <c r="B21" s="12" t="s">
        <v>0</v>
      </c>
      <c r="C21" s="481" t="s">
        <v>26</v>
      </c>
      <c r="D21" s="31">
        <v>0</v>
      </c>
      <c r="E21" s="31">
        <f t="shared" ref="E21:E23" si="15">IF(D21=0,0,F21/D21)</f>
        <v>0</v>
      </c>
      <c r="F21" s="31">
        <v>2418.2726730247196</v>
      </c>
      <c r="G21" s="42">
        <v>0</v>
      </c>
      <c r="H21" s="31">
        <f t="shared" ref="H21:H23" si="16">IF(G21=0,0,I21/G21)</f>
        <v>0</v>
      </c>
      <c r="I21" s="31">
        <v>2418.2726730247196</v>
      </c>
      <c r="J21" s="32"/>
      <c r="K21" s="31">
        <f>IF(J13=0,0,L21/(J13+J15))</f>
        <v>172.24972602739726</v>
      </c>
      <c r="L21" s="34">
        <v>12574.23</v>
      </c>
      <c r="M21" s="32"/>
      <c r="N21" s="34">
        <f t="shared" ref="N21:N24" si="17">L21-I21</f>
        <v>10155.95732697528</v>
      </c>
      <c r="O21" s="32"/>
      <c r="P21" s="31">
        <f>IF(O13=0,0,Q21/(O13+O15))</f>
        <v>0</v>
      </c>
      <c r="Q21" s="34">
        <v>0</v>
      </c>
      <c r="R21" s="32">
        <f t="shared" ref="R21:R23" si="18">O21-K21</f>
        <v>-172.24972602739726</v>
      </c>
      <c r="S21" s="35">
        <f t="shared" ref="S21:S24" si="19">L21-Q21</f>
        <v>12574.23</v>
      </c>
      <c r="T21" s="14"/>
      <c r="U21" s="14"/>
      <c r="W21" s="12"/>
      <c r="X21" s="486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">
        <v>239</v>
      </c>
      <c r="B22" s="12" t="s">
        <v>0</v>
      </c>
      <c r="C22" s="481" t="s">
        <v>27</v>
      </c>
      <c r="D22" s="31">
        <v>0</v>
      </c>
      <c r="E22" s="31">
        <f t="shared" si="15"/>
        <v>0</v>
      </c>
      <c r="F22" s="31">
        <v>64673.336704593479</v>
      </c>
      <c r="G22" s="42">
        <v>0</v>
      </c>
      <c r="H22" s="31">
        <f t="shared" si="16"/>
        <v>0</v>
      </c>
      <c r="I22" s="31">
        <v>64673.336704593479</v>
      </c>
      <c r="J22" s="32"/>
      <c r="K22" s="31">
        <f>IF(J13=0,0,L22/(J13+J15))</f>
        <v>810.39493150684939</v>
      </c>
      <c r="L22" s="34">
        <v>59158.83</v>
      </c>
      <c r="M22" s="32"/>
      <c r="N22" s="34">
        <f t="shared" si="17"/>
        <v>-5514.5067045934775</v>
      </c>
      <c r="O22" s="32"/>
      <c r="P22" s="31">
        <f>IF(O13=0,0,Q22/(O13+O15))</f>
        <v>927.02480519480525</v>
      </c>
      <c r="Q22" s="34">
        <v>71380.91</v>
      </c>
      <c r="R22" s="32">
        <f t="shared" si="18"/>
        <v>-810.39493150684939</v>
      </c>
      <c r="S22" s="35">
        <f t="shared" si="19"/>
        <v>-12222.080000000002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">
        <v>240</v>
      </c>
      <c r="B23" s="12" t="s">
        <v>0</v>
      </c>
      <c r="C23" s="481" t="s">
        <v>28</v>
      </c>
      <c r="D23" s="31">
        <v>0</v>
      </c>
      <c r="E23" s="31">
        <f t="shared" si="15"/>
        <v>0</v>
      </c>
      <c r="F23" s="31">
        <v>1600.6797790082981</v>
      </c>
      <c r="G23" s="42">
        <v>0</v>
      </c>
      <c r="H23" s="31">
        <f t="shared" si="16"/>
        <v>0</v>
      </c>
      <c r="I23" s="31">
        <v>1600.6797790082981</v>
      </c>
      <c r="J23" s="32"/>
      <c r="K23" s="31">
        <f>IF(J13=0,0,L23/(J13+J15))</f>
        <v>16.719726027397261</v>
      </c>
      <c r="L23" s="34">
        <v>1220.54</v>
      </c>
      <c r="M23" s="52"/>
      <c r="N23" s="34">
        <f t="shared" si="17"/>
        <v>-380.13977900829809</v>
      </c>
      <c r="O23" s="32"/>
      <c r="P23" s="31">
        <f>IF(O13=0,0,Q23/(O13+O15))</f>
        <v>16.993116883116883</v>
      </c>
      <c r="Q23" s="34">
        <v>1308.47</v>
      </c>
      <c r="R23" s="32">
        <f t="shared" si="18"/>
        <v>-16.719726027397261</v>
      </c>
      <c r="S23" s="35">
        <f t="shared" si="19"/>
        <v>-87.930000000000064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">
        <v>241</v>
      </c>
      <c r="B24" s="12" t="s">
        <v>0</v>
      </c>
      <c r="C24" s="36" t="s">
        <v>29</v>
      </c>
      <c r="D24" s="37">
        <f>+D15+D13</f>
        <v>80.814457831325299</v>
      </c>
      <c r="E24" s="37">
        <f>IF(D24&lt;=0,0,F24/D24)</f>
        <v>849.99999999999977</v>
      </c>
      <c r="F24" s="38">
        <f>F21+F22+F23</f>
        <v>68692.289156626488</v>
      </c>
      <c r="G24" s="39">
        <f>+G15+G13</f>
        <v>80.814457831325299</v>
      </c>
      <c r="H24" s="37">
        <f>IF(G24&lt;=0,0,I24/G24)</f>
        <v>849.99999999999977</v>
      </c>
      <c r="I24" s="38">
        <f>I21+I22+I23</f>
        <v>68692.289156626488</v>
      </c>
      <c r="J24" s="39">
        <f>+J15+J13</f>
        <v>73</v>
      </c>
      <c r="K24" s="37">
        <f>IF(J24&lt;=0,0,L24/J24)</f>
        <v>999.36438356164376</v>
      </c>
      <c r="L24" s="38">
        <f>L21+L22+L23</f>
        <v>72953.599999999991</v>
      </c>
      <c r="M24" s="59">
        <f>J24-G24</f>
        <v>-7.8144578313252993</v>
      </c>
      <c r="N24" s="38">
        <f t="shared" si="17"/>
        <v>4261.3108433735033</v>
      </c>
      <c r="O24" s="39">
        <f>+O15+O13</f>
        <v>77</v>
      </c>
      <c r="P24" s="37">
        <f>IF(O24&lt;=0,0,Q24/O24)</f>
        <v>944.01792207792209</v>
      </c>
      <c r="Q24" s="38">
        <f>Q21+Q22+Q23</f>
        <v>72689.38</v>
      </c>
      <c r="R24" s="57"/>
      <c r="S24" s="40">
        <f t="shared" si="19"/>
        <v>264.21999999998661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">
        <v>0</v>
      </c>
      <c r="B25" s="12" t="s">
        <v>0</v>
      </c>
      <c r="C25" s="481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6.203477705710482E-2</v>
      </c>
      <c r="O25" s="42"/>
      <c r="P25" s="14"/>
      <c r="Q25" s="60"/>
      <c r="R25" s="61"/>
      <c r="S25" s="45">
        <f>IF(Q24=0,0,(S24/Q24))</f>
        <v>3.6349188836111491E-3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">
        <v>0</v>
      </c>
      <c r="B26" s="12" t="s">
        <v>0</v>
      </c>
      <c r="C26" s="481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">
        <v>242</v>
      </c>
      <c r="B27" s="12" t="s">
        <v>0</v>
      </c>
      <c r="C27" s="63" t="s">
        <v>30</v>
      </c>
      <c r="D27" s="64">
        <f>+D13+D15+D17</f>
        <v>82.058452774435281</v>
      </c>
      <c r="E27" s="65">
        <f>IF(D27&lt;=0,0,F27/D27)</f>
        <v>2790.2986779412613</v>
      </c>
      <c r="F27" s="66">
        <f>F13+F17+F24+F19+F15</f>
        <v>228967.5922904122</v>
      </c>
      <c r="G27" s="67">
        <f>+G13+G15+G17</f>
        <v>82.058452774435281</v>
      </c>
      <c r="H27" s="65">
        <f>IF(G27&lt;=0,0,I27/G27)</f>
        <v>2790.2986779412613</v>
      </c>
      <c r="I27" s="66">
        <f>I13+I17+I24+I19+I15</f>
        <v>228967.5922904122</v>
      </c>
      <c r="J27" s="67">
        <f>+J13+J15+J17</f>
        <v>77</v>
      </c>
      <c r="K27" s="65">
        <f>IF(J27&lt;=0,0,L27/J27)</f>
        <v>4062.8493506493455</v>
      </c>
      <c r="L27" s="66">
        <f>L13+L17+L24+L19+L15</f>
        <v>312839.39999999962</v>
      </c>
      <c r="M27" s="67">
        <f>J27-G27</f>
        <v>-5.0584527744352812</v>
      </c>
      <c r="N27" s="66">
        <f>L27-I27</f>
        <v>83871.807709587418</v>
      </c>
      <c r="O27" s="67">
        <f>+O13+O15+O17</f>
        <v>78</v>
      </c>
      <c r="P27" s="65">
        <f>IF(O27&lt;=0,0,Q27/O27)</f>
        <v>2772.1170512820527</v>
      </c>
      <c r="Q27" s="66">
        <f>Q13+Q17+Q24+Q19+Q15</f>
        <v>216225.13000000012</v>
      </c>
      <c r="R27" s="67">
        <f>J27-O27</f>
        <v>-1</v>
      </c>
      <c r="S27" s="69">
        <f>L27-Q27</f>
        <v>96614.269999999495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-6.1644505878512078E-2</v>
      </c>
      <c r="N28" s="75">
        <f>N27/I27</f>
        <v>0.36630427420142581</v>
      </c>
      <c r="O28" s="73"/>
      <c r="P28" s="71"/>
      <c r="Q28" s="72"/>
      <c r="R28" s="74">
        <f>R27/O27</f>
        <v>-1.282051282051282E-2</v>
      </c>
      <c r="S28" s="76">
        <f>IF(Q27=0,0,S27/Q27)</f>
        <v>0.44682257793069402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">
        <v>0</v>
      </c>
      <c r="B29" s="12" t="s">
        <v>0</v>
      </c>
      <c r="C29" s="48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">
        <v>243</v>
      </c>
      <c r="B30" s="12" t="s">
        <v>0</v>
      </c>
      <c r="C30" s="487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">
        <v>244</v>
      </c>
      <c r="B31" s="12" t="s">
        <v>0</v>
      </c>
      <c r="C31" s="481" t="s">
        <v>32</v>
      </c>
      <c r="D31" s="468">
        <f>F31/(F15+F13+F17)</f>
        <v>0.31779576767995199</v>
      </c>
      <c r="E31" s="83">
        <f t="shared" ref="E31:E40" si="20">F31/D$24</f>
        <v>610.96296067085564</v>
      </c>
      <c r="F31" s="31">
        <v>49374.640421636519</v>
      </c>
      <c r="G31" s="149">
        <f>I31/(I15+I13)</f>
        <v>0.32280712405528722</v>
      </c>
      <c r="H31" s="83">
        <f t="shared" ref="H31:H40" si="21">I31/G$24</f>
        <v>610.96296067085564</v>
      </c>
      <c r="I31" s="31">
        <v>49374.640421636519</v>
      </c>
      <c r="J31" s="149">
        <f>L31/(L15+L13+L17)</f>
        <v>0.22464749401054446</v>
      </c>
      <c r="K31" s="83">
        <f t="shared" ref="K31:K40" si="22">IF(L31=0,0,L31/J$24)</f>
        <v>676.68315068493155</v>
      </c>
      <c r="L31" s="31">
        <v>49397.87</v>
      </c>
      <c r="M31" s="42"/>
      <c r="N31" s="60">
        <f t="shared" ref="N31:N53" si="23">L31-I31</f>
        <v>23.229578363483597</v>
      </c>
      <c r="O31" s="42"/>
      <c r="P31" s="83">
        <f t="shared" ref="P31:P40" si="24">IF(Q31=0,0,Q31/O$24)</f>
        <v>598.30337662337661</v>
      </c>
      <c r="Q31" s="34">
        <v>46069.36</v>
      </c>
      <c r="R31" s="42"/>
      <c r="S31" s="86">
        <f t="shared" ref="S31:S53" si="25">L31-Q31</f>
        <v>3328.510000000002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">
        <v>245</v>
      </c>
      <c r="B32" s="12" t="s">
        <v>0</v>
      </c>
      <c r="C32" s="88" t="s">
        <v>33</v>
      </c>
      <c r="D32" s="469">
        <f>F32/F24</f>
        <v>0.3</v>
      </c>
      <c r="E32" s="90">
        <f t="shared" si="20"/>
        <v>254.99999999999994</v>
      </c>
      <c r="F32" s="23">
        <v>20607.686746987947</v>
      </c>
      <c r="G32" s="93">
        <f>I32/I24</f>
        <v>0.3</v>
      </c>
      <c r="H32" s="92">
        <f t="shared" si="21"/>
        <v>254.99999999999994</v>
      </c>
      <c r="I32" s="23">
        <v>20607.686746987947</v>
      </c>
      <c r="J32" s="488">
        <f>L32/L24</f>
        <v>0.37722867685761913</v>
      </c>
      <c r="K32" s="90">
        <f t="shared" si="22"/>
        <v>376.98890410958904</v>
      </c>
      <c r="L32" s="23">
        <v>27520.19</v>
      </c>
      <c r="M32" s="24"/>
      <c r="N32" s="94">
        <f t="shared" si="23"/>
        <v>6912.5032530120516</v>
      </c>
      <c r="O32" s="24"/>
      <c r="P32" s="90">
        <f t="shared" si="24"/>
        <v>272.32532467532468</v>
      </c>
      <c r="Q32" s="23">
        <v>20969.05</v>
      </c>
      <c r="R32" s="24"/>
      <c r="S32" s="95">
        <f t="shared" si="25"/>
        <v>6551.1399999999994</v>
      </c>
      <c r="T32" s="14"/>
      <c r="U32" s="554">
        <f>(L32+L112)/(L104+L24+L19)</f>
        <v>0.30956839566646954</v>
      </c>
      <c r="V32" s="555" t="s">
        <v>488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">
        <v>246</v>
      </c>
      <c r="B33" s="12" t="s">
        <v>0</v>
      </c>
      <c r="C33" s="481" t="s">
        <v>34</v>
      </c>
      <c r="D33" s="82"/>
      <c r="E33" s="83">
        <f t="shared" si="20"/>
        <v>167.84930226439229</v>
      </c>
      <c r="F33" s="31">
        <v>13564.650359863104</v>
      </c>
      <c r="G33" s="84"/>
      <c r="H33" s="83">
        <f t="shared" si="21"/>
        <v>167.84930226439229</v>
      </c>
      <c r="I33" s="31">
        <v>13564.650359863104</v>
      </c>
      <c r="J33" s="42"/>
      <c r="K33" s="83">
        <f t="shared" si="22"/>
        <v>24.2713698630137</v>
      </c>
      <c r="L33" s="31">
        <v>1771.81</v>
      </c>
      <c r="M33" s="42"/>
      <c r="N33" s="60">
        <f t="shared" si="23"/>
        <v>-11792.840359863105</v>
      </c>
      <c r="O33" s="42"/>
      <c r="P33" s="83">
        <f t="shared" si="24"/>
        <v>130.65441558441557</v>
      </c>
      <c r="Q33" s="34">
        <v>10060.39</v>
      </c>
      <c r="R33" s="42"/>
      <c r="S33" s="86">
        <f t="shared" si="25"/>
        <v>-8288.58</v>
      </c>
      <c r="T33" s="14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">
        <v>247</v>
      </c>
      <c r="B34" s="12" t="s">
        <v>0</v>
      </c>
      <c r="C34" s="481" t="s">
        <v>35</v>
      </c>
      <c r="D34" s="82"/>
      <c r="E34" s="83">
        <f t="shared" si="20"/>
        <v>7.3548076275245773</v>
      </c>
      <c r="F34" s="31">
        <v>594.37479087209465</v>
      </c>
      <c r="G34" s="84"/>
      <c r="H34" s="83">
        <f t="shared" si="21"/>
        <v>7.3548076275245773</v>
      </c>
      <c r="I34" s="31">
        <v>594.37479087209465</v>
      </c>
      <c r="J34" s="42"/>
      <c r="K34" s="83">
        <f t="shared" si="22"/>
        <v>0</v>
      </c>
      <c r="L34" s="31">
        <v>0</v>
      </c>
      <c r="M34" s="42"/>
      <c r="N34" s="60">
        <f t="shared" si="23"/>
        <v>-594.37479087209465</v>
      </c>
      <c r="O34" s="42"/>
      <c r="P34" s="83">
        <f t="shared" si="24"/>
        <v>7.346233766233766</v>
      </c>
      <c r="Q34" s="34">
        <v>565.66</v>
      </c>
      <c r="R34" s="42"/>
      <c r="S34" s="86">
        <f t="shared" si="25"/>
        <v>-565.66</v>
      </c>
      <c r="T34" s="14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">
        <v>248</v>
      </c>
      <c r="B35" s="12" t="s">
        <v>0</v>
      </c>
      <c r="C35" s="88" t="s">
        <v>36</v>
      </c>
      <c r="D35" s="89"/>
      <c r="E35" s="90">
        <f t="shared" si="20"/>
        <v>17.733118212476484</v>
      </c>
      <c r="F35" s="23">
        <v>1433.0923340000875</v>
      </c>
      <c r="G35" s="91"/>
      <c r="H35" s="92">
        <f t="shared" si="21"/>
        <v>17.733118212476484</v>
      </c>
      <c r="I35" s="23">
        <v>1433.0923340000875</v>
      </c>
      <c r="J35" s="24"/>
      <c r="K35" s="90">
        <f t="shared" si="22"/>
        <v>60.332328767123293</v>
      </c>
      <c r="L35" s="23">
        <v>4404.26</v>
      </c>
      <c r="M35" s="24"/>
      <c r="N35" s="94">
        <f t="shared" si="23"/>
        <v>2971.167665999913</v>
      </c>
      <c r="O35" s="24"/>
      <c r="P35" s="90">
        <f t="shared" si="24"/>
        <v>40.730000000000004</v>
      </c>
      <c r="Q35" s="34">
        <v>3136.21</v>
      </c>
      <c r="R35" s="24"/>
      <c r="S35" s="95">
        <f t="shared" si="25"/>
        <v>1268.0500000000002</v>
      </c>
      <c r="T35" s="14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">
        <v>249</v>
      </c>
      <c r="B36" s="12" t="s">
        <v>0</v>
      </c>
      <c r="C36" s="481" t="s">
        <v>37</v>
      </c>
      <c r="D36" s="82"/>
      <c r="E36" s="83">
        <f t="shared" si="20"/>
        <v>195.93765281173592</v>
      </c>
      <c r="F36" s="31">
        <v>15834.595180722888</v>
      </c>
      <c r="G36" s="84"/>
      <c r="H36" s="83">
        <f t="shared" si="21"/>
        <v>195.93765281173592</v>
      </c>
      <c r="I36" s="31">
        <v>15834.595180722888</v>
      </c>
      <c r="J36" s="42"/>
      <c r="K36" s="83">
        <f t="shared" si="22"/>
        <v>48.655068493150679</v>
      </c>
      <c r="L36" s="491">
        <v>3551.8199999999997</v>
      </c>
      <c r="M36" s="14"/>
      <c r="N36" s="60">
        <f t="shared" si="23"/>
        <v>-12282.775180722889</v>
      </c>
      <c r="O36" s="42"/>
      <c r="P36" s="83">
        <f t="shared" si="24"/>
        <v>161.78142857142853</v>
      </c>
      <c r="Q36" s="56">
        <v>12457.169999999998</v>
      </c>
      <c r="R36" s="42"/>
      <c r="S36" s="86">
        <f t="shared" si="25"/>
        <v>-8905.3499999999985</v>
      </c>
      <c r="T36" s="14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">
        <v>250</v>
      </c>
      <c r="B37" s="12" t="s">
        <v>0</v>
      </c>
      <c r="C37" s="481" t="s">
        <v>38</v>
      </c>
      <c r="D37" s="82"/>
      <c r="E37" s="83">
        <f t="shared" si="20"/>
        <v>96.028900150622192</v>
      </c>
      <c r="F37" s="31">
        <v>7760.5235018110052</v>
      </c>
      <c r="G37" s="84"/>
      <c r="H37" s="83">
        <f t="shared" si="21"/>
        <v>96.028900150622192</v>
      </c>
      <c r="I37" s="31">
        <v>7760.5235018110052</v>
      </c>
      <c r="J37" s="42"/>
      <c r="K37" s="83">
        <f t="shared" si="22"/>
        <v>51.69</v>
      </c>
      <c r="L37" s="492">
        <v>3773.37</v>
      </c>
      <c r="M37" s="14"/>
      <c r="N37" s="60">
        <f t="shared" si="23"/>
        <v>-3987.1535018110053</v>
      </c>
      <c r="O37" s="42"/>
      <c r="P37" s="83">
        <f t="shared" si="24"/>
        <v>155.30103896103896</v>
      </c>
      <c r="Q37" s="34">
        <v>11958.18</v>
      </c>
      <c r="R37" s="42"/>
      <c r="S37" s="86">
        <f t="shared" si="25"/>
        <v>-8184.81</v>
      </c>
      <c r="T37" s="14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">
        <v>233</v>
      </c>
      <c r="B38" s="12" t="s">
        <v>0</v>
      </c>
      <c r="C38" s="481" t="s">
        <v>21</v>
      </c>
      <c r="D38" s="82"/>
      <c r="E38" s="83">
        <f t="shared" si="20"/>
        <v>0</v>
      </c>
      <c r="F38" s="31">
        <v>0</v>
      </c>
      <c r="G38" s="84"/>
      <c r="H38" s="83">
        <f t="shared" si="21"/>
        <v>0</v>
      </c>
      <c r="I38" s="31">
        <v>0</v>
      </c>
      <c r="J38" s="42"/>
      <c r="K38" s="83">
        <f t="shared" si="22"/>
        <v>0</v>
      </c>
      <c r="L38" s="492"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">
        <v>233</v>
      </c>
      <c r="B39" s="12" t="s">
        <v>0</v>
      </c>
      <c r="C39" s="481" t="s">
        <v>21</v>
      </c>
      <c r="D39" s="82"/>
      <c r="E39" s="83">
        <f t="shared" si="20"/>
        <v>0</v>
      </c>
      <c r="F39" s="31">
        <v>0</v>
      </c>
      <c r="G39" s="84"/>
      <c r="H39" s="83">
        <f t="shared" si="21"/>
        <v>0</v>
      </c>
      <c r="I39" s="31">
        <v>0</v>
      </c>
      <c r="J39" s="42"/>
      <c r="K39" s="83">
        <f t="shared" si="22"/>
        <v>0</v>
      </c>
      <c r="L39" s="492"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">
        <v>233</v>
      </c>
      <c r="B40" s="12" t="s">
        <v>0</v>
      </c>
      <c r="C40" s="481" t="s">
        <v>21</v>
      </c>
      <c r="D40" s="82"/>
      <c r="E40" s="83">
        <f t="shared" si="20"/>
        <v>0</v>
      </c>
      <c r="F40" s="31">
        <v>0</v>
      </c>
      <c r="G40" s="84"/>
      <c r="H40" s="83">
        <f t="shared" si="21"/>
        <v>0</v>
      </c>
      <c r="I40" s="31">
        <v>0</v>
      </c>
      <c r="J40" s="42"/>
      <c r="K40" s="83">
        <f t="shared" si="22"/>
        <v>0</v>
      </c>
      <c r="L40" s="493"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">
        <v>251</v>
      </c>
      <c r="B41" s="12" t="s">
        <v>0</v>
      </c>
      <c r="C41" s="96" t="s">
        <v>39</v>
      </c>
      <c r="D41" s="97" t="s">
        <v>40</v>
      </c>
      <c r="E41" s="98">
        <f>F41/F$27</f>
        <v>0.47679045861402036</v>
      </c>
      <c r="F41" s="99">
        <f>SUM(F31:F40)</f>
        <v>109169.56333589366</v>
      </c>
      <c r="G41" s="100" t="s">
        <v>40</v>
      </c>
      <c r="H41" s="98">
        <f>I41/I$27</f>
        <v>0.47679045861402036</v>
      </c>
      <c r="I41" s="99">
        <f>SUM(I31:I40)</f>
        <v>109169.56333589366</v>
      </c>
      <c r="J41" s="100" t="s">
        <v>40</v>
      </c>
      <c r="K41" s="98">
        <f>L41/L$27</f>
        <v>0.2890279165603824</v>
      </c>
      <c r="L41" s="99">
        <f>SUM(L31:L40)</f>
        <v>90419.319999999978</v>
      </c>
      <c r="M41" s="101"/>
      <c r="N41" s="99">
        <f t="shared" si="23"/>
        <v>-18750.243335893683</v>
      </c>
      <c r="O41" s="100" t="s">
        <v>40</v>
      </c>
      <c r="P41" s="98">
        <f>Q41/Q$27</f>
        <v>0.48660403164054039</v>
      </c>
      <c r="Q41" s="102">
        <f>SUM(Q31:Q40)</f>
        <v>105216.02000000002</v>
      </c>
      <c r="R41" s="103"/>
      <c r="S41" s="104">
        <f t="shared" si="25"/>
        <v>-14796.700000000041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">
        <v>252</v>
      </c>
      <c r="B42" s="12" t="s">
        <v>0</v>
      </c>
      <c r="C42" s="494" t="s">
        <v>42</v>
      </c>
      <c r="D42" s="14"/>
      <c r="E42" s="14"/>
      <c r="F42" s="31">
        <v>15886.260919540229</v>
      </c>
      <c r="G42" s="42"/>
      <c r="H42" s="14"/>
      <c r="I42" s="31">
        <v>15886.260919540229</v>
      </c>
      <c r="J42" s="42"/>
      <c r="K42" s="14"/>
      <c r="L42" s="34">
        <v>24887.25</v>
      </c>
      <c r="M42" s="42"/>
      <c r="N42" s="60">
        <f t="shared" si="23"/>
        <v>9000.9890804597708</v>
      </c>
      <c r="O42" s="42"/>
      <c r="P42" s="14"/>
      <c r="Q42" s="34">
        <v>15070.12</v>
      </c>
      <c r="R42" s="42"/>
      <c r="S42" s="86">
        <f t="shared" si="25"/>
        <v>9817.1299999999992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">
        <v>253</v>
      </c>
      <c r="B43" s="12" t="s">
        <v>0</v>
      </c>
      <c r="C43" s="106" t="s">
        <v>43</v>
      </c>
      <c r="D43" s="82"/>
      <c r="E43" s="14"/>
      <c r="F43" s="23">
        <v>9822.0277770344837</v>
      </c>
      <c r="G43" s="84"/>
      <c r="H43" s="14"/>
      <c r="I43" s="23">
        <v>9822.0277770344837</v>
      </c>
      <c r="J43" s="42"/>
      <c r="K43" s="14"/>
      <c r="L43" s="34">
        <v>7402.55</v>
      </c>
      <c r="M43" s="42"/>
      <c r="N43" s="60">
        <f t="shared" si="23"/>
        <v>-2419.4777770344836</v>
      </c>
      <c r="O43" s="42"/>
      <c r="P43" s="14"/>
      <c r="Q43" s="34">
        <v>9222.5499999999993</v>
      </c>
      <c r="R43" s="42"/>
      <c r="S43" s="86">
        <f t="shared" si="25"/>
        <v>-1819.9999999999991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">
        <v>254</v>
      </c>
      <c r="B44" s="12" t="s">
        <v>0</v>
      </c>
      <c r="C44" s="494" t="s">
        <v>44</v>
      </c>
      <c r="D44" s="107"/>
      <c r="E44" s="108"/>
      <c r="F44" s="31">
        <v>8921.4021694406129</v>
      </c>
      <c r="G44" s="109"/>
      <c r="H44" s="108"/>
      <c r="I44" s="31">
        <v>8921.4021694406129</v>
      </c>
      <c r="J44" s="110"/>
      <c r="K44" s="108"/>
      <c r="L44" s="111">
        <v>4747.3100000000004</v>
      </c>
      <c r="M44" s="110"/>
      <c r="N44" s="112">
        <f t="shared" si="23"/>
        <v>-4174.0921694406125</v>
      </c>
      <c r="O44" s="110"/>
      <c r="P44" s="108"/>
      <c r="Q44" s="111">
        <v>9197.24</v>
      </c>
      <c r="R44" s="110"/>
      <c r="S44" s="113">
        <f t="shared" si="25"/>
        <v>-4449.9299999999994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">
        <v>255</v>
      </c>
      <c r="B45" s="12" t="s">
        <v>0</v>
      </c>
      <c r="C45" s="494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f t="shared" si="23"/>
        <v>0</v>
      </c>
      <c r="O45" s="42"/>
      <c r="P45" s="14"/>
      <c r="Q45" s="34">
        <v>0</v>
      </c>
      <c r="R45" s="42"/>
      <c r="S45" s="86">
        <f t="shared" si="25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">
        <v>233</v>
      </c>
      <c r="B46" s="12" t="s">
        <v>0</v>
      </c>
      <c r="C46" s="494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f t="shared" si="23"/>
        <v>0</v>
      </c>
      <c r="O46" s="42"/>
      <c r="P46" s="14"/>
      <c r="Q46" s="34">
        <v>0</v>
      </c>
      <c r="R46" s="42"/>
      <c r="S46" s="86">
        <f t="shared" si="25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">
        <v>233</v>
      </c>
      <c r="B47" s="12" t="s">
        <v>0</v>
      </c>
      <c r="C47" s="494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f t="shared" si="23"/>
        <v>0</v>
      </c>
      <c r="O47" s="42"/>
      <c r="P47" s="14"/>
      <c r="Q47" s="34">
        <v>0</v>
      </c>
      <c r="R47" s="42"/>
      <c r="S47" s="86">
        <f t="shared" si="25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">
        <v>233</v>
      </c>
      <c r="B48" s="12" t="s">
        <v>0</v>
      </c>
      <c r="C48" s="494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f t="shared" si="23"/>
        <v>0</v>
      </c>
      <c r="O48" s="42"/>
      <c r="P48" s="14"/>
      <c r="Q48" s="34">
        <v>0</v>
      </c>
      <c r="R48" s="42"/>
      <c r="S48" s="86">
        <f t="shared" si="25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">
        <v>256</v>
      </c>
      <c r="B49" s="12" t="s">
        <v>0</v>
      </c>
      <c r="C49" s="106" t="s">
        <v>46</v>
      </c>
      <c r="D49" s="82"/>
      <c r="E49" s="14"/>
      <c r="F49" s="23">
        <v>12708.498691233923</v>
      </c>
      <c r="G49" s="84"/>
      <c r="H49" s="14"/>
      <c r="I49" s="23">
        <v>12708.498691233923</v>
      </c>
      <c r="J49" s="42"/>
      <c r="K49" s="14"/>
      <c r="L49" s="23">
        <v>15306.49</v>
      </c>
      <c r="M49" s="42"/>
      <c r="N49" s="60">
        <f t="shared" si="23"/>
        <v>2597.9913087660771</v>
      </c>
      <c r="O49" s="42"/>
      <c r="P49" s="14"/>
      <c r="Q49" s="23">
        <v>12808.93</v>
      </c>
      <c r="R49" s="42"/>
      <c r="S49" s="86">
        <f t="shared" si="25"/>
        <v>2497.5599999999995</v>
      </c>
      <c r="T49" s="14"/>
      <c r="U49" s="14"/>
      <c r="V49" s="14"/>
      <c r="W49" s="14"/>
      <c r="X49" s="250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">
        <v>257</v>
      </c>
      <c r="B50" s="12" t="s">
        <v>0</v>
      </c>
      <c r="C50" s="494" t="s">
        <v>47</v>
      </c>
      <c r="D50" s="107"/>
      <c r="E50" s="108"/>
      <c r="F50" s="31">
        <v>11381.763271925258</v>
      </c>
      <c r="G50" s="109"/>
      <c r="H50" s="108"/>
      <c r="I50" s="31">
        <v>11381.763271925258</v>
      </c>
      <c r="J50" s="110"/>
      <c r="K50" s="108"/>
      <c r="L50" s="34">
        <v>15327.04</v>
      </c>
      <c r="M50" s="110"/>
      <c r="N50" s="112">
        <f t="shared" si="23"/>
        <v>3945.276728074743</v>
      </c>
      <c r="O50" s="110"/>
      <c r="P50" s="108"/>
      <c r="Q50" s="34">
        <v>11455.92</v>
      </c>
      <c r="R50" s="110"/>
      <c r="S50" s="113">
        <f t="shared" si="25"/>
        <v>3871.1200000000008</v>
      </c>
      <c r="T50" s="14"/>
      <c r="U50" s="14"/>
      <c r="V50" s="14"/>
      <c r="W50" s="14"/>
      <c r="X50" s="250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">
        <v>258</v>
      </c>
      <c r="B51" s="12" t="s">
        <v>0</v>
      </c>
      <c r="C51" s="494" t="s">
        <v>48</v>
      </c>
      <c r="D51" s="82"/>
      <c r="E51" s="14"/>
      <c r="F51" s="31">
        <v>9038.4590688818244</v>
      </c>
      <c r="G51" s="84"/>
      <c r="H51" s="14"/>
      <c r="I51" s="31">
        <v>9038.4590688818244</v>
      </c>
      <c r="J51" s="42"/>
      <c r="K51" s="14"/>
      <c r="L51" s="34">
        <v>7021.56</v>
      </c>
      <c r="M51" s="42"/>
      <c r="N51" s="60">
        <f t="shared" si="23"/>
        <v>-2016.899068881824</v>
      </c>
      <c r="O51" s="42"/>
      <c r="P51" s="14"/>
      <c r="Q51" s="34">
        <v>8210.07</v>
      </c>
      <c r="R51" s="42"/>
      <c r="S51" s="86">
        <f t="shared" si="25"/>
        <v>-1188.5099999999993</v>
      </c>
      <c r="T51" s="14"/>
      <c r="U51" s="14"/>
      <c r="V51" s="14"/>
      <c r="W51" s="14"/>
      <c r="X51" s="250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">
        <v>259</v>
      </c>
      <c r="B52" s="12" t="s">
        <v>0</v>
      </c>
      <c r="C52" s="494" t="s">
        <v>49</v>
      </c>
      <c r="D52" s="82"/>
      <c r="E52" s="14"/>
      <c r="F52" s="31">
        <v>3682.3351762111133</v>
      </c>
      <c r="G52" s="84"/>
      <c r="H52" s="14"/>
      <c r="I52" s="31">
        <v>3682.3351762111133</v>
      </c>
      <c r="J52" s="42"/>
      <c r="K52" s="14"/>
      <c r="L52" s="34">
        <v>2399</v>
      </c>
      <c r="M52" s="42"/>
      <c r="N52" s="60">
        <f t="shared" si="23"/>
        <v>-1283.3351762111133</v>
      </c>
      <c r="O52" s="42"/>
      <c r="P52" s="14"/>
      <c r="Q52" s="34">
        <v>1909.32</v>
      </c>
      <c r="R52" s="42"/>
      <c r="S52" s="86">
        <f t="shared" si="25"/>
        <v>489.68000000000006</v>
      </c>
      <c r="T52" s="14"/>
      <c r="U52" s="14"/>
      <c r="V52" s="14"/>
      <c r="W52" s="14"/>
      <c r="X52" s="250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">
        <v>233</v>
      </c>
      <c r="B53" s="12" t="s">
        <v>0</v>
      </c>
      <c r="C53" s="481" t="s">
        <v>21</v>
      </c>
      <c r="D53" s="89"/>
      <c r="E53" s="114"/>
      <c r="F53" s="31">
        <v>0</v>
      </c>
      <c r="G53" s="91"/>
      <c r="H53" s="114"/>
      <c r="I53" s="31">
        <v>0</v>
      </c>
      <c r="J53" s="24"/>
      <c r="K53" s="114"/>
      <c r="L53" s="34">
        <v>0</v>
      </c>
      <c r="M53" s="24"/>
      <c r="N53" s="94">
        <f t="shared" si="23"/>
        <v>0</v>
      </c>
      <c r="O53" s="24"/>
      <c r="P53" s="114"/>
      <c r="Q53" s="34">
        <v>0</v>
      </c>
      <c r="R53" s="24"/>
      <c r="S53" s="95">
        <f t="shared" si="25"/>
        <v>0</v>
      </c>
      <c r="T53" s="14"/>
      <c r="U53" s="14"/>
      <c r="V53" s="14"/>
      <c r="W53" s="14"/>
      <c r="X53" s="250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">
        <v>260</v>
      </c>
      <c r="B54" s="12" t="s">
        <v>0</v>
      </c>
      <c r="C54" s="96" t="s">
        <v>50</v>
      </c>
      <c r="D54" s="97" t="s">
        <v>40</v>
      </c>
      <c r="E54" s="98">
        <f>F54/F$27</f>
        <v>0.31201248333718434</v>
      </c>
      <c r="F54" s="99">
        <f>+SUM(F42:F53)</f>
        <v>71440.747074267449</v>
      </c>
      <c r="G54" s="100" t="s">
        <v>40</v>
      </c>
      <c r="H54" s="98">
        <f>I54/I$27</f>
        <v>0.31201248333718434</v>
      </c>
      <c r="I54" s="99">
        <f>+SUM(I42:I53)</f>
        <v>71440.747074267449</v>
      </c>
      <c r="J54" s="100" t="s">
        <v>40</v>
      </c>
      <c r="K54" s="98">
        <f>L54/L$27</f>
        <v>0.24642420360095338</v>
      </c>
      <c r="L54" s="99">
        <f>+SUM(L42:L53)</f>
        <v>77091.199999999997</v>
      </c>
      <c r="M54" s="103"/>
      <c r="N54" s="99">
        <f>+SUM(N42:N53)</f>
        <v>5650.4529257325576</v>
      </c>
      <c r="O54" s="100" t="s">
        <v>40</v>
      </c>
      <c r="P54" s="98">
        <f>Q54/Q$27</f>
        <v>0.31390500262388538</v>
      </c>
      <c r="Q54" s="99">
        <f>+SUM(Q42:Q53)</f>
        <v>67874.149999999994</v>
      </c>
      <c r="R54" s="103"/>
      <c r="S54" s="104">
        <f>+SUM(S42:S53)</f>
        <v>9217.0500000000029</v>
      </c>
      <c r="T54" s="83"/>
      <c r="U54" s="14"/>
      <c r="V54" s="12"/>
      <c r="W54" s="12"/>
      <c r="X54" s="250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">
        <v>261</v>
      </c>
      <c r="B55" s="12" t="s">
        <v>0</v>
      </c>
      <c r="C55" s="481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f t="shared" ref="N55:N71" si="26">L55-I55</f>
        <v>0</v>
      </c>
      <c r="O55" s="42"/>
      <c r="P55" s="14"/>
      <c r="Q55" s="34">
        <v>0</v>
      </c>
      <c r="R55" s="42"/>
      <c r="S55" s="86">
        <f t="shared" ref="S55:S71" si="27">L55-Q55</f>
        <v>0</v>
      </c>
      <c r="T55" s="83"/>
      <c r="U55" s="14"/>
      <c r="V55" s="12"/>
      <c r="W55" s="12"/>
      <c r="X55" s="250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">
        <v>262</v>
      </c>
      <c r="B56" s="12" t="s">
        <v>0</v>
      </c>
      <c r="C56" s="481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f t="shared" si="26"/>
        <v>0</v>
      </c>
      <c r="O56" s="42"/>
      <c r="P56" s="14"/>
      <c r="Q56" s="34">
        <v>0</v>
      </c>
      <c r="R56" s="42"/>
      <c r="S56" s="86">
        <f t="shared" si="27"/>
        <v>0</v>
      </c>
      <c r="T56" s="83"/>
      <c r="U56" s="14"/>
      <c r="V56" s="12"/>
      <c r="W56" s="12"/>
      <c r="X56" s="250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">
        <v>263</v>
      </c>
      <c r="B57" s="12" t="s">
        <v>0</v>
      </c>
      <c r="C57" s="88" t="s">
        <v>53</v>
      </c>
      <c r="D57" s="89"/>
      <c r="E57" s="114"/>
      <c r="F57" s="23">
        <v>7322.9400000000005</v>
      </c>
      <c r="G57" s="91"/>
      <c r="H57" s="114"/>
      <c r="I57" s="23">
        <v>7322.9400000000005</v>
      </c>
      <c r="J57" s="24"/>
      <c r="K57" s="114"/>
      <c r="L57" s="23">
        <v>7615.92</v>
      </c>
      <c r="M57" s="24"/>
      <c r="N57" s="94">
        <f t="shared" si="26"/>
        <v>292.97999999999956</v>
      </c>
      <c r="O57" s="24"/>
      <c r="P57" s="114"/>
      <c r="Q57" s="23">
        <v>8672.24</v>
      </c>
      <c r="R57" s="24"/>
      <c r="S57" s="95">
        <f t="shared" si="27"/>
        <v>-1056.3199999999997</v>
      </c>
      <c r="T57" s="115"/>
      <c r="U57" s="14"/>
      <c r="V57" s="12"/>
      <c r="W57" s="12"/>
      <c r="X57" s="250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">
        <v>264</v>
      </c>
      <c r="B58" s="12" t="s">
        <v>0</v>
      </c>
      <c r="C58" s="481" t="s">
        <v>54</v>
      </c>
      <c r="D58" s="82"/>
      <c r="E58" s="14"/>
      <c r="F58" s="31">
        <v>6834.1988433333336</v>
      </c>
      <c r="G58" s="84"/>
      <c r="H58" s="14"/>
      <c r="I58" s="31">
        <v>6834.1988433333336</v>
      </c>
      <c r="J58" s="42"/>
      <c r="K58" s="14"/>
      <c r="L58" s="34">
        <v>7197.56</v>
      </c>
      <c r="M58" s="42"/>
      <c r="N58" s="60">
        <f t="shared" si="26"/>
        <v>363.36115666666683</v>
      </c>
      <c r="O58" s="42"/>
      <c r="P58" s="14"/>
      <c r="Q58" s="34">
        <v>5986.01</v>
      </c>
      <c r="R58" s="42"/>
      <c r="S58" s="86">
        <f t="shared" si="27"/>
        <v>1211.5500000000002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">
        <v>265</v>
      </c>
      <c r="B59" s="12" t="s">
        <v>0</v>
      </c>
      <c r="C59" s="481" t="s">
        <v>55</v>
      </c>
      <c r="D59" s="82"/>
      <c r="E59" s="14"/>
      <c r="F59" s="31">
        <v>792.1418000000001</v>
      </c>
      <c r="G59" s="84"/>
      <c r="H59" s="14"/>
      <c r="I59" s="31">
        <v>792.1418000000001</v>
      </c>
      <c r="J59" s="42"/>
      <c r="K59" s="14"/>
      <c r="L59" s="34">
        <v>1421.01</v>
      </c>
      <c r="M59" s="42"/>
      <c r="N59" s="60">
        <f t="shared" si="26"/>
        <v>628.86819999999989</v>
      </c>
      <c r="O59" s="42"/>
      <c r="P59" s="14"/>
      <c r="Q59" s="34">
        <v>217.73</v>
      </c>
      <c r="R59" s="42"/>
      <c r="S59" s="86">
        <f t="shared" si="27"/>
        <v>1203.28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">
        <v>266</v>
      </c>
      <c r="B60" s="12" t="s">
        <v>0</v>
      </c>
      <c r="C60" s="88" t="s">
        <v>56</v>
      </c>
      <c r="D60" s="89"/>
      <c r="E60" s="114"/>
      <c r="F60" s="23">
        <v>6447.7025777777781</v>
      </c>
      <c r="G60" s="91"/>
      <c r="H60" s="114"/>
      <c r="I60" s="23">
        <v>6447.7025777777781</v>
      </c>
      <c r="J60" s="24"/>
      <c r="K60" s="114"/>
      <c r="L60" s="23">
        <v>7061.26</v>
      </c>
      <c r="M60" s="24"/>
      <c r="N60" s="94">
        <f t="shared" si="26"/>
        <v>613.55742222222216</v>
      </c>
      <c r="O60" s="24"/>
      <c r="P60" s="114"/>
      <c r="Q60" s="23">
        <v>6354.96</v>
      </c>
      <c r="R60" s="24"/>
      <c r="S60" s="95">
        <f t="shared" si="27"/>
        <v>706.30000000000018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">
        <v>267</v>
      </c>
      <c r="B61" s="12" t="s">
        <v>0</v>
      </c>
      <c r="C61" s="481" t="s">
        <v>57</v>
      </c>
      <c r="D61" s="82"/>
      <c r="E61" s="14"/>
      <c r="F61" s="31">
        <v>94.464662279440972</v>
      </c>
      <c r="G61" s="84"/>
      <c r="H61" s="14"/>
      <c r="I61" s="31">
        <v>94.464662279440972</v>
      </c>
      <c r="J61" s="42"/>
      <c r="K61" s="14"/>
      <c r="L61" s="34">
        <v>17.399999999999999</v>
      </c>
      <c r="M61" s="42"/>
      <c r="N61" s="60">
        <f t="shared" si="26"/>
        <v>-77.064662279440967</v>
      </c>
      <c r="O61" s="42"/>
      <c r="P61" s="14"/>
      <c r="Q61" s="34">
        <v>7.44</v>
      </c>
      <c r="R61" s="42"/>
      <c r="S61" s="86">
        <f t="shared" si="27"/>
        <v>9.9599999999999973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">
        <v>268</v>
      </c>
      <c r="B62" s="12" t="s">
        <v>0</v>
      </c>
      <c r="C62" s="481" t="s">
        <v>58</v>
      </c>
      <c r="D62" s="82"/>
      <c r="E62" s="14"/>
      <c r="F62" s="31">
        <v>50.196038268857535</v>
      </c>
      <c r="G62" s="84"/>
      <c r="H62" s="14"/>
      <c r="I62" s="31">
        <v>50.196038268857535</v>
      </c>
      <c r="J62" s="42"/>
      <c r="K62" s="14"/>
      <c r="L62" s="34">
        <v>0</v>
      </c>
      <c r="M62" s="42"/>
      <c r="N62" s="60">
        <f t="shared" si="26"/>
        <v>-50.196038268857535</v>
      </c>
      <c r="O62" s="42"/>
      <c r="P62" s="14"/>
      <c r="Q62" s="34">
        <v>0</v>
      </c>
      <c r="R62" s="42"/>
      <c r="S62" s="86">
        <f t="shared" si="27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">
        <v>269</v>
      </c>
      <c r="B63" s="12" t="s">
        <v>0</v>
      </c>
      <c r="C63" s="481" t="s">
        <v>59</v>
      </c>
      <c r="D63" s="82"/>
      <c r="E63" s="14"/>
      <c r="F63" s="31">
        <v>652.86432000000002</v>
      </c>
      <c r="G63" s="84"/>
      <c r="H63" s="14"/>
      <c r="I63" s="31">
        <v>652.86432000000002</v>
      </c>
      <c r="J63" s="42"/>
      <c r="K63" s="14"/>
      <c r="L63" s="33">
        <v>694.32</v>
      </c>
      <c r="M63" s="42"/>
      <c r="N63" s="60">
        <f t="shared" si="26"/>
        <v>41.455680000000029</v>
      </c>
      <c r="O63" s="42"/>
      <c r="P63" s="14"/>
      <c r="Q63" s="33">
        <v>763.56</v>
      </c>
      <c r="R63" s="42"/>
      <c r="S63" s="86">
        <f t="shared" si="27"/>
        <v>-69.239999999999895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">
        <v>270</v>
      </c>
      <c r="B64" s="12" t="s">
        <v>0</v>
      </c>
      <c r="C64" s="481" t="s">
        <v>60</v>
      </c>
      <c r="D64" s="82"/>
      <c r="E64" s="14"/>
      <c r="F64" s="31">
        <v>301.4645266666667</v>
      </c>
      <c r="G64" s="84"/>
      <c r="H64" s="14"/>
      <c r="I64" s="31">
        <v>301.4645266666667</v>
      </c>
      <c r="J64" s="42"/>
      <c r="K64" s="14"/>
      <c r="L64" s="34">
        <v>248.14</v>
      </c>
      <c r="M64" s="42"/>
      <c r="N64" s="60">
        <f t="shared" si="26"/>
        <v>-53.324526666666713</v>
      </c>
      <c r="O64" s="42"/>
      <c r="P64" s="14"/>
      <c r="Q64" s="34">
        <v>217.9</v>
      </c>
      <c r="R64" s="42"/>
      <c r="S64" s="86">
        <f t="shared" si="27"/>
        <v>30.239999999999981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">
        <v>271</v>
      </c>
      <c r="B65" s="12" t="s">
        <v>0</v>
      </c>
      <c r="C65" s="481" t="s">
        <v>61</v>
      </c>
      <c r="D65" s="82"/>
      <c r="E65" s="14"/>
      <c r="F65" s="31">
        <v>160.91707333333329</v>
      </c>
      <c r="G65" s="84"/>
      <c r="H65" s="14"/>
      <c r="I65" s="31">
        <v>160.91707333333329</v>
      </c>
      <c r="J65" s="42"/>
      <c r="K65" s="14"/>
      <c r="L65" s="34">
        <v>133.59</v>
      </c>
      <c r="M65" s="42"/>
      <c r="N65" s="60">
        <f t="shared" si="26"/>
        <v>-27.327073333333288</v>
      </c>
      <c r="O65" s="42"/>
      <c r="P65" s="14"/>
      <c r="Q65" s="34">
        <v>243.19</v>
      </c>
      <c r="R65" s="42"/>
      <c r="S65" s="86">
        <f t="shared" si="27"/>
        <v>-109.6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">
        <v>272</v>
      </c>
      <c r="B66" s="12" t="s">
        <v>0</v>
      </c>
      <c r="C66" s="481" t="s">
        <v>62</v>
      </c>
      <c r="D66" s="82"/>
      <c r="E66" s="14"/>
      <c r="F66" s="31">
        <v>776.23359333333315</v>
      </c>
      <c r="G66" s="84"/>
      <c r="H66" s="14"/>
      <c r="I66" s="31">
        <v>776.23359333333315</v>
      </c>
      <c r="J66" s="42"/>
      <c r="K66" s="14"/>
      <c r="L66" s="34">
        <v>62.72</v>
      </c>
      <c r="M66" s="42"/>
      <c r="N66" s="60">
        <f t="shared" si="26"/>
        <v>-713.51359333333312</v>
      </c>
      <c r="O66" s="42"/>
      <c r="P66" s="14"/>
      <c r="Q66" s="34">
        <v>158.66999999999999</v>
      </c>
      <c r="R66" s="42"/>
      <c r="S66" s="86">
        <f t="shared" si="27"/>
        <v>-95.949999999999989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">
        <v>273</v>
      </c>
      <c r="B67" s="12" t="s">
        <v>0</v>
      </c>
      <c r="C67" s="481" t="s">
        <v>63</v>
      </c>
      <c r="D67" s="82"/>
      <c r="E67" s="14"/>
      <c r="F67" s="31">
        <v>1153.2562666666668</v>
      </c>
      <c r="G67" s="84"/>
      <c r="H67" s="14"/>
      <c r="I67" s="31">
        <v>1153.2562666666668</v>
      </c>
      <c r="J67" s="42"/>
      <c r="K67" s="14"/>
      <c r="L67" s="34">
        <v>748.54</v>
      </c>
      <c r="M67" s="42"/>
      <c r="N67" s="60">
        <f t="shared" si="26"/>
        <v>-404.7162666666668</v>
      </c>
      <c r="O67" s="42"/>
      <c r="P67" s="14"/>
      <c r="Q67" s="34">
        <v>1143.33</v>
      </c>
      <c r="R67" s="42"/>
      <c r="S67" s="86">
        <f t="shared" si="27"/>
        <v>-394.78999999999996</v>
      </c>
      <c r="T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">
        <v>274</v>
      </c>
      <c r="B68" s="12" t="s">
        <v>0</v>
      </c>
      <c r="C68" s="481" t="s">
        <v>64</v>
      </c>
      <c r="D68" s="82"/>
      <c r="E68" s="14"/>
      <c r="F68" s="31">
        <v>2062.140136623158</v>
      </c>
      <c r="G68" s="84"/>
      <c r="H68" s="14"/>
      <c r="I68" s="31">
        <v>2062.140136623158</v>
      </c>
      <c r="J68" s="42"/>
      <c r="K68" s="14"/>
      <c r="L68" s="34">
        <v>4084.49</v>
      </c>
      <c r="M68" s="42"/>
      <c r="N68" s="60">
        <f t="shared" si="26"/>
        <v>2022.3498633768418</v>
      </c>
      <c r="O68" s="42"/>
      <c r="P68" s="14"/>
      <c r="Q68" s="34">
        <f>AL447*W3</f>
        <v>2827.1025</v>
      </c>
      <c r="R68" s="42"/>
      <c r="S68" s="86">
        <f t="shared" si="27"/>
        <v>1257.3874999999998</v>
      </c>
      <c r="T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">
        <v>233</v>
      </c>
      <c r="B69" s="12" t="s">
        <v>0</v>
      </c>
      <c r="C69" s="481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f t="shared" si="26"/>
        <v>0</v>
      </c>
      <c r="O69" s="42"/>
      <c r="P69" s="14"/>
      <c r="Q69" s="34">
        <v>0</v>
      </c>
      <c r="R69" s="42"/>
      <c r="S69" s="86">
        <f t="shared" si="27"/>
        <v>0</v>
      </c>
      <c r="T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">
        <v>233</v>
      </c>
      <c r="B70" s="12" t="s">
        <v>0</v>
      </c>
      <c r="C70" s="481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f t="shared" si="26"/>
        <v>0</v>
      </c>
      <c r="O70" s="42"/>
      <c r="P70" s="14"/>
      <c r="Q70" s="34">
        <v>0</v>
      </c>
      <c r="R70" s="42"/>
      <c r="S70" s="86">
        <f t="shared" si="27"/>
        <v>0</v>
      </c>
      <c r="T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">
        <v>233</v>
      </c>
      <c r="B71" s="12" t="s">
        <v>0</v>
      </c>
      <c r="C71" s="481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f t="shared" si="26"/>
        <v>0</v>
      </c>
      <c r="O71" s="42"/>
      <c r="P71" s="14"/>
      <c r="Q71" s="34">
        <v>0</v>
      </c>
      <c r="R71" s="42"/>
      <c r="S71" s="86">
        <f t="shared" si="27"/>
        <v>0</v>
      </c>
      <c r="T71" s="14"/>
      <c r="X71" s="14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">
        <v>275</v>
      </c>
      <c r="B72" s="12" t="s">
        <v>0</v>
      </c>
      <c r="C72" s="96" t="s">
        <v>65</v>
      </c>
      <c r="D72" s="97" t="s">
        <v>40</v>
      </c>
      <c r="E72" s="98">
        <f>F72/F$27</f>
        <v>0.11638555295844133</v>
      </c>
      <c r="F72" s="99">
        <f>+SUM(F55:F71)</f>
        <v>26648.519838282573</v>
      </c>
      <c r="G72" s="100" t="s">
        <v>40</v>
      </c>
      <c r="H72" s="98">
        <f>I72/I$27</f>
        <v>0.11638555295844133</v>
      </c>
      <c r="I72" s="99">
        <f>+SUM(I55:I71)</f>
        <v>26648.519838282573</v>
      </c>
      <c r="J72" s="100" t="s">
        <v>40</v>
      </c>
      <c r="K72" s="98">
        <f>L72/L$27</f>
        <v>9.3610171864541486E-2</v>
      </c>
      <c r="L72" s="99">
        <f>+SUM(L55:L71)</f>
        <v>29284.950000000004</v>
      </c>
      <c r="M72" s="103"/>
      <c r="N72" s="99">
        <f>+SUM(N55:N71)</f>
        <v>2636.4301617174315</v>
      </c>
      <c r="O72" s="100" t="s">
        <v>40</v>
      </c>
      <c r="P72" s="98">
        <f>Q72/Q$27</f>
        <v>0.12298354266222425</v>
      </c>
      <c r="Q72" s="99">
        <f>+SUM(Q55:Q71)</f>
        <v>26592.1325</v>
      </c>
      <c r="R72" s="103"/>
      <c r="S72" s="104">
        <f>+SUM(S55:S71)</f>
        <v>2692.8175000000006</v>
      </c>
      <c r="T72" s="14"/>
      <c r="X72" s="14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">
        <v>0</v>
      </c>
      <c r="B73" s="12" t="s">
        <v>0</v>
      </c>
      <c r="C73" s="88"/>
      <c r="D73" s="89"/>
      <c r="E73" s="114"/>
      <c r="F73" s="60"/>
      <c r="G73" s="91"/>
      <c r="H73" s="114"/>
      <c r="I73" s="60"/>
      <c r="J73" s="24"/>
      <c r="K73" s="114"/>
      <c r="L73" s="94"/>
      <c r="M73" s="24"/>
      <c r="N73" s="94"/>
      <c r="O73" s="24"/>
      <c r="P73" s="114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">
        <v>276</v>
      </c>
      <c r="B74" s="12" t="s">
        <v>0</v>
      </c>
      <c r="C74" s="96" t="s">
        <v>66</v>
      </c>
      <c r="D74" s="97" t="s">
        <v>40</v>
      </c>
      <c r="E74" s="98">
        <f>F74/F$27</f>
        <v>0.90518849490964592</v>
      </c>
      <c r="F74" s="99">
        <f>F41+F54+F72</f>
        <v>207258.83024844367</v>
      </c>
      <c r="G74" s="100" t="s">
        <v>40</v>
      </c>
      <c r="H74" s="98">
        <f>I74/I$27</f>
        <v>0.90518849490964592</v>
      </c>
      <c r="I74" s="99">
        <f>I41+I54+I72</f>
        <v>207258.83024844367</v>
      </c>
      <c r="J74" s="100" t="s">
        <v>40</v>
      </c>
      <c r="K74" s="98">
        <f>L74/L$27</f>
        <v>0.62906229202587727</v>
      </c>
      <c r="L74" s="99">
        <f>L41+L54+L72</f>
        <v>196795.46999999997</v>
      </c>
      <c r="M74" s="103"/>
      <c r="N74" s="116">
        <f>L74-I74</f>
        <v>-10463.3602484437</v>
      </c>
      <c r="O74" s="100" t="s">
        <v>40</v>
      </c>
      <c r="P74" s="98">
        <f>Q74/Q$27</f>
        <v>0.9234925769266501</v>
      </c>
      <c r="Q74" s="99">
        <f>Q41+Q54+Q72</f>
        <v>199682.30250000002</v>
      </c>
      <c r="R74" s="103"/>
      <c r="S74" s="117">
        <f>L74-Q74</f>
        <v>-2886.8325000000477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">
        <v>277</v>
      </c>
      <c r="B75" s="12" t="s">
        <v>0</v>
      </c>
      <c r="C75" s="481" t="s">
        <v>200</v>
      </c>
      <c r="D75" s="82"/>
      <c r="E75" s="14"/>
      <c r="F75" s="31">
        <v>0</v>
      </c>
      <c r="G75" s="84"/>
      <c r="H75" s="14"/>
      <c r="I75" s="31">
        <v>0</v>
      </c>
      <c r="J75" s="42"/>
      <c r="K75" s="14"/>
      <c r="L75" s="33">
        <v>0</v>
      </c>
      <c r="M75" s="42"/>
      <c r="N75" s="60">
        <f>L75-I75</f>
        <v>0</v>
      </c>
      <c r="O75" s="42"/>
      <c r="P75" s="14"/>
      <c r="Q75" s="33">
        <v>0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">
        <v>278</v>
      </c>
      <c r="B76" s="12" t="s">
        <v>0</v>
      </c>
      <c r="C76" s="481" t="s">
        <v>197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f>L76-I76</f>
        <v>0</v>
      </c>
      <c r="O76" s="42"/>
      <c r="P76" s="14"/>
      <c r="Q76" s="33"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">
        <v>279</v>
      </c>
      <c r="B77" s="12" t="s">
        <v>0</v>
      </c>
      <c r="C77" s="481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f t="shared" ref="N77:N82" si="28">L77-I77</f>
        <v>0</v>
      </c>
      <c r="O77" s="42"/>
      <c r="P77" s="14"/>
      <c r="Q77" s="33">
        <v>0</v>
      </c>
      <c r="R77" s="42"/>
      <c r="S77" s="86">
        <f t="shared" ref="S77:S82" si="29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">
        <v>280</v>
      </c>
      <c r="B78" s="12" t="s">
        <v>0</v>
      </c>
      <c r="C78" s="481" t="s">
        <v>70</v>
      </c>
      <c r="D78" s="82"/>
      <c r="E78" s="556">
        <f>+F78/D24</f>
        <v>1061.3926100244496</v>
      </c>
      <c r="F78" s="31">
        <v>85775.868325301184</v>
      </c>
      <c r="G78" s="84"/>
      <c r="H78" s="14"/>
      <c r="I78" s="31">
        <v>85775.868325301184</v>
      </c>
      <c r="J78" s="42"/>
      <c r="K78" s="557">
        <f>+L78/J24</f>
        <v>1391.5352054794521</v>
      </c>
      <c r="L78" s="34">
        <v>101582.07</v>
      </c>
      <c r="M78" s="42"/>
      <c r="N78" s="60">
        <f t="shared" si="28"/>
        <v>15806.201674698823</v>
      </c>
      <c r="O78" s="42"/>
      <c r="P78" s="14"/>
      <c r="Q78" s="33">
        <v>94670.15</v>
      </c>
      <c r="R78" s="42"/>
      <c r="S78" s="86">
        <f t="shared" si="29"/>
        <v>6911.9200000000128</v>
      </c>
      <c r="T78" s="14"/>
      <c r="U78" s="14" t="s">
        <v>503</v>
      </c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">
        <v>233</v>
      </c>
      <c r="B79" s="12" t="s">
        <v>0</v>
      </c>
      <c r="C79" s="481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f t="shared" si="28"/>
        <v>0</v>
      </c>
      <c r="O79" s="42"/>
      <c r="P79" s="14"/>
      <c r="Q79" s="33">
        <v>0</v>
      </c>
      <c r="R79" s="42"/>
      <c r="S79" s="86">
        <f t="shared" si="29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">
        <v>233</v>
      </c>
      <c r="B80" s="12" t="s">
        <v>0</v>
      </c>
      <c r="C80" s="481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f t="shared" si="28"/>
        <v>0</v>
      </c>
      <c r="O80" s="42"/>
      <c r="P80" s="14"/>
      <c r="Q80" s="33">
        <v>0</v>
      </c>
      <c r="R80" s="42"/>
      <c r="S80" s="86">
        <f t="shared" si="29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">
        <v>233</v>
      </c>
      <c r="B81" s="12" t="s">
        <v>0</v>
      </c>
      <c r="C81" s="481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f t="shared" si="28"/>
        <v>0</v>
      </c>
      <c r="O81" s="42"/>
      <c r="P81" s="14"/>
      <c r="Q81" s="33">
        <v>0</v>
      </c>
      <c r="R81" s="42"/>
      <c r="S81" s="86">
        <f t="shared" si="29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s="501" t="s">
        <v>281</v>
      </c>
      <c r="B82" s="502" t="s">
        <v>0</v>
      </c>
      <c r="C82" s="481" t="s">
        <v>71</v>
      </c>
      <c r="D82" s="82"/>
      <c r="E82" s="14"/>
      <c r="F82" s="31">
        <v>29467.190391299711</v>
      </c>
      <c r="G82" s="84"/>
      <c r="H82" s="14"/>
      <c r="I82" s="31">
        <v>29467.190391299711</v>
      </c>
      <c r="J82" s="160">
        <f>+L82/K82</f>
        <v>77</v>
      </c>
      <c r="K82" s="503">
        <f>+L82/J27</f>
        <v>381.09090909090907</v>
      </c>
      <c r="L82" s="33">
        <v>29344</v>
      </c>
      <c r="M82" s="42"/>
      <c r="N82" s="60">
        <f t="shared" si="28"/>
        <v>-123.19039129971134</v>
      </c>
      <c r="O82" s="42"/>
      <c r="P82" s="14"/>
      <c r="Q82" s="33">
        <v>20687.989999999998</v>
      </c>
      <c r="R82" s="42"/>
      <c r="S82" s="86">
        <f t="shared" si="29"/>
        <v>8656.010000000002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">
        <v>282</v>
      </c>
      <c r="B83" s="12" t="s">
        <v>0</v>
      </c>
      <c r="C83" s="96" t="s">
        <v>72</v>
      </c>
      <c r="D83" s="97"/>
      <c r="E83" s="98"/>
      <c r="F83" s="99">
        <f>+SUM(F75:F82)</f>
        <v>115243.05871660089</v>
      </c>
      <c r="G83" s="100"/>
      <c r="H83" s="98"/>
      <c r="I83" s="99">
        <f>+SUM(I75:I82)</f>
        <v>115243.05871660089</v>
      </c>
      <c r="J83" s="100"/>
      <c r="K83" s="98"/>
      <c r="L83" s="99">
        <f>+SUM(L75:L82)</f>
        <v>130926.07</v>
      </c>
      <c r="M83" s="103"/>
      <c r="N83" s="99">
        <f>+SUM(N75:N82)</f>
        <v>15683.011283399112</v>
      </c>
      <c r="O83" s="100"/>
      <c r="P83" s="98"/>
      <c r="Q83" s="99">
        <f>+SUM(Q75:Q82)</f>
        <v>115358.13999999998</v>
      </c>
      <c r="R83" s="103"/>
      <c r="S83" s="104">
        <f>+SUM(S75:S82)</f>
        <v>15567.930000000015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">
        <v>0</v>
      </c>
      <c r="B84" s="12" t="s">
        <v>0</v>
      </c>
      <c r="C84" s="504"/>
      <c r="D84" s="119"/>
      <c r="E84" s="120"/>
      <c r="F84" s="121"/>
      <c r="G84" s="122"/>
      <c r="H84" s="120"/>
      <c r="I84" s="121"/>
      <c r="J84" s="123"/>
      <c r="K84" s="124"/>
      <c r="L84" s="121"/>
      <c r="M84" s="123"/>
      <c r="N84" s="125"/>
      <c r="O84" s="123"/>
      <c r="P84" s="124"/>
      <c r="Q84" s="121"/>
      <c r="R84" s="123"/>
      <c r="S84" s="126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2.5" customHeight="1" thickBot="1">
      <c r="A85" t="s">
        <v>283</v>
      </c>
      <c r="B85" s="12" t="s">
        <v>0</v>
      </c>
      <c r="C85" s="127" t="s">
        <v>73</v>
      </c>
      <c r="D85" s="128"/>
      <c r="E85" s="129"/>
      <c r="F85" s="130">
        <f>F27-F74+F83</f>
        <v>136951.8207585694</v>
      </c>
      <c r="G85" s="131"/>
      <c r="H85" s="129"/>
      <c r="I85" s="130">
        <f>I27-I74+I83</f>
        <v>136951.8207585694</v>
      </c>
      <c r="J85" s="131"/>
      <c r="K85" s="128"/>
      <c r="L85" s="130">
        <f>L27-L74+L83</f>
        <v>246969.99999999965</v>
      </c>
      <c r="M85" s="131"/>
      <c r="N85" s="130">
        <f>N27-N41-N54-N72+N83</f>
        <v>110018.17924143022</v>
      </c>
      <c r="O85" s="131"/>
      <c r="P85" s="128"/>
      <c r="Q85" s="130">
        <f>Q27-Q74+Q83</f>
        <v>131900.96750000009</v>
      </c>
      <c r="R85" s="131"/>
      <c r="S85" s="132">
        <f>S27-S41-S54-S72+S83</f>
        <v>115069.03249999954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3"/>
      <c r="C86" s="134"/>
      <c r="D86" s="134"/>
      <c r="E86" s="134"/>
      <c r="F86" s="134"/>
      <c r="G86" s="134"/>
      <c r="H86" s="134"/>
      <c r="I86" s="134"/>
      <c r="J86" s="505"/>
      <c r="K86" s="134"/>
      <c r="L86" s="135"/>
      <c r="M86" s="134"/>
      <c r="N86" s="134"/>
      <c r="O86" s="134"/>
      <c r="P86" s="134"/>
      <c r="Q86" s="134"/>
      <c r="R86" s="134"/>
      <c r="S86" s="134"/>
      <c r="T86" s="134"/>
      <c r="U86" s="134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</row>
    <row r="87" spans="1:40" ht="40.5" customHeight="1">
      <c r="B87" s="133"/>
      <c r="C87" s="134"/>
      <c r="D87" s="134"/>
      <c r="E87" s="134"/>
      <c r="F87" s="134"/>
      <c r="G87" s="134"/>
      <c r="H87" s="134"/>
      <c r="I87" s="135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475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Août 2022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64" t="s">
        <v>5</v>
      </c>
      <c r="E91" s="565"/>
      <c r="F91" s="566"/>
      <c r="G91" s="562" t="s">
        <v>75</v>
      </c>
      <c r="H91" s="565"/>
      <c r="I91" s="566"/>
      <c r="J91" s="562" t="s">
        <v>7</v>
      </c>
      <c r="K91" s="565"/>
      <c r="L91" s="566"/>
      <c r="M91" s="562" t="s">
        <v>8</v>
      </c>
      <c r="N91" s="566"/>
      <c r="O91" s="564" t="s">
        <v>9</v>
      </c>
      <c r="P91" s="565"/>
      <c r="Q91" s="566"/>
      <c r="R91" s="562" t="s">
        <v>10</v>
      </c>
      <c r="S91" s="56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481"/>
      <c r="D92" s="136" t="s">
        <v>11</v>
      </c>
      <c r="E92" s="81" t="s">
        <v>12</v>
      </c>
      <c r="F92" s="137" t="s">
        <v>13</v>
      </c>
      <c r="G92" s="138" t="s">
        <v>11</v>
      </c>
      <c r="H92" s="81" t="s">
        <v>12</v>
      </c>
      <c r="I92" s="137" t="s">
        <v>13</v>
      </c>
      <c r="J92" s="138" t="s">
        <v>11</v>
      </c>
      <c r="K92" s="81" t="s">
        <v>14</v>
      </c>
      <c r="L92" s="137" t="s">
        <v>13</v>
      </c>
      <c r="M92" s="138" t="s">
        <v>15</v>
      </c>
      <c r="N92" s="137" t="s">
        <v>13</v>
      </c>
      <c r="O92" s="81" t="s">
        <v>11</v>
      </c>
      <c r="P92" s="81" t="s">
        <v>14</v>
      </c>
      <c r="Q92" s="137" t="s">
        <v>13</v>
      </c>
      <c r="R92" s="138" t="s">
        <v>11</v>
      </c>
      <c r="S92" s="139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">
        <v>284</v>
      </c>
      <c r="B93" s="12" t="s">
        <v>74</v>
      </c>
      <c r="C93" s="88" t="s">
        <v>16</v>
      </c>
      <c r="D93" s="26"/>
      <c r="E93" s="26"/>
      <c r="F93" s="23">
        <v>1309285.666531493</v>
      </c>
      <c r="G93" s="47"/>
      <c r="H93" s="26"/>
      <c r="I93" s="23">
        <v>1309285.666531493</v>
      </c>
      <c r="J93" s="24"/>
      <c r="K93" s="26"/>
      <c r="L93" s="23">
        <v>1707858.5</v>
      </c>
      <c r="M93" s="140"/>
      <c r="N93" s="141"/>
      <c r="O93" s="24"/>
      <c r="P93" s="26"/>
      <c r="Q93" s="23">
        <v>1396259.35</v>
      </c>
      <c r="R93" s="140"/>
      <c r="S93" s="142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">
        <v>285</v>
      </c>
      <c r="B94" s="12" t="s">
        <v>74</v>
      </c>
      <c r="C94" s="481" t="s">
        <v>76</v>
      </c>
      <c r="D94" s="31">
        <v>39.963592233009706</v>
      </c>
      <c r="E94" s="31">
        <f>IF(D94=0,0,F94/D94)</f>
        <v>1300</v>
      </c>
      <c r="F94" s="31">
        <v>51952.669902912618</v>
      </c>
      <c r="G94" s="32">
        <v>39.963592233009706</v>
      </c>
      <c r="H94" s="31">
        <f>IF(G94=0,0,I94/G94)</f>
        <v>1300</v>
      </c>
      <c r="I94" s="31">
        <v>51952.669902912618</v>
      </c>
      <c r="J94" s="32">
        <v>37</v>
      </c>
      <c r="K94" s="31">
        <f t="shared" ref="K94:K95" si="30">IF(J94=0,0,L94/J94)</f>
        <v>1588.5048648648651</v>
      </c>
      <c r="L94" s="34">
        <v>58774.680000000008</v>
      </c>
      <c r="M94" s="32">
        <f>J94-G94</f>
        <v>-2.963592233009706</v>
      </c>
      <c r="N94" s="34">
        <f>L94-I94</f>
        <v>6822.01009708739</v>
      </c>
      <c r="O94" s="32">
        <v>39</v>
      </c>
      <c r="P94" s="31">
        <f t="shared" ref="P94:P95" si="31">IF(O94=0,0,Q94/O94)</f>
        <v>1016.9182051282044</v>
      </c>
      <c r="Q94" s="34">
        <v>39659.809999999969</v>
      </c>
      <c r="R94" s="32">
        <f t="shared" ref="R94:R95" si="32">J94-O94</f>
        <v>-2</v>
      </c>
      <c r="S94" s="35">
        <f t="shared" ref="S94:S95" si="33">L94-Q94</f>
        <v>19114.870000000039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">
        <v>286</v>
      </c>
      <c r="B95" s="12" t="s">
        <v>74</v>
      </c>
      <c r="C95" s="481" t="s">
        <v>77</v>
      </c>
      <c r="D95" s="31">
        <v>2.2451456310679614</v>
      </c>
      <c r="E95" s="26">
        <f t="shared" ref="E95:E104" si="34">IF(D95=0,0,F95/D95)</f>
        <v>900</v>
      </c>
      <c r="F95" s="31">
        <v>2020.6310679611652</v>
      </c>
      <c r="G95" s="32">
        <v>2.2451456310679614</v>
      </c>
      <c r="H95" s="31">
        <f t="shared" ref="H95:H97" si="35">IF(G95=0,0,I95/G95)</f>
        <v>900</v>
      </c>
      <c r="I95" s="31">
        <v>2020.6310679611652</v>
      </c>
      <c r="J95" s="32">
        <v>0</v>
      </c>
      <c r="K95" s="31">
        <f t="shared" si="30"/>
        <v>0</v>
      </c>
      <c r="L95" s="33">
        <v>0</v>
      </c>
      <c r="M95" s="32">
        <f>J95-G95</f>
        <v>-2.2451456310679614</v>
      </c>
      <c r="N95" s="34">
        <f>L95-I95</f>
        <v>-2020.6310679611652</v>
      </c>
      <c r="O95" s="32">
        <v>0</v>
      </c>
      <c r="P95" s="31">
        <f t="shared" si="31"/>
        <v>0</v>
      </c>
      <c r="Q95" s="33">
        <v>-585</v>
      </c>
      <c r="R95" s="32">
        <f t="shared" si="32"/>
        <v>0</v>
      </c>
      <c r="S95" s="35">
        <f t="shared" si="33"/>
        <v>585</v>
      </c>
      <c r="T95" s="14"/>
      <c r="U95" s="14"/>
      <c r="V95" s="14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">
        <v>287</v>
      </c>
      <c r="B96" s="12" t="s">
        <v>74</v>
      </c>
      <c r="C96" s="36" t="s">
        <v>78</v>
      </c>
      <c r="D96" s="37">
        <f>+D95+D94</f>
        <v>42.208737864077669</v>
      </c>
      <c r="E96" s="31">
        <f t="shared" si="34"/>
        <v>1278.7234042553191</v>
      </c>
      <c r="F96" s="38">
        <f t="shared" ref="F96" si="36">+F94+F95</f>
        <v>53973.300970873781</v>
      </c>
      <c r="G96" s="39">
        <f>+G95+G94</f>
        <v>42.208737864077669</v>
      </c>
      <c r="H96" s="37">
        <f t="shared" si="35"/>
        <v>1278.7234042553191</v>
      </c>
      <c r="I96" s="38">
        <f t="shared" ref="I96:J96" si="37">+I94+I95</f>
        <v>53973.300970873781</v>
      </c>
      <c r="J96" s="39">
        <f t="shared" si="37"/>
        <v>37</v>
      </c>
      <c r="K96" s="37">
        <f>IF(J96&lt;=0,0,L96/J96)</f>
        <v>1588.5048648648651</v>
      </c>
      <c r="L96" s="38">
        <f>+L94+L95</f>
        <v>58774.680000000008</v>
      </c>
      <c r="M96" s="39">
        <f>J96-G96</f>
        <v>-5.2087378640776691</v>
      </c>
      <c r="N96" s="38">
        <f>L96-I96</f>
        <v>4801.3790291262267</v>
      </c>
      <c r="O96" s="39">
        <f t="shared" ref="O96" si="38">+O94+O95</f>
        <v>39</v>
      </c>
      <c r="P96" s="37">
        <f>IF(O96&lt;=0,0,Q96/O96)</f>
        <v>1001.9182051282044</v>
      </c>
      <c r="Q96" s="38">
        <f>+Q94+Q95</f>
        <v>39074.809999999969</v>
      </c>
      <c r="R96" s="39">
        <f t="shared" ref="R96:S96" si="39">R94+R95</f>
        <v>-2</v>
      </c>
      <c r="S96" s="40">
        <f t="shared" si="39"/>
        <v>19699.870000000039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">
        <v>74</v>
      </c>
      <c r="B97" s="12" t="s">
        <v>74</v>
      </c>
      <c r="C97" s="481"/>
      <c r="D97" s="14"/>
      <c r="E97" s="31">
        <f t="shared" si="34"/>
        <v>0</v>
      </c>
      <c r="F97" s="41"/>
      <c r="G97" s="42"/>
      <c r="H97" s="14">
        <f t="shared" si="35"/>
        <v>0</v>
      </c>
      <c r="I97" s="41"/>
      <c r="J97" s="42"/>
      <c r="K97" s="14"/>
      <c r="L97" s="41"/>
      <c r="M97" s="506">
        <f>M96/G96</f>
        <v>-0.12340425531914892</v>
      </c>
      <c r="N97" s="507">
        <f>N96/I96</f>
        <v>8.8958409857445048E-2</v>
      </c>
      <c r="O97" s="42"/>
      <c r="P97" s="14"/>
      <c r="Q97" s="41"/>
      <c r="R97" s="506">
        <f>R96/O96</f>
        <v>-5.128205128205128E-2</v>
      </c>
      <c r="S97" s="508">
        <f>IF(Q96=0,0,(S96/Q96))</f>
        <v>0.50415779372951663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">
        <v>288</v>
      </c>
      <c r="B98" s="12" t="s">
        <v>74</v>
      </c>
      <c r="C98" s="481" t="s">
        <v>196</v>
      </c>
      <c r="D98" s="31"/>
      <c r="E98" s="31"/>
      <c r="F98" s="31"/>
      <c r="G98" s="3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 t="s">
        <v>498</v>
      </c>
      <c r="V98" s="31"/>
      <c r="W98" s="31"/>
      <c r="X98" s="31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">
        <v>289</v>
      </c>
      <c r="B99" s="12" t="s">
        <v>74</v>
      </c>
      <c r="C99" s="481" t="s">
        <v>79</v>
      </c>
      <c r="D99" s="31">
        <v>36.72974463995687</v>
      </c>
      <c r="E99" s="31">
        <f t="shared" si="34"/>
        <v>212</v>
      </c>
      <c r="F99" s="31">
        <v>7786.7058636708562</v>
      </c>
      <c r="G99" s="32">
        <v>36.72974463995687</v>
      </c>
      <c r="H99" s="31">
        <f t="shared" ref="H99:H104" si="40">IF(G99=0,0,I99/G99)</f>
        <v>212</v>
      </c>
      <c r="I99" s="31">
        <v>7786.7058636708562</v>
      </c>
      <c r="J99" s="32">
        <v>39</v>
      </c>
      <c r="K99" s="31">
        <f t="shared" ref="K99" si="41">IF(J99=0,0,L99/J99)</f>
        <v>330.44384615384757</v>
      </c>
      <c r="L99" s="34">
        <v>12887.310000000056</v>
      </c>
      <c r="M99" s="32">
        <f t="shared" ref="M99" si="42">J99-G99</f>
        <v>2.2702553600431301</v>
      </c>
      <c r="N99" s="34">
        <f t="shared" ref="N99" si="43">L99-I99</f>
        <v>5100.6041363291997</v>
      </c>
      <c r="O99" s="32">
        <v>35</v>
      </c>
      <c r="P99" s="31">
        <f t="shared" ref="P99" si="44">IF(O99=0,0,Q99/O99)</f>
        <v>277.83571428571429</v>
      </c>
      <c r="Q99" s="34">
        <v>9724.25</v>
      </c>
      <c r="R99" s="32">
        <f t="shared" ref="R99" si="45">J99-O99</f>
        <v>4</v>
      </c>
      <c r="S99" s="35">
        <f t="shared" ref="S99" si="46">L99-Q99</f>
        <v>3163.0600000000559</v>
      </c>
      <c r="T99" s="14"/>
      <c r="U99" s="14">
        <v>0.99</v>
      </c>
      <c r="V99" s="31">
        <f>+L99-U99</f>
        <v>12886.320000000056</v>
      </c>
      <c r="W99" s="14"/>
      <c r="X99" s="14"/>
      <c r="Y99" s="14"/>
      <c r="Z99" s="14"/>
      <c r="AA99" s="14"/>
      <c r="AB99" s="14"/>
      <c r="AC99" s="83"/>
      <c r="AD99" s="14"/>
      <c r="AE99" s="14"/>
      <c r="AF99" s="144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5"/>
      <c r="O100" s="52"/>
      <c r="P100" s="48"/>
      <c r="Q100" s="49"/>
      <c r="R100" s="50"/>
      <c r="S100" s="14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4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">
        <v>290</v>
      </c>
      <c r="B101" s="12" t="s">
        <v>74</v>
      </c>
      <c r="C101" s="481" t="s">
        <v>26</v>
      </c>
      <c r="D101" s="31">
        <v>0</v>
      </c>
      <c r="E101" s="31">
        <f t="shared" si="34"/>
        <v>0</v>
      </c>
      <c r="F101" s="34">
        <v>27813.908400979413</v>
      </c>
      <c r="G101" s="32">
        <v>0</v>
      </c>
      <c r="H101" s="31">
        <f t="shared" si="40"/>
        <v>0</v>
      </c>
      <c r="I101" s="31">
        <v>27813.908400979413</v>
      </c>
      <c r="J101" s="32"/>
      <c r="K101" s="31">
        <f>IF(J96=0,0,L101/J96)</f>
        <v>827.65405405405409</v>
      </c>
      <c r="L101" s="34">
        <v>30623.200000000001</v>
      </c>
      <c r="M101" s="32"/>
      <c r="N101" s="34">
        <f t="shared" ref="N101:N104" si="47">L101-I101</f>
        <v>2809.2915990205875</v>
      </c>
      <c r="O101" s="32"/>
      <c r="P101" s="31">
        <f>IF(O96=0,0,Q101/O96)</f>
        <v>594.32692307692309</v>
      </c>
      <c r="Q101" s="34">
        <v>23178.75</v>
      </c>
      <c r="R101" s="32">
        <f t="shared" ref="R101:R103" si="48">O101-K101</f>
        <v>-827.65405405405409</v>
      </c>
      <c r="S101" s="35">
        <f t="shared" ref="S101:S104" si="49">L101-Q101</f>
        <v>7444.4500000000007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">
        <v>291</v>
      </c>
      <c r="B102" s="12" t="s">
        <v>74</v>
      </c>
      <c r="C102" s="481" t="s">
        <v>27</v>
      </c>
      <c r="D102" s="31">
        <v>0</v>
      </c>
      <c r="E102" s="31">
        <f t="shared" si="34"/>
        <v>0</v>
      </c>
      <c r="F102" s="34">
        <v>49039.99753375732</v>
      </c>
      <c r="G102" s="32">
        <v>0</v>
      </c>
      <c r="H102" s="31">
        <f t="shared" si="40"/>
        <v>0</v>
      </c>
      <c r="I102" s="31">
        <v>49039.99753375732</v>
      </c>
      <c r="J102" s="32"/>
      <c r="K102" s="31">
        <f>IF(J96=0,0,L102/J96)</f>
        <v>1416.5567567567566</v>
      </c>
      <c r="L102" s="34">
        <v>52412.6</v>
      </c>
      <c r="M102" s="32"/>
      <c r="N102" s="34">
        <f t="shared" si="47"/>
        <v>3372.6024662426789</v>
      </c>
      <c r="O102" s="32"/>
      <c r="P102" s="31">
        <f>IF(O96=0,0,Q102/O96)</f>
        <v>1096.9953846153846</v>
      </c>
      <c r="Q102" s="34">
        <v>42782.82</v>
      </c>
      <c r="R102" s="32">
        <f t="shared" si="48"/>
        <v>-1416.5567567567566</v>
      </c>
      <c r="S102" s="35">
        <f t="shared" si="49"/>
        <v>9629.7799999999988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">
        <v>292</v>
      </c>
      <c r="B103" s="12" t="s">
        <v>74</v>
      </c>
      <c r="C103" s="481" t="s">
        <v>28</v>
      </c>
      <c r="D103" s="31">
        <v>0</v>
      </c>
      <c r="E103" s="26">
        <f t="shared" si="34"/>
        <v>0</v>
      </c>
      <c r="F103" s="34">
        <v>1390.9132991390363</v>
      </c>
      <c r="G103" s="32">
        <v>0</v>
      </c>
      <c r="H103" s="48">
        <f t="shared" si="40"/>
        <v>0</v>
      </c>
      <c r="I103" s="31">
        <v>1390.9132991390363</v>
      </c>
      <c r="J103" s="32"/>
      <c r="K103" s="48">
        <f>IF(J96=0,0,L103/J96)</f>
        <v>48.754594594594593</v>
      </c>
      <c r="L103" s="34">
        <v>1803.92</v>
      </c>
      <c r="M103" s="52"/>
      <c r="N103" s="34">
        <f t="shared" si="47"/>
        <v>413.00670086096375</v>
      </c>
      <c r="O103" s="32"/>
      <c r="P103" s="48">
        <f>IF(O96=0,0,Q103/O96)</f>
        <v>9.8456410256410258</v>
      </c>
      <c r="Q103" s="34">
        <v>383.98</v>
      </c>
      <c r="R103" s="32">
        <f t="shared" si="48"/>
        <v>-48.754594594594593</v>
      </c>
      <c r="S103" s="35">
        <f t="shared" si="49"/>
        <v>1419.94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">
        <v>293</v>
      </c>
      <c r="B104" s="12" t="s">
        <v>74</v>
      </c>
      <c r="C104" s="36" t="s">
        <v>29</v>
      </c>
      <c r="D104" s="37">
        <f>D96</f>
        <v>42.208737864077669</v>
      </c>
      <c r="E104" s="31">
        <f t="shared" si="34"/>
        <v>1853.758799560484</v>
      </c>
      <c r="F104" s="38">
        <f>F101+F102+F103</f>
        <v>78244.819233875765</v>
      </c>
      <c r="G104" s="39">
        <f>G96</f>
        <v>42.208737864077669</v>
      </c>
      <c r="H104" s="37">
        <f t="shared" si="40"/>
        <v>1853.758799560484</v>
      </c>
      <c r="I104" s="38">
        <f>I101+I102+I103</f>
        <v>78244.819233875765</v>
      </c>
      <c r="J104" s="39">
        <f>J96</f>
        <v>37</v>
      </c>
      <c r="K104" s="37">
        <f>IF(J104&lt;=0,0,L104/J104)</f>
        <v>2292.9654054054054</v>
      </c>
      <c r="L104" s="38">
        <f>L101+L102+L103</f>
        <v>84839.72</v>
      </c>
      <c r="M104" s="32">
        <f>J104-G104</f>
        <v>-5.2087378640776691</v>
      </c>
      <c r="N104" s="38">
        <f t="shared" si="47"/>
        <v>6594.9007661242358</v>
      </c>
      <c r="O104" s="39">
        <f>O96</f>
        <v>39</v>
      </c>
      <c r="P104" s="37">
        <f>IF(O104&lt;=0,0,Q104/O104)</f>
        <v>1701.1679487179488</v>
      </c>
      <c r="Q104" s="38">
        <f>Q101+Q102+Q103</f>
        <v>66345.55</v>
      </c>
      <c r="R104" s="57"/>
      <c r="S104" s="40">
        <f t="shared" si="49"/>
        <v>18494.169999999998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">
        <v>74</v>
      </c>
      <c r="B105" s="12" t="s">
        <v>74</v>
      </c>
      <c r="C105" s="481"/>
      <c r="D105" s="14"/>
      <c r="E105" s="14"/>
      <c r="F105" s="60"/>
      <c r="G105" s="42"/>
      <c r="H105" s="147"/>
      <c r="I105" s="60"/>
      <c r="J105" s="42"/>
      <c r="K105" s="14"/>
      <c r="L105" s="60"/>
      <c r="M105" s="43"/>
      <c r="N105" s="44">
        <f>N104/I104</f>
        <v>8.4285462356452109E-2</v>
      </c>
      <c r="O105" s="42"/>
      <c r="P105" s="14"/>
      <c r="Q105" s="60"/>
      <c r="R105" s="61"/>
      <c r="S105" s="45">
        <f>IF(Q104=0,0,(S104/Q104))</f>
        <v>0.27875524432309323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">
        <v>74</v>
      </c>
      <c r="B106" s="12" t="s">
        <v>74</v>
      </c>
      <c r="C106" s="481"/>
      <c r="D106" s="14"/>
      <c r="E106" s="14"/>
      <c r="F106" s="60"/>
      <c r="G106" s="42"/>
      <c r="H106" s="147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">
        <v>294</v>
      </c>
      <c r="B107" s="12" t="s">
        <v>74</v>
      </c>
      <c r="C107" s="63" t="s">
        <v>80</v>
      </c>
      <c r="D107" s="64">
        <f>D96+D99</f>
        <v>78.938482504034539</v>
      </c>
      <c r="E107" s="65">
        <f>IF(D107&lt;=0,0,F107/D107)</f>
        <v>1773.5940903255237</v>
      </c>
      <c r="F107" s="66">
        <f>F96+F104+F99</f>
        <v>140004.8260684204</v>
      </c>
      <c r="G107" s="67">
        <f>G96+G99</f>
        <v>78.938482504034539</v>
      </c>
      <c r="H107" s="68">
        <f>IF(G107&lt;=0,0,I107/G107)</f>
        <v>1773.5940903255237</v>
      </c>
      <c r="I107" s="66">
        <f>I96+I104+I99</f>
        <v>140004.8260684204</v>
      </c>
      <c r="J107" s="67">
        <f>J96+J99</f>
        <v>76</v>
      </c>
      <c r="K107" s="65">
        <f>IF(J107&lt;=0,0,L107/J107)</f>
        <v>2059.2330263157905</v>
      </c>
      <c r="L107" s="66">
        <f>L96+L104+L99</f>
        <v>156501.71000000008</v>
      </c>
      <c r="M107" s="67">
        <f>J107-G107</f>
        <v>-2.938482504034539</v>
      </c>
      <c r="N107" s="66">
        <f>L107-I107</f>
        <v>16496.883931579679</v>
      </c>
      <c r="O107" s="67">
        <f>O96+O99</f>
        <v>74</v>
      </c>
      <c r="P107" s="65">
        <f>IF(O107&lt;=0,0,Q107/O107)</f>
        <v>1556.0082432432428</v>
      </c>
      <c r="Q107" s="66">
        <f>Q96+Q104+Q99</f>
        <v>115144.60999999997</v>
      </c>
      <c r="R107" s="67">
        <f>J107-O107</f>
        <v>2</v>
      </c>
      <c r="S107" s="69">
        <f>L107-Q107</f>
        <v>41357.100000000108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-3.7224968238835268E-2</v>
      </c>
      <c r="N108" s="75">
        <f>N107/I107</f>
        <v>0.11783082337117184</v>
      </c>
      <c r="O108" s="73"/>
      <c r="P108" s="71"/>
      <c r="Q108" s="72"/>
      <c r="R108" s="74">
        <f>O107/R107</f>
        <v>37</v>
      </c>
      <c r="S108" s="148">
        <f>IF(Q107=0,0,(S107/Q107))</f>
        <v>0.35917530138840298</v>
      </c>
      <c r="T108" s="14"/>
      <c r="U108" s="14"/>
      <c r="V108" s="14">
        <f>45*300</f>
        <v>13500</v>
      </c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">
        <v>74</v>
      </c>
      <c r="B109" s="12" t="s">
        <v>74</v>
      </c>
      <c r="C109" s="48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">
        <v>295</v>
      </c>
      <c r="B110" s="12" t="s">
        <v>74</v>
      </c>
      <c r="C110" s="487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">
        <v>296</v>
      </c>
      <c r="B111" s="12" t="s">
        <v>74</v>
      </c>
      <c r="C111" s="481" t="s">
        <v>32</v>
      </c>
      <c r="D111" s="509">
        <f>F111/F96</f>
        <v>0.39080912443225257</v>
      </c>
      <c r="E111" s="83">
        <f t="shared" ref="E111:E119" si="50">F111/D$96</f>
        <v>499.73677400805059</v>
      </c>
      <c r="F111" s="31">
        <v>21093.25849514563</v>
      </c>
      <c r="G111" s="149">
        <f>I111/I96</f>
        <v>0.39080912443225257</v>
      </c>
      <c r="H111" s="83">
        <f t="shared" ref="H111:H119" si="51">I111/G$96</f>
        <v>499.73677400805059</v>
      </c>
      <c r="I111" s="31">
        <v>21093.25849514563</v>
      </c>
      <c r="J111" s="149">
        <f>L111/L96</f>
        <v>0.43744330041439605</v>
      </c>
      <c r="K111" s="83">
        <f t="shared" ref="K111:K119" si="52">IF($J$96=0,0,L111/(J$94+J$95))</f>
        <v>694.88081081081077</v>
      </c>
      <c r="L111" s="34">
        <v>25710.59</v>
      </c>
      <c r="M111" s="42"/>
      <c r="N111" s="60">
        <f t="shared" ref="N111:N152" si="53">L111-I111</f>
        <v>4617.33150485437</v>
      </c>
      <c r="O111" s="42"/>
      <c r="P111" s="83">
        <f t="shared" ref="P111:P119" si="54">IF($J$96=0,0,Q111/(O$94+O$95))</f>
        <v>527.1574358974359</v>
      </c>
      <c r="Q111" s="34">
        <v>20559.14</v>
      </c>
      <c r="R111" s="42"/>
      <c r="S111" s="86">
        <f t="shared" ref="S111:S152" si="55">L111-Q111</f>
        <v>5151.4500000000007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">
        <v>297</v>
      </c>
      <c r="B112" s="12" t="s">
        <v>74</v>
      </c>
      <c r="C112" s="88" t="s">
        <v>33</v>
      </c>
      <c r="D112" s="510">
        <f>F112/F104</f>
        <v>0.3</v>
      </c>
      <c r="E112" s="90">
        <f t="shared" si="50"/>
        <v>556.12763986814514</v>
      </c>
      <c r="F112" s="23">
        <v>23473.445770162729</v>
      </c>
      <c r="G112" s="93">
        <f>I112/I104</f>
        <v>0.3</v>
      </c>
      <c r="H112" s="90">
        <f t="shared" si="51"/>
        <v>556.12763986814514</v>
      </c>
      <c r="I112" s="23">
        <v>23473.445770162729</v>
      </c>
      <c r="J112" s="93">
        <f>L112/L104</f>
        <v>0.32434713363033257</v>
      </c>
      <c r="K112" s="90">
        <f t="shared" si="52"/>
        <v>743.71675675675681</v>
      </c>
      <c r="L112" s="34">
        <v>27517.52</v>
      </c>
      <c r="M112" s="24"/>
      <c r="N112" s="94">
        <f t="shared" si="53"/>
        <v>4044.0742298372716</v>
      </c>
      <c r="O112" s="24"/>
      <c r="P112" s="90">
        <f t="shared" si="54"/>
        <v>506.28846153846155</v>
      </c>
      <c r="Q112" s="34">
        <v>19745.25</v>
      </c>
      <c r="R112" s="24"/>
      <c r="S112" s="95">
        <f t="shared" si="55"/>
        <v>7772.27</v>
      </c>
      <c r="T112" s="14"/>
      <c r="U112" s="14"/>
      <c r="V112" s="12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">
        <v>298</v>
      </c>
      <c r="B113" s="12" t="s">
        <v>74</v>
      </c>
      <c r="C113" s="481" t="s">
        <v>34</v>
      </c>
      <c r="D113" s="82"/>
      <c r="E113" s="83">
        <f t="shared" si="50"/>
        <v>69.809353301886787</v>
      </c>
      <c r="F113" s="31">
        <v>2946.5646939801245</v>
      </c>
      <c r="G113" s="84"/>
      <c r="H113" s="83">
        <f t="shared" si="51"/>
        <v>69.809353301886787</v>
      </c>
      <c r="I113" s="31">
        <v>2946.5646939801245</v>
      </c>
      <c r="J113" s="42"/>
      <c r="K113" s="83">
        <f t="shared" si="52"/>
        <v>9.9956756756756757</v>
      </c>
      <c r="L113" s="111">
        <v>369.84</v>
      </c>
      <c r="M113" s="42"/>
      <c r="N113" s="60">
        <f t="shared" si="53"/>
        <v>-2576.7246939801244</v>
      </c>
      <c r="O113" s="42"/>
      <c r="P113" s="83">
        <f t="shared" si="54"/>
        <v>93.205128205128204</v>
      </c>
      <c r="Q113" s="111">
        <v>3635</v>
      </c>
      <c r="R113" s="42"/>
      <c r="S113" s="86">
        <f t="shared" si="55"/>
        <v>-3265.16</v>
      </c>
      <c r="T113" s="14"/>
      <c r="U113" s="14"/>
      <c r="V113" s="12"/>
      <c r="W113" s="87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">
        <v>299</v>
      </c>
      <c r="B114" s="12" t="s">
        <v>74</v>
      </c>
      <c r="C114" s="481" t="s">
        <v>35</v>
      </c>
      <c r="D114" s="82"/>
      <c r="E114" s="83">
        <f t="shared" si="50"/>
        <v>33.51101497641509</v>
      </c>
      <c r="F114" s="31">
        <v>1414.4576466986855</v>
      </c>
      <c r="G114" s="84"/>
      <c r="H114" s="83">
        <f t="shared" si="51"/>
        <v>33.51101497641509</v>
      </c>
      <c r="I114" s="31">
        <v>1414.4576466986855</v>
      </c>
      <c r="J114" s="42"/>
      <c r="K114" s="83">
        <f t="shared" si="52"/>
        <v>4.2067567567567572</v>
      </c>
      <c r="L114" s="34">
        <v>155.65</v>
      </c>
      <c r="M114" s="42"/>
      <c r="N114" s="60">
        <f t="shared" si="53"/>
        <v>-1258.8076466986854</v>
      </c>
      <c r="O114" s="42"/>
      <c r="P114" s="83">
        <f t="shared" si="54"/>
        <v>-20.075641025641026</v>
      </c>
      <c r="Q114" s="34">
        <v>-782.95</v>
      </c>
      <c r="R114" s="42"/>
      <c r="S114" s="86">
        <f t="shared" si="55"/>
        <v>938.6</v>
      </c>
      <c r="T114" s="14"/>
      <c r="U114" s="14"/>
      <c r="V114" s="12"/>
      <c r="W114" s="87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">
        <v>300</v>
      </c>
      <c r="B115" s="12" t="s">
        <v>74</v>
      </c>
      <c r="C115" s="88" t="s">
        <v>36</v>
      </c>
      <c r="D115" s="89"/>
      <c r="E115" s="90">
        <f t="shared" si="50"/>
        <v>88.549952830188673</v>
      </c>
      <c r="F115" s="23">
        <v>3737.5817468858763</v>
      </c>
      <c r="G115" s="91"/>
      <c r="H115" s="90">
        <f t="shared" si="51"/>
        <v>88.549952830188673</v>
      </c>
      <c r="I115" s="23">
        <v>3737.5817468858763</v>
      </c>
      <c r="J115" s="24"/>
      <c r="K115" s="90">
        <f t="shared" si="52"/>
        <v>164.03918918918919</v>
      </c>
      <c r="L115" s="49">
        <v>6069.45</v>
      </c>
      <c r="M115" s="24"/>
      <c r="N115" s="94">
        <f t="shared" si="53"/>
        <v>2331.8682531141235</v>
      </c>
      <c r="O115" s="24"/>
      <c r="P115" s="90">
        <f t="shared" si="54"/>
        <v>65.743589743589737</v>
      </c>
      <c r="Q115" s="49">
        <v>2564</v>
      </c>
      <c r="R115" s="24"/>
      <c r="S115" s="95">
        <f t="shared" si="55"/>
        <v>3505.45</v>
      </c>
      <c r="T115" s="14"/>
      <c r="U115" s="83"/>
      <c r="V115" s="12"/>
      <c r="W115" s="87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">
        <v>301</v>
      </c>
      <c r="B116" s="12" t="s">
        <v>74</v>
      </c>
      <c r="C116" s="481" t="s">
        <v>37</v>
      </c>
      <c r="D116" s="82"/>
      <c r="E116" s="83">
        <f t="shared" si="50"/>
        <v>42.755319148936195</v>
      </c>
      <c r="F116" s="31">
        <v>1804.6480582524282</v>
      </c>
      <c r="G116" s="84"/>
      <c r="H116" s="83">
        <f t="shared" si="51"/>
        <v>42.755319148936195</v>
      </c>
      <c r="I116" s="31">
        <v>1804.6480582524282</v>
      </c>
      <c r="J116" s="42"/>
      <c r="K116" s="83">
        <f t="shared" si="52"/>
        <v>199.10702702702702</v>
      </c>
      <c r="L116" s="34">
        <v>7366.9599999999991</v>
      </c>
      <c r="M116" s="42"/>
      <c r="N116" s="60">
        <f t="shared" si="53"/>
        <v>5562.3119417475709</v>
      </c>
      <c r="O116" s="42"/>
      <c r="P116" s="83">
        <f t="shared" si="54"/>
        <v>57.193589743589747</v>
      </c>
      <c r="Q116" s="34">
        <v>2230.5500000000002</v>
      </c>
      <c r="R116" s="42"/>
      <c r="S116" s="86">
        <f t="shared" si="55"/>
        <v>5136.4099999999989</v>
      </c>
      <c r="T116" s="14"/>
      <c r="U116" s="14"/>
      <c r="V116" s="12"/>
      <c r="W116" s="87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">
        <v>302</v>
      </c>
      <c r="B117" s="12" t="s">
        <v>74</v>
      </c>
      <c r="C117" s="481" t="s">
        <v>38</v>
      </c>
      <c r="D117" s="82"/>
      <c r="E117" s="83">
        <f t="shared" si="50"/>
        <v>19.207349882211137</v>
      </c>
      <c r="F117" s="31">
        <v>810.71799624187304</v>
      </c>
      <c r="G117" s="84"/>
      <c r="H117" s="83">
        <f t="shared" si="51"/>
        <v>19.207349882211137</v>
      </c>
      <c r="I117" s="31">
        <v>810.71799624187304</v>
      </c>
      <c r="J117" s="42"/>
      <c r="K117" s="83">
        <f t="shared" si="52"/>
        <v>104.4645945945946</v>
      </c>
      <c r="L117" s="34">
        <v>3865.19</v>
      </c>
      <c r="M117" s="42"/>
      <c r="N117" s="60">
        <f t="shared" si="53"/>
        <v>3054.4720037581269</v>
      </c>
      <c r="O117" s="42"/>
      <c r="P117" s="83">
        <f t="shared" si="54"/>
        <v>7.5702564102564107</v>
      </c>
      <c r="Q117" s="34">
        <v>295.24</v>
      </c>
      <c r="R117" s="42"/>
      <c r="S117" s="86">
        <f t="shared" si="55"/>
        <v>3569.95</v>
      </c>
      <c r="T117" s="14"/>
      <c r="U117" s="14"/>
      <c r="V117" s="14"/>
      <c r="W117" s="31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">
        <v>303</v>
      </c>
      <c r="B118" s="12" t="s">
        <v>74</v>
      </c>
      <c r="C118" s="481" t="s">
        <v>21</v>
      </c>
      <c r="D118" s="82"/>
      <c r="E118" s="83">
        <f t="shared" si="50"/>
        <v>0</v>
      </c>
      <c r="F118" s="31">
        <v>0</v>
      </c>
      <c r="G118" s="84"/>
      <c r="H118" s="83">
        <f t="shared" si="51"/>
        <v>0</v>
      </c>
      <c r="I118" s="31">
        <v>0</v>
      </c>
      <c r="J118" s="42"/>
      <c r="K118" s="83">
        <f t="shared" si="52"/>
        <v>0</v>
      </c>
      <c r="L118" s="34">
        <v>0</v>
      </c>
      <c r="M118" s="42"/>
      <c r="N118" s="60">
        <f t="shared" si="53"/>
        <v>0</v>
      </c>
      <c r="O118" s="42"/>
      <c r="P118" s="83">
        <f t="shared" si="54"/>
        <v>0</v>
      </c>
      <c r="Q118" s="34">
        <v>0</v>
      </c>
      <c r="R118" s="42"/>
      <c r="S118" s="86">
        <f t="shared" si="55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">
        <v>303</v>
      </c>
      <c r="B119" s="12" t="s">
        <v>74</v>
      </c>
      <c r="C119" s="481" t="s">
        <v>21</v>
      </c>
      <c r="D119" s="82"/>
      <c r="E119" s="83">
        <f t="shared" si="50"/>
        <v>0</v>
      </c>
      <c r="F119" s="31">
        <v>0</v>
      </c>
      <c r="G119" s="84"/>
      <c r="H119" s="83">
        <f t="shared" si="51"/>
        <v>0</v>
      </c>
      <c r="I119" s="31">
        <v>0</v>
      </c>
      <c r="J119" s="42"/>
      <c r="K119" s="83">
        <f t="shared" si="52"/>
        <v>0</v>
      </c>
      <c r="L119" s="34">
        <v>0</v>
      </c>
      <c r="M119" s="42"/>
      <c r="N119" s="60">
        <f t="shared" si="53"/>
        <v>0</v>
      </c>
      <c r="O119" s="42"/>
      <c r="P119" s="83">
        <f t="shared" si="54"/>
        <v>0</v>
      </c>
      <c r="Q119" s="34">
        <v>0</v>
      </c>
      <c r="R119" s="42"/>
      <c r="S119" s="86">
        <f t="shared" si="55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">
        <v>303</v>
      </c>
      <c r="B120" s="12" t="s">
        <v>74</v>
      </c>
      <c r="C120" s="481" t="s">
        <v>21</v>
      </c>
      <c r="D120" s="82"/>
      <c r="E120" s="83">
        <f>F120/D$96</f>
        <v>0</v>
      </c>
      <c r="F120" s="31">
        <v>0</v>
      </c>
      <c r="G120" s="84"/>
      <c r="H120" s="83">
        <f>I120/G$96</f>
        <v>0</v>
      </c>
      <c r="I120" s="31">
        <v>0</v>
      </c>
      <c r="J120" s="42"/>
      <c r="K120" s="83">
        <f>IF($J$96=0,0,L120/(J$94+J$95))</f>
        <v>0</v>
      </c>
      <c r="L120" s="34">
        <v>0</v>
      </c>
      <c r="M120" s="42"/>
      <c r="N120" s="60">
        <f t="shared" si="53"/>
        <v>0</v>
      </c>
      <c r="O120" s="42"/>
      <c r="P120" s="83">
        <f>IF($J$96=0,0,Q120/(O$94+O$95))</f>
        <v>0</v>
      </c>
      <c r="Q120" s="34">
        <v>0</v>
      </c>
      <c r="R120" s="42"/>
      <c r="S120" s="86">
        <f t="shared" si="55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">
        <v>304</v>
      </c>
      <c r="B121" s="12" t="s">
        <v>74</v>
      </c>
      <c r="C121" s="96" t="s">
        <v>39</v>
      </c>
      <c r="D121" s="97" t="s">
        <v>40</v>
      </c>
      <c r="E121" s="98">
        <f>F121/F$107</f>
        <v>0.39484834887300002</v>
      </c>
      <c r="F121" s="99">
        <f>SUM(F111:F120)</f>
        <v>55280.674407367347</v>
      </c>
      <c r="G121" s="100" t="s">
        <v>40</v>
      </c>
      <c r="H121" s="98">
        <f>I121/I$107</f>
        <v>0.39484834887300002</v>
      </c>
      <c r="I121" s="99">
        <f>SUM(I111:I120)</f>
        <v>55280.674407367347</v>
      </c>
      <c r="J121" s="100" t="s">
        <v>40</v>
      </c>
      <c r="K121" s="98">
        <f>L121/L$107</f>
        <v>0.45402187618269452</v>
      </c>
      <c r="L121" s="99">
        <f>SUM(L111:L120)</f>
        <v>71055.199999999997</v>
      </c>
      <c r="M121" s="103"/>
      <c r="N121" s="99">
        <f t="shared" si="53"/>
        <v>15774.52559263265</v>
      </c>
      <c r="O121" s="100" t="s">
        <v>40</v>
      </c>
      <c r="P121" s="98">
        <f>Q121/Q$107</f>
        <v>0.4190055444193177</v>
      </c>
      <c r="Q121" s="99">
        <f>SUM(Q111:Q120)</f>
        <v>48246.23</v>
      </c>
      <c r="R121" s="103"/>
      <c r="S121" s="104">
        <f t="shared" si="55"/>
        <v>22808.969999999994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">
        <v>305</v>
      </c>
      <c r="B122" s="12" t="s">
        <v>74</v>
      </c>
      <c r="C122" s="494" t="s">
        <v>42</v>
      </c>
      <c r="D122" s="14"/>
      <c r="E122" s="14"/>
      <c r="F122" s="31">
        <v>8074.4819923371651</v>
      </c>
      <c r="G122" s="42"/>
      <c r="H122" s="14"/>
      <c r="I122" s="31">
        <v>8074.4819923371651</v>
      </c>
      <c r="J122" s="42"/>
      <c r="K122" s="14"/>
      <c r="L122" s="34">
        <v>10443.5</v>
      </c>
      <c r="M122" s="42"/>
      <c r="N122" s="60">
        <f t="shared" si="53"/>
        <v>2369.0180076628349</v>
      </c>
      <c r="O122" s="42"/>
      <c r="P122" s="14"/>
      <c r="Q122" s="34">
        <v>7106.05</v>
      </c>
      <c r="R122" s="42"/>
      <c r="S122" s="86">
        <f t="shared" si="55"/>
        <v>3337.45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">
        <v>306</v>
      </c>
      <c r="B123" s="12" t="s">
        <v>74</v>
      </c>
      <c r="C123" s="106" t="s">
        <v>43</v>
      </c>
      <c r="D123" s="82"/>
      <c r="E123" s="14"/>
      <c r="F123" s="23">
        <v>2182.6728393409962</v>
      </c>
      <c r="G123" s="84"/>
      <c r="H123" s="14"/>
      <c r="I123" s="23">
        <v>2182.6728393409962</v>
      </c>
      <c r="J123" s="42"/>
      <c r="K123" s="14"/>
      <c r="L123" s="23">
        <v>1645.01</v>
      </c>
      <c r="M123" s="42"/>
      <c r="N123" s="60">
        <f t="shared" si="53"/>
        <v>-537.66283934099624</v>
      </c>
      <c r="O123" s="42"/>
      <c r="P123" s="14"/>
      <c r="Q123" s="23">
        <v>2049.46</v>
      </c>
      <c r="R123" s="42"/>
      <c r="S123" s="86">
        <f t="shared" si="55"/>
        <v>-404.45000000000005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">
        <v>307</v>
      </c>
      <c r="B124" s="12" t="s">
        <v>74</v>
      </c>
      <c r="C124" s="494" t="s">
        <v>44</v>
      </c>
      <c r="D124" s="107"/>
      <c r="E124" s="108"/>
      <c r="F124" s="31">
        <v>8189.7951351417623</v>
      </c>
      <c r="G124" s="109"/>
      <c r="H124" s="108"/>
      <c r="I124" s="31">
        <v>8189.7951351417623</v>
      </c>
      <c r="J124" s="110"/>
      <c r="K124" s="108"/>
      <c r="L124" s="34">
        <v>7295.31</v>
      </c>
      <c r="M124" s="110"/>
      <c r="N124" s="112">
        <f t="shared" si="53"/>
        <v>-894.48513514176193</v>
      </c>
      <c r="O124" s="110"/>
      <c r="P124" s="108"/>
      <c r="Q124" s="34">
        <v>8217.7999999999993</v>
      </c>
      <c r="R124" s="110"/>
      <c r="S124" s="113">
        <f t="shared" si="55"/>
        <v>-922.48999999999887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">
        <v>308</v>
      </c>
      <c r="B125" s="12" t="s">
        <v>74</v>
      </c>
      <c r="C125" s="494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f t="shared" si="53"/>
        <v>0</v>
      </c>
      <c r="O125" s="42"/>
      <c r="P125" s="14"/>
      <c r="Q125" s="34">
        <v>0</v>
      </c>
      <c r="R125" s="42"/>
      <c r="S125" s="86">
        <f t="shared" si="55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">
        <v>303</v>
      </c>
      <c r="B126" s="12" t="s">
        <v>74</v>
      </c>
      <c r="C126" s="494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f t="shared" si="53"/>
        <v>0</v>
      </c>
      <c r="O126" s="42"/>
      <c r="P126" s="14"/>
      <c r="Q126" s="34">
        <v>0</v>
      </c>
      <c r="R126" s="42"/>
      <c r="S126" s="86">
        <f t="shared" si="55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">
        <v>303</v>
      </c>
      <c r="B127" s="12" t="s">
        <v>74</v>
      </c>
      <c r="C127" s="494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f t="shared" si="53"/>
        <v>0</v>
      </c>
      <c r="O127" s="42"/>
      <c r="P127" s="14"/>
      <c r="Q127" s="34">
        <v>0</v>
      </c>
      <c r="R127" s="42"/>
      <c r="S127" s="86">
        <f t="shared" si="55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">
        <v>303</v>
      </c>
      <c r="B128" s="12" t="s">
        <v>74</v>
      </c>
      <c r="C128" s="494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f t="shared" si="53"/>
        <v>0</v>
      </c>
      <c r="O128" s="42"/>
      <c r="P128" s="14"/>
      <c r="Q128" s="34">
        <v>0</v>
      </c>
      <c r="R128" s="42"/>
      <c r="S128" s="86">
        <f t="shared" si="55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">
        <v>309</v>
      </c>
      <c r="B129" s="12" t="s">
        <v>74</v>
      </c>
      <c r="C129" s="106" t="s">
        <v>46</v>
      </c>
      <c r="D129" s="82"/>
      <c r="E129" s="14"/>
      <c r="F129" s="31">
        <v>7353.1144391911384</v>
      </c>
      <c r="G129" s="84"/>
      <c r="H129" s="14"/>
      <c r="I129" s="31">
        <v>7353.1144391911384</v>
      </c>
      <c r="J129" s="42"/>
      <c r="K129" s="14"/>
      <c r="L129" s="34">
        <v>2800.34</v>
      </c>
      <c r="M129" s="42"/>
      <c r="N129" s="60">
        <f t="shared" si="53"/>
        <v>-4552.7744391911383</v>
      </c>
      <c r="O129" s="42"/>
      <c r="P129" s="14"/>
      <c r="Q129" s="34">
        <v>2338.4499999999998</v>
      </c>
      <c r="R129" s="42"/>
      <c r="S129" s="86">
        <f t="shared" si="55"/>
        <v>461.89000000000033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">
        <v>310</v>
      </c>
      <c r="B130" s="12" t="s">
        <v>74</v>
      </c>
      <c r="C130" s="494" t="s">
        <v>47</v>
      </c>
      <c r="D130" s="107"/>
      <c r="E130" s="108"/>
      <c r="F130" s="55">
        <v>6585.4677166530855</v>
      </c>
      <c r="G130" s="109"/>
      <c r="H130" s="108"/>
      <c r="I130" s="55">
        <v>6585.4677166530855</v>
      </c>
      <c r="J130" s="110"/>
      <c r="K130" s="108"/>
      <c r="L130" s="56">
        <v>2944.08</v>
      </c>
      <c r="M130" s="110"/>
      <c r="N130" s="112">
        <f t="shared" si="53"/>
        <v>-3641.3877166530856</v>
      </c>
      <c r="O130" s="110"/>
      <c r="P130" s="108"/>
      <c r="Q130" s="56">
        <v>6577.01</v>
      </c>
      <c r="R130" s="110"/>
      <c r="S130" s="113">
        <f t="shared" si="55"/>
        <v>-3632.9300000000003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">
        <v>311</v>
      </c>
      <c r="B131" s="12" t="s">
        <v>74</v>
      </c>
      <c r="C131" s="494" t="s">
        <v>48</v>
      </c>
      <c r="D131" s="82"/>
      <c r="E131" s="14"/>
      <c r="F131" s="31">
        <v>5229.6361279303919</v>
      </c>
      <c r="G131" s="84"/>
      <c r="H131" s="14"/>
      <c r="I131" s="31">
        <v>5229.6361279303919</v>
      </c>
      <c r="J131" s="42"/>
      <c r="K131" s="14"/>
      <c r="L131" s="34">
        <v>2633.09</v>
      </c>
      <c r="M131" s="42"/>
      <c r="N131" s="60">
        <f t="shared" si="53"/>
        <v>-2596.5461279303918</v>
      </c>
      <c r="O131" s="42"/>
      <c r="P131" s="14"/>
      <c r="Q131" s="34">
        <v>4713.5200000000004</v>
      </c>
      <c r="R131" s="42"/>
      <c r="S131" s="86">
        <f t="shared" si="55"/>
        <v>-2080.4300000000003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">
        <v>312</v>
      </c>
      <c r="B132" s="12" t="s">
        <v>74</v>
      </c>
      <c r="C132" s="494" t="s">
        <v>49</v>
      </c>
      <c r="D132" s="82"/>
      <c r="E132" s="14"/>
      <c r="F132" s="31">
        <v>2130.5924965642339</v>
      </c>
      <c r="G132" s="84"/>
      <c r="H132" s="14"/>
      <c r="I132" s="31">
        <v>2130.5924965642339</v>
      </c>
      <c r="J132" s="42"/>
      <c r="K132" s="14"/>
      <c r="L132" s="34">
        <v>1012</v>
      </c>
      <c r="M132" s="42"/>
      <c r="N132" s="60">
        <f t="shared" si="53"/>
        <v>-1118.5924965642339</v>
      </c>
      <c r="O132" s="42"/>
      <c r="P132" s="14"/>
      <c r="Q132" s="34">
        <v>1096.17</v>
      </c>
      <c r="R132" s="42"/>
      <c r="S132" s="86">
        <f t="shared" si="55"/>
        <v>-84.170000000000073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">
        <v>303</v>
      </c>
      <c r="B133" s="12" t="s">
        <v>74</v>
      </c>
      <c r="C133" s="481" t="s">
        <v>21</v>
      </c>
      <c r="D133" s="89"/>
      <c r="E133" s="114"/>
      <c r="F133" s="31">
        <v>0</v>
      </c>
      <c r="G133" s="91"/>
      <c r="H133" s="114"/>
      <c r="I133" s="31">
        <v>0</v>
      </c>
      <c r="J133" s="24"/>
      <c r="K133" s="114"/>
      <c r="L133" s="34">
        <v>0</v>
      </c>
      <c r="M133" s="24"/>
      <c r="N133" s="150">
        <f t="shared" si="53"/>
        <v>0</v>
      </c>
      <c r="O133" s="24"/>
      <c r="P133" s="114"/>
      <c r="Q133" s="34">
        <v>0</v>
      </c>
      <c r="R133" s="24"/>
      <c r="S133" s="95">
        <f t="shared" si="55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">
        <v>313</v>
      </c>
      <c r="B134" s="12" t="s">
        <v>74</v>
      </c>
      <c r="C134" s="96" t="s">
        <v>50</v>
      </c>
      <c r="D134" s="97" t="s">
        <v>40</v>
      </c>
      <c r="E134" s="98">
        <f>F134/F$107</f>
        <v>0.28388850487007505</v>
      </c>
      <c r="F134" s="99">
        <f>+SUM(F122:F133)</f>
        <v>39745.760747158776</v>
      </c>
      <c r="G134" s="100" t="s">
        <v>40</v>
      </c>
      <c r="H134" s="98">
        <f>I134/I$107</f>
        <v>0.28388850487007505</v>
      </c>
      <c r="I134" s="99">
        <f>+SUM(I122:I133)</f>
        <v>39745.760747158776</v>
      </c>
      <c r="J134" s="100" t="s">
        <v>40</v>
      </c>
      <c r="K134" s="98">
        <f>L134/L$107</f>
        <v>0.18385313489545888</v>
      </c>
      <c r="L134" s="99">
        <f>SUM(L122:L133)</f>
        <v>28773.329999999998</v>
      </c>
      <c r="M134" s="151"/>
      <c r="N134" s="116">
        <f t="shared" si="53"/>
        <v>-10972.430747158778</v>
      </c>
      <c r="O134" s="100" t="s">
        <v>40</v>
      </c>
      <c r="P134" s="98">
        <f>Q134/Q$107</f>
        <v>0.27876650066381747</v>
      </c>
      <c r="Q134" s="99">
        <f>SUM(Q122:Q133)</f>
        <v>32098.46</v>
      </c>
      <c r="R134" s="151"/>
      <c r="S134" s="117">
        <f t="shared" si="55"/>
        <v>-3325.130000000001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">
        <v>314</v>
      </c>
      <c r="B135" s="12" t="s">
        <v>74</v>
      </c>
      <c r="C135" s="481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f t="shared" si="53"/>
        <v>0</v>
      </c>
      <c r="O135" s="42"/>
      <c r="P135" s="14"/>
      <c r="Q135" s="34">
        <v>0</v>
      </c>
      <c r="R135" s="42"/>
      <c r="S135" s="86">
        <f t="shared" si="55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">
        <v>315</v>
      </c>
      <c r="B136" s="12" t="s">
        <v>74</v>
      </c>
      <c r="C136" s="481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f t="shared" si="53"/>
        <v>0</v>
      </c>
      <c r="O136" s="42"/>
      <c r="P136" s="14"/>
      <c r="Q136" s="34">
        <v>0</v>
      </c>
      <c r="R136" s="42"/>
      <c r="S136" s="86">
        <f t="shared" si="55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">
        <v>316</v>
      </c>
      <c r="B137" s="12" t="s">
        <v>74</v>
      </c>
      <c r="C137" s="88" t="s">
        <v>53</v>
      </c>
      <c r="D137" s="89"/>
      <c r="E137" s="114"/>
      <c r="F137" s="23">
        <v>125.03999999999999</v>
      </c>
      <c r="G137" s="91"/>
      <c r="H137" s="114"/>
      <c r="I137" s="23">
        <v>125.03999999999999</v>
      </c>
      <c r="J137" s="24"/>
      <c r="K137" s="114"/>
      <c r="L137" s="23">
        <v>132.36000000000001</v>
      </c>
      <c r="M137" s="24"/>
      <c r="N137" s="94">
        <f t="shared" si="53"/>
        <v>7.3200000000000216</v>
      </c>
      <c r="O137" s="24"/>
      <c r="P137" s="114"/>
      <c r="Q137" s="23">
        <v>-429.29</v>
      </c>
      <c r="R137" s="24"/>
      <c r="S137" s="95">
        <f t="shared" si="55"/>
        <v>561.65000000000009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">
        <v>317</v>
      </c>
      <c r="B138" s="12" t="s">
        <v>74</v>
      </c>
      <c r="C138" s="481" t="s">
        <v>54</v>
      </c>
      <c r="D138" s="82"/>
      <c r="E138" s="14"/>
      <c r="F138" s="31">
        <v>2428.3689099999997</v>
      </c>
      <c r="G138" s="84"/>
      <c r="H138" s="14"/>
      <c r="I138" s="31">
        <v>2428.3689099999997</v>
      </c>
      <c r="J138" s="42"/>
      <c r="K138" s="14"/>
      <c r="L138" s="34">
        <v>2724.57</v>
      </c>
      <c r="M138" s="42"/>
      <c r="N138" s="60">
        <f t="shared" si="53"/>
        <v>296.20109000000048</v>
      </c>
      <c r="O138" s="42"/>
      <c r="P138" s="14"/>
      <c r="Q138" s="34">
        <v>2159.73</v>
      </c>
      <c r="R138" s="42"/>
      <c r="S138" s="86">
        <f t="shared" si="55"/>
        <v>564.84000000000015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">
        <v>318</v>
      </c>
      <c r="B139" s="12" t="s">
        <v>74</v>
      </c>
      <c r="C139" s="481" t="s">
        <v>55</v>
      </c>
      <c r="D139" s="82"/>
      <c r="E139" s="14"/>
      <c r="F139" s="31">
        <v>297.05317500000001</v>
      </c>
      <c r="G139" s="84"/>
      <c r="H139" s="14"/>
      <c r="I139" s="31">
        <v>297.05317500000001</v>
      </c>
      <c r="J139" s="42"/>
      <c r="K139" s="14"/>
      <c r="L139" s="34">
        <v>324.92</v>
      </c>
      <c r="M139" s="42"/>
      <c r="N139" s="60">
        <f t="shared" si="53"/>
        <v>27.866825000000006</v>
      </c>
      <c r="O139" s="42"/>
      <c r="P139" s="14"/>
      <c r="Q139" s="34">
        <v>81.650000000000006</v>
      </c>
      <c r="R139" s="42"/>
      <c r="S139" s="86">
        <f t="shared" si="55"/>
        <v>243.27</v>
      </c>
      <c r="T139" s="152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">
        <v>319</v>
      </c>
      <c r="B140" s="12" t="s">
        <v>74</v>
      </c>
      <c r="C140" s="88" t="s">
        <v>56</v>
      </c>
      <c r="D140" s="89"/>
      <c r="E140" s="114"/>
      <c r="F140" s="23">
        <v>1414.7634666666665</v>
      </c>
      <c r="G140" s="91"/>
      <c r="H140" s="114"/>
      <c r="I140" s="23">
        <v>1414.7634666666665</v>
      </c>
      <c r="J140" s="24"/>
      <c r="K140" s="114"/>
      <c r="L140" s="23">
        <v>921.36</v>
      </c>
      <c r="M140" s="24"/>
      <c r="N140" s="94">
        <f t="shared" si="53"/>
        <v>-493.40346666666653</v>
      </c>
      <c r="O140" s="24"/>
      <c r="P140" s="114"/>
      <c r="Q140" s="23">
        <v>907.8</v>
      </c>
      <c r="R140" s="24"/>
      <c r="S140" s="95">
        <f t="shared" si="55"/>
        <v>13.560000000000059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">
        <v>320</v>
      </c>
      <c r="B141" s="12" t="s">
        <v>74</v>
      </c>
      <c r="C141" s="481" t="s">
        <v>57</v>
      </c>
      <c r="D141" s="82"/>
      <c r="E141" s="14"/>
      <c r="F141" s="31">
        <v>94.464662279440972</v>
      </c>
      <c r="G141" s="84"/>
      <c r="H141" s="14"/>
      <c r="I141" s="31">
        <v>94.464662279440972</v>
      </c>
      <c r="J141" s="42"/>
      <c r="K141" s="14"/>
      <c r="L141" s="34">
        <v>620.41</v>
      </c>
      <c r="M141" s="42"/>
      <c r="N141" s="60">
        <f t="shared" si="53"/>
        <v>525.945337720559</v>
      </c>
      <c r="O141" s="42"/>
      <c r="P141" s="14"/>
      <c r="Q141" s="34">
        <v>2.79</v>
      </c>
      <c r="R141" s="42"/>
      <c r="S141" s="86">
        <f t="shared" si="55"/>
        <v>617.62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">
        <v>321</v>
      </c>
      <c r="B142" s="12" t="s">
        <v>74</v>
      </c>
      <c r="C142" s="481" t="s">
        <v>58</v>
      </c>
      <c r="D142" s="82"/>
      <c r="E142" s="14"/>
      <c r="F142" s="31">
        <v>50.196038268857535</v>
      </c>
      <c r="G142" s="84"/>
      <c r="H142" s="14"/>
      <c r="I142" s="31">
        <v>50.196038268857535</v>
      </c>
      <c r="J142" s="42"/>
      <c r="K142" s="14"/>
      <c r="L142" s="34">
        <v>0</v>
      </c>
      <c r="M142" s="42"/>
      <c r="N142" s="60">
        <f t="shared" si="53"/>
        <v>-50.196038268857535</v>
      </c>
      <c r="O142" s="42"/>
      <c r="P142" s="14"/>
      <c r="Q142" s="34">
        <v>0</v>
      </c>
      <c r="R142" s="42"/>
      <c r="S142" s="86">
        <f t="shared" si="55"/>
        <v>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">
        <v>322</v>
      </c>
      <c r="B143" s="12" t="s">
        <v>74</v>
      </c>
      <c r="C143" s="481" t="s">
        <v>59</v>
      </c>
      <c r="D143" s="82"/>
      <c r="E143" s="14"/>
      <c r="F143" s="31">
        <v>244.82411999999999</v>
      </c>
      <c r="G143" s="84"/>
      <c r="H143" s="14"/>
      <c r="I143" s="31">
        <v>244.82411999999999</v>
      </c>
      <c r="J143" s="42"/>
      <c r="K143" s="14"/>
      <c r="L143" s="33">
        <v>260.38</v>
      </c>
      <c r="M143" s="42"/>
      <c r="N143" s="60">
        <f t="shared" si="53"/>
        <v>15.555880000000002</v>
      </c>
      <c r="O143" s="42"/>
      <c r="P143" s="14"/>
      <c r="Q143" s="33">
        <v>286.33</v>
      </c>
      <c r="R143" s="42"/>
      <c r="S143" s="86">
        <f t="shared" si="55"/>
        <v>-25.949999999999989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">
        <v>323</v>
      </c>
      <c r="B144" s="12" t="s">
        <v>74</v>
      </c>
      <c r="C144" s="481" t="s">
        <v>60</v>
      </c>
      <c r="D144" s="82"/>
      <c r="E144" s="14"/>
      <c r="F144" s="31">
        <v>113.04919750000001</v>
      </c>
      <c r="G144" s="84"/>
      <c r="H144" s="14"/>
      <c r="I144" s="31">
        <v>113.04919750000001</v>
      </c>
      <c r="J144" s="42"/>
      <c r="K144" s="14"/>
      <c r="L144" s="34">
        <v>41.68</v>
      </c>
      <c r="M144" s="42"/>
      <c r="N144" s="60">
        <f t="shared" si="53"/>
        <v>-71.369197500000013</v>
      </c>
      <c r="O144" s="42"/>
      <c r="P144" s="14"/>
      <c r="Q144" s="34">
        <v>33.78</v>
      </c>
      <c r="R144" s="42"/>
      <c r="S144" s="86">
        <f t="shared" si="55"/>
        <v>7.8999999999999986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">
        <v>324</v>
      </c>
      <c r="B145" s="12" t="s">
        <v>74</v>
      </c>
      <c r="C145" s="481" t="s">
        <v>61</v>
      </c>
      <c r="D145" s="82"/>
      <c r="E145" s="14"/>
      <c r="F145" s="31">
        <v>60.343902499999984</v>
      </c>
      <c r="G145" s="84"/>
      <c r="H145" s="14"/>
      <c r="I145" s="31">
        <v>60.343902499999984</v>
      </c>
      <c r="J145" s="42"/>
      <c r="K145" s="14"/>
      <c r="L145" s="34">
        <v>50.1</v>
      </c>
      <c r="M145" s="42"/>
      <c r="N145" s="60">
        <f t="shared" si="53"/>
        <v>-10.243902499999983</v>
      </c>
      <c r="O145" s="42"/>
      <c r="P145" s="14"/>
      <c r="Q145" s="34">
        <v>91.19</v>
      </c>
      <c r="R145" s="42"/>
      <c r="S145" s="86">
        <f t="shared" si="55"/>
        <v>-41.089999999999996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">
        <v>325</v>
      </c>
      <c r="B146" s="12" t="s">
        <v>74</v>
      </c>
      <c r="C146" s="481" t="s">
        <v>62</v>
      </c>
      <c r="D146" s="82"/>
      <c r="E146" s="14"/>
      <c r="F146" s="31">
        <v>291.0875974999999</v>
      </c>
      <c r="G146" s="84"/>
      <c r="H146" s="14"/>
      <c r="I146" s="31">
        <v>291.0875974999999</v>
      </c>
      <c r="J146" s="42"/>
      <c r="K146" s="14"/>
      <c r="L146" s="34">
        <v>23.52</v>
      </c>
      <c r="M146" s="42"/>
      <c r="N146" s="60">
        <f t="shared" si="53"/>
        <v>-267.56759749999992</v>
      </c>
      <c r="O146" s="42"/>
      <c r="P146" s="14"/>
      <c r="Q146" s="34">
        <v>59.5</v>
      </c>
      <c r="R146" s="42"/>
      <c r="S146" s="86">
        <f t="shared" si="55"/>
        <v>-35.980000000000004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">
        <v>326</v>
      </c>
      <c r="B147" s="12" t="s">
        <v>74</v>
      </c>
      <c r="C147" s="481" t="s">
        <v>63</v>
      </c>
      <c r="D147" s="82"/>
      <c r="E147" s="14"/>
      <c r="F147" s="31">
        <v>432.47109999999998</v>
      </c>
      <c r="G147" s="84"/>
      <c r="H147" s="14"/>
      <c r="I147" s="31">
        <v>432.47109999999998</v>
      </c>
      <c r="J147" s="42"/>
      <c r="K147" s="14"/>
      <c r="L147" s="34">
        <v>278.27999999999997</v>
      </c>
      <c r="M147" s="42"/>
      <c r="N147" s="60">
        <f t="shared" si="53"/>
        <v>-154.19110000000001</v>
      </c>
      <c r="O147" s="42"/>
      <c r="P147" s="14"/>
      <c r="Q147" s="34">
        <v>490.62</v>
      </c>
      <c r="R147" s="42"/>
      <c r="S147" s="86">
        <f t="shared" si="55"/>
        <v>-212.34000000000003</v>
      </c>
      <c r="T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">
        <v>327</v>
      </c>
      <c r="B148" s="12" t="s">
        <v>74</v>
      </c>
      <c r="C148" s="481" t="s">
        <v>64</v>
      </c>
      <c r="D148" s="82"/>
      <c r="E148" s="14"/>
      <c r="F148" s="31">
        <v>773.3025512336842</v>
      </c>
      <c r="G148" s="84"/>
      <c r="H148" s="14"/>
      <c r="I148" s="31">
        <v>773.3025512336842</v>
      </c>
      <c r="J148" s="42"/>
      <c r="K148" s="14"/>
      <c r="L148" s="34">
        <v>909.01</v>
      </c>
      <c r="M148" s="42"/>
      <c r="N148" s="60">
        <f t="shared" si="53"/>
        <v>135.70744876631579</v>
      </c>
      <c r="O148" s="42"/>
      <c r="P148" s="14"/>
      <c r="Q148" s="34">
        <f>AL447*W4</f>
        <v>628.245</v>
      </c>
      <c r="R148" s="42"/>
      <c r="S148" s="86">
        <f t="shared" si="55"/>
        <v>280.76499999999999</v>
      </c>
      <c r="T148" s="83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">
        <v>303</v>
      </c>
      <c r="B149" s="12" t="s">
        <v>74</v>
      </c>
      <c r="C149" s="481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f t="shared" si="53"/>
        <v>0</v>
      </c>
      <c r="O149" s="42"/>
      <c r="P149" s="14"/>
      <c r="Q149" s="34">
        <v>0</v>
      </c>
      <c r="R149" s="42"/>
      <c r="S149" s="86">
        <f t="shared" si="55"/>
        <v>0</v>
      </c>
      <c r="T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">
        <v>303</v>
      </c>
      <c r="B150" s="12" t="s">
        <v>74</v>
      </c>
      <c r="C150" s="481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f t="shared" si="53"/>
        <v>0</v>
      </c>
      <c r="O150" s="42"/>
      <c r="P150" s="14"/>
      <c r="Q150" s="34">
        <v>0</v>
      </c>
      <c r="R150" s="42"/>
      <c r="S150" s="86">
        <f t="shared" si="55"/>
        <v>0</v>
      </c>
      <c r="T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">
        <v>303</v>
      </c>
      <c r="B151" s="12" t="s">
        <v>74</v>
      </c>
      <c r="C151" s="481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f t="shared" si="53"/>
        <v>0</v>
      </c>
      <c r="O151" s="42"/>
      <c r="P151" s="14"/>
      <c r="Q151" s="34">
        <v>0</v>
      </c>
      <c r="R151" s="42"/>
      <c r="S151" s="86">
        <f t="shared" si="55"/>
        <v>0</v>
      </c>
      <c r="T151" s="83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">
        <v>328</v>
      </c>
      <c r="B152" s="12" t="s">
        <v>74</v>
      </c>
      <c r="C152" s="96" t="s">
        <v>65</v>
      </c>
      <c r="D152" s="97" t="s">
        <v>40</v>
      </c>
      <c r="E152" s="98">
        <f>F152/F$107</f>
        <v>4.5176762105740821E-2</v>
      </c>
      <c r="F152" s="99">
        <f>+SUM(F135:F151)</f>
        <v>6324.9647209486493</v>
      </c>
      <c r="G152" s="100" t="s">
        <v>40</v>
      </c>
      <c r="H152" s="98">
        <f>I152/I$107</f>
        <v>4.5176762105740821E-2</v>
      </c>
      <c r="I152" s="99">
        <f>+SUM(I135:I151)</f>
        <v>6324.9647209486493</v>
      </c>
      <c r="J152" s="100" t="s">
        <v>40</v>
      </c>
      <c r="K152" s="98">
        <f>L152/L$107</f>
        <v>4.0169465240986808E-2</v>
      </c>
      <c r="L152" s="99">
        <f>+SUM(L135:L151)</f>
        <v>6286.5900000000011</v>
      </c>
      <c r="M152" s="103"/>
      <c r="N152" s="99">
        <f t="shared" si="53"/>
        <v>-38.374720948648246</v>
      </c>
      <c r="O152" s="100" t="s">
        <v>40</v>
      </c>
      <c r="P152" s="98">
        <f>Q152/Q$107</f>
        <v>3.7451557654327033E-2</v>
      </c>
      <c r="Q152" s="99">
        <f>+SUM(Q135:Q151)</f>
        <v>4312.3450000000003</v>
      </c>
      <c r="R152" s="103"/>
      <c r="S152" s="104">
        <f t="shared" si="55"/>
        <v>1974.2450000000008</v>
      </c>
      <c r="T152" s="115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">
        <v>74</v>
      </c>
      <c r="B153" s="12" t="s">
        <v>74</v>
      </c>
      <c r="C153" s="88"/>
      <c r="D153" s="89"/>
      <c r="E153" s="114"/>
      <c r="F153" s="60"/>
      <c r="G153" s="91"/>
      <c r="H153" s="114"/>
      <c r="I153" s="60"/>
      <c r="J153" s="24"/>
      <c r="K153" s="114"/>
      <c r="L153" s="94"/>
      <c r="M153" s="24"/>
      <c r="N153" s="94"/>
      <c r="O153" s="24"/>
      <c r="P153" s="114"/>
      <c r="Q153" s="94"/>
      <c r="R153" s="24"/>
      <c r="S153" s="95"/>
      <c r="T153" s="115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">
        <v>329</v>
      </c>
      <c r="B154" s="12" t="s">
        <v>74</v>
      </c>
      <c r="C154" s="96" t="s">
        <v>66</v>
      </c>
      <c r="D154" s="97" t="s">
        <v>40</v>
      </c>
      <c r="E154" s="98">
        <f>F154/F$107</f>
        <v>0.72391361584881586</v>
      </c>
      <c r="F154" s="99">
        <f>F121+F134+F152</f>
        <v>101351.39987547476</v>
      </c>
      <c r="G154" s="100" t="s">
        <v>40</v>
      </c>
      <c r="H154" s="98">
        <f>I154/I$107</f>
        <v>0.72391361584881586</v>
      </c>
      <c r="I154" s="99">
        <f>I121+I134+I152</f>
        <v>101351.39987547476</v>
      </c>
      <c r="J154" s="100" t="s">
        <v>40</v>
      </c>
      <c r="K154" s="98">
        <f>L154/L$107</f>
        <v>0.67804447631914011</v>
      </c>
      <c r="L154" s="99">
        <f>L121+L134+L152</f>
        <v>106115.12</v>
      </c>
      <c r="M154" s="103"/>
      <c r="N154" s="116">
        <f>L154-I154</f>
        <v>4763.7201245252363</v>
      </c>
      <c r="O154" s="100" t="s">
        <v>40</v>
      </c>
      <c r="P154" s="98">
        <f>Q154/Q$107</f>
        <v>0.73522360273746223</v>
      </c>
      <c r="Q154" s="99">
        <f>Q121+Q134+Q152</f>
        <v>84657.035000000003</v>
      </c>
      <c r="R154" s="103"/>
      <c r="S154" s="117">
        <f>L154-Q154</f>
        <v>21458.084999999992</v>
      </c>
      <c r="T154" s="115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">
        <v>330</v>
      </c>
      <c r="B155" s="12" t="s">
        <v>74</v>
      </c>
      <c r="C155" s="481" t="s">
        <v>215</v>
      </c>
      <c r="D155" s="153"/>
      <c r="E155" s="154"/>
      <c r="F155" s="31">
        <v>0</v>
      </c>
      <c r="G155" s="155"/>
      <c r="H155" s="154"/>
      <c r="I155" s="31">
        <v>0</v>
      </c>
      <c r="J155" s="155"/>
      <c r="K155" s="154"/>
      <c r="L155" s="33">
        <v>0</v>
      </c>
      <c r="M155" s="42"/>
      <c r="N155" s="60">
        <f t="shared" ref="N155:N161" si="56">L155-I155</f>
        <v>0</v>
      </c>
      <c r="O155" s="155"/>
      <c r="P155" s="154"/>
      <c r="Q155" s="34">
        <v>0</v>
      </c>
      <c r="R155" s="42"/>
      <c r="S155" s="86">
        <f t="shared" ref="S155:S161" si="57">L155-Q155</f>
        <v>0</v>
      </c>
      <c r="T155" s="115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">
        <v>331</v>
      </c>
      <c r="B156" s="12" t="s">
        <v>74</v>
      </c>
      <c r="C156" s="481" t="s">
        <v>82</v>
      </c>
      <c r="D156" s="153"/>
      <c r="E156" s="154"/>
      <c r="F156" s="31">
        <v>0</v>
      </c>
      <c r="G156" s="155"/>
      <c r="H156" s="154"/>
      <c r="I156" s="31">
        <v>0</v>
      </c>
      <c r="J156" s="155"/>
      <c r="K156" s="154"/>
      <c r="L156" s="34">
        <v>0</v>
      </c>
      <c r="M156" s="42"/>
      <c r="N156" s="60">
        <f t="shared" si="56"/>
        <v>0</v>
      </c>
      <c r="O156" s="155"/>
      <c r="P156" s="154"/>
      <c r="Q156" s="34">
        <v>0</v>
      </c>
      <c r="R156" s="42"/>
      <c r="S156" s="86">
        <f t="shared" si="57"/>
        <v>0</v>
      </c>
      <c r="T156" s="115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">
        <v>332</v>
      </c>
      <c r="B157" s="12" t="s">
        <v>74</v>
      </c>
      <c r="C157" s="481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f t="shared" si="56"/>
        <v>0</v>
      </c>
      <c r="O157" s="42"/>
      <c r="P157" s="14"/>
      <c r="Q157" s="34">
        <v>0</v>
      </c>
      <c r="R157" s="42"/>
      <c r="S157" s="86">
        <f t="shared" si="57"/>
        <v>0</v>
      </c>
      <c r="T157" s="115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">
        <v>333</v>
      </c>
      <c r="B158" s="12" t="s">
        <v>74</v>
      </c>
      <c r="C158" s="481" t="s">
        <v>71</v>
      </c>
      <c r="D158" s="82"/>
      <c r="E158" s="14"/>
      <c r="F158" s="31">
        <v>15157.157766990293</v>
      </c>
      <c r="G158" s="84"/>
      <c r="H158" s="14"/>
      <c r="I158" s="31">
        <v>15157.157766990293</v>
      </c>
      <c r="J158" s="160">
        <f>+L158/K158</f>
        <v>37</v>
      </c>
      <c r="K158" s="503">
        <f>+L158/J96</f>
        <v>353.40540540540542</v>
      </c>
      <c r="L158" s="33">
        <v>13076</v>
      </c>
      <c r="M158" s="42"/>
      <c r="N158" s="60">
        <f t="shared" si="56"/>
        <v>-2081.1577669902927</v>
      </c>
      <c r="O158" s="42"/>
      <c r="P158" s="14"/>
      <c r="Q158" s="34">
        <f>349*O96</f>
        <v>13611</v>
      </c>
      <c r="R158" s="42"/>
      <c r="S158" s="86">
        <f t="shared" si="57"/>
        <v>-535</v>
      </c>
      <c r="T158" s="115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">
        <v>303</v>
      </c>
      <c r="B159" s="12" t="s">
        <v>74</v>
      </c>
      <c r="C159" s="481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f t="shared" si="56"/>
        <v>0</v>
      </c>
      <c r="O159" s="42"/>
      <c r="P159" s="14"/>
      <c r="Q159" s="34">
        <v>0</v>
      </c>
      <c r="R159" s="42"/>
      <c r="S159" s="86">
        <f t="shared" si="57"/>
        <v>0</v>
      </c>
      <c r="T159" s="115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">
        <v>303</v>
      </c>
      <c r="B160" s="12" t="s">
        <v>74</v>
      </c>
      <c r="C160" s="481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f t="shared" si="56"/>
        <v>0</v>
      </c>
      <c r="O160" s="42"/>
      <c r="P160" s="14"/>
      <c r="Q160" s="34">
        <v>0</v>
      </c>
      <c r="R160" s="42"/>
      <c r="S160" s="86">
        <f t="shared" si="57"/>
        <v>0</v>
      </c>
      <c r="T160" s="115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">
        <v>303</v>
      </c>
      <c r="B161" s="12" t="s">
        <v>74</v>
      </c>
      <c r="C161" s="88" t="s">
        <v>21</v>
      </c>
      <c r="D161" s="89"/>
      <c r="E161" s="114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f t="shared" si="56"/>
        <v>0</v>
      </c>
      <c r="O161" s="42"/>
      <c r="P161" s="14"/>
      <c r="Q161" s="34">
        <v>0</v>
      </c>
      <c r="R161" s="42"/>
      <c r="S161" s="86">
        <f t="shared" si="57"/>
        <v>0</v>
      </c>
      <c r="T161" s="115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6" t="s">
        <v>72</v>
      </c>
      <c r="D162" s="97"/>
      <c r="E162" s="98"/>
      <c r="F162" s="99">
        <f>+SUM(F155:F161)</f>
        <v>15157.157766990293</v>
      </c>
      <c r="G162" s="100"/>
      <c r="H162" s="98"/>
      <c r="I162" s="99">
        <f>+SUM(I155:I161)</f>
        <v>15157.157766990293</v>
      </c>
      <c r="J162" s="100"/>
      <c r="K162" s="98"/>
      <c r="L162" s="99">
        <f>+SUM(L155:L161)</f>
        <v>13076</v>
      </c>
      <c r="M162" s="103"/>
      <c r="N162" s="99">
        <f>SUM(N157:N157)</f>
        <v>0</v>
      </c>
      <c r="O162" s="100"/>
      <c r="P162" s="98"/>
      <c r="Q162" s="99">
        <f>+SUM(Q155:Q161)</f>
        <v>13611</v>
      </c>
      <c r="R162" s="103"/>
      <c r="S162" s="104">
        <f>+SUM(S155:S161)</f>
        <v>-535</v>
      </c>
      <c r="T162" s="11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481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7" t="s">
        <v>73</v>
      </c>
      <c r="D164" s="156"/>
      <c r="E164" s="128"/>
      <c r="F164" s="130">
        <f>F107-F154+F162</f>
        <v>53810.583959935931</v>
      </c>
      <c r="G164" s="157"/>
      <c r="H164" s="128"/>
      <c r="I164" s="130">
        <f>I107-I154+I162</f>
        <v>53810.583959935931</v>
      </c>
      <c r="J164" s="158"/>
      <c r="K164" s="129"/>
      <c r="L164" s="130">
        <f>L107-L154+L162</f>
        <v>63462.590000000084</v>
      </c>
      <c r="M164" s="158"/>
      <c r="N164" s="130">
        <f>L164-I164</f>
        <v>9652.0060400641523</v>
      </c>
      <c r="O164" s="158"/>
      <c r="P164" s="129"/>
      <c r="Q164" s="130">
        <f>Q107-Q154+Q162</f>
        <v>44098.574999999968</v>
      </c>
      <c r="R164" s="158"/>
      <c r="S164" s="132">
        <f>L164-Q164</f>
        <v>19364.015000000116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59"/>
      <c r="M165" s="11"/>
      <c r="N165" s="11"/>
      <c r="O165" s="11"/>
      <c r="P165" s="11"/>
      <c r="Q165" s="11"/>
      <c r="R165" s="11"/>
      <c r="S165" s="11"/>
      <c r="T165" s="159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9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475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Août 2022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64" t="s">
        <v>5</v>
      </c>
      <c r="E169" s="565"/>
      <c r="F169" s="566"/>
      <c r="G169" s="562" t="s">
        <v>75</v>
      </c>
      <c r="H169" s="565"/>
      <c r="I169" s="566"/>
      <c r="J169" s="562" t="s">
        <v>7</v>
      </c>
      <c r="K169" s="565"/>
      <c r="L169" s="566"/>
      <c r="M169" s="562" t="s">
        <v>8</v>
      </c>
      <c r="N169" s="566"/>
      <c r="O169" s="564" t="s">
        <v>9</v>
      </c>
      <c r="P169" s="565"/>
      <c r="Q169" s="566"/>
      <c r="R169" s="562" t="s">
        <v>10</v>
      </c>
      <c r="S169" s="563"/>
      <c r="T169" s="153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">
        <v>84</v>
      </c>
      <c r="B170" s="12" t="s">
        <v>84</v>
      </c>
      <c r="C170" s="481"/>
      <c r="D170" s="81" t="s">
        <v>41</v>
      </c>
      <c r="E170" s="81" t="s">
        <v>85</v>
      </c>
      <c r="F170" s="137" t="s">
        <v>13</v>
      </c>
      <c r="G170" s="138" t="s">
        <v>41</v>
      </c>
      <c r="H170" s="81" t="s">
        <v>85</v>
      </c>
      <c r="I170" s="137" t="s">
        <v>13</v>
      </c>
      <c r="J170" s="138" t="s">
        <v>41</v>
      </c>
      <c r="K170" s="81" t="s">
        <v>85</v>
      </c>
      <c r="L170" s="137" t="s">
        <v>13</v>
      </c>
      <c r="M170" s="138" t="s">
        <v>41</v>
      </c>
      <c r="N170" s="137" t="s">
        <v>13</v>
      </c>
      <c r="O170" s="81" t="s">
        <v>41</v>
      </c>
      <c r="P170" s="81" t="s">
        <v>85</v>
      </c>
      <c r="Q170" s="137" t="s">
        <v>13</v>
      </c>
      <c r="R170" s="138" t="s">
        <v>86</v>
      </c>
      <c r="S170" s="139" t="s">
        <v>13</v>
      </c>
      <c r="T170" s="8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">
        <v>334</v>
      </c>
      <c r="B171" s="12" t="s">
        <v>84</v>
      </c>
      <c r="C171" s="481" t="s">
        <v>87</v>
      </c>
      <c r="D171" s="83">
        <v>366.96266281669745</v>
      </c>
      <c r="E171" s="83">
        <v>91006.74037854097</v>
      </c>
      <c r="F171" s="83">
        <v>68346.062024284271</v>
      </c>
      <c r="G171" s="61">
        <v>366.96266281669745</v>
      </c>
      <c r="H171" s="83">
        <v>91006.74037854097</v>
      </c>
      <c r="I171" s="83">
        <v>68346.062024284271</v>
      </c>
      <c r="J171" s="61">
        <v>368</v>
      </c>
      <c r="K171" s="31">
        <v>118455.02</v>
      </c>
      <c r="L171" s="34">
        <v>92939.24</v>
      </c>
      <c r="M171" s="161">
        <f>(J171-G171)/G171</f>
        <v>2.8268194244620401E-3</v>
      </c>
      <c r="N171" s="60">
        <f>L171-I171</f>
        <v>24593.177975715735</v>
      </c>
      <c r="O171" s="61">
        <v>317</v>
      </c>
      <c r="P171" s="31">
        <v>69695.72</v>
      </c>
      <c r="Q171" s="34">
        <v>52306.820000000007</v>
      </c>
      <c r="R171" s="161">
        <f>IF(O171=0,0,J171/O171)</f>
        <v>1.1608832807570979</v>
      </c>
      <c r="S171" s="86">
        <f>L171-Q171</f>
        <v>40632.42</v>
      </c>
      <c r="T171" s="83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">
        <v>335</v>
      </c>
      <c r="B172" s="12" t="s">
        <v>84</v>
      </c>
      <c r="C172" s="481" t="s">
        <v>88</v>
      </c>
      <c r="D172" s="83"/>
      <c r="E172" s="147"/>
      <c r="F172" s="162">
        <f>F171/E171</f>
        <v>0.751</v>
      </c>
      <c r="G172" s="61"/>
      <c r="H172" s="147"/>
      <c r="I172" s="162">
        <f>I171/H171</f>
        <v>0.751</v>
      </c>
      <c r="J172" s="61"/>
      <c r="K172" s="14"/>
      <c r="L172" s="162">
        <f>IF(L171=0,0,L171/K171)</f>
        <v>0.78459519908907194</v>
      </c>
      <c r="M172" s="161"/>
      <c r="N172" s="60"/>
      <c r="O172" s="61"/>
      <c r="P172" s="14"/>
      <c r="Q172" s="162">
        <f>IF(Q171=0,0,Q171/P171)</f>
        <v>0.7505026133599022</v>
      </c>
      <c r="R172" s="61"/>
      <c r="S172" s="86"/>
      <c r="T172" s="83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">
        <v>84</v>
      </c>
      <c r="B173" s="12" t="s">
        <v>84</v>
      </c>
      <c r="C173" s="88"/>
      <c r="D173" s="90"/>
      <c r="E173" s="511">
        <f t="shared" ref="E173" si="58">IFERROR(E171/D171,0)</f>
        <v>248</v>
      </c>
      <c r="F173" s="164"/>
      <c r="G173" s="165"/>
      <c r="H173" s="511">
        <f t="shared" ref="H173" si="59">IFERROR(H171/G171,0)</f>
        <v>248</v>
      </c>
      <c r="I173" s="164"/>
      <c r="J173" s="165"/>
      <c r="K173" s="511">
        <f t="shared" ref="K173" si="60">IFERROR(K171/J171,0)</f>
        <v>321.88864130434786</v>
      </c>
      <c r="L173" s="164"/>
      <c r="M173" s="166"/>
      <c r="N173" s="94"/>
      <c r="O173" s="165"/>
      <c r="P173" s="511">
        <f t="shared" ref="P173" si="61">IFERROR(P171/O171,0)</f>
        <v>219.86031545741326</v>
      </c>
      <c r="Q173" s="164"/>
      <c r="R173" s="165"/>
      <c r="S173" s="95"/>
      <c r="T173" s="83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">
        <v>336</v>
      </c>
      <c r="B174" s="12" t="s">
        <v>84</v>
      </c>
      <c r="C174" s="15" t="s">
        <v>89</v>
      </c>
      <c r="D174" s="167">
        <v>362.03195391120693</v>
      </c>
      <c r="E174" s="83">
        <v>71717.671225801634</v>
      </c>
      <c r="F174" s="83">
        <v>50521.593039545922</v>
      </c>
      <c r="G174" s="168">
        <v>362.03195391120693</v>
      </c>
      <c r="H174" s="83">
        <v>71717.671225801634</v>
      </c>
      <c r="I174" s="83">
        <v>50521.593039545922</v>
      </c>
      <c r="J174" s="168">
        <v>185</v>
      </c>
      <c r="K174" s="169">
        <v>41385.769999999997</v>
      </c>
      <c r="L174" s="34">
        <v>27741.39</v>
      </c>
      <c r="M174" s="161">
        <f>(J174-G174)/G174</f>
        <v>-0.48899538286232691</v>
      </c>
      <c r="N174" s="112">
        <f>L174-I174</f>
        <v>-22780.203039545922</v>
      </c>
      <c r="O174" s="168">
        <v>440</v>
      </c>
      <c r="P174" s="169">
        <v>55182.25</v>
      </c>
      <c r="Q174" s="34">
        <v>38526</v>
      </c>
      <c r="R174" s="161">
        <f>IF(O174=0,0,J174/O174)</f>
        <v>0.42045454545454547</v>
      </c>
      <c r="S174" s="86">
        <f>L174-Q174</f>
        <v>-10784.61</v>
      </c>
      <c r="T174" s="83"/>
      <c r="U174" s="14" t="s">
        <v>499</v>
      </c>
      <c r="V174" s="31">
        <f>+K174+J296</f>
        <v>110487.60999999999</v>
      </c>
      <c r="W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">
        <v>335</v>
      </c>
      <c r="B175" s="12" t="s">
        <v>84</v>
      </c>
      <c r="C175" s="481" t="s">
        <v>88</v>
      </c>
      <c r="D175" s="14"/>
      <c r="E175" s="14"/>
      <c r="F175" s="162">
        <f>F174/E174</f>
        <v>0.70445110913431241</v>
      </c>
      <c r="G175" s="42"/>
      <c r="H175" s="14"/>
      <c r="I175" s="162">
        <f>I174/H174</f>
        <v>0.70445110913431241</v>
      </c>
      <c r="J175" s="42"/>
      <c r="K175" s="14"/>
      <c r="L175" s="162">
        <f>IF(L174=0,0,L174/K174)</f>
        <v>0.67031228366658402</v>
      </c>
      <c r="M175" s="43"/>
      <c r="N175" s="44"/>
      <c r="O175" s="42"/>
      <c r="P175" s="14"/>
      <c r="Q175" s="162">
        <f>IF(Q174=0,0,Q174/P174)</f>
        <v>0.69815928129063243</v>
      </c>
      <c r="R175" s="43"/>
      <c r="S175" s="45"/>
      <c r="T175" s="14"/>
      <c r="U175" s="14" t="s">
        <v>500</v>
      </c>
      <c r="V175" s="31">
        <f>+L174+L296</f>
        <v>46144.35</v>
      </c>
      <c r="W175" s="512">
        <f>+V175/V174</f>
        <v>0.4176427565045529</v>
      </c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">
        <v>84</v>
      </c>
      <c r="B176" s="12" t="s">
        <v>84</v>
      </c>
      <c r="C176" s="88"/>
      <c r="D176" s="114"/>
      <c r="E176" s="511">
        <f t="shared" ref="E176" si="62">IFERROR(E174/D174,0)</f>
        <v>198.09762771214204</v>
      </c>
      <c r="F176" s="164"/>
      <c r="G176" s="165"/>
      <c r="H176" s="511">
        <f t="shared" ref="H176" si="63">IFERROR(H174/G174,0)</f>
        <v>198.09762771214204</v>
      </c>
      <c r="I176" s="164"/>
      <c r="J176" s="165"/>
      <c r="K176" s="511">
        <f t="shared" ref="K176" si="64">IFERROR(K174/J174,0)</f>
        <v>223.70686486486485</v>
      </c>
      <c r="L176" s="164"/>
      <c r="M176" s="166"/>
      <c r="N176" s="94"/>
      <c r="O176" s="165"/>
      <c r="P176" s="511">
        <f t="shared" ref="P176" si="65">IFERROR(P174/O174,0)</f>
        <v>125.41420454545455</v>
      </c>
      <c r="Q176" s="164"/>
      <c r="R176" s="170"/>
      <c r="S176" s="172"/>
      <c r="T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">
        <v>337</v>
      </c>
      <c r="B177" s="12" t="s">
        <v>84</v>
      </c>
      <c r="C177" s="481" t="s">
        <v>90</v>
      </c>
      <c r="D177" s="83">
        <v>285.51296308677001</v>
      </c>
      <c r="E177" s="83">
        <v>61495.711614973807</v>
      </c>
      <c r="F177" s="83">
        <v>45367.97341715682</v>
      </c>
      <c r="G177" s="61">
        <v>285.51296308677001</v>
      </c>
      <c r="H177" s="83">
        <v>61495.711614973807</v>
      </c>
      <c r="I177" s="83">
        <v>45367.97341715682</v>
      </c>
      <c r="J177" s="61">
        <v>230</v>
      </c>
      <c r="K177" s="169">
        <v>50943.62</v>
      </c>
      <c r="L177" s="34">
        <v>37676.03</v>
      </c>
      <c r="M177" s="161">
        <f>(J177-G177)/G177</f>
        <v>-0.19443237353079171</v>
      </c>
      <c r="N177" s="60">
        <f t="shared" ref="N177:N178" si="66">L177-I177</f>
        <v>-7691.9434171568209</v>
      </c>
      <c r="O177" s="61">
        <v>241</v>
      </c>
      <c r="P177" s="169">
        <v>56092.82</v>
      </c>
      <c r="Q177" s="34">
        <v>41594.86</v>
      </c>
      <c r="R177" s="161">
        <f>IF(O177=0,0,J177/O177)</f>
        <v>0.9543568464730291</v>
      </c>
      <c r="S177" s="86">
        <f>L177-Q177</f>
        <v>-3918.8300000000017</v>
      </c>
      <c r="T177" s="83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">
        <v>335</v>
      </c>
      <c r="B178" s="12" t="s">
        <v>84</v>
      </c>
      <c r="C178" s="481" t="s">
        <v>88</v>
      </c>
      <c r="D178" s="83"/>
      <c r="E178" s="147"/>
      <c r="F178" s="162">
        <f>F177/E177</f>
        <v>0.73774206730392589</v>
      </c>
      <c r="G178" s="61"/>
      <c r="H178" s="147"/>
      <c r="I178" s="162">
        <f>I177/H177</f>
        <v>0.73774206730392589</v>
      </c>
      <c r="J178" s="61"/>
      <c r="K178" s="147"/>
      <c r="L178" s="162">
        <f>IF(L177=0,0,L177/K177)</f>
        <v>0.73956326621468982</v>
      </c>
      <c r="M178" s="161"/>
      <c r="N178" s="60">
        <f t="shared" si="66"/>
        <v>1.8211989107639326E-3</v>
      </c>
      <c r="O178" s="61"/>
      <c r="P178" s="147"/>
      <c r="Q178" s="162">
        <f>IF(Q177=0,0,Q177/P177)</f>
        <v>0.74153626079059676</v>
      </c>
      <c r="R178" s="61">
        <f>O178-K178</f>
        <v>0</v>
      </c>
      <c r="S178" s="86"/>
      <c r="T178" s="83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">
        <v>84</v>
      </c>
      <c r="B179" s="12" t="s">
        <v>84</v>
      </c>
      <c r="C179" s="481"/>
      <c r="D179" s="83"/>
      <c r="E179" s="511">
        <f t="shared" ref="E179" si="67">IFERROR(E177/D177,0)</f>
        <v>215.38675845091032</v>
      </c>
      <c r="F179" s="164"/>
      <c r="G179" s="165"/>
      <c r="H179" s="511">
        <f t="shared" ref="H179" si="68">IFERROR(H177/G177,0)</f>
        <v>215.38675845091032</v>
      </c>
      <c r="I179" s="164"/>
      <c r="J179" s="165"/>
      <c r="K179" s="511">
        <f t="shared" ref="K179" si="69">IFERROR(K177/J177,0)</f>
        <v>221.494</v>
      </c>
      <c r="L179" s="164"/>
      <c r="M179" s="166"/>
      <c r="N179" s="94"/>
      <c r="O179" s="165"/>
      <c r="P179" s="511">
        <f t="shared" ref="P179" si="70">IFERROR(P177/O177,0)</f>
        <v>232.75029045643154</v>
      </c>
      <c r="Q179" s="162"/>
      <c r="R179" s="175"/>
      <c r="S179" s="86"/>
      <c r="T179" s="83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">
        <v>338</v>
      </c>
      <c r="B180" s="12" t="s">
        <v>84</v>
      </c>
      <c r="C180" s="15" t="s">
        <v>91</v>
      </c>
      <c r="D180" s="167">
        <v>0</v>
      </c>
      <c r="E180" s="83">
        <v>312.49147100573242</v>
      </c>
      <c r="F180" s="83">
        <v>118.16882595035585</v>
      </c>
      <c r="G180" s="168">
        <v>0</v>
      </c>
      <c r="H180" s="83">
        <v>312.49147100573242</v>
      </c>
      <c r="I180" s="83">
        <v>118.16882595035585</v>
      </c>
      <c r="J180" s="168">
        <v>0</v>
      </c>
      <c r="K180" s="169">
        <v>203.19</v>
      </c>
      <c r="L180" s="111">
        <v>101.49</v>
      </c>
      <c r="M180" s="176">
        <f>IF(G180=0,0,(J180-G180)/G180)</f>
        <v>0</v>
      </c>
      <c r="N180" s="112">
        <f>L180-I180</f>
        <v>-16.678825950355858</v>
      </c>
      <c r="O180" s="168">
        <v>0</v>
      </c>
      <c r="P180" s="169">
        <v>429.8</v>
      </c>
      <c r="Q180" s="111">
        <v>408.59000000000003</v>
      </c>
      <c r="R180" s="161">
        <f>IF(O180=0,0,J180/O180)</f>
        <v>0</v>
      </c>
      <c r="S180" s="113">
        <f>L180-Q180</f>
        <v>-307.10000000000002</v>
      </c>
      <c r="T180" s="83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">
        <v>335</v>
      </c>
      <c r="B181" s="12" t="s">
        <v>84</v>
      </c>
      <c r="C181" s="481" t="s">
        <v>88</v>
      </c>
      <c r="D181" s="77"/>
      <c r="E181" s="177"/>
      <c r="F181" s="162">
        <f>IFERROR(F180/E180,0)</f>
        <v>0.37815056382191031</v>
      </c>
      <c r="G181" s="79"/>
      <c r="H181" s="177"/>
      <c r="I181" s="162">
        <f>IFERROR(I180/H180,0)</f>
        <v>0.37815056382191031</v>
      </c>
      <c r="J181" s="178"/>
      <c r="K181" s="177">
        <f>IF(J181&lt;=0,0,L181/J181)</f>
        <v>0</v>
      </c>
      <c r="L181" s="162">
        <f>IF(L180=0,0,L180/K180)</f>
        <v>0.49948324228554553</v>
      </c>
      <c r="M181" s="61">
        <f>J181-G181</f>
        <v>0</v>
      </c>
      <c r="N181" s="179"/>
      <c r="O181" s="178"/>
      <c r="P181" s="177">
        <f>IF(O181&lt;=0,0,Q181/O181)</f>
        <v>0</v>
      </c>
      <c r="Q181" s="162">
        <f>IF(Q180=0,0,Q180/P180)</f>
        <v>0.9506514657980456</v>
      </c>
      <c r="R181" s="42"/>
      <c r="S181" s="180"/>
      <c r="T181" s="115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">
        <v>84</v>
      </c>
      <c r="B182" s="12" t="s">
        <v>84</v>
      </c>
      <c r="C182" s="88"/>
      <c r="D182" s="181"/>
      <c r="E182" s="182"/>
      <c r="F182" s="164"/>
      <c r="G182" s="183"/>
      <c r="H182" s="182"/>
      <c r="I182" s="164"/>
      <c r="J182" s="513"/>
      <c r="K182" s="26"/>
      <c r="L182" s="164"/>
      <c r="M182" s="165"/>
      <c r="N182" s="184"/>
      <c r="O182" s="513"/>
      <c r="P182" s="26"/>
      <c r="Q182" s="164"/>
      <c r="R182" s="24"/>
      <c r="S182" s="185"/>
      <c r="T182" s="115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">
        <v>339</v>
      </c>
      <c r="B183" s="12" t="s">
        <v>84</v>
      </c>
      <c r="C183" s="481" t="s">
        <v>92</v>
      </c>
      <c r="D183" s="14"/>
      <c r="E183" s="14"/>
      <c r="F183" s="60">
        <v>-3512.3132332546952</v>
      </c>
      <c r="G183" s="42"/>
      <c r="H183" s="83"/>
      <c r="I183" s="83">
        <v>-3512.3132332546952</v>
      </c>
      <c r="J183" s="61"/>
      <c r="K183" s="83"/>
      <c r="L183" s="83">
        <v>-227.12</v>
      </c>
      <c r="M183" s="178"/>
      <c r="N183" s="60">
        <f t="shared" ref="N183:N184" si="71">L183-I183</f>
        <v>3285.1932332546953</v>
      </c>
      <c r="O183" s="61"/>
      <c r="P183" s="83"/>
      <c r="Q183" s="34">
        <v>-3700.69</v>
      </c>
      <c r="R183" s="186"/>
      <c r="S183" s="86">
        <f t="shared" ref="S183:S184" si="72">L183-Q183</f>
        <v>3473.57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">
        <v>340</v>
      </c>
      <c r="B184" s="12" t="s">
        <v>84</v>
      </c>
      <c r="C184" s="187" t="s">
        <v>93</v>
      </c>
      <c r="D184" s="188">
        <f t="shared" ref="D184:L184" si="73">D171+D174+D177+D180+D183</f>
        <v>1014.5075798146744</v>
      </c>
      <c r="E184" s="188">
        <f t="shared" si="73"/>
        <v>224532.61469032214</v>
      </c>
      <c r="F184" s="189">
        <f t="shared" si="73"/>
        <v>160841.48407368269</v>
      </c>
      <c r="G184" s="190">
        <f t="shared" si="73"/>
        <v>1014.5075798146744</v>
      </c>
      <c r="H184" s="188">
        <f t="shared" si="73"/>
        <v>224532.61469032214</v>
      </c>
      <c r="I184" s="189">
        <f t="shared" si="73"/>
        <v>160841.48407368269</v>
      </c>
      <c r="J184" s="190">
        <f t="shared" si="73"/>
        <v>783</v>
      </c>
      <c r="K184" s="188">
        <f t="shared" si="73"/>
        <v>210987.6</v>
      </c>
      <c r="L184" s="189">
        <f t="shared" si="73"/>
        <v>158231.03</v>
      </c>
      <c r="M184" s="191">
        <f>(K184-H184)/H184</f>
        <v>-6.0325377268703552E-2</v>
      </c>
      <c r="N184" s="189">
        <f t="shared" si="71"/>
        <v>-2610.4540736826893</v>
      </c>
      <c r="O184" s="190">
        <f t="shared" ref="O184:Q184" si="74">O171+O174+O177+O180+O183</f>
        <v>998</v>
      </c>
      <c r="P184" s="188">
        <f t="shared" si="74"/>
        <v>181400.59</v>
      </c>
      <c r="Q184" s="189">
        <f t="shared" si="74"/>
        <v>129135.57999999999</v>
      </c>
      <c r="R184" s="43">
        <f>IF(O184=0,0,J184/O184)</f>
        <v>0.78456913827655306</v>
      </c>
      <c r="S184" s="192">
        <f t="shared" si="72"/>
        <v>29095.450000000012</v>
      </c>
      <c r="T184" s="115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">
        <v>341</v>
      </c>
      <c r="B185" s="12" t="s">
        <v>84</v>
      </c>
      <c r="C185" s="193" t="s">
        <v>94</v>
      </c>
      <c r="D185" s="194"/>
      <c r="E185" s="514">
        <f>IF(D184=0,0,E184/D184)</f>
        <v>221.32177142662525</v>
      </c>
      <c r="F185" s="195">
        <f>F184/E184</f>
        <v>0.71633906858260676</v>
      </c>
      <c r="G185" s="196"/>
      <c r="H185" s="514">
        <f>IF(G184=0,0,H184/G184)</f>
        <v>221.32177142662525</v>
      </c>
      <c r="I185" s="44">
        <f>I184/H184</f>
        <v>0.71633906858260676</v>
      </c>
      <c r="J185" s="196"/>
      <c r="K185" s="514">
        <f>IF(J184=0,0,K184/J184)</f>
        <v>269.46053639846747</v>
      </c>
      <c r="L185" s="44">
        <f>IF(L184=0,0,L184/K184)</f>
        <v>0.74995416792266467</v>
      </c>
      <c r="M185" s="196"/>
      <c r="N185" s="195">
        <f>N184/I184</f>
        <v>-1.6229980024847452E-2</v>
      </c>
      <c r="O185" s="196"/>
      <c r="P185" s="514">
        <f>IF(O184=0,0,P184/O184)</f>
        <v>181.76411823647294</v>
      </c>
      <c r="Q185" s="44">
        <f>IF(Q184=0,0,Q184/P184)</f>
        <v>0.71188070556992122</v>
      </c>
      <c r="R185" s="196"/>
      <c r="S185" s="45">
        <f>S184/Q184</f>
        <v>0.22530932218680563</v>
      </c>
      <c r="T185" s="115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">
        <v>84</v>
      </c>
      <c r="B186" s="12" t="s">
        <v>84</v>
      </c>
      <c r="C186" s="36"/>
      <c r="D186" s="197"/>
      <c r="E186" s="198"/>
      <c r="F186" s="199"/>
      <c r="G186" s="200"/>
      <c r="H186" s="198"/>
      <c r="I186" s="199">
        <f>H184-I184</f>
        <v>63691.13061663945</v>
      </c>
      <c r="J186" s="200"/>
      <c r="K186" s="198"/>
      <c r="L186" s="199">
        <f>K184-L184</f>
        <v>52756.570000000007</v>
      </c>
      <c r="M186" s="200"/>
      <c r="N186" s="199"/>
      <c r="O186" s="200"/>
      <c r="P186" s="198"/>
      <c r="Q186" s="199"/>
      <c r="R186" s="200"/>
      <c r="S186" s="201"/>
      <c r="T186" s="115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">
        <v>342</v>
      </c>
      <c r="B187" s="12" t="s">
        <v>84</v>
      </c>
      <c r="C187" s="481" t="s">
        <v>95</v>
      </c>
      <c r="D187" s="83"/>
      <c r="E187" s="83">
        <v>19669.074890252403</v>
      </c>
      <c r="F187" s="83">
        <v>4309.9996859335661</v>
      </c>
      <c r="G187" s="61"/>
      <c r="H187" s="83">
        <v>19669.074890252403</v>
      </c>
      <c r="I187" s="83">
        <v>4309.9996859335661</v>
      </c>
      <c r="J187" s="61"/>
      <c r="K187" s="31">
        <v>16685.939999999999</v>
      </c>
      <c r="L187" s="34">
        <v>3967.1299999999992</v>
      </c>
      <c r="M187" s="85">
        <f>IF(G187=0,0,(J187-G187)/G187)</f>
        <v>0</v>
      </c>
      <c r="N187" s="60">
        <f>L187-I187</f>
        <v>-342.86968593356687</v>
      </c>
      <c r="O187" s="61"/>
      <c r="P187" s="31">
        <v>16776.080000000002</v>
      </c>
      <c r="Q187" s="34">
        <v>3688.59</v>
      </c>
      <c r="R187" s="161">
        <f>IF(O187=0,0,J187/O187)</f>
        <v>0</v>
      </c>
      <c r="S187" s="86">
        <f>L187-Q187</f>
        <v>278.53999999999905</v>
      </c>
      <c r="T187" s="115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">
        <v>335</v>
      </c>
      <c r="B188" s="12" t="s">
        <v>84</v>
      </c>
      <c r="C188" s="481" t="s">
        <v>88</v>
      </c>
      <c r="D188" s="14"/>
      <c r="E188" s="147"/>
      <c r="F188" s="162">
        <f>IFERROR(F187/E187,0)</f>
        <v>0.21912569401367804</v>
      </c>
      <c r="G188" s="42"/>
      <c r="H188" s="147"/>
      <c r="I188" s="162">
        <f>IFERROR(I187/H187,0)</f>
        <v>0.21912569401367804</v>
      </c>
      <c r="J188" s="178"/>
      <c r="K188" s="177"/>
      <c r="L188" s="162">
        <f>IF(L187=0,0,L187/K187)</f>
        <v>0.23775286258970124</v>
      </c>
      <c r="M188" s="178"/>
      <c r="N188" s="179"/>
      <c r="O188" s="178"/>
      <c r="P188" s="177"/>
      <c r="Q188" s="162">
        <f>IF(Q187=0,0,Q187/P187)</f>
        <v>0.21987198439683167</v>
      </c>
      <c r="R188" s="178"/>
      <c r="S188" s="180"/>
      <c r="T188" s="115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">
        <v>84</v>
      </c>
      <c r="B189" s="12" t="s">
        <v>84</v>
      </c>
      <c r="C189" s="481"/>
      <c r="D189" s="14"/>
      <c r="E189" s="147"/>
      <c r="F189" s="162"/>
      <c r="G189" s="42"/>
      <c r="H189" s="147"/>
      <c r="I189" s="162"/>
      <c r="J189" s="178"/>
      <c r="K189" s="177"/>
      <c r="L189" s="162"/>
      <c r="M189" s="178"/>
      <c r="N189" s="179"/>
      <c r="O189" s="178"/>
      <c r="P189" s="177"/>
      <c r="Q189" s="162"/>
      <c r="R189" s="178"/>
      <c r="S189" s="180"/>
      <c r="T189" s="115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">
        <v>343</v>
      </c>
      <c r="B190" s="12" t="s">
        <v>84</v>
      </c>
      <c r="C190" s="481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78"/>
      <c r="K190" s="31">
        <v>0</v>
      </c>
      <c r="L190" s="162"/>
      <c r="M190" s="178"/>
      <c r="N190" s="179"/>
      <c r="O190" s="178"/>
      <c r="P190" s="31">
        <v>0</v>
      </c>
      <c r="Q190" s="162"/>
      <c r="R190" s="178"/>
      <c r="S190" s="180"/>
      <c r="T190" s="115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">
        <v>335</v>
      </c>
      <c r="B191" s="12" t="s">
        <v>84</v>
      </c>
      <c r="C191" s="481" t="s">
        <v>88</v>
      </c>
      <c r="D191" s="14"/>
      <c r="E191" s="147"/>
      <c r="F191" s="162">
        <f>IF(F190=0,0,F190/E190)</f>
        <v>0</v>
      </c>
      <c r="G191" s="42"/>
      <c r="H191" s="147"/>
      <c r="I191" s="162">
        <f>IF(I190=0,0,I190/H190)</f>
        <v>0</v>
      </c>
      <c r="J191" s="178"/>
      <c r="K191" s="177"/>
      <c r="L191" s="162">
        <f>IF(L190=0,0,L190/K190)</f>
        <v>0</v>
      </c>
      <c r="M191" s="178"/>
      <c r="N191" s="179"/>
      <c r="O191" s="178"/>
      <c r="P191" s="177"/>
      <c r="Q191" s="162">
        <f>IF(Q190=0,0,Q190/P190)</f>
        <v>0</v>
      </c>
      <c r="R191" s="178"/>
      <c r="S191" s="180"/>
      <c r="T191" s="115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">
        <v>84</v>
      </c>
      <c r="B192" s="12" t="s">
        <v>84</v>
      </c>
      <c r="C192" s="202"/>
      <c r="D192" s="203"/>
      <c r="E192" s="204"/>
      <c r="F192" s="205"/>
      <c r="G192" s="206"/>
      <c r="H192" s="204"/>
      <c r="I192" s="205"/>
      <c r="J192" s="206"/>
      <c r="K192" s="204"/>
      <c r="L192" s="205"/>
      <c r="M192" s="206"/>
      <c r="N192" s="205"/>
      <c r="O192" s="206"/>
      <c r="P192" s="204"/>
      <c r="Q192" s="205"/>
      <c r="R192" s="206"/>
      <c r="S192" s="207"/>
      <c r="T192" s="115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">
        <v>344</v>
      </c>
      <c r="B193" s="12" t="s">
        <v>84</v>
      </c>
      <c r="C193" s="63" t="s">
        <v>97</v>
      </c>
      <c r="D193" s="64"/>
      <c r="E193" s="64">
        <f t="shared" ref="E193:F193" si="75">E184+E187+E190</f>
        <v>244201.68958057454</v>
      </c>
      <c r="F193" s="66">
        <f t="shared" si="75"/>
        <v>165151.48375961627</v>
      </c>
      <c r="G193" s="67"/>
      <c r="H193" s="64">
        <f t="shared" ref="H193:I193" si="76">H184+H187+H190</f>
        <v>244201.68958057454</v>
      </c>
      <c r="I193" s="66">
        <f t="shared" si="76"/>
        <v>165151.48375961627</v>
      </c>
      <c r="J193" s="67"/>
      <c r="K193" s="64">
        <f>K184+K187+K190</f>
        <v>227673.54</v>
      </c>
      <c r="L193" s="66">
        <f t="shared" ref="L193" si="77">L184+L187+L190</f>
        <v>162198.16</v>
      </c>
      <c r="M193" s="208">
        <f>L194-I194</f>
        <v>3.6124181972556846E-2</v>
      </c>
      <c r="N193" s="66">
        <f>L193-I193</f>
        <v>-2953.3237596162653</v>
      </c>
      <c r="O193" s="67"/>
      <c r="P193" s="64">
        <f>P184+P187+P190</f>
        <v>198176.66999999998</v>
      </c>
      <c r="Q193" s="66">
        <f t="shared" ref="Q193" si="78">Q184+Q187+Q190</f>
        <v>132824.16999999998</v>
      </c>
      <c r="R193" s="208">
        <f>L194-Q194</f>
        <v>4.21843926416412E-2</v>
      </c>
      <c r="S193" s="69">
        <f>L193-Q193</f>
        <v>29373.99000000002</v>
      </c>
      <c r="T193" s="115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">
        <v>84</v>
      </c>
      <c r="B194" s="12" t="s">
        <v>84</v>
      </c>
      <c r="C194" s="70"/>
      <c r="D194" s="71"/>
      <c r="E194" s="71"/>
      <c r="F194" s="75">
        <f>F193/E193</f>
        <v>0.6762913231405977</v>
      </c>
      <c r="G194" s="73"/>
      <c r="H194" s="71"/>
      <c r="I194" s="75">
        <f>I193/H193</f>
        <v>0.6762913231405977</v>
      </c>
      <c r="J194" s="73"/>
      <c r="K194" s="71"/>
      <c r="L194" s="75">
        <f>L193/K193</f>
        <v>0.71241550511315455</v>
      </c>
      <c r="M194" s="74"/>
      <c r="N194" s="75">
        <f>N193/I193</f>
        <v>-1.7882514237140799E-2</v>
      </c>
      <c r="O194" s="73"/>
      <c r="P194" s="71"/>
      <c r="Q194" s="75">
        <f>Q193/P193</f>
        <v>0.67023111247151335</v>
      </c>
      <c r="R194" s="74"/>
      <c r="S194" s="76">
        <f>L193/S193</f>
        <v>5.5218293463026269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">
        <v>84</v>
      </c>
      <c r="B195" s="12" t="s">
        <v>84</v>
      </c>
      <c r="C195" s="484"/>
      <c r="D195" s="77"/>
      <c r="E195" s="77"/>
      <c r="F195" s="44"/>
      <c r="G195" s="79"/>
      <c r="H195" s="77"/>
      <c r="I195" s="44"/>
      <c r="J195" s="79"/>
      <c r="K195" s="115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">
        <v>345</v>
      </c>
      <c r="B196" s="12" t="s">
        <v>84</v>
      </c>
      <c r="C196" s="487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">
        <v>346</v>
      </c>
      <c r="B197" s="12" t="s">
        <v>84</v>
      </c>
      <c r="C197" s="494" t="s">
        <v>42</v>
      </c>
      <c r="D197" s="14"/>
      <c r="E197" s="14"/>
      <c r="F197" s="31">
        <v>11574.768390804598</v>
      </c>
      <c r="G197" s="42"/>
      <c r="H197" s="14"/>
      <c r="I197" s="31">
        <v>11574.768390804598</v>
      </c>
      <c r="J197" s="42"/>
      <c r="K197" s="14"/>
      <c r="L197" s="34">
        <v>14142.37</v>
      </c>
      <c r="M197" s="42"/>
      <c r="N197" s="60">
        <f t="shared" ref="N197:N228" si="79">L197-I197</f>
        <v>2567.6016091954025</v>
      </c>
      <c r="O197" s="42"/>
      <c r="P197" s="14"/>
      <c r="Q197" s="34">
        <v>13007.25</v>
      </c>
      <c r="R197" s="42"/>
      <c r="S197" s="35">
        <f>L197-Q197</f>
        <v>1135.1200000000008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">
        <v>347</v>
      </c>
      <c r="B198" s="12" t="s">
        <v>84</v>
      </c>
      <c r="C198" s="106" t="s">
        <v>43</v>
      </c>
      <c r="D198" s="82"/>
      <c r="E198" s="14"/>
      <c r="F198" s="23">
        <v>9816.5681076743313</v>
      </c>
      <c r="G198" s="84"/>
      <c r="H198" s="14"/>
      <c r="I198" s="23">
        <v>9816.5681076743313</v>
      </c>
      <c r="J198" s="42"/>
      <c r="K198" s="14"/>
      <c r="L198" s="34">
        <v>8076.79</v>
      </c>
      <c r="M198" s="42"/>
      <c r="N198" s="60">
        <f t="shared" si="79"/>
        <v>-1739.7781076743313</v>
      </c>
      <c r="O198" s="42"/>
      <c r="P198" s="14"/>
      <c r="Q198" s="34">
        <v>7721.81</v>
      </c>
      <c r="R198" s="42"/>
      <c r="S198" s="86">
        <f t="shared" ref="S198:S228" si="80">L198-Q198</f>
        <v>354.97999999999956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">
        <v>348</v>
      </c>
      <c r="B199" s="12" t="s">
        <v>84</v>
      </c>
      <c r="C199" s="494" t="s">
        <v>44</v>
      </c>
      <c r="D199" s="107"/>
      <c r="E199" s="108"/>
      <c r="F199" s="31">
        <v>14779.948499279693</v>
      </c>
      <c r="G199" s="109"/>
      <c r="H199" s="108"/>
      <c r="I199" s="31">
        <v>14779.948499279693</v>
      </c>
      <c r="J199" s="110"/>
      <c r="K199" s="108"/>
      <c r="L199" s="111">
        <v>19633.009999999998</v>
      </c>
      <c r="M199" s="110"/>
      <c r="N199" s="112">
        <f t="shared" si="79"/>
        <v>4853.061500720305</v>
      </c>
      <c r="O199" s="110"/>
      <c r="P199" s="108"/>
      <c r="Q199" s="111">
        <v>8600.18</v>
      </c>
      <c r="R199" s="110"/>
      <c r="S199" s="113">
        <f t="shared" si="80"/>
        <v>11032.829999999998</v>
      </c>
      <c r="T199" s="14"/>
      <c r="U199" s="14" t="s">
        <v>349</v>
      </c>
      <c r="V199" s="14"/>
      <c r="W199" s="14"/>
      <c r="X199" s="14"/>
      <c r="Y199" s="14">
        <f>(45000*1.3)/12</f>
        <v>4875</v>
      </c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">
        <v>350</v>
      </c>
      <c r="B200" s="12" t="s">
        <v>84</v>
      </c>
      <c r="C200" s="494" t="s">
        <v>45</v>
      </c>
      <c r="D200" s="82"/>
      <c r="E200" s="14"/>
      <c r="F200" s="31">
        <v>27090.634996836605</v>
      </c>
      <c r="G200" s="84"/>
      <c r="H200" s="14"/>
      <c r="I200" s="31">
        <v>27090.634996836605</v>
      </c>
      <c r="J200" s="42"/>
      <c r="K200" s="14"/>
      <c r="L200" s="34">
        <v>24096.36</v>
      </c>
      <c r="M200" s="42"/>
      <c r="N200" s="60">
        <f t="shared" si="79"/>
        <v>-2994.2749968366043</v>
      </c>
      <c r="O200" s="42"/>
      <c r="P200" s="14"/>
      <c r="Q200" s="34">
        <v>18401.900000000001</v>
      </c>
      <c r="R200" s="42"/>
      <c r="S200" s="86">
        <f t="shared" si="80"/>
        <v>5694.4599999999991</v>
      </c>
      <c r="T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">
        <v>351</v>
      </c>
      <c r="B201" s="12" t="s">
        <v>84</v>
      </c>
      <c r="C201" s="481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f t="shared" si="79"/>
        <v>0</v>
      </c>
      <c r="O201" s="42"/>
      <c r="P201" s="14"/>
      <c r="Q201" s="34">
        <v>0</v>
      </c>
      <c r="R201" s="42"/>
      <c r="S201" s="86">
        <f t="shared" si="80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">
        <v>351</v>
      </c>
      <c r="B202" s="12" t="s">
        <v>84</v>
      </c>
      <c r="C202" s="481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f t="shared" si="79"/>
        <v>0</v>
      </c>
      <c r="O202" s="42"/>
      <c r="P202" s="14"/>
      <c r="Q202" s="34">
        <v>0</v>
      </c>
      <c r="R202" s="42"/>
      <c r="S202" s="86">
        <f t="shared" si="80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">
        <v>351</v>
      </c>
      <c r="B203" s="12" t="s">
        <v>84</v>
      </c>
      <c r="C203" s="481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f t="shared" si="79"/>
        <v>0</v>
      </c>
      <c r="O203" s="42"/>
      <c r="P203" s="14"/>
      <c r="Q203" s="34">
        <v>0</v>
      </c>
      <c r="R203" s="42"/>
      <c r="S203" s="86">
        <f t="shared" si="80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">
        <v>352</v>
      </c>
      <c r="B204" s="12" t="s">
        <v>84</v>
      </c>
      <c r="C204" s="106" t="s">
        <v>46</v>
      </c>
      <c r="D204" s="82"/>
      <c r="E204" s="14"/>
      <c r="F204" s="31">
        <v>16138.72788338894</v>
      </c>
      <c r="G204" s="84"/>
      <c r="H204" s="14"/>
      <c r="I204" s="31">
        <v>16138.72788338894</v>
      </c>
      <c r="J204" s="42"/>
      <c r="K204" s="14"/>
      <c r="L204" s="34">
        <v>11831.95</v>
      </c>
      <c r="M204" s="42"/>
      <c r="N204" s="60">
        <f t="shared" si="79"/>
        <v>-4306.7778833889388</v>
      </c>
      <c r="O204" s="42"/>
      <c r="P204" s="14"/>
      <c r="Q204" s="34">
        <v>11298.85</v>
      </c>
      <c r="R204" s="42"/>
      <c r="S204" s="86">
        <f t="shared" si="80"/>
        <v>533.10000000000036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">
        <v>353</v>
      </c>
      <c r="B205" s="12" t="s">
        <v>84</v>
      </c>
      <c r="C205" s="494" t="s">
        <v>47</v>
      </c>
      <c r="D205" s="107"/>
      <c r="E205" s="108"/>
      <c r="F205" s="56">
        <v>14453.885131644713</v>
      </c>
      <c r="G205" s="109"/>
      <c r="H205" s="108"/>
      <c r="I205" s="56">
        <v>14453.885131644713</v>
      </c>
      <c r="J205" s="110"/>
      <c r="K205" s="108"/>
      <c r="L205" s="111">
        <v>14261.96</v>
      </c>
      <c r="M205" s="110"/>
      <c r="N205" s="112">
        <f t="shared" si="79"/>
        <v>-191.92513164471347</v>
      </c>
      <c r="O205" s="110"/>
      <c r="P205" s="108"/>
      <c r="Q205" s="111">
        <v>12820.31</v>
      </c>
      <c r="R205" s="110"/>
      <c r="S205" s="113">
        <f t="shared" si="80"/>
        <v>1441.6499999999996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">
        <v>354</v>
      </c>
      <c r="B206" s="12" t="s">
        <v>84</v>
      </c>
      <c r="C206" s="494" t="s">
        <v>48</v>
      </c>
      <c r="D206" s="82"/>
      <c r="E206" s="14"/>
      <c r="F206" s="31">
        <v>11478.085251600214</v>
      </c>
      <c r="G206" s="84"/>
      <c r="H206" s="14"/>
      <c r="I206" s="31">
        <v>11478.085251600214</v>
      </c>
      <c r="J206" s="42"/>
      <c r="K206" s="14"/>
      <c r="L206" s="34">
        <v>5527.1900000000005</v>
      </c>
      <c r="M206" s="42"/>
      <c r="N206" s="60">
        <f t="shared" si="79"/>
        <v>-5950.8952516002137</v>
      </c>
      <c r="O206" s="42"/>
      <c r="P206" s="14"/>
      <c r="Q206" s="34">
        <v>9187.89</v>
      </c>
      <c r="R206" s="42"/>
      <c r="S206" s="86">
        <f t="shared" si="80"/>
        <v>-3660.6999999999989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">
        <v>355</v>
      </c>
      <c r="B207" s="12" t="s">
        <v>84</v>
      </c>
      <c r="C207" s="494" t="s">
        <v>49</v>
      </c>
      <c r="D207" s="82"/>
      <c r="E207" s="14"/>
      <c r="F207" s="31">
        <v>4676.2569543556428</v>
      </c>
      <c r="G207" s="84"/>
      <c r="H207" s="14"/>
      <c r="I207" s="31">
        <v>4676.2569543556428</v>
      </c>
      <c r="J207" s="42"/>
      <c r="K207" s="14"/>
      <c r="L207" s="34">
        <v>3423</v>
      </c>
      <c r="M207" s="42"/>
      <c r="N207" s="60">
        <f t="shared" si="79"/>
        <v>-1253.2569543556428</v>
      </c>
      <c r="O207" s="42"/>
      <c r="P207" s="14"/>
      <c r="Q207" s="34">
        <v>2136.7199999999998</v>
      </c>
      <c r="R207" s="42"/>
      <c r="S207" s="86">
        <f t="shared" si="80"/>
        <v>1286.2800000000002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">
        <v>351</v>
      </c>
      <c r="B208" s="12" t="s">
        <v>84</v>
      </c>
      <c r="C208" s="481" t="s">
        <v>21</v>
      </c>
      <c r="D208" s="89"/>
      <c r="E208" s="114"/>
      <c r="F208" s="31">
        <v>0</v>
      </c>
      <c r="G208" s="91"/>
      <c r="H208" s="114"/>
      <c r="I208" s="31">
        <v>0</v>
      </c>
      <c r="J208" s="24"/>
      <c r="K208" s="114"/>
      <c r="L208" s="34">
        <v>0</v>
      </c>
      <c r="M208" s="24"/>
      <c r="N208" s="94">
        <f t="shared" si="79"/>
        <v>0</v>
      </c>
      <c r="O208" s="24"/>
      <c r="P208" s="114"/>
      <c r="Q208" s="34">
        <v>0</v>
      </c>
      <c r="R208" s="24"/>
      <c r="S208" s="95">
        <f t="shared" si="80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">
        <v>356</v>
      </c>
      <c r="B209" s="12" t="s">
        <v>84</v>
      </c>
      <c r="C209" s="96" t="s">
        <v>50</v>
      </c>
      <c r="D209" s="97" t="s">
        <v>98</v>
      </c>
      <c r="E209" s="98">
        <f>F209/F$193</f>
        <v>0.66610891232261948</v>
      </c>
      <c r="F209" s="99">
        <f>+SUM(F197:F208)</f>
        <v>110008.87521558475</v>
      </c>
      <c r="G209" s="100" t="s">
        <v>98</v>
      </c>
      <c r="H209" s="98">
        <f>I209/I$193</f>
        <v>0.66610891232261948</v>
      </c>
      <c r="I209" s="99">
        <f>+SUM(I197:I208)</f>
        <v>110008.87521558475</v>
      </c>
      <c r="J209" s="100" t="s">
        <v>98</v>
      </c>
      <c r="K209" s="98">
        <f>L209/L$193</f>
        <v>0.62264966507634856</v>
      </c>
      <c r="L209" s="99">
        <f>+SUM(L197:L208)</f>
        <v>100992.63</v>
      </c>
      <c r="M209" s="151"/>
      <c r="N209" s="116">
        <f t="shared" si="79"/>
        <v>-9016.2452155847423</v>
      </c>
      <c r="O209" s="100" t="s">
        <v>98</v>
      </c>
      <c r="P209" s="98">
        <f>Q209/Q$193</f>
        <v>0.62620312251904164</v>
      </c>
      <c r="Q209" s="99">
        <f>+SUM(Q197:Q208)</f>
        <v>83174.91</v>
      </c>
      <c r="R209" s="151"/>
      <c r="S209" s="117">
        <f t="shared" si="80"/>
        <v>17817.72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">
        <v>357</v>
      </c>
      <c r="B210" s="12" t="s">
        <v>84</v>
      </c>
      <c r="C210" s="481" t="s">
        <v>51</v>
      </c>
      <c r="D210" s="82"/>
      <c r="E210" s="14"/>
      <c r="F210" s="31">
        <v>6918.7625000000007</v>
      </c>
      <c r="G210" s="84"/>
      <c r="H210" s="14"/>
      <c r="I210" s="31">
        <v>6918.7625000000007</v>
      </c>
      <c r="J210" s="42"/>
      <c r="K210" s="14"/>
      <c r="L210" s="34">
        <v>9751.5400000000009</v>
      </c>
      <c r="M210" s="42"/>
      <c r="N210" s="60">
        <f t="shared" si="79"/>
        <v>2832.7775000000001</v>
      </c>
      <c r="O210" s="42"/>
      <c r="P210" s="14"/>
      <c r="Q210" s="34">
        <v>7603.6</v>
      </c>
      <c r="R210" s="42"/>
      <c r="S210" s="86">
        <f t="shared" si="80"/>
        <v>2147.9400000000005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">
        <v>358</v>
      </c>
      <c r="B211" s="12" t="s">
        <v>84</v>
      </c>
      <c r="C211" s="481" t="s">
        <v>52</v>
      </c>
      <c r="D211" s="82"/>
      <c r="E211" s="14"/>
      <c r="F211" s="31">
        <v>2269.3133774231842</v>
      </c>
      <c r="G211" s="84"/>
      <c r="H211" s="14"/>
      <c r="I211" s="31">
        <v>2269.3133774231842</v>
      </c>
      <c r="J211" s="42"/>
      <c r="K211" s="14"/>
      <c r="L211" s="232">
        <v>5511.26</v>
      </c>
      <c r="M211" s="42"/>
      <c r="N211" s="60">
        <f t="shared" si="79"/>
        <v>3241.946622576816</v>
      </c>
      <c r="O211" s="42"/>
      <c r="P211" s="14"/>
      <c r="Q211" s="34">
        <v>2885.6</v>
      </c>
      <c r="R211" s="42"/>
      <c r="S211" s="86">
        <f t="shared" si="80"/>
        <v>2625.6600000000003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">
        <v>359</v>
      </c>
      <c r="B212" s="12" t="s">
        <v>84</v>
      </c>
      <c r="C212" s="88" t="s">
        <v>53</v>
      </c>
      <c r="D212" s="89"/>
      <c r="E212" s="114"/>
      <c r="F212" s="23">
        <v>12126.014444444445</v>
      </c>
      <c r="G212" s="91"/>
      <c r="H212" s="114"/>
      <c r="I212" s="23">
        <v>12126.014444444445</v>
      </c>
      <c r="J212" s="24"/>
      <c r="K212" s="114"/>
      <c r="L212" s="34">
        <v>16110.84</v>
      </c>
      <c r="M212" s="24"/>
      <c r="N212" s="94">
        <f t="shared" si="79"/>
        <v>3984.8255555555552</v>
      </c>
      <c r="O212" s="24"/>
      <c r="P212" s="114"/>
      <c r="Q212" s="34">
        <v>18243.87</v>
      </c>
      <c r="R212" s="24"/>
      <c r="S212" s="95">
        <f t="shared" si="80"/>
        <v>-2133.0299999999988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">
        <v>360</v>
      </c>
      <c r="B213" s="12" t="s">
        <v>84</v>
      </c>
      <c r="C213" s="481" t="s">
        <v>54</v>
      </c>
      <c r="D213" s="82"/>
      <c r="E213" s="14"/>
      <c r="F213" s="31">
        <v>5968.7398199999989</v>
      </c>
      <c r="G213" s="84"/>
      <c r="H213" s="14"/>
      <c r="I213" s="31">
        <v>5968.7398199999989</v>
      </c>
      <c r="J213" s="42"/>
      <c r="K213" s="14"/>
      <c r="L213" s="111">
        <v>3977.4</v>
      </c>
      <c r="M213" s="42"/>
      <c r="N213" s="60">
        <f t="shared" si="79"/>
        <v>-1991.3398199999988</v>
      </c>
      <c r="O213" s="42"/>
      <c r="P213" s="14"/>
      <c r="Q213" s="111">
        <v>3704.81</v>
      </c>
      <c r="R213" s="42"/>
      <c r="S213" s="86">
        <f t="shared" si="80"/>
        <v>272.59000000000015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">
        <v>361</v>
      </c>
      <c r="B214" s="12" t="s">
        <v>84</v>
      </c>
      <c r="C214" s="481" t="s">
        <v>55</v>
      </c>
      <c r="D214" s="82"/>
      <c r="E214" s="14"/>
      <c r="F214" s="31">
        <v>594.10635000000002</v>
      </c>
      <c r="G214" s="84"/>
      <c r="H214" s="14"/>
      <c r="I214" s="31">
        <v>594.10635000000002</v>
      </c>
      <c r="J214" s="42"/>
      <c r="K214" s="14"/>
      <c r="L214" s="34">
        <v>1046.6500000000001</v>
      </c>
      <c r="M214" s="42"/>
      <c r="N214" s="60">
        <f t="shared" si="79"/>
        <v>452.54365000000007</v>
      </c>
      <c r="O214" s="42"/>
      <c r="P214" s="14"/>
      <c r="Q214" s="34">
        <v>163.29</v>
      </c>
      <c r="R214" s="42"/>
      <c r="S214" s="86">
        <f t="shared" si="80"/>
        <v>883.36000000000013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">
        <v>362</v>
      </c>
      <c r="B215" s="12" t="s">
        <v>84</v>
      </c>
      <c r="C215" s="88" t="s">
        <v>56</v>
      </c>
      <c r="D215" s="89"/>
      <c r="E215" s="114"/>
      <c r="F215" s="23">
        <v>2829.5269333333331</v>
      </c>
      <c r="G215" s="91"/>
      <c r="H215" s="114"/>
      <c r="I215" s="23">
        <v>2829.5269333333331</v>
      </c>
      <c r="J215" s="24"/>
      <c r="K215" s="114"/>
      <c r="L215" s="34">
        <v>2123.8000000000002</v>
      </c>
      <c r="M215" s="24"/>
      <c r="N215" s="94">
        <f t="shared" si="79"/>
        <v>-705.72693333333291</v>
      </c>
      <c r="O215" s="24"/>
      <c r="P215" s="114"/>
      <c r="Q215" s="34">
        <v>2094.7600000000002</v>
      </c>
      <c r="R215" s="24"/>
      <c r="S215" s="95">
        <f t="shared" si="80"/>
        <v>29.039999999999964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">
        <v>363</v>
      </c>
      <c r="B216" s="12" t="s">
        <v>84</v>
      </c>
      <c r="C216" s="481" t="s">
        <v>99</v>
      </c>
      <c r="D216" s="82"/>
      <c r="E216" s="14"/>
      <c r="F216" s="31"/>
      <c r="G216" s="84"/>
      <c r="H216" s="14"/>
      <c r="I216" s="31"/>
      <c r="J216" s="42"/>
      <c r="K216" s="14"/>
      <c r="L216" s="111">
        <v>0</v>
      </c>
      <c r="M216" s="42"/>
      <c r="N216" s="60">
        <f t="shared" si="79"/>
        <v>0</v>
      </c>
      <c r="O216" s="42"/>
      <c r="P216" s="14"/>
      <c r="Q216" s="111">
        <v>0</v>
      </c>
      <c r="R216" s="42"/>
      <c r="S216" s="86">
        <f t="shared" si="80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">
        <v>364</v>
      </c>
      <c r="B217" s="12" t="s">
        <v>84</v>
      </c>
      <c r="C217" s="481" t="s">
        <v>57</v>
      </c>
      <c r="D217" s="82"/>
      <c r="E217" s="14"/>
      <c r="F217" s="31">
        <v>1265.0050426986011</v>
      </c>
      <c r="G217" s="84"/>
      <c r="H217" s="14"/>
      <c r="I217" s="31">
        <v>1265.0050426986011</v>
      </c>
      <c r="J217" s="42"/>
      <c r="K217" s="14"/>
      <c r="L217" s="34">
        <v>1532.52</v>
      </c>
      <c r="M217" s="42"/>
      <c r="N217" s="60">
        <f t="shared" si="79"/>
        <v>267.51495730139891</v>
      </c>
      <c r="O217" s="42"/>
      <c r="P217" s="14"/>
      <c r="Q217" s="34">
        <v>2104.2199999999998</v>
      </c>
      <c r="R217" s="42"/>
      <c r="S217" s="86">
        <f t="shared" si="80"/>
        <v>-571.69999999999982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">
        <v>365</v>
      </c>
      <c r="B218" s="12" t="s">
        <v>84</v>
      </c>
      <c r="C218" s="481" t="s">
        <v>58</v>
      </c>
      <c r="D218" s="82"/>
      <c r="E218" s="14"/>
      <c r="F218" s="31">
        <v>672.19042551339658</v>
      </c>
      <c r="G218" s="84"/>
      <c r="H218" s="14"/>
      <c r="I218" s="31">
        <v>672.19042551339658</v>
      </c>
      <c r="J218" s="42"/>
      <c r="K218" s="14"/>
      <c r="L218" s="34">
        <v>632.98</v>
      </c>
      <c r="M218" s="42"/>
      <c r="N218" s="60">
        <f t="shared" si="79"/>
        <v>-39.210425513396558</v>
      </c>
      <c r="O218" s="42"/>
      <c r="P218" s="14"/>
      <c r="Q218" s="34">
        <v>428.44</v>
      </c>
      <c r="R218" s="42"/>
      <c r="S218" s="86">
        <f t="shared" si="80"/>
        <v>204.54000000000002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">
        <v>366</v>
      </c>
      <c r="B219" s="12" t="s">
        <v>84</v>
      </c>
      <c r="C219" s="481" t="s">
        <v>59</v>
      </c>
      <c r="D219" s="82"/>
      <c r="E219" s="14"/>
      <c r="F219" s="31">
        <v>489.64823999999999</v>
      </c>
      <c r="G219" s="84"/>
      <c r="H219" s="14"/>
      <c r="I219" s="31">
        <v>489.64823999999999</v>
      </c>
      <c r="J219" s="42"/>
      <c r="K219" s="14"/>
      <c r="L219" s="33">
        <v>520.73</v>
      </c>
      <c r="M219" s="42"/>
      <c r="N219" s="60">
        <f t="shared" si="79"/>
        <v>31.081760000000031</v>
      </c>
      <c r="O219" s="42"/>
      <c r="P219" s="14"/>
      <c r="Q219" s="33">
        <v>1897.67</v>
      </c>
      <c r="R219" s="42"/>
      <c r="S219" s="86">
        <f t="shared" si="80"/>
        <v>-1376.94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">
        <v>367</v>
      </c>
      <c r="B220" s="12" t="s">
        <v>84</v>
      </c>
      <c r="C220" s="481" t="s">
        <v>60</v>
      </c>
      <c r="D220" s="82"/>
      <c r="E220" s="14"/>
      <c r="F220" s="31">
        <v>226.09839500000001</v>
      </c>
      <c r="G220" s="84"/>
      <c r="H220" s="14"/>
      <c r="I220" s="31">
        <v>226.09839500000001</v>
      </c>
      <c r="J220" s="42"/>
      <c r="K220" s="14"/>
      <c r="L220" s="34">
        <v>540.80999999999995</v>
      </c>
      <c r="M220" s="42"/>
      <c r="N220" s="60">
        <f t="shared" si="79"/>
        <v>314.71160499999996</v>
      </c>
      <c r="O220" s="42"/>
      <c r="P220" s="14"/>
      <c r="Q220" s="34">
        <v>245.79</v>
      </c>
      <c r="R220" s="42"/>
      <c r="S220" s="86">
        <f t="shared" si="80"/>
        <v>295.02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">
        <v>368</v>
      </c>
      <c r="B221" s="12" t="s">
        <v>84</v>
      </c>
      <c r="C221" s="481" t="s">
        <v>61</v>
      </c>
      <c r="D221" s="82"/>
      <c r="E221" s="14"/>
      <c r="F221" s="31">
        <v>120.68780499999997</v>
      </c>
      <c r="G221" s="84"/>
      <c r="H221" s="14"/>
      <c r="I221" s="31">
        <v>120.68780499999997</v>
      </c>
      <c r="J221" s="42"/>
      <c r="K221" s="14"/>
      <c r="L221" s="34">
        <v>100.2</v>
      </c>
      <c r="M221" s="42"/>
      <c r="N221" s="60">
        <f t="shared" si="79"/>
        <v>-20.487804999999966</v>
      </c>
      <c r="O221" s="42"/>
      <c r="P221" s="14"/>
      <c r="Q221" s="34">
        <v>308.22000000000003</v>
      </c>
      <c r="R221" s="42"/>
      <c r="S221" s="86">
        <f t="shared" si="80"/>
        <v>-208.02000000000004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">
        <v>369</v>
      </c>
      <c r="B222" s="12" t="s">
        <v>84</v>
      </c>
      <c r="C222" s="481" t="s">
        <v>62</v>
      </c>
      <c r="D222" s="82"/>
      <c r="E222" s="14"/>
      <c r="F222" s="31">
        <v>582.1751949999998</v>
      </c>
      <c r="G222" s="84"/>
      <c r="H222" s="14"/>
      <c r="I222" s="31">
        <v>582.1751949999998</v>
      </c>
      <c r="J222" s="42"/>
      <c r="K222" s="14"/>
      <c r="L222" s="34">
        <v>47.04</v>
      </c>
      <c r="M222" s="42"/>
      <c r="N222" s="60">
        <f t="shared" si="79"/>
        <v>-535.13519499999984</v>
      </c>
      <c r="O222" s="42"/>
      <c r="P222" s="14"/>
      <c r="Q222" s="34">
        <v>119</v>
      </c>
      <c r="R222" s="42"/>
      <c r="S222" s="86">
        <f t="shared" si="80"/>
        <v>-71.960000000000008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">
        <v>370</v>
      </c>
      <c r="B223" s="12" t="s">
        <v>84</v>
      </c>
      <c r="C223" s="481" t="s">
        <v>63</v>
      </c>
      <c r="D223" s="82"/>
      <c r="E223" s="14"/>
      <c r="F223" s="31">
        <v>864.94219999999996</v>
      </c>
      <c r="G223" s="84"/>
      <c r="H223" s="14"/>
      <c r="I223" s="31">
        <v>864.94219999999996</v>
      </c>
      <c r="J223" s="42"/>
      <c r="K223" s="14"/>
      <c r="L223" s="34">
        <v>580.24</v>
      </c>
      <c r="M223" s="42"/>
      <c r="N223" s="60">
        <f t="shared" si="79"/>
        <v>-284.70219999999995</v>
      </c>
      <c r="O223" s="42"/>
      <c r="P223" s="14"/>
      <c r="Q223" s="34">
        <v>264.12</v>
      </c>
      <c r="R223" s="42"/>
      <c r="S223" s="86">
        <f t="shared" si="80"/>
        <v>316.12</v>
      </c>
      <c r="T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">
        <v>371</v>
      </c>
      <c r="B224" s="12" t="s">
        <v>84</v>
      </c>
      <c r="C224" s="481" t="s">
        <v>64</v>
      </c>
      <c r="D224" s="82"/>
      <c r="E224" s="14"/>
      <c r="F224" s="31">
        <v>1546.6051024673684</v>
      </c>
      <c r="G224" s="84"/>
      <c r="H224" s="14"/>
      <c r="I224" s="31">
        <v>1546.6051024673684</v>
      </c>
      <c r="J224" s="42"/>
      <c r="K224" s="14"/>
      <c r="L224" s="34">
        <v>2045.28</v>
      </c>
      <c r="M224" s="42"/>
      <c r="N224" s="60">
        <f t="shared" si="79"/>
        <v>498.67489753263158</v>
      </c>
      <c r="O224" s="42"/>
      <c r="P224" s="14"/>
      <c r="Q224" s="34">
        <f>AL447*W5</f>
        <v>1413.55125</v>
      </c>
      <c r="R224" s="42"/>
      <c r="S224" s="86">
        <f t="shared" si="80"/>
        <v>631.72874999999999</v>
      </c>
      <c r="T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">
        <v>351</v>
      </c>
      <c r="B225" s="12" t="s">
        <v>84</v>
      </c>
      <c r="C225" s="481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f t="shared" si="79"/>
        <v>0</v>
      </c>
      <c r="O225" s="42"/>
      <c r="P225" s="14"/>
      <c r="Q225" s="34">
        <v>0</v>
      </c>
      <c r="R225" s="42"/>
      <c r="S225" s="86">
        <f t="shared" si="80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">
        <v>351</v>
      </c>
      <c r="B226" s="12" t="s">
        <v>84</v>
      </c>
      <c r="C226" s="481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f t="shared" si="79"/>
        <v>0</v>
      </c>
      <c r="O226" s="42"/>
      <c r="P226" s="14"/>
      <c r="Q226" s="34">
        <v>0</v>
      </c>
      <c r="R226" s="42"/>
      <c r="S226" s="86">
        <f t="shared" si="80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">
        <v>351</v>
      </c>
      <c r="B227" s="12" t="s">
        <v>84</v>
      </c>
      <c r="C227" s="481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f t="shared" si="79"/>
        <v>0</v>
      </c>
      <c r="O227" s="42"/>
      <c r="P227" s="14"/>
      <c r="Q227" s="34">
        <v>0</v>
      </c>
      <c r="R227" s="42"/>
      <c r="S227" s="86">
        <f t="shared" si="80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6" t="s">
        <v>65</v>
      </c>
      <c r="D228" s="97" t="s">
        <v>98</v>
      </c>
      <c r="E228" s="98">
        <f>F228/F$193</f>
        <v>0.22085066994595848</v>
      </c>
      <c r="F228" s="99">
        <f>+SUM(F210:F227)</f>
        <v>36473.815830880332</v>
      </c>
      <c r="G228" s="100" t="s">
        <v>98</v>
      </c>
      <c r="H228" s="98">
        <f>I228/I$193</f>
        <v>0.22085066994595848</v>
      </c>
      <c r="I228" s="99">
        <f>+SUM(I210:I227)</f>
        <v>36473.815830880332</v>
      </c>
      <c r="J228" s="100" t="s">
        <v>98</v>
      </c>
      <c r="K228" s="98">
        <f>L228/L$193</f>
        <v>0.27448702254082291</v>
      </c>
      <c r="L228" s="99">
        <f>+SUM(L210:L227)</f>
        <v>44521.29</v>
      </c>
      <c r="M228" s="103"/>
      <c r="N228" s="99">
        <f t="shared" si="79"/>
        <v>8047.4741691196687</v>
      </c>
      <c r="O228" s="100" t="s">
        <v>98</v>
      </c>
      <c r="P228" s="98">
        <f>Q228/Q$193</f>
        <v>0.31226953083915382</v>
      </c>
      <c r="Q228" s="99">
        <f>+SUM(Q210:Q227)</f>
        <v>41476.941250000003</v>
      </c>
      <c r="R228" s="103"/>
      <c r="S228" s="104">
        <f t="shared" si="80"/>
        <v>3044.3487499999974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4"/>
      <c r="F229" s="60"/>
      <c r="G229" s="91"/>
      <c r="H229" s="114"/>
      <c r="I229" s="60"/>
      <c r="J229" s="24"/>
      <c r="K229" s="114"/>
      <c r="L229" s="94"/>
      <c r="M229" s="24"/>
      <c r="N229" s="94"/>
      <c r="O229" s="24"/>
      <c r="P229" s="114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6" t="s">
        <v>66</v>
      </c>
      <c r="D230" s="97" t="s">
        <v>40</v>
      </c>
      <c r="E230" s="98">
        <f>F230/F$193</f>
        <v>0.88695958226857785</v>
      </c>
      <c r="F230" s="99">
        <f>F209+F228</f>
        <v>146482.69104646507</v>
      </c>
      <c r="G230" s="100" t="s">
        <v>40</v>
      </c>
      <c r="H230" s="98">
        <f>I230/I$193</f>
        <v>0.88695958226857785</v>
      </c>
      <c r="I230" s="99">
        <f>I209+I228</f>
        <v>146482.69104646507</v>
      </c>
      <c r="J230" s="100" t="s">
        <v>40</v>
      </c>
      <c r="K230" s="98">
        <f>L230/L$193</f>
        <v>0.89713668761717158</v>
      </c>
      <c r="L230" s="99">
        <f>L209+L228</f>
        <v>145513.92000000001</v>
      </c>
      <c r="M230" s="103"/>
      <c r="N230" s="116">
        <f t="shared" ref="N230:N231" si="81">L230-I230</f>
        <v>-968.77104646505904</v>
      </c>
      <c r="O230" s="100" t="s">
        <v>40</v>
      </c>
      <c r="P230" s="98">
        <f>Q230/Q$193</f>
        <v>0.93847265335819541</v>
      </c>
      <c r="Q230" s="99">
        <f>Q209+Q228</f>
        <v>124651.85125000001</v>
      </c>
      <c r="R230" s="103"/>
      <c r="S230" s="117">
        <f>L230-Q230</f>
        <v>20862.068750000006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481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81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27" t="s">
        <v>73</v>
      </c>
      <c r="D232" s="156"/>
      <c r="E232" s="128"/>
      <c r="F232" s="130">
        <f>F193-F230</f>
        <v>18668.792713151197</v>
      </c>
      <c r="G232" s="157"/>
      <c r="H232" s="128"/>
      <c r="I232" s="130">
        <f>I193-I230</f>
        <v>18668.792713151197</v>
      </c>
      <c r="J232" s="158"/>
      <c r="K232" s="129"/>
      <c r="L232" s="130">
        <f>L193-L230</f>
        <v>16684.239999999991</v>
      </c>
      <c r="M232" s="158"/>
      <c r="N232" s="130">
        <f>L232-I232</f>
        <v>-1984.5527131512063</v>
      </c>
      <c r="O232" s="158"/>
      <c r="P232" s="129"/>
      <c r="Q232" s="130">
        <f>Q193-Q230</f>
        <v>8172.3187499999767</v>
      </c>
      <c r="R232" s="158"/>
      <c r="S232" s="132">
        <f>L232-Q232</f>
        <v>8511.921250000014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59"/>
      <c r="M234" s="159"/>
      <c r="N234" s="11"/>
      <c r="O234" s="159"/>
      <c r="P234" s="11"/>
      <c r="Q234" s="159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475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Août 2022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64" t="s">
        <v>5</v>
      </c>
      <c r="E237" s="565"/>
      <c r="F237" s="566"/>
      <c r="G237" s="562" t="s">
        <v>75</v>
      </c>
      <c r="H237" s="565"/>
      <c r="I237" s="566"/>
      <c r="J237" s="562" t="s">
        <v>7</v>
      </c>
      <c r="K237" s="565"/>
      <c r="L237" s="566"/>
      <c r="M237" s="562" t="s">
        <v>8</v>
      </c>
      <c r="N237" s="566"/>
      <c r="O237" s="564" t="s">
        <v>9</v>
      </c>
      <c r="P237" s="565"/>
      <c r="Q237" s="566"/>
      <c r="R237" s="562" t="s">
        <v>10</v>
      </c>
      <c r="S237" s="563"/>
      <c r="T237" s="153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">
        <v>100</v>
      </c>
      <c r="B238" s="12" t="s">
        <v>100</v>
      </c>
      <c r="C238" s="481"/>
      <c r="D238" s="81" t="s">
        <v>41</v>
      </c>
      <c r="E238" s="81" t="s">
        <v>85</v>
      </c>
      <c r="F238" s="137" t="s">
        <v>13</v>
      </c>
      <c r="G238" s="138" t="s">
        <v>41</v>
      </c>
      <c r="H238" s="81" t="s">
        <v>85</v>
      </c>
      <c r="I238" s="137" t="s">
        <v>13</v>
      </c>
      <c r="J238" s="138" t="s">
        <v>41</v>
      </c>
      <c r="K238" s="81" t="s">
        <v>85</v>
      </c>
      <c r="L238" s="137" t="s">
        <v>13</v>
      </c>
      <c r="M238" s="138" t="s">
        <v>41</v>
      </c>
      <c r="N238" s="137" t="s">
        <v>13</v>
      </c>
      <c r="O238" s="81" t="s">
        <v>41</v>
      </c>
      <c r="P238" s="81" t="s">
        <v>85</v>
      </c>
      <c r="Q238" s="137" t="s">
        <v>13</v>
      </c>
      <c r="R238" s="138" t="s">
        <v>86</v>
      </c>
      <c r="S238" s="139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">
        <v>100</v>
      </c>
      <c r="B239" s="12" t="s">
        <v>100</v>
      </c>
      <c r="C239" s="481"/>
      <c r="D239" s="81"/>
      <c r="E239" s="81"/>
      <c r="F239" s="137"/>
      <c r="G239" s="138"/>
      <c r="H239" s="81"/>
      <c r="I239" s="137"/>
      <c r="J239" s="138"/>
      <c r="K239" s="31"/>
      <c r="L239" s="34"/>
      <c r="M239" s="138"/>
      <c r="N239" s="137"/>
      <c r="O239" s="81"/>
      <c r="P239" s="81"/>
      <c r="Q239" s="137"/>
      <c r="R239" s="138"/>
      <c r="S239" s="139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">
        <v>372</v>
      </c>
      <c r="B240" s="12" t="s">
        <v>100</v>
      </c>
      <c r="C240" s="481" t="s">
        <v>101</v>
      </c>
      <c r="D240" s="81">
        <v>0</v>
      </c>
      <c r="E240" s="83">
        <v>86179.026195946368</v>
      </c>
      <c r="F240" s="83">
        <v>19062.882224126206</v>
      </c>
      <c r="G240" s="160">
        <v>0</v>
      </c>
      <c r="H240" s="83">
        <v>86179.026195946368</v>
      </c>
      <c r="I240" s="83">
        <v>19062.882224126206</v>
      </c>
      <c r="J240" s="61">
        <v>51</v>
      </c>
      <c r="K240" s="31">
        <v>90885.119999999995</v>
      </c>
      <c r="L240" s="34">
        <v>19885.989999999994</v>
      </c>
      <c r="M240" s="161">
        <f>IFERROR((K240-H240)/H240,0)</f>
        <v>5.4608342792750071E-2</v>
      </c>
      <c r="N240" s="60">
        <f>L240-I240</f>
        <v>823.10777587378834</v>
      </c>
      <c r="O240" s="61">
        <v>60</v>
      </c>
      <c r="P240" s="31">
        <v>87261.87</v>
      </c>
      <c r="Q240" s="34">
        <v>21965.590000000004</v>
      </c>
      <c r="R240" s="161">
        <f>IF(O240=0,0,J240/O240)</f>
        <v>0.85</v>
      </c>
      <c r="S240" s="86">
        <f>L240-Q240</f>
        <v>-2079.6000000000095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">
        <v>373</v>
      </c>
      <c r="B241" s="12" t="s">
        <v>100</v>
      </c>
      <c r="C241" s="481" t="s">
        <v>88</v>
      </c>
      <c r="D241" s="81"/>
      <c r="E241" s="147"/>
      <c r="F241" s="162">
        <f>IFERROR(F240/E240,0)</f>
        <v>0.2212009472093904</v>
      </c>
      <c r="G241" s="42"/>
      <c r="H241" s="147"/>
      <c r="I241" s="162">
        <f>IFERROR(I240/H240,0)</f>
        <v>0.2212009472093904</v>
      </c>
      <c r="J241" s="61"/>
      <c r="K241" s="14"/>
      <c r="L241" s="162">
        <f>IFERROR(L240/K240,0)</f>
        <v>0.21880358412906309</v>
      </c>
      <c r="M241" s="161"/>
      <c r="N241" s="60">
        <f>IFERROR(N240/M240,0)</f>
        <v>15072.930870611697</v>
      </c>
      <c r="O241" s="61"/>
      <c r="P241" s="14"/>
      <c r="Q241" s="162">
        <f>IFERROR(Q240/P240,0)</f>
        <v>0.25172036767032385</v>
      </c>
      <c r="R241" s="61"/>
      <c r="S241" s="86">
        <f>IFERROR(S240/R240,0)</f>
        <v>-2446.5882352941289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">
        <v>100</v>
      </c>
      <c r="B242" s="12" t="s">
        <v>100</v>
      </c>
      <c r="C242" s="481"/>
      <c r="D242" s="81"/>
      <c r="E242" s="209"/>
      <c r="F242" s="210"/>
      <c r="G242" s="138"/>
      <c r="H242" s="209"/>
      <c r="I242" s="210"/>
      <c r="J242" s="138"/>
      <c r="K242" s="81"/>
      <c r="L242" s="137"/>
      <c r="M242" s="138"/>
      <c r="N242" s="137"/>
      <c r="O242" s="138"/>
      <c r="P242" s="81"/>
      <c r="Q242" s="137"/>
      <c r="R242" s="211"/>
      <c r="S242" s="139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">
        <v>374</v>
      </c>
      <c r="B243" s="12" t="s">
        <v>100</v>
      </c>
      <c r="C243" s="15" t="s">
        <v>102</v>
      </c>
      <c r="D243" s="108">
        <v>0</v>
      </c>
      <c r="E243" s="83">
        <v>0</v>
      </c>
      <c r="F243" s="83">
        <v>0</v>
      </c>
      <c r="G243" s="212">
        <v>0</v>
      </c>
      <c r="H243" s="83">
        <v>0</v>
      </c>
      <c r="I243" s="83">
        <v>0</v>
      </c>
      <c r="J243" s="168">
        <v>0</v>
      </c>
      <c r="K243" s="169">
        <v>0</v>
      </c>
      <c r="L243" s="111">
        <v>0</v>
      </c>
      <c r="M243" s="176" t="e">
        <f>(K243-H243)/H243</f>
        <v>#DIV/0!</v>
      </c>
      <c r="N243" s="112">
        <f>L243-I243</f>
        <v>0</v>
      </c>
      <c r="O243" s="168">
        <v>0</v>
      </c>
      <c r="P243" s="169">
        <v>0</v>
      </c>
      <c r="Q243" s="111">
        <v>0</v>
      </c>
      <c r="R243" s="161">
        <f>IF(O243=0,0,J243/O243)</f>
        <v>0</v>
      </c>
      <c r="S243" s="113">
        <f>L243-Q243</f>
        <v>0</v>
      </c>
      <c r="T243" s="152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">
        <v>373</v>
      </c>
      <c r="B244" s="12" t="s">
        <v>100</v>
      </c>
      <c r="C244" s="481" t="s">
        <v>88</v>
      </c>
      <c r="D244" s="14"/>
      <c r="E244" s="147"/>
      <c r="F244" s="162" t="e">
        <f>F243/E243</f>
        <v>#DIV/0!</v>
      </c>
      <c r="G244" s="42"/>
      <c r="H244" s="147"/>
      <c r="I244" s="162" t="e">
        <f>I243/H243</f>
        <v>#DIV/0!</v>
      </c>
      <c r="J244" s="61"/>
      <c r="K244" s="14"/>
      <c r="L244" s="162">
        <f>IFERROR(L243/K243,0)</f>
        <v>0</v>
      </c>
      <c r="M244" s="161"/>
      <c r="N244" s="60" t="e">
        <f>N243/I243</f>
        <v>#DIV/0!</v>
      </c>
      <c r="O244" s="61"/>
      <c r="P244" s="14"/>
      <c r="Q244" s="162">
        <f>IFERROR(Q243/P243,0)</f>
        <v>0</v>
      </c>
      <c r="R244" s="61"/>
      <c r="S244" s="86">
        <f>IF(Q243=0,0,S243/Q243)</f>
        <v>0</v>
      </c>
      <c r="T244" s="152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">
        <v>100</v>
      </c>
      <c r="B245" s="12" t="s">
        <v>100</v>
      </c>
      <c r="C245" s="88"/>
      <c r="D245" s="114"/>
      <c r="E245" s="163"/>
      <c r="F245" s="164"/>
      <c r="G245" s="24"/>
      <c r="H245" s="173"/>
      <c r="I245" s="164"/>
      <c r="J245" s="165"/>
      <c r="K245" s="213"/>
      <c r="L245" s="164"/>
      <c r="M245" s="166"/>
      <c r="N245" s="94"/>
      <c r="O245" s="165"/>
      <c r="P245" s="213"/>
      <c r="Q245" s="164"/>
      <c r="R245" s="165"/>
      <c r="S245" s="95"/>
      <c r="T245" s="152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">
        <v>375</v>
      </c>
      <c r="B246" s="12" t="s">
        <v>100</v>
      </c>
      <c r="C246" s="15" t="s">
        <v>103</v>
      </c>
      <c r="D246" s="167">
        <v>0</v>
      </c>
      <c r="E246" s="83">
        <v>0</v>
      </c>
      <c r="F246" s="83">
        <v>0</v>
      </c>
      <c r="G246" s="168">
        <v>0</v>
      </c>
      <c r="H246" s="83">
        <v>0</v>
      </c>
      <c r="I246" s="83">
        <v>0</v>
      </c>
      <c r="J246" s="168">
        <v>0</v>
      </c>
      <c r="K246" s="31">
        <v>0</v>
      </c>
      <c r="L246" s="34">
        <v>0</v>
      </c>
      <c r="M246" s="161" t="e">
        <f>(K246-H246)/H246</f>
        <v>#DIV/0!</v>
      </c>
      <c r="N246" s="112">
        <f>L246-I246</f>
        <v>0</v>
      </c>
      <c r="O246" s="168">
        <v>0</v>
      </c>
      <c r="P246" s="31">
        <v>0</v>
      </c>
      <c r="Q246" s="34">
        <v>0</v>
      </c>
      <c r="R246" s="161">
        <f>IF(O246=0,0,J246/O246)</f>
        <v>0</v>
      </c>
      <c r="S246" s="86">
        <f>L246-Q246</f>
        <v>0</v>
      </c>
      <c r="T246" s="152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">
        <v>373</v>
      </c>
      <c r="B247" s="12" t="s">
        <v>100</v>
      </c>
      <c r="C247" s="481" t="s">
        <v>88</v>
      </c>
      <c r="D247" s="14"/>
      <c r="E247" s="14"/>
      <c r="F247" s="162" t="e">
        <f>F246/E246</f>
        <v>#DIV/0!</v>
      </c>
      <c r="G247" s="42"/>
      <c r="H247" s="14"/>
      <c r="I247" s="162" t="e">
        <f>I246/H246</f>
        <v>#DIV/0!</v>
      </c>
      <c r="J247" s="42"/>
      <c r="K247" s="14"/>
      <c r="L247" s="162">
        <f>IFERROR(L246/K246,0)</f>
        <v>0</v>
      </c>
      <c r="M247" s="43"/>
      <c r="N247" s="44" t="e">
        <f>N246/I246</f>
        <v>#DIV/0!</v>
      </c>
      <c r="O247" s="42"/>
      <c r="P247" s="14"/>
      <c r="Q247" s="162">
        <f>IFERROR(Q246/P246,0)</f>
        <v>0</v>
      </c>
      <c r="R247" s="43"/>
      <c r="S247" s="45">
        <f>IF(Q246=0,0,S246/Q246)</f>
        <v>0</v>
      </c>
      <c r="T247" s="152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">
        <v>100</v>
      </c>
      <c r="B248" s="12" t="s">
        <v>100</v>
      </c>
      <c r="C248" s="481"/>
      <c r="D248" s="14"/>
      <c r="E248" s="14"/>
      <c r="F248" s="162"/>
      <c r="G248" s="42"/>
      <c r="H248" s="14"/>
      <c r="I248" s="162"/>
      <c r="J248" s="42"/>
      <c r="K248" s="14"/>
      <c r="L248" s="162"/>
      <c r="M248" s="43"/>
      <c r="N248" s="44"/>
      <c r="O248" s="42"/>
      <c r="P248" s="14"/>
      <c r="Q248" s="162"/>
      <c r="R248" s="43"/>
      <c r="S248" s="45"/>
      <c r="T248" s="152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">
        <v>376</v>
      </c>
      <c r="B249" s="12" t="s">
        <v>100</v>
      </c>
      <c r="C249" s="63" t="s">
        <v>97</v>
      </c>
      <c r="D249" s="64"/>
      <c r="E249" s="64">
        <f t="shared" ref="E249:F249" si="82">E243+E246+E240</f>
        <v>86179.026195946368</v>
      </c>
      <c r="F249" s="66">
        <f t="shared" si="82"/>
        <v>19062.882224126206</v>
      </c>
      <c r="G249" s="67"/>
      <c r="H249" s="64">
        <f t="shared" ref="H249:I249" si="83">H243+H246+H240</f>
        <v>86179.026195946368</v>
      </c>
      <c r="I249" s="66">
        <f t="shared" si="83"/>
        <v>19062.882224126206</v>
      </c>
      <c r="J249" s="67"/>
      <c r="K249" s="64">
        <f t="shared" ref="K249:L249" si="84">K243+K246+K240</f>
        <v>90885.119999999995</v>
      </c>
      <c r="L249" s="66">
        <f t="shared" si="84"/>
        <v>19885.989999999994</v>
      </c>
      <c r="M249" s="208">
        <f>L250-I250</f>
        <v>-2.3973630803273138E-3</v>
      </c>
      <c r="N249" s="66">
        <f>L249-I249</f>
        <v>823.10777587378834</v>
      </c>
      <c r="O249" s="67"/>
      <c r="P249" s="64">
        <f t="shared" ref="P249:Q249" si="85">P243+P246+P240</f>
        <v>87261.87</v>
      </c>
      <c r="Q249" s="66">
        <f t="shared" si="85"/>
        <v>21965.590000000004</v>
      </c>
      <c r="R249" s="516">
        <f>L250-Q250</f>
        <v>-3.2916783541260763E-2</v>
      </c>
      <c r="S249" s="69">
        <f>L249-Q249</f>
        <v>-2079.6000000000095</v>
      </c>
      <c r="T249" s="152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">
        <v>100</v>
      </c>
      <c r="B250" s="12" t="s">
        <v>100</v>
      </c>
      <c r="C250" s="70"/>
      <c r="D250" s="71"/>
      <c r="E250" s="71"/>
      <c r="F250" s="75">
        <f>F249/E249</f>
        <v>0.2212009472093904</v>
      </c>
      <c r="G250" s="73"/>
      <c r="H250" s="71"/>
      <c r="I250" s="75">
        <f>I249/H249</f>
        <v>0.2212009472093904</v>
      </c>
      <c r="J250" s="73"/>
      <c r="K250" s="71"/>
      <c r="L250" s="75">
        <f>IF(K249=0,0,L249/K249)</f>
        <v>0.21880358412906309</v>
      </c>
      <c r="M250" s="74"/>
      <c r="N250" s="75">
        <f>N249/I249</f>
        <v>4.3178558530464692E-2</v>
      </c>
      <c r="O250" s="73"/>
      <c r="P250" s="71"/>
      <c r="Q250" s="75">
        <f>IF(P249=0,0,Q249/P249)</f>
        <v>0.25172036767032385</v>
      </c>
      <c r="R250" s="74"/>
      <c r="S250" s="517">
        <f>S249/Q249</f>
        <v>-9.4675353587133748E-2</v>
      </c>
      <c r="T250" s="152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">
        <v>100</v>
      </c>
      <c r="B251" s="12" t="s">
        <v>100</v>
      </c>
      <c r="C251" s="481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">
        <v>377</v>
      </c>
      <c r="B252" s="12" t="s">
        <v>100</v>
      </c>
      <c r="C252" s="487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">
        <v>378</v>
      </c>
      <c r="B253" s="12" t="s">
        <v>100</v>
      </c>
      <c r="C253" s="494" t="s">
        <v>42</v>
      </c>
      <c r="D253" s="14"/>
      <c r="E253" s="14"/>
      <c r="F253" s="31">
        <v>325.80440613026821</v>
      </c>
      <c r="G253" s="42"/>
      <c r="H253" s="14"/>
      <c r="I253" s="31">
        <v>325.80440613026821</v>
      </c>
      <c r="J253" s="42"/>
      <c r="K253" s="14"/>
      <c r="L253" s="34">
        <v>901.88</v>
      </c>
      <c r="M253" s="42"/>
      <c r="N253" s="60">
        <f t="shared" ref="N253:N283" si="86">L253-I253</f>
        <v>576.07559386973185</v>
      </c>
      <c r="O253" s="42"/>
      <c r="P253" s="14"/>
      <c r="Q253" s="34">
        <v>1209.1199999999999</v>
      </c>
      <c r="R253" s="42"/>
      <c r="S253" s="35">
        <f>L253-Q253</f>
        <v>-307.2399999999999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">
        <v>379</v>
      </c>
      <c r="B254" s="12" t="s">
        <v>100</v>
      </c>
      <c r="C254" s="106" t="s">
        <v>43</v>
      </c>
      <c r="D254" s="82"/>
      <c r="E254" s="14"/>
      <c r="F254" s="23">
        <v>545.66820983524906</v>
      </c>
      <c r="G254" s="84"/>
      <c r="H254" s="14"/>
      <c r="I254" s="23">
        <v>545.66820983524906</v>
      </c>
      <c r="J254" s="42"/>
      <c r="K254" s="14"/>
      <c r="L254" s="34">
        <v>411.27</v>
      </c>
      <c r="M254" s="42"/>
      <c r="N254" s="60">
        <f t="shared" si="86"/>
        <v>-134.39820983524908</v>
      </c>
      <c r="O254" s="42"/>
      <c r="P254" s="14"/>
      <c r="Q254" s="34">
        <v>512.35</v>
      </c>
      <c r="R254" s="42"/>
      <c r="S254" s="86">
        <f>L254-Q254</f>
        <v>-101.08000000000004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">
        <v>380</v>
      </c>
      <c r="B255" s="12" t="s">
        <v>100</v>
      </c>
      <c r="C255" s="494" t="s">
        <v>44</v>
      </c>
      <c r="D255" s="107"/>
      <c r="E255" s="108"/>
      <c r="F255" s="31">
        <v>469.91855390038313</v>
      </c>
      <c r="G255" s="109"/>
      <c r="H255" s="108"/>
      <c r="I255" s="31">
        <v>469.91855390038313</v>
      </c>
      <c r="J255" s="110"/>
      <c r="K255" s="108"/>
      <c r="L255" s="111">
        <v>1.32</v>
      </c>
      <c r="M255" s="110"/>
      <c r="N255" s="112">
        <f t="shared" si="86"/>
        <v>-468.59855390038314</v>
      </c>
      <c r="O255" s="110"/>
      <c r="P255" s="108"/>
      <c r="Q255" s="111">
        <v>3739.26</v>
      </c>
      <c r="R255" s="110"/>
      <c r="S255" s="113">
        <f t="shared" ref="S255:S284" si="87">L255-Q255</f>
        <v>-3737.94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">
        <v>381</v>
      </c>
      <c r="B256" s="12" t="s">
        <v>100</v>
      </c>
      <c r="C256" s="494" t="s">
        <v>45</v>
      </c>
      <c r="D256" s="82"/>
      <c r="E256" s="14"/>
      <c r="F256" s="31">
        <v>4293.1034482758623</v>
      </c>
      <c r="G256" s="84"/>
      <c r="H256" s="14"/>
      <c r="I256" s="31">
        <v>4293.1034482758623</v>
      </c>
      <c r="J256" s="42"/>
      <c r="K256" s="14"/>
      <c r="L256" s="34">
        <v>5003.88</v>
      </c>
      <c r="M256" s="42"/>
      <c r="N256" s="60">
        <f t="shared" si="86"/>
        <v>710.77655172413779</v>
      </c>
      <c r="O256" s="42"/>
      <c r="P256" s="14"/>
      <c r="Q256" s="34">
        <v>1384.63</v>
      </c>
      <c r="R256" s="42"/>
      <c r="S256" s="86">
        <f t="shared" si="87"/>
        <v>3619.25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">
        <v>382</v>
      </c>
      <c r="B257" s="12" t="s">
        <v>100</v>
      </c>
      <c r="C257" s="481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f t="shared" si="86"/>
        <v>0</v>
      </c>
      <c r="O257" s="42"/>
      <c r="P257" s="14"/>
      <c r="Q257" s="34">
        <v>0</v>
      </c>
      <c r="R257" s="42"/>
      <c r="S257" s="86">
        <f t="shared" si="87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">
        <v>382</v>
      </c>
      <c r="B258" s="12" t="s">
        <v>100</v>
      </c>
      <c r="C258" s="481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f t="shared" si="86"/>
        <v>0</v>
      </c>
      <c r="O258" s="42"/>
      <c r="P258" s="14"/>
      <c r="Q258" s="34">
        <v>0</v>
      </c>
      <c r="R258" s="42"/>
      <c r="S258" s="86">
        <f t="shared" si="87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">
        <v>382</v>
      </c>
      <c r="B259" s="12" t="s">
        <v>100</v>
      </c>
      <c r="C259" s="481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f t="shared" si="86"/>
        <v>0</v>
      </c>
      <c r="O259" s="42"/>
      <c r="P259" s="14"/>
      <c r="Q259" s="34">
        <v>0</v>
      </c>
      <c r="R259" s="42"/>
      <c r="S259" s="86">
        <f t="shared" si="87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">
        <v>383</v>
      </c>
      <c r="B260" s="12" t="s">
        <v>100</v>
      </c>
      <c r="C260" s="106" t="s">
        <v>46</v>
      </c>
      <c r="D260" s="82"/>
      <c r="E260" s="14"/>
      <c r="F260" s="23">
        <v>685.83684543664049</v>
      </c>
      <c r="G260" s="84"/>
      <c r="H260" s="14"/>
      <c r="I260" s="23">
        <v>685.83684543664049</v>
      </c>
      <c r="J260" s="42"/>
      <c r="K260" s="14"/>
      <c r="L260" s="34">
        <v>741.24</v>
      </c>
      <c r="M260" s="42"/>
      <c r="N260" s="60">
        <f t="shared" si="86"/>
        <v>55.403154563359521</v>
      </c>
      <c r="O260" s="42"/>
      <c r="P260" s="14"/>
      <c r="Q260" s="34">
        <v>163.69</v>
      </c>
      <c r="R260" s="42"/>
      <c r="S260" s="86">
        <f t="shared" si="87"/>
        <v>577.54999999999995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">
        <v>384</v>
      </c>
      <c r="B261" s="12" t="s">
        <v>100</v>
      </c>
      <c r="C261" s="494" t="s">
        <v>47</v>
      </c>
      <c r="D261" s="107"/>
      <c r="E261" s="108"/>
      <c r="F261" s="31">
        <v>614.23719729445975</v>
      </c>
      <c r="G261" s="109"/>
      <c r="H261" s="108"/>
      <c r="I261" s="31">
        <v>614.23719729445975</v>
      </c>
      <c r="J261" s="110"/>
      <c r="K261" s="108"/>
      <c r="L261" s="111">
        <v>1567.3</v>
      </c>
      <c r="M261" s="110"/>
      <c r="N261" s="112">
        <f t="shared" si="86"/>
        <v>953.06280270554021</v>
      </c>
      <c r="O261" s="110"/>
      <c r="P261" s="108"/>
      <c r="Q261" s="111">
        <v>738.17</v>
      </c>
      <c r="R261" s="110"/>
      <c r="S261" s="113">
        <f t="shared" si="87"/>
        <v>829.13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">
        <v>385</v>
      </c>
      <c r="B262" s="12" t="s">
        <v>100</v>
      </c>
      <c r="C262" s="494" t="s">
        <v>48</v>
      </c>
      <c r="D262" s="82"/>
      <c r="E262" s="14"/>
      <c r="F262" s="31">
        <v>487.77659785148285</v>
      </c>
      <c r="G262" s="84"/>
      <c r="H262" s="14"/>
      <c r="I262" s="31">
        <v>487.77659785148285</v>
      </c>
      <c r="J262" s="42"/>
      <c r="K262" s="14"/>
      <c r="L262" s="34">
        <v>1535.97</v>
      </c>
      <c r="M262" s="42"/>
      <c r="N262" s="60">
        <f t="shared" si="86"/>
        <v>1048.1934021485172</v>
      </c>
      <c r="O262" s="42"/>
      <c r="P262" s="14"/>
      <c r="Q262" s="34">
        <v>529.02</v>
      </c>
      <c r="R262" s="42"/>
      <c r="S262" s="86">
        <f t="shared" si="87"/>
        <v>1006.95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">
        <v>386</v>
      </c>
      <c r="B263" s="12" t="s">
        <v>100</v>
      </c>
      <c r="C263" s="494" t="s">
        <v>49</v>
      </c>
      <c r="D263" s="82"/>
      <c r="E263" s="14"/>
      <c r="F263" s="31">
        <v>198.72379912467818</v>
      </c>
      <c r="G263" s="84"/>
      <c r="H263" s="14"/>
      <c r="I263" s="31">
        <v>198.72379912467818</v>
      </c>
      <c r="J263" s="42"/>
      <c r="K263" s="14"/>
      <c r="L263" s="34">
        <v>219</v>
      </c>
      <c r="M263" s="42"/>
      <c r="N263" s="60">
        <f t="shared" si="86"/>
        <v>20.27620087532182</v>
      </c>
      <c r="O263" s="42"/>
      <c r="P263" s="14"/>
      <c r="Q263" s="34">
        <v>123.03</v>
      </c>
      <c r="R263" s="42"/>
      <c r="S263" s="86">
        <f t="shared" si="87"/>
        <v>95.97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">
        <v>382</v>
      </c>
      <c r="B264" s="12" t="s">
        <v>100</v>
      </c>
      <c r="C264" s="481" t="s">
        <v>21</v>
      </c>
      <c r="D264" s="89"/>
      <c r="E264" s="114"/>
      <c r="F264" s="31">
        <v>0</v>
      </c>
      <c r="G264" s="91"/>
      <c r="H264" s="114"/>
      <c r="I264" s="31">
        <v>0</v>
      </c>
      <c r="J264" s="24"/>
      <c r="K264" s="114"/>
      <c r="L264" s="34">
        <v>0</v>
      </c>
      <c r="M264" s="24"/>
      <c r="N264" s="94">
        <f t="shared" si="86"/>
        <v>0</v>
      </c>
      <c r="O264" s="24"/>
      <c r="P264" s="114"/>
      <c r="Q264" s="34">
        <v>0</v>
      </c>
      <c r="R264" s="24"/>
      <c r="S264" s="95">
        <f t="shared" si="87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">
        <v>387</v>
      </c>
      <c r="B265" s="12" t="s">
        <v>100</v>
      </c>
      <c r="C265" s="96" t="s">
        <v>50</v>
      </c>
      <c r="D265" s="97" t="s">
        <v>40</v>
      </c>
      <c r="E265" s="98" t="e">
        <f>F265/F$243</f>
        <v>#DIV/0!</v>
      </c>
      <c r="F265" s="99">
        <f>+SUM(F253:F264)</f>
        <v>7621.0690578490239</v>
      </c>
      <c r="G265" s="100" t="s">
        <v>40</v>
      </c>
      <c r="H265" s="98" t="e">
        <f>I265/I$243</f>
        <v>#DIV/0!</v>
      </c>
      <c r="I265" s="99">
        <f>+SUM(I253:I264)</f>
        <v>7621.0690578490239</v>
      </c>
      <c r="J265" s="100" t="s">
        <v>40</v>
      </c>
      <c r="K265" s="98">
        <f>IF(L243=0,0,L265/L$243)</f>
        <v>0</v>
      </c>
      <c r="L265" s="99">
        <f>+SUM(L253:L264)</f>
        <v>10381.859999999999</v>
      </c>
      <c r="M265" s="151"/>
      <c r="N265" s="116">
        <f t="shared" si="86"/>
        <v>2760.7909421509748</v>
      </c>
      <c r="O265" s="100" t="s">
        <v>40</v>
      </c>
      <c r="P265" s="98">
        <f>IF(Q243=0,0,Q265/Q$243)</f>
        <v>0</v>
      </c>
      <c r="Q265" s="99">
        <f>+SUM(Q253:Q264)</f>
        <v>8399.27</v>
      </c>
      <c r="R265" s="151"/>
      <c r="S265" s="117">
        <f t="shared" si="87"/>
        <v>1982.5899999999983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">
        <v>388</v>
      </c>
      <c r="B266" s="12" t="s">
        <v>100</v>
      </c>
      <c r="C266" s="214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7.0000000000000007E-2</v>
      </c>
      <c r="M266" s="42"/>
      <c r="N266" s="60">
        <f t="shared" si="86"/>
        <v>7.0000000000000007E-2</v>
      </c>
      <c r="O266" s="42"/>
      <c r="P266" s="14"/>
      <c r="Q266" s="34">
        <v>4.16</v>
      </c>
      <c r="R266" s="42"/>
      <c r="S266" s="86">
        <f t="shared" si="87"/>
        <v>-4.09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">
        <v>389</v>
      </c>
      <c r="B267" s="12" t="s">
        <v>100</v>
      </c>
      <c r="C267" s="494" t="s">
        <v>52</v>
      </c>
      <c r="D267" s="82"/>
      <c r="E267" s="14"/>
      <c r="F267" s="31">
        <v>299.16814323026824</v>
      </c>
      <c r="G267" s="84"/>
      <c r="H267" s="14"/>
      <c r="I267" s="31">
        <v>299.16814323026824</v>
      </c>
      <c r="J267" s="42"/>
      <c r="K267" s="14"/>
      <c r="L267" s="34">
        <v>653.67999999999995</v>
      </c>
      <c r="M267" s="42"/>
      <c r="N267" s="60">
        <f t="shared" si="86"/>
        <v>354.51185676973171</v>
      </c>
      <c r="O267" s="42"/>
      <c r="P267" s="14"/>
      <c r="Q267" s="34">
        <v>82.18</v>
      </c>
      <c r="R267" s="42"/>
      <c r="S267" s="86">
        <f t="shared" si="87"/>
        <v>571.5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">
        <v>390</v>
      </c>
      <c r="B268" s="12" t="s">
        <v>100</v>
      </c>
      <c r="C268" s="106" t="s">
        <v>53</v>
      </c>
      <c r="D268" s="89"/>
      <c r="E268" s="114"/>
      <c r="F268" s="23">
        <v>379.94</v>
      </c>
      <c r="G268" s="91"/>
      <c r="H268" s="114"/>
      <c r="I268" s="23">
        <v>379.94</v>
      </c>
      <c r="J268" s="24"/>
      <c r="K268" s="114"/>
      <c r="L268" s="34">
        <v>297.20999999999998</v>
      </c>
      <c r="M268" s="24"/>
      <c r="N268" s="94">
        <f t="shared" si="86"/>
        <v>-82.730000000000018</v>
      </c>
      <c r="O268" s="24"/>
      <c r="P268" s="114"/>
      <c r="Q268" s="34">
        <v>-1.64</v>
      </c>
      <c r="R268" s="24"/>
      <c r="S268" s="95">
        <f t="shared" si="87"/>
        <v>298.84999999999997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">
        <v>391</v>
      </c>
      <c r="B269" s="12" t="s">
        <v>100</v>
      </c>
      <c r="C269" s="494" t="s">
        <v>54</v>
      </c>
      <c r="D269" s="82"/>
      <c r="E269" s="14"/>
      <c r="F269" s="31">
        <v>1313.4198641666667</v>
      </c>
      <c r="G269" s="84"/>
      <c r="H269" s="14"/>
      <c r="I269" s="31">
        <v>1313.4198641666667</v>
      </c>
      <c r="J269" s="42"/>
      <c r="K269" s="14"/>
      <c r="L269" s="111">
        <v>1455.16</v>
      </c>
      <c r="M269" s="42"/>
      <c r="N269" s="60">
        <f t="shared" si="86"/>
        <v>141.7401358333334</v>
      </c>
      <c r="O269" s="42"/>
      <c r="P269" s="14"/>
      <c r="Q269" s="111">
        <v>1315.13</v>
      </c>
      <c r="R269" s="42"/>
      <c r="S269" s="86">
        <f t="shared" si="87"/>
        <v>140.02999999999997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">
        <v>392</v>
      </c>
      <c r="B270" s="12" t="s">
        <v>100</v>
      </c>
      <c r="C270" s="494" t="s">
        <v>55</v>
      </c>
      <c r="D270" s="82"/>
      <c r="E270" s="14"/>
      <c r="F270" s="31">
        <v>173.28101875000004</v>
      </c>
      <c r="G270" s="84"/>
      <c r="H270" s="14"/>
      <c r="I270" s="31">
        <v>173.28101875000004</v>
      </c>
      <c r="J270" s="42"/>
      <c r="K270" s="14"/>
      <c r="L270" s="34">
        <v>150.79</v>
      </c>
      <c r="M270" s="42"/>
      <c r="N270" s="60">
        <f t="shared" si="86"/>
        <v>-22.491018750000052</v>
      </c>
      <c r="O270" s="42"/>
      <c r="P270" s="14"/>
      <c r="Q270" s="34">
        <v>47.63</v>
      </c>
      <c r="R270" s="42"/>
      <c r="S270" s="86">
        <f t="shared" si="87"/>
        <v>103.16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">
        <v>393</v>
      </c>
      <c r="B271" s="12" t="s">
        <v>100</v>
      </c>
      <c r="C271" s="494" t="s">
        <v>56</v>
      </c>
      <c r="D271" s="89"/>
      <c r="E271" s="114"/>
      <c r="F271" s="23">
        <v>825.27868888888895</v>
      </c>
      <c r="G271" s="91"/>
      <c r="H271" s="114"/>
      <c r="I271" s="23">
        <v>825.27868888888895</v>
      </c>
      <c r="J271" s="24"/>
      <c r="K271" s="114"/>
      <c r="L271" s="34">
        <v>537.47</v>
      </c>
      <c r="M271" s="24"/>
      <c r="N271" s="94">
        <f t="shared" si="86"/>
        <v>-287.80868888888892</v>
      </c>
      <c r="O271" s="24"/>
      <c r="P271" s="114"/>
      <c r="Q271" s="34">
        <v>524.6</v>
      </c>
      <c r="R271" s="24"/>
      <c r="S271" s="95">
        <f t="shared" si="87"/>
        <v>12.870000000000005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">
        <v>394</v>
      </c>
      <c r="B272" s="12" t="s">
        <v>100</v>
      </c>
      <c r="C272" s="215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f t="shared" si="86"/>
        <v>0</v>
      </c>
      <c r="O272" s="42"/>
      <c r="P272" s="14"/>
      <c r="Q272" s="34">
        <v>0</v>
      </c>
      <c r="R272" s="42"/>
      <c r="S272" s="86">
        <f t="shared" si="87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">
        <v>395</v>
      </c>
      <c r="B273" s="12" t="s">
        <v>100</v>
      </c>
      <c r="C273" s="494" t="s">
        <v>57</v>
      </c>
      <c r="D273" s="82"/>
      <c r="E273" s="14"/>
      <c r="F273" s="31">
        <v>94.464662279440972</v>
      </c>
      <c r="G273" s="84"/>
      <c r="H273" s="14"/>
      <c r="I273" s="31">
        <v>94.464662279440972</v>
      </c>
      <c r="J273" s="42"/>
      <c r="K273" s="14"/>
      <c r="L273" s="34">
        <v>3.81</v>
      </c>
      <c r="M273" s="42"/>
      <c r="N273" s="60">
        <f t="shared" si="86"/>
        <v>-90.65466227944097</v>
      </c>
      <c r="O273" s="42"/>
      <c r="P273" s="14"/>
      <c r="Q273" s="34">
        <v>1.63</v>
      </c>
      <c r="R273" s="42"/>
      <c r="S273" s="86">
        <f t="shared" si="87"/>
        <v>2.1800000000000002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">
        <v>396</v>
      </c>
      <c r="B274" s="12" t="s">
        <v>100</v>
      </c>
      <c r="C274" s="494" t="s">
        <v>58</v>
      </c>
      <c r="D274" s="82"/>
      <c r="E274" s="14"/>
      <c r="F274" s="31">
        <v>50.196038268857535</v>
      </c>
      <c r="G274" s="84"/>
      <c r="H274" s="14"/>
      <c r="I274" s="31">
        <v>50.196038268857535</v>
      </c>
      <c r="J274" s="42"/>
      <c r="K274" s="14"/>
      <c r="L274" s="34">
        <v>0</v>
      </c>
      <c r="M274" s="42"/>
      <c r="N274" s="60">
        <f t="shared" si="86"/>
        <v>-50.196038268857535</v>
      </c>
      <c r="O274" s="42"/>
      <c r="P274" s="14"/>
      <c r="Q274" s="34">
        <v>0</v>
      </c>
      <c r="R274" s="42"/>
      <c r="S274" s="86">
        <f t="shared" si="87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">
        <v>397</v>
      </c>
      <c r="B275" s="12" t="s">
        <v>100</v>
      </c>
      <c r="C275" s="494" t="s">
        <v>59</v>
      </c>
      <c r="D275" s="82"/>
      <c r="E275" s="14"/>
      <c r="F275" s="31">
        <v>142.81407000000002</v>
      </c>
      <c r="G275" s="84"/>
      <c r="H275" s="14"/>
      <c r="I275" s="31">
        <v>142.81407000000002</v>
      </c>
      <c r="J275" s="42"/>
      <c r="K275" s="14"/>
      <c r="L275" s="33">
        <v>151.88</v>
      </c>
      <c r="M275" s="42"/>
      <c r="N275" s="60">
        <f t="shared" si="86"/>
        <v>9.0659299999999803</v>
      </c>
      <c r="O275" s="42"/>
      <c r="P275" s="14"/>
      <c r="Q275" s="33">
        <v>167.04</v>
      </c>
      <c r="R275" s="42"/>
      <c r="S275" s="86">
        <f t="shared" si="87"/>
        <v>-15.159999999999997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">
        <v>398</v>
      </c>
      <c r="B276" s="12" t="s">
        <v>100</v>
      </c>
      <c r="C276" s="494" t="s">
        <v>60</v>
      </c>
      <c r="D276" s="82"/>
      <c r="E276" s="14"/>
      <c r="F276" s="31">
        <v>65.945365208333342</v>
      </c>
      <c r="G276" s="84"/>
      <c r="H276" s="14"/>
      <c r="I276" s="31">
        <v>65.945365208333342</v>
      </c>
      <c r="J276" s="42"/>
      <c r="K276" s="14"/>
      <c r="L276" s="34">
        <v>24.32</v>
      </c>
      <c r="M276" s="42"/>
      <c r="N276" s="60">
        <f t="shared" si="86"/>
        <v>-41.625365208333342</v>
      </c>
      <c r="O276" s="42"/>
      <c r="P276" s="14"/>
      <c r="Q276" s="34">
        <v>19.71</v>
      </c>
      <c r="R276" s="42"/>
      <c r="S276" s="86">
        <f t="shared" si="87"/>
        <v>4.6099999999999994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">
        <v>399</v>
      </c>
      <c r="B277" s="12" t="s">
        <v>100</v>
      </c>
      <c r="C277" s="494" t="s">
        <v>61</v>
      </c>
      <c r="D277" s="82"/>
      <c r="E277" s="14"/>
      <c r="F277" s="31">
        <v>35.200609791666665</v>
      </c>
      <c r="G277" s="84"/>
      <c r="H277" s="14"/>
      <c r="I277" s="31">
        <v>35.200609791666665</v>
      </c>
      <c r="J277" s="42"/>
      <c r="K277" s="14"/>
      <c r="L277" s="34">
        <v>29.23</v>
      </c>
      <c r="M277" s="42"/>
      <c r="N277" s="60">
        <f t="shared" si="86"/>
        <v>-5.9706097916666643</v>
      </c>
      <c r="O277" s="42"/>
      <c r="P277" s="14"/>
      <c r="Q277" s="34">
        <v>53.2</v>
      </c>
      <c r="R277" s="42"/>
      <c r="S277" s="86">
        <f t="shared" si="87"/>
        <v>-23.970000000000002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">
        <v>400</v>
      </c>
      <c r="B278" s="12" t="s">
        <v>100</v>
      </c>
      <c r="C278" s="494" t="s">
        <v>62</v>
      </c>
      <c r="D278" s="82"/>
      <c r="E278" s="14"/>
      <c r="F278" s="31">
        <v>169.80109854166665</v>
      </c>
      <c r="G278" s="84"/>
      <c r="H278" s="14"/>
      <c r="I278" s="31">
        <v>169.80109854166665</v>
      </c>
      <c r="J278" s="42"/>
      <c r="K278" s="14"/>
      <c r="L278" s="34">
        <v>13.72</v>
      </c>
      <c r="M278" s="42"/>
      <c r="N278" s="60">
        <f t="shared" si="86"/>
        <v>-156.08109854166665</v>
      </c>
      <c r="O278" s="42"/>
      <c r="P278" s="14"/>
      <c r="Q278" s="34">
        <v>34.700000000000003</v>
      </c>
      <c r="R278" s="42"/>
      <c r="S278" s="86">
        <f t="shared" si="87"/>
        <v>-20.980000000000004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">
        <v>401</v>
      </c>
      <c r="B279" s="12" t="s">
        <v>100</v>
      </c>
      <c r="C279" s="494" t="s">
        <v>63</v>
      </c>
      <c r="D279" s="82"/>
      <c r="E279" s="14"/>
      <c r="F279" s="31">
        <v>252.27480833333334</v>
      </c>
      <c r="G279" s="84"/>
      <c r="H279" s="14"/>
      <c r="I279" s="31">
        <v>252.27480833333334</v>
      </c>
      <c r="J279" s="42"/>
      <c r="K279" s="14"/>
      <c r="L279" s="34">
        <v>22.33</v>
      </c>
      <c r="M279" s="42"/>
      <c r="N279" s="60">
        <f t="shared" si="86"/>
        <v>-229.94480833333336</v>
      </c>
      <c r="O279" s="42"/>
      <c r="P279" s="14"/>
      <c r="Q279" s="34">
        <v>6.2</v>
      </c>
      <c r="R279" s="42"/>
      <c r="S279" s="86">
        <f t="shared" si="87"/>
        <v>16.13</v>
      </c>
      <c r="T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">
        <v>402</v>
      </c>
      <c r="B280" s="12" t="s">
        <v>100</v>
      </c>
      <c r="C280" s="494" t="s">
        <v>64</v>
      </c>
      <c r="D280" s="82"/>
      <c r="E280" s="14"/>
      <c r="F280" s="31">
        <v>451.09315488631586</v>
      </c>
      <c r="G280" s="84"/>
      <c r="H280" s="14"/>
      <c r="I280" s="31">
        <v>451.09315488631586</v>
      </c>
      <c r="J280" s="42"/>
      <c r="K280" s="14"/>
      <c r="L280" s="34">
        <v>227.26</v>
      </c>
      <c r="M280" s="42"/>
      <c r="N280" s="60">
        <f t="shared" si="86"/>
        <v>-223.83315488631587</v>
      </c>
      <c r="O280" s="42"/>
      <c r="P280" s="14"/>
      <c r="Q280" s="34">
        <f>AL447*W6</f>
        <v>157.06125</v>
      </c>
      <c r="R280" s="42"/>
      <c r="S280" s="86">
        <f t="shared" si="87"/>
        <v>70.19874999999999</v>
      </c>
      <c r="T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">
        <v>382</v>
      </c>
      <c r="B281" s="12" t="s">
        <v>100</v>
      </c>
      <c r="C281" s="494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f t="shared" si="86"/>
        <v>0</v>
      </c>
      <c r="O281" s="42"/>
      <c r="P281" s="14"/>
      <c r="Q281" s="34">
        <v>0</v>
      </c>
      <c r="R281" s="42"/>
      <c r="S281" s="86">
        <f t="shared" si="87"/>
        <v>0</v>
      </c>
      <c r="T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">
        <v>382</v>
      </c>
      <c r="B282" s="12" t="s">
        <v>100</v>
      </c>
      <c r="C282" s="494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f t="shared" si="86"/>
        <v>0</v>
      </c>
      <c r="O282" s="42"/>
      <c r="P282" s="14"/>
      <c r="Q282" s="34">
        <v>0</v>
      </c>
      <c r="R282" s="42"/>
      <c r="S282" s="86">
        <f t="shared" si="87"/>
        <v>0</v>
      </c>
      <c r="T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">
        <v>382</v>
      </c>
      <c r="B283" s="12" t="s">
        <v>100</v>
      </c>
      <c r="C283" s="494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f t="shared" si="86"/>
        <v>0</v>
      </c>
      <c r="O283" s="42"/>
      <c r="P283" s="14"/>
      <c r="Q283" s="34">
        <v>0</v>
      </c>
      <c r="R283" s="42"/>
      <c r="S283" s="86">
        <f t="shared" si="87"/>
        <v>0</v>
      </c>
      <c r="T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6" t="s">
        <v>65</v>
      </c>
      <c r="D284" s="97" t="s">
        <v>40</v>
      </c>
      <c r="E284" s="98" t="e">
        <f>F284/F$243</f>
        <v>#DIV/0!</v>
      </c>
      <c r="F284" s="99">
        <f>+SUM(F266:F283)</f>
        <v>4252.8775223454386</v>
      </c>
      <c r="G284" s="100" t="s">
        <v>40</v>
      </c>
      <c r="H284" s="98" t="e">
        <f>I284/I$243</f>
        <v>#DIV/0!</v>
      </c>
      <c r="I284" s="99">
        <f>+SUM(I266:I283)</f>
        <v>4252.8775223454386</v>
      </c>
      <c r="J284" s="100" t="s">
        <v>40</v>
      </c>
      <c r="K284" s="98" t="e">
        <f>IF(L261=0,0,L284/L$243)</f>
        <v>#DIV/0!</v>
      </c>
      <c r="L284" s="99">
        <f>+SUM(L266:L283)</f>
        <v>3566.9300000000003</v>
      </c>
      <c r="M284" s="103"/>
      <c r="N284" s="99">
        <f>+SUM(N266:N283)</f>
        <v>-685.9475223454383</v>
      </c>
      <c r="O284" s="100" t="s">
        <v>40</v>
      </c>
      <c r="P284" s="98" t="e">
        <f>IF(Q261=0,0,Q284/Q$243)</f>
        <v>#DIV/0!</v>
      </c>
      <c r="Q284" s="99">
        <f>+SUM(Q266:Q283)</f>
        <v>2411.6012500000002</v>
      </c>
      <c r="R284" s="103"/>
      <c r="S284" s="104">
        <f t="shared" si="87"/>
        <v>1155.3287500000001</v>
      </c>
      <c r="T284" s="77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4"/>
      <c r="F285" s="60"/>
      <c r="G285" s="91"/>
      <c r="H285" s="114"/>
      <c r="I285" s="60"/>
      <c r="J285" s="24"/>
      <c r="K285" s="114"/>
      <c r="L285" s="94"/>
      <c r="M285" s="24"/>
      <c r="N285" s="94"/>
      <c r="O285" s="24"/>
      <c r="P285" s="114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6" t="s">
        <v>66</v>
      </c>
      <c r="D286" s="97" t="s">
        <v>40</v>
      </c>
      <c r="E286" s="98" t="e">
        <f>F286/F$243</f>
        <v>#DIV/0!</v>
      </c>
      <c r="F286" s="99">
        <f>F265+F284</f>
        <v>11873.946580194463</v>
      </c>
      <c r="G286" s="100" t="s">
        <v>40</v>
      </c>
      <c r="H286" s="98" t="e">
        <f>I286/I$243</f>
        <v>#DIV/0!</v>
      </c>
      <c r="I286" s="99">
        <f>I265+I284</f>
        <v>11873.946580194463</v>
      </c>
      <c r="J286" s="100" t="s">
        <v>40</v>
      </c>
      <c r="K286" s="98" t="e">
        <f>IF(L263=0,0,L286/L$243)</f>
        <v>#DIV/0!</v>
      </c>
      <c r="L286" s="99">
        <f>L265+L284</f>
        <v>13948.789999999999</v>
      </c>
      <c r="M286" s="103"/>
      <c r="N286" s="116">
        <f t="shared" ref="N286:N288" si="88">L286-I286</f>
        <v>2074.8434198055365</v>
      </c>
      <c r="O286" s="100" t="s">
        <v>40</v>
      </c>
      <c r="P286" s="98" t="e">
        <f>IF(Q263=0,0,Q286/Q$243)</f>
        <v>#DIV/0!</v>
      </c>
      <c r="Q286" s="99">
        <f>Q265+Q284</f>
        <v>10810.87125</v>
      </c>
      <c r="R286" s="103"/>
      <c r="S286" s="117">
        <f>L286-Q286</f>
        <v>3137.9187499999989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481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8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9.25" customHeight="1" thickBot="1">
      <c r="B288" s="12"/>
      <c r="C288" s="127" t="s">
        <v>73</v>
      </c>
      <c r="D288" s="156"/>
      <c r="E288" s="128"/>
      <c r="F288" s="130">
        <f>F249-F286</f>
        <v>7188.9356439317435</v>
      </c>
      <c r="G288" s="157"/>
      <c r="H288" s="128"/>
      <c r="I288" s="130">
        <f>I249-I286</f>
        <v>7188.9356439317435</v>
      </c>
      <c r="J288" s="158"/>
      <c r="K288" s="129"/>
      <c r="L288" s="130">
        <f>L249-L286</f>
        <v>5937.1999999999953</v>
      </c>
      <c r="M288" s="158"/>
      <c r="N288" s="130">
        <f t="shared" si="88"/>
        <v>-1251.7356439317482</v>
      </c>
      <c r="O288" s="158"/>
      <c r="P288" s="129"/>
      <c r="Q288" s="130">
        <f>Q249-Q286</f>
        <v>11154.718750000004</v>
      </c>
      <c r="R288" s="158"/>
      <c r="S288" s="132">
        <f>L288-Q288</f>
        <v>-5217.5187500000084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475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Août 2022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64" t="s">
        <v>5</v>
      </c>
      <c r="E292" s="565"/>
      <c r="F292" s="566"/>
      <c r="G292" s="562" t="s">
        <v>75</v>
      </c>
      <c r="H292" s="565"/>
      <c r="I292" s="566"/>
      <c r="J292" s="562" t="s">
        <v>7</v>
      </c>
      <c r="K292" s="565"/>
      <c r="L292" s="566"/>
      <c r="M292" s="562" t="s">
        <v>8</v>
      </c>
      <c r="N292" s="566"/>
      <c r="O292" s="564" t="s">
        <v>9</v>
      </c>
      <c r="P292" s="565"/>
      <c r="Q292" s="566"/>
      <c r="R292" s="562" t="s">
        <v>10</v>
      </c>
      <c r="S292" s="563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">
        <v>104</v>
      </c>
      <c r="B293" s="12" t="s">
        <v>104</v>
      </c>
      <c r="C293" s="481"/>
      <c r="D293" s="81" t="s">
        <v>85</v>
      </c>
      <c r="E293" s="81" t="s">
        <v>105</v>
      </c>
      <c r="F293" s="137" t="s">
        <v>13</v>
      </c>
      <c r="G293" s="138" t="s">
        <v>85</v>
      </c>
      <c r="H293" s="81" t="s">
        <v>105</v>
      </c>
      <c r="I293" s="137" t="s">
        <v>13</v>
      </c>
      <c r="J293" s="138" t="s">
        <v>85</v>
      </c>
      <c r="K293" s="81" t="s">
        <v>105</v>
      </c>
      <c r="L293" s="137" t="s">
        <v>13</v>
      </c>
      <c r="M293" s="138" t="s">
        <v>491</v>
      </c>
      <c r="N293" s="137" t="s">
        <v>13</v>
      </c>
      <c r="O293" s="81" t="s">
        <v>85</v>
      </c>
      <c r="P293" s="81" t="s">
        <v>105</v>
      </c>
      <c r="Q293" s="137" t="s">
        <v>13</v>
      </c>
      <c r="R293" s="138" t="s">
        <v>86</v>
      </c>
      <c r="S293" s="139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">
        <v>403</v>
      </c>
      <c r="B294" s="12" t="s">
        <v>104</v>
      </c>
      <c r="C294" s="481" t="s">
        <v>106</v>
      </c>
      <c r="D294" s="83">
        <v>75474.073218726146</v>
      </c>
      <c r="E294" s="152">
        <f>IF(D294=0,0,F294/D294)</f>
        <v>0.35811007851031496</v>
      </c>
      <c r="F294" s="86">
        <v>27028.02628585128</v>
      </c>
      <c r="G294" s="83">
        <v>75474.073218726146</v>
      </c>
      <c r="H294" s="152">
        <f>IF(G294=0,0,I294/G294)</f>
        <v>0.35811007851031496</v>
      </c>
      <c r="I294" s="86">
        <v>27028.02628585128</v>
      </c>
      <c r="J294" s="31">
        <v>92605.37999999999</v>
      </c>
      <c r="K294" s="152">
        <f t="shared" ref="K294:K303" si="89">IF(J294&lt;=0,0,L294/J294)</f>
        <v>0.37764760535510999</v>
      </c>
      <c r="L294" s="86">
        <v>34972.19999999999</v>
      </c>
      <c r="M294" s="161">
        <f t="shared" ref="M294:M300" si="90">(+J294-G294)/G294</f>
        <v>0.22698267167357988</v>
      </c>
      <c r="N294" s="60">
        <f t="shared" ref="N294:N303" si="91">L294-I294</f>
        <v>7944.1737141487101</v>
      </c>
      <c r="O294" s="31">
        <v>50487.34</v>
      </c>
      <c r="P294" s="152">
        <f t="shared" ref="P294:P303" si="92">IF(O294&lt;=0,0,Q294/O294)</f>
        <v>0.37096745441530488</v>
      </c>
      <c r="Q294" s="86">
        <v>18729.159999999996</v>
      </c>
      <c r="R294" s="161">
        <f>IF(O294=0,0,(J294-O294)/O294)</f>
        <v>0.83422972967084419</v>
      </c>
      <c r="S294" s="86">
        <f t="shared" ref="S294:S303" si="93">L294-Q294</f>
        <v>16243.039999999994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">
        <v>404</v>
      </c>
      <c r="B295" s="12" t="s">
        <v>104</v>
      </c>
      <c r="C295" s="481" t="s">
        <v>107</v>
      </c>
      <c r="D295" s="83">
        <v>44071.224708216432</v>
      </c>
      <c r="E295" s="152">
        <f t="shared" ref="E295:E302" si="94">IF(D295=0,0,F295/D295)</f>
        <v>0.2571723304036081</v>
      </c>
      <c r="F295" s="86">
        <v>11333.899561953092</v>
      </c>
      <c r="G295" s="83">
        <v>44071.224708216432</v>
      </c>
      <c r="H295" s="152">
        <f t="shared" ref="H295:H302" si="95">IF(G295=0,0,I295/G295)</f>
        <v>0.2571723304036081</v>
      </c>
      <c r="I295" s="86">
        <v>11333.899561953092</v>
      </c>
      <c r="J295" s="31">
        <v>65620.13</v>
      </c>
      <c r="K295" s="152">
        <f t="shared" si="89"/>
        <v>0.2457666572742237</v>
      </c>
      <c r="L295" s="86">
        <v>16127.240000000005</v>
      </c>
      <c r="M295" s="161">
        <f t="shared" si="90"/>
        <v>0.48895635268711052</v>
      </c>
      <c r="N295" s="60">
        <f t="shared" si="91"/>
        <v>4793.3404380469128</v>
      </c>
      <c r="O295" s="31">
        <v>49042.57</v>
      </c>
      <c r="P295" s="152">
        <f t="shared" si="92"/>
        <v>0.23884902442918465</v>
      </c>
      <c r="Q295" s="86">
        <v>11713.769999999999</v>
      </c>
      <c r="R295" s="161">
        <f t="shared" ref="R295:R302" si="96">IF(O295=0,0,(J295-O295)/O295)</f>
        <v>0.33802388414799645</v>
      </c>
      <c r="S295" s="86">
        <f t="shared" si="93"/>
        <v>4413.4700000000066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">
        <v>405</v>
      </c>
      <c r="B296" s="12" t="s">
        <v>104</v>
      </c>
      <c r="C296" s="481" t="s">
        <v>108</v>
      </c>
      <c r="D296" s="83">
        <v>106824.55059175834</v>
      </c>
      <c r="E296" s="152">
        <f t="shared" si="94"/>
        <v>0.24177651145507992</v>
      </c>
      <c r="F296" s="86">
        <v>25827.667179832024</v>
      </c>
      <c r="G296" s="83">
        <v>106824.55059175834</v>
      </c>
      <c r="H296" s="152">
        <f t="shared" si="95"/>
        <v>0.24177651145507992</v>
      </c>
      <c r="I296" s="86">
        <v>25827.667179832024</v>
      </c>
      <c r="J296" s="31">
        <v>69101.84</v>
      </c>
      <c r="K296" s="152">
        <f t="shared" si="89"/>
        <v>0.2663164975057104</v>
      </c>
      <c r="L296" s="86">
        <v>18402.96</v>
      </c>
      <c r="M296" s="161">
        <f t="shared" si="90"/>
        <v>-0.35312772562853822</v>
      </c>
      <c r="N296" s="60">
        <f t="shared" si="91"/>
        <v>-7424.7071798320248</v>
      </c>
      <c r="O296" s="31">
        <v>57379.62</v>
      </c>
      <c r="P296" s="152">
        <f t="shared" si="92"/>
        <v>0.23641251022575613</v>
      </c>
      <c r="Q296" s="86">
        <v>13565.260000000002</v>
      </c>
      <c r="R296" s="161">
        <f t="shared" si="96"/>
        <v>0.20429239510474265</v>
      </c>
      <c r="S296" s="86">
        <f t="shared" si="93"/>
        <v>4837.6999999999971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">
        <v>406</v>
      </c>
      <c r="B297" s="12" t="s">
        <v>104</v>
      </c>
      <c r="C297" s="481" t="s">
        <v>109</v>
      </c>
      <c r="D297" s="83">
        <v>59513.809943333436</v>
      </c>
      <c r="E297" s="152">
        <f t="shared" si="94"/>
        <v>0.32393223852119107</v>
      </c>
      <c r="F297" s="86">
        <v>19278.441677868719</v>
      </c>
      <c r="G297" s="83">
        <v>59513.809943333436</v>
      </c>
      <c r="H297" s="152">
        <f t="shared" si="95"/>
        <v>0.32393223852119107</v>
      </c>
      <c r="I297" s="86">
        <v>19278.441677868719</v>
      </c>
      <c r="J297" s="31">
        <v>44690.37</v>
      </c>
      <c r="K297" s="152">
        <f t="shared" si="89"/>
        <v>0.30860899115402268</v>
      </c>
      <c r="L297" s="86">
        <v>13791.850000000002</v>
      </c>
      <c r="M297" s="161">
        <f t="shared" si="90"/>
        <v>-0.24907563399902802</v>
      </c>
      <c r="N297" s="60">
        <f t="shared" si="91"/>
        <v>-5486.5916778687169</v>
      </c>
      <c r="O297" s="31">
        <v>53074.87</v>
      </c>
      <c r="P297" s="152">
        <f t="shared" si="92"/>
        <v>0.30845162691872829</v>
      </c>
      <c r="Q297" s="86">
        <v>16371.030000000006</v>
      </c>
      <c r="R297" s="161">
        <f t="shared" si="96"/>
        <v>-0.15797495123398322</v>
      </c>
      <c r="S297" s="86">
        <f t="shared" si="93"/>
        <v>-2579.1800000000039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">
        <v>407</v>
      </c>
      <c r="B298" s="12" t="s">
        <v>104</v>
      </c>
      <c r="C298" s="481" t="s">
        <v>110</v>
      </c>
      <c r="D298" s="83">
        <v>17524.269897756858</v>
      </c>
      <c r="E298" s="152">
        <f t="shared" si="94"/>
        <v>0.28113730707120016</v>
      </c>
      <c r="F298" s="86">
        <v>4926.7260474442592</v>
      </c>
      <c r="G298" s="83">
        <v>17524.269897756858</v>
      </c>
      <c r="H298" s="152">
        <f t="shared" si="95"/>
        <v>0.28113730707120016</v>
      </c>
      <c r="I298" s="86">
        <v>4926.7260474442592</v>
      </c>
      <c r="J298" s="31">
        <v>14474.44</v>
      </c>
      <c r="K298" s="152">
        <f t="shared" si="89"/>
        <v>0.32014779155532103</v>
      </c>
      <c r="L298" s="86">
        <v>4633.9600000000009</v>
      </c>
      <c r="M298" s="161">
        <f t="shared" si="90"/>
        <v>-0.17403463399905988</v>
      </c>
      <c r="N298" s="60">
        <f t="shared" si="91"/>
        <v>-292.76604744425822</v>
      </c>
      <c r="O298" s="31">
        <v>16101.22</v>
      </c>
      <c r="P298" s="152">
        <f t="shared" si="92"/>
        <v>0.27637346735216334</v>
      </c>
      <c r="Q298" s="86">
        <v>4449.9499999999989</v>
      </c>
      <c r="R298" s="161">
        <f t="shared" si="96"/>
        <v>-0.10103457998834864</v>
      </c>
      <c r="S298" s="86">
        <f t="shared" si="93"/>
        <v>184.01000000000204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">
        <v>408</v>
      </c>
      <c r="B299" s="12" t="s">
        <v>104</v>
      </c>
      <c r="C299" s="481" t="s">
        <v>111</v>
      </c>
      <c r="D299" s="83">
        <v>50443.62492032208</v>
      </c>
      <c r="E299" s="152">
        <f t="shared" si="94"/>
        <v>0.18194830719212418</v>
      </c>
      <c r="F299" s="86">
        <v>9178.1321628870519</v>
      </c>
      <c r="G299" s="83">
        <v>50443.62492032208</v>
      </c>
      <c r="H299" s="152">
        <f t="shared" si="95"/>
        <v>0.18194830719212418</v>
      </c>
      <c r="I299" s="86">
        <v>9178.1321628870519</v>
      </c>
      <c r="J299" s="31">
        <v>86700.34</v>
      </c>
      <c r="K299" s="152">
        <f t="shared" si="89"/>
        <v>0.18325545205474394</v>
      </c>
      <c r="L299" s="86">
        <v>15888.309999999998</v>
      </c>
      <c r="M299" s="161">
        <f t="shared" si="90"/>
        <v>0.71875713010210884</v>
      </c>
      <c r="N299" s="60">
        <f t="shared" si="91"/>
        <v>6710.1778371129458</v>
      </c>
      <c r="O299" s="31">
        <v>52717.62</v>
      </c>
      <c r="P299" s="152">
        <f t="shared" si="92"/>
        <v>0.12852932283361809</v>
      </c>
      <c r="Q299" s="86">
        <v>6775.760000000002</v>
      </c>
      <c r="R299" s="161">
        <f t="shared" si="96"/>
        <v>0.64461787159587236</v>
      </c>
      <c r="S299" s="86">
        <f t="shared" si="93"/>
        <v>9112.5499999999956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">
        <v>409</v>
      </c>
      <c r="B300" s="12" t="s">
        <v>104</v>
      </c>
      <c r="C300" s="481" t="s">
        <v>21</v>
      </c>
      <c r="D300" s="83">
        <v>0</v>
      </c>
      <c r="E300" s="152">
        <f t="shared" si="94"/>
        <v>0</v>
      </c>
      <c r="F300" s="86">
        <v>0</v>
      </c>
      <c r="G300" s="83">
        <v>0</v>
      </c>
      <c r="H300" s="152">
        <f t="shared" si="95"/>
        <v>0</v>
      </c>
      <c r="I300" s="86">
        <v>0</v>
      </c>
      <c r="J300" s="31">
        <v>0</v>
      </c>
      <c r="K300" s="152">
        <f t="shared" si="89"/>
        <v>0</v>
      </c>
      <c r="L300" s="86">
        <v>0</v>
      </c>
      <c r="M300" s="161" t="e">
        <f t="shared" si="90"/>
        <v>#DIV/0!</v>
      </c>
      <c r="N300" s="60">
        <f t="shared" si="91"/>
        <v>0</v>
      </c>
      <c r="O300" s="31">
        <v>0</v>
      </c>
      <c r="P300" s="152">
        <f t="shared" si="92"/>
        <v>0</v>
      </c>
      <c r="Q300" s="86">
        <v>0</v>
      </c>
      <c r="R300" s="161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">
        <v>410</v>
      </c>
      <c r="B301" s="12" t="s">
        <v>104</v>
      </c>
      <c r="C301" s="481" t="s">
        <v>112</v>
      </c>
      <c r="D301" s="83">
        <v>0</v>
      </c>
      <c r="E301" s="152">
        <f t="shared" si="94"/>
        <v>0</v>
      </c>
      <c r="F301" s="86">
        <v>5864.1386737640241</v>
      </c>
      <c r="G301" s="83">
        <v>0</v>
      </c>
      <c r="H301" s="152">
        <f t="shared" si="95"/>
        <v>0</v>
      </c>
      <c r="I301" s="86">
        <v>5864.1386737640241</v>
      </c>
      <c r="J301" s="31">
        <v>0</v>
      </c>
      <c r="K301" s="152">
        <f t="shared" si="89"/>
        <v>0</v>
      </c>
      <c r="L301" s="86">
        <v>7116.42</v>
      </c>
      <c r="M301" s="161"/>
      <c r="N301" s="60">
        <f t="shared" si="91"/>
        <v>1252.2813262359759</v>
      </c>
      <c r="O301" s="31">
        <v>0</v>
      </c>
      <c r="P301" s="152">
        <f t="shared" si="92"/>
        <v>0</v>
      </c>
      <c r="Q301" s="86">
        <v>5731.89</v>
      </c>
      <c r="R301" s="161">
        <f t="shared" si="96"/>
        <v>0</v>
      </c>
      <c r="S301" s="86">
        <f t="shared" si="93"/>
        <v>1384.5299999999997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">
        <v>411</v>
      </c>
      <c r="B302" s="12" t="s">
        <v>104</v>
      </c>
      <c r="C302" s="88" t="s">
        <v>113</v>
      </c>
      <c r="D302" s="83">
        <v>0</v>
      </c>
      <c r="E302" s="152">
        <f t="shared" si="94"/>
        <v>0</v>
      </c>
      <c r="F302" s="86">
        <v>0</v>
      </c>
      <c r="G302" s="83">
        <v>0</v>
      </c>
      <c r="H302" s="152">
        <f t="shared" si="95"/>
        <v>0</v>
      </c>
      <c r="I302" s="86">
        <v>0</v>
      </c>
      <c r="J302" s="31">
        <v>0</v>
      </c>
      <c r="K302" s="152">
        <f t="shared" si="89"/>
        <v>0</v>
      </c>
      <c r="L302" s="86">
        <v>0</v>
      </c>
      <c r="M302" s="161"/>
      <c r="N302" s="60">
        <f t="shared" si="91"/>
        <v>0</v>
      </c>
      <c r="O302" s="31">
        <v>0</v>
      </c>
      <c r="P302" s="152">
        <f t="shared" si="92"/>
        <v>0</v>
      </c>
      <c r="Q302" s="86">
        <v>0</v>
      </c>
      <c r="R302" s="161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">
        <v>412</v>
      </c>
      <c r="B303" s="12" t="s">
        <v>104</v>
      </c>
      <c r="C303" s="484" t="s">
        <v>114</v>
      </c>
      <c r="D303" s="197">
        <f>SUM(D294:D302)</f>
        <v>353851.55328011332</v>
      </c>
      <c r="E303" s="216">
        <f>IF(D303&lt;=0,0,F303/D303)</f>
        <v>0.29231758524377138</v>
      </c>
      <c r="F303" s="201">
        <f>SUM(F294:F302)</f>
        <v>103437.03158960045</v>
      </c>
      <c r="G303" s="197">
        <f>SUM(G294:G302)</f>
        <v>353851.55328011332</v>
      </c>
      <c r="H303" s="216">
        <f>IF(G303&lt;=0,0,I303/G303)</f>
        <v>0.29231758524377138</v>
      </c>
      <c r="I303" s="201">
        <f>SUM(I294:I302)</f>
        <v>103437.03158960045</v>
      </c>
      <c r="J303" s="197">
        <f>SUM(J294:J302)</f>
        <v>373192.5</v>
      </c>
      <c r="K303" s="216">
        <f t="shared" si="89"/>
        <v>0.29725393731117322</v>
      </c>
      <c r="L303" s="199">
        <f>SUM(L294:L302)</f>
        <v>110932.94</v>
      </c>
      <c r="M303" s="217">
        <f>(+J303-G303)/G303</f>
        <v>5.4658363205138005E-2</v>
      </c>
      <c r="N303" s="199">
        <f t="shared" si="91"/>
        <v>7495.9084103995556</v>
      </c>
      <c r="O303" s="197">
        <f>SUM(O294:O302)</f>
        <v>278803.24</v>
      </c>
      <c r="P303" s="216">
        <f t="shared" si="92"/>
        <v>0.27738852676174064</v>
      </c>
      <c r="Q303" s="199">
        <f>SUM(Q294:Q302)</f>
        <v>77336.819999999992</v>
      </c>
      <c r="R303" s="217">
        <f>IF(O303=0,0,(J303-O303)/O303)</f>
        <v>0.33855151755051344</v>
      </c>
      <c r="S303" s="201">
        <f t="shared" si="93"/>
        <v>33596.12000000001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">
        <v>104</v>
      </c>
      <c r="B304" s="12" t="s">
        <v>104</v>
      </c>
      <c r="C304" s="481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7.2468324885235719E-2</v>
      </c>
      <c r="O304" s="42"/>
      <c r="P304" s="14"/>
      <c r="Q304" s="41"/>
      <c r="R304" s="42"/>
      <c r="S304" s="45">
        <f>IF(Q303=0,0,S303/Q303)</f>
        <v>0.4344130001724924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">
        <v>104</v>
      </c>
      <c r="B305" s="12" t="s">
        <v>104</v>
      </c>
      <c r="C305" s="88"/>
      <c r="D305" s="114"/>
      <c r="E305" s="114"/>
      <c r="F305" s="218"/>
      <c r="G305" s="24"/>
      <c r="H305" s="219"/>
      <c r="I305" s="218"/>
      <c r="J305" s="24"/>
      <c r="K305" s="114"/>
      <c r="L305" s="218"/>
      <c r="M305" s="24"/>
      <c r="N305" s="171"/>
      <c r="O305" s="24"/>
      <c r="P305" s="114"/>
      <c r="Q305" s="218"/>
      <c r="R305" s="24"/>
      <c r="S305" s="172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">
        <v>413</v>
      </c>
      <c r="B306" s="12" t="s">
        <v>104</v>
      </c>
      <c r="C306" s="481" t="s">
        <v>115</v>
      </c>
      <c r="D306" s="83">
        <v>24624.102848337767</v>
      </c>
      <c r="E306" s="152">
        <f t="shared" ref="E306:E307" si="97">IF(D306=0,0,F306/D306)</f>
        <v>0.1816444838198383</v>
      </c>
      <c r="F306" s="113">
        <v>4472.8324514129235</v>
      </c>
      <c r="G306" s="83">
        <v>24624.102848337767</v>
      </c>
      <c r="H306" s="152">
        <f t="shared" ref="H306:H307" si="98">IF(G306=0,0,I306/G306)</f>
        <v>0.1816444838198383</v>
      </c>
      <c r="I306" s="113">
        <v>4472.8324514129235</v>
      </c>
      <c r="J306" s="31">
        <v>40056.89</v>
      </c>
      <c r="K306" s="152">
        <f t="shared" ref="K306:K308" si="99">IF(J306&lt;=0,0,L306/J306)</f>
        <v>0.18899969518352522</v>
      </c>
      <c r="L306" s="113">
        <v>7570.7399999999989</v>
      </c>
      <c r="M306" s="161">
        <f t="shared" ref="M306:M308" si="100">(+J306-G306)/G306</f>
        <v>0.62673500215273881</v>
      </c>
      <c r="N306" s="60">
        <f t="shared" ref="N306:N308" si="101">L306-I306</f>
        <v>3097.9075485870753</v>
      </c>
      <c r="O306" s="31">
        <v>25279.06</v>
      </c>
      <c r="P306" s="152">
        <f t="shared" ref="P306:P308" si="102">IF(O306&lt;=0,0,Q306/O306)</f>
        <v>0.15343529387564256</v>
      </c>
      <c r="Q306" s="113">
        <v>3878.7000000000007</v>
      </c>
      <c r="R306" s="161">
        <f t="shared" ref="R306:R307" si="103">IF(O306=0,0,(J306-O306)/O306)</f>
        <v>0.58458779717283782</v>
      </c>
      <c r="S306" s="86">
        <f t="shared" ref="S306:S308" si="104">L306-Q306</f>
        <v>3692.0399999999981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">
        <v>414</v>
      </c>
      <c r="B307" s="12" t="s">
        <v>104</v>
      </c>
      <c r="C307" s="88" t="s">
        <v>116</v>
      </c>
      <c r="D307" s="83">
        <v>18650.373190915845</v>
      </c>
      <c r="E307" s="152">
        <f t="shared" si="97"/>
        <v>0.29130399895825637</v>
      </c>
      <c r="F307" s="95">
        <v>5432.9282925776415</v>
      </c>
      <c r="G307" s="83">
        <v>18650.373190915845</v>
      </c>
      <c r="H307" s="152">
        <f t="shared" si="98"/>
        <v>0.29130399895825637</v>
      </c>
      <c r="I307" s="95">
        <v>5432.9282925776415</v>
      </c>
      <c r="J307" s="31">
        <v>21791.78</v>
      </c>
      <c r="K307" s="152">
        <f t="shared" si="99"/>
        <v>0.31869769243265111</v>
      </c>
      <c r="L307" s="95">
        <v>6944.989999999998</v>
      </c>
      <c r="M307" s="161">
        <f t="shared" si="100"/>
        <v>0.16843667292482162</v>
      </c>
      <c r="N307" s="60">
        <f t="shared" si="101"/>
        <v>1512.0617074223564</v>
      </c>
      <c r="O307" s="31">
        <v>16729.95</v>
      </c>
      <c r="P307" s="152">
        <f t="shared" si="102"/>
        <v>0.2734592751323226</v>
      </c>
      <c r="Q307" s="95">
        <v>4574.9600000000009</v>
      </c>
      <c r="R307" s="161">
        <f t="shared" si="103"/>
        <v>0.30256097597422577</v>
      </c>
      <c r="S307" s="86">
        <f t="shared" si="104"/>
        <v>2370.029999999997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">
        <v>415</v>
      </c>
      <c r="B308" s="12" t="s">
        <v>104</v>
      </c>
      <c r="C308" s="484" t="s">
        <v>117</v>
      </c>
      <c r="D308" s="197">
        <f>D303+D306+D307</f>
        <v>397126.02931936696</v>
      </c>
      <c r="E308" s="216">
        <f>IF(D308&lt;=0,0,F308/D308)</f>
        <v>0.28540761361789568</v>
      </c>
      <c r="F308" s="199">
        <f t="shared" ref="F308" si="105">F303+F306+F307</f>
        <v>113342.792333591</v>
      </c>
      <c r="G308" s="200">
        <f>G303+G306+G307</f>
        <v>397126.02931936696</v>
      </c>
      <c r="H308" s="216">
        <f>IF(G308&lt;=0,0,I308/G308)</f>
        <v>0.28540761361789568</v>
      </c>
      <c r="I308" s="199">
        <f t="shared" ref="I308:J308" si="106">I303+I306+I307</f>
        <v>113342.792333591</v>
      </c>
      <c r="J308" s="200">
        <f t="shared" si="106"/>
        <v>435041.17000000004</v>
      </c>
      <c r="K308" s="216">
        <f t="shared" si="99"/>
        <v>0.28836045563227958</v>
      </c>
      <c r="L308" s="199">
        <f>L303+L306+L307</f>
        <v>125448.67000000001</v>
      </c>
      <c r="M308" s="217">
        <f t="shared" si="100"/>
        <v>9.5473824129875637E-2</v>
      </c>
      <c r="N308" s="199">
        <f t="shared" si="101"/>
        <v>12105.877666409011</v>
      </c>
      <c r="O308" s="200">
        <f t="shared" ref="O308" si="107">O303+O306+O307</f>
        <v>320812.25</v>
      </c>
      <c r="P308" s="216">
        <f t="shared" si="102"/>
        <v>0.26741647178373018</v>
      </c>
      <c r="Q308" s="199">
        <f>Q303+Q306+Q307</f>
        <v>85790.48</v>
      </c>
      <c r="R308" s="217">
        <f>IF(O308=0,0,(J308-O308)/O308)</f>
        <v>0.35606159054088504</v>
      </c>
      <c r="S308" s="201">
        <f t="shared" si="104"/>
        <v>39658.190000000017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">
        <v>104</v>
      </c>
      <c r="B309" s="12" t="s">
        <v>104</v>
      </c>
      <c r="C309" s="481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0.10680765328931494</v>
      </c>
      <c r="O309" s="42"/>
      <c r="P309" s="14"/>
      <c r="Q309" s="41"/>
      <c r="R309" s="42"/>
      <c r="S309" s="45">
        <f>IF(Q308=0,0,S308/Q308)</f>
        <v>0.46226795793659181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">
        <v>104</v>
      </c>
      <c r="B310" s="12" t="s">
        <v>104</v>
      </c>
      <c r="C310" s="481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">
        <v>416</v>
      </c>
      <c r="B311" s="12" t="s">
        <v>104</v>
      </c>
      <c r="C311" s="88" t="s">
        <v>118</v>
      </c>
      <c r="D311" s="92">
        <v>0</v>
      </c>
      <c r="E311" s="220">
        <f t="shared" ref="E311" si="108">IF(D311=0,0,F311/D311)</f>
        <v>0</v>
      </c>
      <c r="F311" s="150">
        <v>0</v>
      </c>
      <c r="G311" s="175">
        <v>0</v>
      </c>
      <c r="H311" s="220">
        <f t="shared" ref="H311" si="109">IF(G311=0,0,I311/G311)</f>
        <v>0</v>
      </c>
      <c r="I311" s="150">
        <v>0</v>
      </c>
      <c r="J311" s="47">
        <v>0</v>
      </c>
      <c r="K311" s="221">
        <f>IF(J311&lt;=0,0,L311/J311)</f>
        <v>0</v>
      </c>
      <c r="L311" s="23">
        <v>0</v>
      </c>
      <c r="M311" s="221">
        <f>IF(F311=0,0,(+L311-F311)/F311)</f>
        <v>0</v>
      </c>
      <c r="N311" s="94">
        <f>L311-I311</f>
        <v>0</v>
      </c>
      <c r="O311" s="47">
        <v>0</v>
      </c>
      <c r="P311" s="221">
        <f>IF(O311&lt;=0,0,Q311/O311)</f>
        <v>0</v>
      </c>
      <c r="Q311" s="23">
        <v>0</v>
      </c>
      <c r="R311" s="221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">
        <v>104</v>
      </c>
      <c r="B312" s="12" t="s">
        <v>104</v>
      </c>
      <c r="C312" s="481"/>
      <c r="D312" s="83"/>
      <c r="E312" s="152"/>
      <c r="F312" s="60"/>
      <c r="G312" s="61"/>
      <c r="H312" s="152"/>
      <c r="I312" s="60"/>
      <c r="J312" s="61"/>
      <c r="K312" s="152"/>
      <c r="L312" s="60"/>
      <c r="M312" s="161"/>
      <c r="N312" s="60"/>
      <c r="O312" s="61"/>
      <c r="P312" s="152"/>
      <c r="Q312" s="60"/>
      <c r="R312" s="161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">
        <v>417</v>
      </c>
      <c r="B313" s="12" t="s">
        <v>104</v>
      </c>
      <c r="C313" s="63" t="s">
        <v>119</v>
      </c>
      <c r="D313" s="64">
        <f>D308+D311</f>
        <v>397126.02931936696</v>
      </c>
      <c r="E313" s="222">
        <f>IF(D313&lt;=0,0,F313/D313)</f>
        <v>0.28540761361789568</v>
      </c>
      <c r="F313" s="66">
        <f t="shared" ref="F313" si="110">F308+F311</f>
        <v>113342.792333591</v>
      </c>
      <c r="G313" s="67">
        <f>G308+G311</f>
        <v>397126.02931936696</v>
      </c>
      <c r="H313" s="222">
        <f>IF(G313&lt;=0,0,I313/G313)</f>
        <v>0.28540761361789568</v>
      </c>
      <c r="I313" s="66">
        <f t="shared" ref="I313:J313" si="111">I308+I311</f>
        <v>113342.792333591</v>
      </c>
      <c r="J313" s="67">
        <f t="shared" si="111"/>
        <v>435041.17000000004</v>
      </c>
      <c r="K313" s="222">
        <f>IF(J313&lt;=0,0,L313/J313)</f>
        <v>0.28836045563227958</v>
      </c>
      <c r="L313" s="66">
        <f>L308+L311</f>
        <v>125448.67000000001</v>
      </c>
      <c r="M313" s="223">
        <f>(+J313-G313)/G313</f>
        <v>9.5473824129875637E-2</v>
      </c>
      <c r="N313" s="224">
        <f>L313-I313</f>
        <v>12105.877666409011</v>
      </c>
      <c r="O313" s="67">
        <f t="shared" ref="O313" si="112">O308+O311</f>
        <v>320812.25</v>
      </c>
      <c r="P313" s="222">
        <f>IF(O313&lt;=0,0,Q313/O313)</f>
        <v>0.26741647178373018</v>
      </c>
      <c r="Q313" s="66">
        <f>Q308+Q311</f>
        <v>85790.48</v>
      </c>
      <c r="R313" s="223">
        <f>IF(O313=0,0,(J313-O313)/O313)</f>
        <v>0.35606159054088504</v>
      </c>
      <c r="S313" s="225">
        <f>L313-Q313</f>
        <v>39658.190000000017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">
        <v>104</v>
      </c>
      <c r="B314" s="12" t="s">
        <v>104</v>
      </c>
      <c r="C314" s="226"/>
      <c r="D314" s="227"/>
      <c r="E314" s="228"/>
      <c r="F314" s="229"/>
      <c r="G314" s="230"/>
      <c r="H314" s="228"/>
      <c r="I314" s="229"/>
      <c r="J314" s="230"/>
      <c r="K314" s="228"/>
      <c r="L314" s="229"/>
      <c r="M314" s="231"/>
      <c r="N314" s="75">
        <f>N313/I313</f>
        <v>0.10680765328931494</v>
      </c>
      <c r="O314" s="230"/>
      <c r="P314" s="228"/>
      <c r="Q314" s="229"/>
      <c r="R314" s="231"/>
      <c r="S314" s="76">
        <f>IF(Q313=0,0,S313/Q313)</f>
        <v>0.46226795793659181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">
        <v>104</v>
      </c>
      <c r="B315" s="12" t="s">
        <v>104</v>
      </c>
      <c r="C315" s="484"/>
      <c r="D315" s="115"/>
      <c r="E315" s="177"/>
      <c r="F315" s="179"/>
      <c r="G315" s="178"/>
      <c r="H315" s="177"/>
      <c r="I315" s="179"/>
      <c r="J315" s="178"/>
      <c r="K315" s="177"/>
      <c r="L315" s="179"/>
      <c r="M315" s="42"/>
      <c r="N315" s="44"/>
      <c r="O315" s="178"/>
      <c r="P315" s="177"/>
      <c r="Q315" s="179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">
        <v>418</v>
      </c>
      <c r="B316" s="12" t="s">
        <v>104</v>
      </c>
      <c r="C316" s="487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">
        <v>419</v>
      </c>
      <c r="B317" s="12" t="s">
        <v>104</v>
      </c>
      <c r="C317" s="494" t="s">
        <v>42</v>
      </c>
      <c r="D317" s="14"/>
      <c r="E317" s="14"/>
      <c r="F317" s="31">
        <v>2606.4352490421456</v>
      </c>
      <c r="G317" s="42"/>
      <c r="H317" s="14"/>
      <c r="I317" s="31">
        <v>2606.4352490421456</v>
      </c>
      <c r="J317" s="42"/>
      <c r="K317" s="14"/>
      <c r="L317" s="34">
        <v>5304.33</v>
      </c>
      <c r="M317" s="42"/>
      <c r="N317" s="60">
        <f t="shared" ref="N317:N347" si="113">L317-I317</f>
        <v>2697.8947509578543</v>
      </c>
      <c r="O317" s="42"/>
      <c r="P317" s="14"/>
      <c r="Q317" s="34">
        <v>4912.57</v>
      </c>
      <c r="R317" s="42"/>
      <c r="S317" s="35">
        <f>L317-Q317</f>
        <v>391.76000000000022</v>
      </c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">
        <v>420</v>
      </c>
      <c r="B318" s="12" t="s">
        <v>104</v>
      </c>
      <c r="C318" s="106" t="s">
        <v>43</v>
      </c>
      <c r="D318" s="82"/>
      <c r="E318" s="14"/>
      <c r="F318" s="23">
        <v>4365.3456786819925</v>
      </c>
      <c r="G318" s="84"/>
      <c r="H318" s="14"/>
      <c r="I318" s="23">
        <v>4365.3456786819925</v>
      </c>
      <c r="J318" s="42"/>
      <c r="K318" s="14"/>
      <c r="L318" s="34">
        <v>3289.99</v>
      </c>
      <c r="M318" s="42"/>
      <c r="N318" s="60">
        <f t="shared" si="113"/>
        <v>-1075.3556786819927</v>
      </c>
      <c r="O318" s="42"/>
      <c r="P318" s="14"/>
      <c r="Q318" s="34">
        <v>4098.92</v>
      </c>
      <c r="R318" s="42"/>
      <c r="S318" s="86">
        <f t="shared" ref="S318:S347" si="114">L318-Q318</f>
        <v>-808.93000000000029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">
        <v>421</v>
      </c>
      <c r="B319" s="12" t="s">
        <v>104</v>
      </c>
      <c r="C319" s="494" t="s">
        <v>44</v>
      </c>
      <c r="D319" s="107"/>
      <c r="E319" s="108"/>
      <c r="F319" s="31">
        <v>24550.484569134096</v>
      </c>
      <c r="G319" s="109"/>
      <c r="H319" s="108"/>
      <c r="I319" s="31">
        <v>24550.484569134096</v>
      </c>
      <c r="J319" s="110"/>
      <c r="K319" s="108"/>
      <c r="L319" s="111">
        <v>23335.64</v>
      </c>
      <c r="M319" s="110"/>
      <c r="N319" s="112">
        <f t="shared" si="113"/>
        <v>-1214.8445691340967</v>
      </c>
      <c r="O319" s="110"/>
      <c r="P319" s="108"/>
      <c r="Q319" s="111">
        <v>14183.78</v>
      </c>
      <c r="R319" s="110"/>
      <c r="S319" s="113">
        <f t="shared" si="114"/>
        <v>9151.8599999999988</v>
      </c>
      <c r="T319" s="14"/>
      <c r="U319" s="518"/>
      <c r="V319" s="518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">
        <v>422</v>
      </c>
      <c r="B320" s="12" t="s">
        <v>104</v>
      </c>
      <c r="C320" s="494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f t="shared" si="113"/>
        <v>0</v>
      </c>
      <c r="O320" s="42"/>
      <c r="P320" s="14"/>
      <c r="Q320" s="34"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">
        <v>409</v>
      </c>
      <c r="B321" s="12" t="s">
        <v>104</v>
      </c>
      <c r="C321" s="233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f t="shared" si="113"/>
        <v>0</v>
      </c>
      <c r="O321" s="42"/>
      <c r="P321" s="14"/>
      <c r="Q321" s="34"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">
        <v>409</v>
      </c>
      <c r="B322" s="12" t="s">
        <v>104</v>
      </c>
      <c r="C322" s="233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f t="shared" si="113"/>
        <v>0</v>
      </c>
      <c r="O322" s="42"/>
      <c r="P322" s="14"/>
      <c r="Q322" s="34"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">
        <v>409</v>
      </c>
      <c r="B323" s="12" t="s">
        <v>104</v>
      </c>
      <c r="C323" s="233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f t="shared" si="113"/>
        <v>0</v>
      </c>
      <c r="O323" s="42"/>
      <c r="P323" s="14"/>
      <c r="Q323" s="34"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">
        <v>423</v>
      </c>
      <c r="B324" s="12" t="s">
        <v>104</v>
      </c>
      <c r="C324" s="106" t="s">
        <v>46</v>
      </c>
      <c r="D324" s="82"/>
      <c r="E324" s="14"/>
      <c r="F324" s="23">
        <v>3943.0674077405433</v>
      </c>
      <c r="G324" s="84"/>
      <c r="H324" s="14"/>
      <c r="I324" s="23">
        <v>3943.0674077405433</v>
      </c>
      <c r="J324" s="42"/>
      <c r="K324" s="14"/>
      <c r="L324" s="34">
        <v>2768.71</v>
      </c>
      <c r="M324" s="42"/>
      <c r="N324" s="60">
        <f t="shared" si="113"/>
        <v>-1174.3574077405433</v>
      </c>
      <c r="O324" s="42"/>
      <c r="P324" s="14"/>
      <c r="Q324" s="34">
        <v>1948.5</v>
      </c>
      <c r="R324" s="42"/>
      <c r="S324" s="86">
        <f t="shared" si="114"/>
        <v>820.21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">
        <v>424</v>
      </c>
      <c r="B325" s="12" t="s">
        <v>104</v>
      </c>
      <c r="C325" s="105" t="s">
        <v>47</v>
      </c>
      <c r="D325" s="107"/>
      <c r="E325" s="108"/>
      <c r="F325" s="31">
        <v>3531.4210506315403</v>
      </c>
      <c r="G325" s="109"/>
      <c r="H325" s="108"/>
      <c r="I325" s="31">
        <v>3531.4210506315403</v>
      </c>
      <c r="J325" s="110"/>
      <c r="K325" s="108"/>
      <c r="L325" s="111">
        <v>45.71</v>
      </c>
      <c r="M325" s="110"/>
      <c r="N325" s="112">
        <f t="shared" si="113"/>
        <v>-3485.7110506315403</v>
      </c>
      <c r="O325" s="110"/>
      <c r="P325" s="108"/>
      <c r="Q325" s="111">
        <v>45.32</v>
      </c>
      <c r="R325" s="110"/>
      <c r="S325" s="113">
        <f t="shared" si="114"/>
        <v>0.39000000000000057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">
        <v>425</v>
      </c>
      <c r="B326" s="12" t="s">
        <v>104</v>
      </c>
      <c r="C326" s="105" t="s">
        <v>48</v>
      </c>
      <c r="D326" s="82"/>
      <c r="E326" s="14"/>
      <c r="F326" s="31">
        <v>2804.3637755015175</v>
      </c>
      <c r="G326" s="84"/>
      <c r="H326" s="14"/>
      <c r="I326" s="31">
        <v>2804.3637755015175</v>
      </c>
      <c r="J326" s="42"/>
      <c r="K326" s="14"/>
      <c r="L326" s="34">
        <v>5485.6</v>
      </c>
      <c r="M326" s="42"/>
      <c r="N326" s="60">
        <f t="shared" si="113"/>
        <v>2681.2362244984829</v>
      </c>
      <c r="O326" s="42"/>
      <c r="P326" s="14"/>
      <c r="Q326" s="34">
        <v>1908.16</v>
      </c>
      <c r="R326" s="42"/>
      <c r="S326" s="86">
        <f t="shared" si="114"/>
        <v>3577.4400000000005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">
        <v>426</v>
      </c>
      <c r="B327" s="12" t="s">
        <v>104</v>
      </c>
      <c r="C327" s="105" t="s">
        <v>49</v>
      </c>
      <c r="D327" s="82"/>
      <c r="E327" s="14"/>
      <c r="F327" s="31">
        <v>1142.5185752043219</v>
      </c>
      <c r="G327" s="84"/>
      <c r="H327" s="14"/>
      <c r="I327" s="31">
        <v>1142.5185752043219</v>
      </c>
      <c r="J327" s="42"/>
      <c r="K327" s="14"/>
      <c r="L327" s="34">
        <v>6203.93</v>
      </c>
      <c r="M327" s="42"/>
      <c r="N327" s="60">
        <f t="shared" si="113"/>
        <v>5061.4114247956786</v>
      </c>
      <c r="O327" s="42"/>
      <c r="P327" s="14"/>
      <c r="Q327" s="34">
        <v>3060.9799999999996</v>
      </c>
      <c r="R327" s="42"/>
      <c r="S327" s="86">
        <f t="shared" si="114"/>
        <v>3142.9500000000007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">
        <v>409</v>
      </c>
      <c r="B328" s="12" t="s">
        <v>104</v>
      </c>
      <c r="C328" s="30" t="s">
        <v>21</v>
      </c>
      <c r="D328" s="89"/>
      <c r="E328" s="114"/>
      <c r="F328" s="31">
        <v>0</v>
      </c>
      <c r="G328" s="91"/>
      <c r="H328" s="114"/>
      <c r="I328" s="31">
        <v>0</v>
      </c>
      <c r="J328" s="24"/>
      <c r="K328" s="114"/>
      <c r="L328" s="34">
        <v>0</v>
      </c>
      <c r="M328" s="24"/>
      <c r="N328" s="94">
        <f t="shared" si="113"/>
        <v>0</v>
      </c>
      <c r="O328" s="24"/>
      <c r="P328" s="114"/>
      <c r="Q328" s="34"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">
        <v>427</v>
      </c>
      <c r="B329" s="12" t="s">
        <v>104</v>
      </c>
      <c r="C329" s="96" t="s">
        <v>50</v>
      </c>
      <c r="D329" s="97" t="s">
        <v>40</v>
      </c>
      <c r="E329" s="98">
        <f>F329/F$313</f>
        <v>0.37888281576427252</v>
      </c>
      <c r="F329" s="99">
        <f>+SUM(F317:F328)</f>
        <v>42943.636305936161</v>
      </c>
      <c r="G329" s="100" t="s">
        <v>40</v>
      </c>
      <c r="H329" s="98">
        <f>I329/I$313</f>
        <v>0.37888281576427252</v>
      </c>
      <c r="I329" s="99">
        <f>+SUM(I317:I328)</f>
        <v>42943.636305936161</v>
      </c>
      <c r="J329" s="100" t="s">
        <v>40</v>
      </c>
      <c r="K329" s="98">
        <f>L329/L$313</f>
        <v>0.37014270458188192</v>
      </c>
      <c r="L329" s="99">
        <f>+SUM(L317:L328)</f>
        <v>46433.909999999996</v>
      </c>
      <c r="M329" s="151"/>
      <c r="N329" s="116">
        <f t="shared" si="113"/>
        <v>3490.2736940638351</v>
      </c>
      <c r="O329" s="100" t="s">
        <v>40</v>
      </c>
      <c r="P329" s="98">
        <f>Q329/Q$313</f>
        <v>0.35153352679691269</v>
      </c>
      <c r="Q329" s="99">
        <f>+SUM(Q317:Q328)</f>
        <v>30158.23</v>
      </c>
      <c r="R329" s="151"/>
      <c r="S329" s="117">
        <f t="shared" si="114"/>
        <v>16275.679999999997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">
        <v>428</v>
      </c>
      <c r="B330" s="12" t="s">
        <v>104</v>
      </c>
      <c r="C330" s="214" t="s">
        <v>51</v>
      </c>
      <c r="D330" s="82"/>
      <c r="E330" s="14"/>
      <c r="F330" s="31">
        <v>3725.4874999999997</v>
      </c>
      <c r="G330" s="84"/>
      <c r="H330" s="14"/>
      <c r="I330" s="31">
        <v>3725.4874999999997</v>
      </c>
      <c r="J330" s="42"/>
      <c r="K330" s="14"/>
      <c r="L330" s="34">
        <v>1636.51</v>
      </c>
      <c r="M330" s="42"/>
      <c r="N330" s="60">
        <f t="shared" si="113"/>
        <v>-2088.9775</v>
      </c>
      <c r="O330" s="42"/>
      <c r="P330" s="14"/>
      <c r="Q330" s="34">
        <v>3808.41</v>
      </c>
      <c r="R330" s="42"/>
      <c r="S330" s="86">
        <f t="shared" si="114"/>
        <v>-2171.8999999999996</v>
      </c>
      <c r="T330" s="14"/>
      <c r="U330" s="14"/>
      <c r="V330" s="14"/>
      <c r="W330" s="83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">
        <v>429</v>
      </c>
      <c r="B331" s="12" t="s">
        <v>104</v>
      </c>
      <c r="C331" s="105" t="s">
        <v>52</v>
      </c>
      <c r="D331" s="82"/>
      <c r="E331" s="14"/>
      <c r="F331" s="31">
        <v>632.80174927679275</v>
      </c>
      <c r="G331" s="84"/>
      <c r="H331" s="14"/>
      <c r="I331" s="31">
        <v>632.80174927679275</v>
      </c>
      <c r="J331" s="42"/>
      <c r="K331" s="14"/>
      <c r="L331" s="34">
        <v>2263.06</v>
      </c>
      <c r="M331" s="42"/>
      <c r="N331" s="60">
        <f t="shared" si="113"/>
        <v>1630.2582507232073</v>
      </c>
      <c r="O331" s="42"/>
      <c r="P331" s="14"/>
      <c r="Q331" s="34">
        <v>0</v>
      </c>
      <c r="R331" s="42"/>
      <c r="S331" s="86">
        <f t="shared" si="114"/>
        <v>2263.06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">
        <v>430</v>
      </c>
      <c r="B332" s="12" t="s">
        <v>104</v>
      </c>
      <c r="C332" s="106" t="s">
        <v>53</v>
      </c>
      <c r="D332" s="89"/>
      <c r="E332" s="114"/>
      <c r="F332" s="23">
        <v>433.5</v>
      </c>
      <c r="G332" s="91"/>
      <c r="H332" s="114"/>
      <c r="I332" s="23">
        <v>433.5</v>
      </c>
      <c r="J332" s="24"/>
      <c r="K332" s="114"/>
      <c r="L332" s="34">
        <v>275.75</v>
      </c>
      <c r="M332" s="24"/>
      <c r="N332" s="94">
        <f t="shared" si="113"/>
        <v>-157.75</v>
      </c>
      <c r="O332" s="24"/>
      <c r="P332" s="114"/>
      <c r="Q332" s="34">
        <v>290.89</v>
      </c>
      <c r="R332" s="24"/>
      <c r="S332" s="95">
        <f t="shared" si="114"/>
        <v>-15.139999999999986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">
        <v>431</v>
      </c>
      <c r="B333" s="12" t="s">
        <v>104</v>
      </c>
      <c r="C333" s="105" t="s">
        <v>54</v>
      </c>
      <c r="D333" s="82"/>
      <c r="E333" s="14"/>
      <c r="F333" s="31">
        <v>3489.4852291666666</v>
      </c>
      <c r="G333" s="84"/>
      <c r="H333" s="14"/>
      <c r="I333" s="31">
        <v>3489.4852291666666</v>
      </c>
      <c r="J333" s="42"/>
      <c r="K333" s="14"/>
      <c r="L333" s="111">
        <v>3937.26</v>
      </c>
      <c r="M333" s="42"/>
      <c r="N333" s="60">
        <f t="shared" si="113"/>
        <v>447.7747708333336</v>
      </c>
      <c r="O333" s="42"/>
      <c r="P333" s="14"/>
      <c r="Q333" s="111">
        <v>3597.64</v>
      </c>
      <c r="R333" s="42"/>
      <c r="S333" s="86">
        <f t="shared" si="114"/>
        <v>339.62000000000035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">
        <v>432</v>
      </c>
      <c r="B334" s="12" t="s">
        <v>104</v>
      </c>
      <c r="C334" s="105" t="s">
        <v>55</v>
      </c>
      <c r="D334" s="82"/>
      <c r="E334" s="14"/>
      <c r="F334" s="31">
        <v>618.86078125000006</v>
      </c>
      <c r="G334" s="84"/>
      <c r="H334" s="14"/>
      <c r="I334" s="31">
        <v>618.86078125000006</v>
      </c>
      <c r="J334" s="42"/>
      <c r="K334" s="14"/>
      <c r="L334" s="34">
        <v>538.54999999999995</v>
      </c>
      <c r="M334" s="42"/>
      <c r="N334" s="60">
        <f t="shared" si="113"/>
        <v>-80.310781250000105</v>
      </c>
      <c r="O334" s="42"/>
      <c r="P334" s="14"/>
      <c r="Q334" s="34">
        <v>170.1</v>
      </c>
      <c r="R334" s="42"/>
      <c r="S334" s="86">
        <f t="shared" si="114"/>
        <v>368.44999999999993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">
        <v>433</v>
      </c>
      <c r="B335" s="12" t="s">
        <v>104</v>
      </c>
      <c r="C335" s="234" t="s">
        <v>56</v>
      </c>
      <c r="D335" s="89"/>
      <c r="E335" s="114"/>
      <c r="F335" s="23">
        <v>7416.3995888888885</v>
      </c>
      <c r="G335" s="91"/>
      <c r="H335" s="114"/>
      <c r="I335" s="23">
        <v>7416.3995888888885</v>
      </c>
      <c r="J335" s="24"/>
      <c r="K335" s="114"/>
      <c r="L335" s="49">
        <v>9664.32</v>
      </c>
      <c r="M335" s="24"/>
      <c r="N335" s="94">
        <f t="shared" si="113"/>
        <v>2247.9204111111112</v>
      </c>
      <c r="O335" s="24"/>
      <c r="P335" s="114"/>
      <c r="Q335" s="49">
        <v>5773.32</v>
      </c>
      <c r="R335" s="24"/>
      <c r="S335" s="95">
        <f t="shared" si="114"/>
        <v>3891</v>
      </c>
      <c r="T335" s="14"/>
      <c r="U335" s="14" t="s">
        <v>492</v>
      </c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">
        <v>434</v>
      </c>
      <c r="B336" s="12" t="s">
        <v>104</v>
      </c>
      <c r="C336" s="105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f t="shared" si="113"/>
        <v>0</v>
      </c>
      <c r="O336" s="42"/>
      <c r="P336" s="14"/>
      <c r="Q336" s="34"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">
        <v>435</v>
      </c>
      <c r="B337" s="12" t="s">
        <v>104</v>
      </c>
      <c r="C337" s="105" t="s">
        <v>57</v>
      </c>
      <c r="D337" s="82"/>
      <c r="E337" s="14"/>
      <c r="F337" s="31">
        <v>94.464662279440972</v>
      </c>
      <c r="G337" s="84"/>
      <c r="H337" s="14"/>
      <c r="I337" s="31">
        <v>94.464662279440972</v>
      </c>
      <c r="J337" s="42"/>
      <c r="K337" s="14"/>
      <c r="L337" s="34">
        <v>13.58</v>
      </c>
      <c r="M337" s="42"/>
      <c r="N337" s="60">
        <f t="shared" si="113"/>
        <v>-80.884662279440974</v>
      </c>
      <c r="O337" s="42"/>
      <c r="P337" s="14"/>
      <c r="Q337" s="34">
        <v>5.8</v>
      </c>
      <c r="R337" s="42"/>
      <c r="S337" s="86">
        <f t="shared" si="114"/>
        <v>7.78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">
        <v>436</v>
      </c>
      <c r="B338" s="12" t="s">
        <v>104</v>
      </c>
      <c r="C338" s="105" t="s">
        <v>58</v>
      </c>
      <c r="D338" s="82"/>
      <c r="E338" s="14"/>
      <c r="F338" s="31">
        <v>50.196038268857535</v>
      </c>
      <c r="G338" s="84"/>
      <c r="H338" s="14"/>
      <c r="I338" s="31">
        <v>50.196038268857535</v>
      </c>
      <c r="J338" s="42"/>
      <c r="K338" s="14"/>
      <c r="L338" s="34">
        <v>0</v>
      </c>
      <c r="M338" s="42"/>
      <c r="N338" s="60">
        <f t="shared" si="113"/>
        <v>-50.196038268857535</v>
      </c>
      <c r="O338" s="42"/>
      <c r="P338" s="14"/>
      <c r="Q338" s="34">
        <v>0</v>
      </c>
      <c r="R338" s="42"/>
      <c r="S338" s="86">
        <f t="shared" si="114"/>
        <v>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">
        <v>437</v>
      </c>
      <c r="B339" s="12" t="s">
        <v>104</v>
      </c>
      <c r="C339" s="105" t="s">
        <v>59</v>
      </c>
      <c r="D339" s="82"/>
      <c r="E339" s="14"/>
      <c r="F339" s="31">
        <v>510.05025000000001</v>
      </c>
      <c r="G339" s="84"/>
      <c r="H339" s="14"/>
      <c r="I339" s="31">
        <v>510.05025000000001</v>
      </c>
      <c r="J339" s="42"/>
      <c r="K339" s="14"/>
      <c r="L339" s="33">
        <v>542.44000000000005</v>
      </c>
      <c r="M339" s="42"/>
      <c r="N339" s="60">
        <f t="shared" si="113"/>
        <v>32.389750000000049</v>
      </c>
      <c r="O339" s="42"/>
      <c r="P339" s="14"/>
      <c r="Q339" s="33">
        <v>596.52</v>
      </c>
      <c r="R339" s="42"/>
      <c r="S339" s="86">
        <f t="shared" si="114"/>
        <v>-54.079999999999927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">
        <v>438</v>
      </c>
      <c r="B340" s="12" t="s">
        <v>104</v>
      </c>
      <c r="C340" s="105" t="s">
        <v>60</v>
      </c>
      <c r="D340" s="82"/>
      <c r="E340" s="14"/>
      <c r="F340" s="31">
        <v>235.51916145833334</v>
      </c>
      <c r="G340" s="84"/>
      <c r="H340" s="14"/>
      <c r="I340" s="31">
        <v>235.51916145833334</v>
      </c>
      <c r="J340" s="42"/>
      <c r="K340" s="14"/>
      <c r="L340" s="34">
        <v>86.83</v>
      </c>
      <c r="M340" s="42"/>
      <c r="N340" s="60">
        <f t="shared" si="113"/>
        <v>-148.68916145833333</v>
      </c>
      <c r="O340" s="42"/>
      <c r="P340" s="14"/>
      <c r="Q340" s="34">
        <v>70.400000000000006</v>
      </c>
      <c r="R340" s="42"/>
      <c r="S340" s="86">
        <f t="shared" si="114"/>
        <v>16.429999999999993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">
        <v>439</v>
      </c>
      <c r="B341" s="12" t="s">
        <v>104</v>
      </c>
      <c r="C341" s="105" t="s">
        <v>61</v>
      </c>
      <c r="D341" s="82"/>
      <c r="E341" s="14"/>
      <c r="F341" s="31">
        <v>125.71646354166664</v>
      </c>
      <c r="G341" s="84"/>
      <c r="H341" s="14"/>
      <c r="I341" s="31">
        <v>125.71646354166664</v>
      </c>
      <c r="J341" s="42"/>
      <c r="K341" s="14"/>
      <c r="L341" s="34">
        <v>-119.92</v>
      </c>
      <c r="M341" s="42"/>
      <c r="N341" s="60">
        <f t="shared" si="113"/>
        <v>-245.63646354166664</v>
      </c>
      <c r="O341" s="42"/>
      <c r="P341" s="14"/>
      <c r="Q341" s="34">
        <v>85.87</v>
      </c>
      <c r="R341" s="42"/>
      <c r="S341" s="86">
        <f t="shared" si="114"/>
        <v>-205.79000000000002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">
        <v>440</v>
      </c>
      <c r="B342" s="12" t="s">
        <v>104</v>
      </c>
      <c r="C342" s="105" t="s">
        <v>62</v>
      </c>
      <c r="D342" s="82"/>
      <c r="E342" s="14"/>
      <c r="F342" s="31">
        <v>606.4324947916665</v>
      </c>
      <c r="G342" s="84"/>
      <c r="H342" s="14"/>
      <c r="I342" s="31">
        <v>606.4324947916665</v>
      </c>
      <c r="J342" s="42"/>
      <c r="K342" s="14"/>
      <c r="L342" s="34">
        <v>49</v>
      </c>
      <c r="M342" s="42"/>
      <c r="N342" s="60">
        <f t="shared" si="113"/>
        <v>-557.4324947916665</v>
      </c>
      <c r="O342" s="42"/>
      <c r="P342" s="14"/>
      <c r="Q342" s="34">
        <v>123.96</v>
      </c>
      <c r="R342" s="42"/>
      <c r="S342" s="86">
        <f t="shared" si="114"/>
        <v>-74.959999999999994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">
        <v>441</v>
      </c>
      <c r="B343" s="12" t="s">
        <v>104</v>
      </c>
      <c r="C343" s="105" t="s">
        <v>63</v>
      </c>
      <c r="D343" s="82"/>
      <c r="E343" s="14"/>
      <c r="F343" s="31">
        <v>900.98145833333331</v>
      </c>
      <c r="G343" s="84"/>
      <c r="H343" s="14"/>
      <c r="I343" s="31">
        <v>900.98145833333331</v>
      </c>
      <c r="J343" s="42"/>
      <c r="K343" s="14"/>
      <c r="L343" s="34">
        <v>79.75</v>
      </c>
      <c r="M343" s="42"/>
      <c r="N343" s="60">
        <f t="shared" si="113"/>
        <v>-821.23145833333331</v>
      </c>
      <c r="O343" s="42"/>
      <c r="P343" s="14"/>
      <c r="Q343" s="34">
        <v>22.14</v>
      </c>
      <c r="R343" s="42"/>
      <c r="S343" s="86">
        <f t="shared" si="114"/>
        <v>57.61</v>
      </c>
      <c r="T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">
        <v>442</v>
      </c>
      <c r="B344" s="12" t="s">
        <v>104</v>
      </c>
      <c r="C344" s="105" t="s">
        <v>64</v>
      </c>
      <c r="D344" s="82"/>
      <c r="E344" s="14"/>
      <c r="F344" s="31">
        <v>1611.0469817368421</v>
      </c>
      <c r="G344" s="84"/>
      <c r="H344" s="14"/>
      <c r="I344" s="31">
        <v>1611.0469817368421</v>
      </c>
      <c r="J344" s="42"/>
      <c r="K344" s="14"/>
      <c r="L344" s="34">
        <v>1818.02</v>
      </c>
      <c r="M344" s="42"/>
      <c r="N344" s="60">
        <f t="shared" si="113"/>
        <v>206.97301826315788</v>
      </c>
      <c r="O344" s="42"/>
      <c r="P344" s="14"/>
      <c r="Q344" s="34">
        <f>AL447*W7</f>
        <v>1256.49</v>
      </c>
      <c r="R344" s="42"/>
      <c r="S344" s="86">
        <f t="shared" si="114"/>
        <v>561.53</v>
      </c>
      <c r="T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">
        <v>409</v>
      </c>
      <c r="B345" s="12" t="s">
        <v>104</v>
      </c>
      <c r="C345" s="105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f t="shared" si="113"/>
        <v>0</v>
      </c>
      <c r="O345" s="42"/>
      <c r="P345" s="14"/>
      <c r="Q345" s="34">
        <v>0</v>
      </c>
      <c r="R345" s="42"/>
      <c r="S345" s="86">
        <f t="shared" si="114"/>
        <v>0</v>
      </c>
      <c r="T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">
        <v>409</v>
      </c>
      <c r="B346" s="12" t="s">
        <v>104</v>
      </c>
      <c r="C346" s="105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f t="shared" si="113"/>
        <v>0</v>
      </c>
      <c r="O346" s="42"/>
      <c r="P346" s="14"/>
      <c r="Q346" s="34">
        <v>0</v>
      </c>
      <c r="R346" s="42"/>
      <c r="S346" s="86">
        <f t="shared" si="114"/>
        <v>0</v>
      </c>
      <c r="T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">
        <v>409</v>
      </c>
      <c r="B347" s="12" t="s">
        <v>104</v>
      </c>
      <c r="C347" s="105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f t="shared" si="113"/>
        <v>0</v>
      </c>
      <c r="O347" s="42"/>
      <c r="P347" s="14"/>
      <c r="Q347" s="34">
        <v>0</v>
      </c>
      <c r="R347" s="42"/>
      <c r="S347" s="86">
        <f t="shared" si="114"/>
        <v>0</v>
      </c>
      <c r="T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6" t="s">
        <v>65</v>
      </c>
      <c r="D348" s="97" t="s">
        <v>40</v>
      </c>
      <c r="E348" s="98">
        <f>F348/F$313</f>
        <v>0.18043443202635401</v>
      </c>
      <c r="F348" s="99">
        <f>+SUM(F330:F347)</f>
        <v>20450.942358992485</v>
      </c>
      <c r="G348" s="100" t="s">
        <v>40</v>
      </c>
      <c r="H348" s="98">
        <f>I348/I$313</f>
        <v>0.18043443202635401</v>
      </c>
      <c r="I348" s="99">
        <f>+SUM(I330:I347)</f>
        <v>20450.942358992485</v>
      </c>
      <c r="J348" s="100" t="s">
        <v>40</v>
      </c>
      <c r="K348" s="98">
        <f>L348/L$313</f>
        <v>0.16568649153474485</v>
      </c>
      <c r="L348" s="99">
        <f>+SUM(L330:L347)</f>
        <v>20785.150000000001</v>
      </c>
      <c r="M348" s="103"/>
      <c r="N348" s="99">
        <f>+SUM(N330:N347)</f>
        <v>334.20764100751148</v>
      </c>
      <c r="O348" s="100" t="s">
        <v>40</v>
      </c>
      <c r="P348" s="98">
        <f>Q348/Q$313</f>
        <v>0.18418756952985926</v>
      </c>
      <c r="Q348" s="99">
        <f>+SUM(Q330:Q347)</f>
        <v>15801.539999999999</v>
      </c>
      <c r="R348" s="103"/>
      <c r="S348" s="104">
        <f>+SUM(S330:S347)</f>
        <v>4983.6099999999997</v>
      </c>
      <c r="T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4"/>
      <c r="F349" s="60"/>
      <c r="G349" s="91"/>
      <c r="H349" s="114"/>
      <c r="I349" s="60"/>
      <c r="J349" s="24"/>
      <c r="K349" s="114"/>
      <c r="L349" s="94"/>
      <c r="M349" s="24"/>
      <c r="N349" s="94"/>
      <c r="O349" s="24"/>
      <c r="P349" s="114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6" t="s">
        <v>66</v>
      </c>
      <c r="D350" s="97" t="s">
        <v>40</v>
      </c>
      <c r="E350" s="98">
        <f>F350/F$313</f>
        <v>0.55931724779062653</v>
      </c>
      <c r="F350" s="99">
        <f>F329+F348</f>
        <v>63394.578664928646</v>
      </c>
      <c r="G350" s="100" t="s">
        <v>40</v>
      </c>
      <c r="H350" s="98">
        <f>I350/I$313</f>
        <v>0.55931724779062653</v>
      </c>
      <c r="I350" s="99">
        <f>I329+I348</f>
        <v>63394.578664928646</v>
      </c>
      <c r="J350" s="100" t="s">
        <v>40</v>
      </c>
      <c r="K350" s="98">
        <f>L350/L$313</f>
        <v>0.53582919611662672</v>
      </c>
      <c r="L350" s="99">
        <f>L329+L348</f>
        <v>67219.06</v>
      </c>
      <c r="M350" s="103"/>
      <c r="N350" s="116">
        <f t="shared" ref="N350:N351" si="115">L350-I350</f>
        <v>3824.4813350713521</v>
      </c>
      <c r="O350" s="100" t="s">
        <v>40</v>
      </c>
      <c r="P350" s="98">
        <f>Q350/Q$313</f>
        <v>0.5357210963267719</v>
      </c>
      <c r="Q350" s="99">
        <f>Q329+Q348</f>
        <v>45959.77</v>
      </c>
      <c r="R350" s="103"/>
      <c r="S350" s="117">
        <f>L350-Q350</f>
        <v>21259.29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4" customHeight="1" thickBot="1">
      <c r="B352" s="7"/>
      <c r="C352" s="127" t="s">
        <v>73</v>
      </c>
      <c r="D352" s="156"/>
      <c r="E352" s="128"/>
      <c r="F352" s="130">
        <f>F313-F350</f>
        <v>49948.213668662356</v>
      </c>
      <c r="G352" s="157"/>
      <c r="H352" s="128"/>
      <c r="I352" s="130">
        <f>I313-I350</f>
        <v>49948.213668662356</v>
      </c>
      <c r="J352" s="158"/>
      <c r="K352" s="129"/>
      <c r="L352" s="130">
        <f>L313-L350</f>
        <v>58229.610000000015</v>
      </c>
      <c r="M352" s="158"/>
      <c r="N352" s="130">
        <f>L352-I352</f>
        <v>8281.3963313376589</v>
      </c>
      <c r="O352" s="158"/>
      <c r="P352" s="129"/>
      <c r="Q352" s="130">
        <f>Q313-Q350</f>
        <v>39830.71</v>
      </c>
      <c r="R352" s="158"/>
      <c r="S352" s="132">
        <f>L352-Q352</f>
        <v>18398.900000000016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5"/>
      <c r="G353" s="82"/>
      <c r="H353" s="14"/>
      <c r="I353" s="115"/>
      <c r="J353" s="77"/>
      <c r="K353" s="77"/>
      <c r="L353" s="115"/>
      <c r="M353" s="77"/>
      <c r="N353" s="115"/>
      <c r="O353" s="77"/>
      <c r="P353" s="77"/>
      <c r="Q353" s="115"/>
      <c r="R353" s="77"/>
      <c r="S353" s="11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hidden="1" customHeight="1">
      <c r="B354" s="7"/>
      <c r="C354" s="77"/>
      <c r="D354" s="82"/>
      <c r="E354" s="14"/>
      <c r="F354" s="115"/>
      <c r="G354" s="82"/>
      <c r="H354" s="14"/>
      <c r="I354" s="115"/>
      <c r="J354" s="77"/>
      <c r="K354" s="77"/>
      <c r="L354" s="115"/>
      <c r="M354" s="77"/>
      <c r="N354" s="115"/>
      <c r="O354" s="77"/>
      <c r="P354" s="77"/>
      <c r="Q354" s="115"/>
      <c r="R354" s="77"/>
      <c r="S354" s="11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475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Août 2022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hidden="1" customHeight="1" thickTop="1">
      <c r="B357" s="7"/>
      <c r="C357" s="13"/>
      <c r="D357" s="564" t="s">
        <v>5</v>
      </c>
      <c r="E357" s="565"/>
      <c r="F357" s="566"/>
      <c r="G357" s="562" t="s">
        <v>75</v>
      </c>
      <c r="H357" s="565"/>
      <c r="I357" s="566"/>
      <c r="J357" s="562" t="s">
        <v>7</v>
      </c>
      <c r="K357" s="565"/>
      <c r="L357" s="566"/>
      <c r="M357" s="562" t="s">
        <v>8</v>
      </c>
      <c r="N357" s="566"/>
      <c r="O357" s="564" t="s">
        <v>9</v>
      </c>
      <c r="P357" s="565"/>
      <c r="Q357" s="566"/>
      <c r="R357" s="562" t="s">
        <v>10</v>
      </c>
      <c r="S357" s="563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hidden="1" customHeight="1" thickBot="1">
      <c r="A358" t="s">
        <v>120</v>
      </c>
      <c r="B358" s="12" t="s">
        <v>120</v>
      </c>
      <c r="C358" s="30"/>
      <c r="D358" s="235" t="s">
        <v>85</v>
      </c>
      <c r="E358" s="235" t="s">
        <v>105</v>
      </c>
      <c r="F358" s="236" t="s">
        <v>13</v>
      </c>
      <c r="G358" s="237" t="s">
        <v>85</v>
      </c>
      <c r="H358" s="235" t="s">
        <v>105</v>
      </c>
      <c r="I358" s="236" t="s">
        <v>13</v>
      </c>
      <c r="J358" s="138" t="s">
        <v>85</v>
      </c>
      <c r="K358" s="81" t="s">
        <v>105</v>
      </c>
      <c r="L358" s="137" t="s">
        <v>13</v>
      </c>
      <c r="M358" s="138" t="s">
        <v>41</v>
      </c>
      <c r="N358" s="137" t="s">
        <v>13</v>
      </c>
      <c r="O358" s="138" t="s">
        <v>85</v>
      </c>
      <c r="P358" s="81" t="s">
        <v>105</v>
      </c>
      <c r="Q358" s="137" t="s">
        <v>13</v>
      </c>
      <c r="R358" s="138" t="s">
        <v>86</v>
      </c>
      <c r="S358" s="139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hidden="1" customHeight="1" thickTop="1">
      <c r="A359" t="s">
        <v>443</v>
      </c>
      <c r="B359" s="12" t="s">
        <v>120</v>
      </c>
      <c r="C359" s="63" t="s">
        <v>120</v>
      </c>
      <c r="D359" s="238">
        <v>0</v>
      </c>
      <c r="E359" s="239">
        <f>IFERROR(F359/D359,0)</f>
        <v>0</v>
      </c>
      <c r="F359" s="240">
        <v>0</v>
      </c>
      <c r="G359" s="238">
        <v>0</v>
      </c>
      <c r="H359" s="239">
        <f>IFERROR(I359/G359,0)</f>
        <v>0</v>
      </c>
      <c r="I359" s="238">
        <v>0</v>
      </c>
      <c r="J359" s="241">
        <v>0</v>
      </c>
      <c r="K359" s="222">
        <f>IF(J359&lt;=0,0,L359/J359)</f>
        <v>0</v>
      </c>
      <c r="L359" s="242">
        <v>0</v>
      </c>
      <c r="M359" s="223">
        <f>IF(G359=0,0,(+J359-G359)/G359)</f>
        <v>0</v>
      </c>
      <c r="N359" s="224">
        <f>L359-I359</f>
        <v>0</v>
      </c>
      <c r="O359" s="241">
        <v>0</v>
      </c>
      <c r="P359" s="222">
        <f>IF(O359&lt;=0,0,Q359/O359)</f>
        <v>0</v>
      </c>
      <c r="Q359" s="242">
        <v>0</v>
      </c>
      <c r="R359" s="223">
        <f>IF(O359=0,0,(J359-O359)/O359)</f>
        <v>0</v>
      </c>
      <c r="S359" s="225">
        <f>L359-Q359</f>
        <v>0</v>
      </c>
      <c r="T359" s="11"/>
      <c r="U359" s="11"/>
      <c r="V359" s="243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hidden="1" customHeight="1" thickBot="1">
      <c r="A360" t="s">
        <v>120</v>
      </c>
      <c r="B360" s="12" t="s">
        <v>120</v>
      </c>
      <c r="C360" s="226"/>
      <c r="D360" s="227"/>
      <c r="E360" s="228"/>
      <c r="F360" s="229"/>
      <c r="G360" s="230"/>
      <c r="H360" s="228"/>
      <c r="I360" s="229"/>
      <c r="J360" s="230"/>
      <c r="K360" s="228"/>
      <c r="L360" s="229"/>
      <c r="M360" s="231"/>
      <c r="N360" s="75"/>
      <c r="O360" s="230"/>
      <c r="P360" s="228"/>
      <c r="Q360" s="229"/>
      <c r="R360" s="231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hidden="1" customHeight="1" thickTop="1">
      <c r="A361" t="s">
        <v>444</v>
      </c>
      <c r="B361" s="12" t="s">
        <v>120</v>
      </c>
      <c r="C361" s="54" t="s">
        <v>121</v>
      </c>
      <c r="D361" s="244">
        <f>+D359</f>
        <v>0</v>
      </c>
      <c r="E361" s="177">
        <f>IF(D361&lt;=0,0,F361/D361)</f>
        <v>0</v>
      </c>
      <c r="F361" s="179">
        <f t="shared" ref="F361" si="116">+F359</f>
        <v>0</v>
      </c>
      <c r="G361" s="178">
        <f>+G359</f>
        <v>0</v>
      </c>
      <c r="H361" s="177">
        <f>IF(G361&lt;=0,0,I361/G361)</f>
        <v>0</v>
      </c>
      <c r="I361" s="179">
        <f t="shared" ref="I361:J361" si="117">+I359</f>
        <v>0</v>
      </c>
      <c r="J361" s="178">
        <f t="shared" si="117"/>
        <v>0</v>
      </c>
      <c r="K361" s="177">
        <f>IF(J361&lt;=0,0,L361/J361)</f>
        <v>0</v>
      </c>
      <c r="L361" s="179">
        <f>+L359</f>
        <v>0</v>
      </c>
      <c r="M361" s="245">
        <f>IF(G361=0,0,(+J361-G361)/G361)</f>
        <v>0</v>
      </c>
      <c r="N361" s="246">
        <f>L361-I361</f>
        <v>0</v>
      </c>
      <c r="O361" s="178">
        <f t="shared" ref="O361" si="118">+O359</f>
        <v>0</v>
      </c>
      <c r="P361" s="177">
        <f>IF(O361&lt;=0,0,Q361/O361)</f>
        <v>0</v>
      </c>
      <c r="Q361" s="179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47"/>
      <c r="I362" s="60"/>
      <c r="J362" s="42"/>
      <c r="K362" s="14"/>
      <c r="L362" s="41"/>
      <c r="M362" s="42"/>
      <c r="N362" s="248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hidden="1" customHeight="1">
      <c r="A363" t="s">
        <v>445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hidden="1" customHeight="1">
      <c r="A364" t="s">
        <v>446</v>
      </c>
      <c r="B364" s="12" t="s">
        <v>120</v>
      </c>
      <c r="C364" s="105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hidden="1" customHeight="1">
      <c r="A365" t="s">
        <v>447</v>
      </c>
      <c r="B365" s="12" t="s">
        <v>120</v>
      </c>
      <c r="C365" s="106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f t="shared" ref="N365:N393" si="119">L365-I365</f>
        <v>0</v>
      </c>
      <c r="O365" s="42"/>
      <c r="P365" s="14"/>
      <c r="Q365" s="23">
        <v>0</v>
      </c>
      <c r="R365" s="42"/>
      <c r="S365" s="86">
        <f t="shared" ref="S365:S393" si="120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hidden="1" customHeight="1">
      <c r="A366" t="s">
        <v>448</v>
      </c>
      <c r="B366" s="12" t="s">
        <v>120</v>
      </c>
      <c r="C366" s="105" t="s">
        <v>44</v>
      </c>
      <c r="D366" s="107"/>
      <c r="E366" s="108"/>
      <c r="F366" s="31">
        <v>0</v>
      </c>
      <c r="G366" s="109"/>
      <c r="H366" s="108"/>
      <c r="I366" s="31">
        <v>0</v>
      </c>
      <c r="J366" s="110"/>
      <c r="K366" s="108"/>
      <c r="L366" s="34">
        <v>0</v>
      </c>
      <c r="M366" s="110"/>
      <c r="N366" s="112">
        <f t="shared" si="119"/>
        <v>0</v>
      </c>
      <c r="O366" s="110"/>
      <c r="P366" s="108"/>
      <c r="Q366" s="34">
        <v>0</v>
      </c>
      <c r="R366" s="110"/>
      <c r="S366" s="113">
        <f t="shared" si="120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hidden="1" customHeight="1">
      <c r="A367" t="s">
        <v>449</v>
      </c>
      <c r="B367" s="12" t="s">
        <v>120</v>
      </c>
      <c r="C367" s="105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f t="shared" si="119"/>
        <v>0</v>
      </c>
      <c r="O367" s="42"/>
      <c r="P367" s="14"/>
      <c r="Q367" s="34">
        <v>0</v>
      </c>
      <c r="R367" s="42"/>
      <c r="S367" s="86">
        <f t="shared" si="120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">
        <v>450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f t="shared" si="119"/>
        <v>0</v>
      </c>
      <c r="O368" s="42"/>
      <c r="P368" s="14"/>
      <c r="Q368" s="34">
        <v>0</v>
      </c>
      <c r="R368" s="42"/>
      <c r="S368" s="86">
        <f t="shared" si="120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">
        <v>450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f t="shared" si="119"/>
        <v>0</v>
      </c>
      <c r="O369" s="42"/>
      <c r="P369" s="14"/>
      <c r="Q369" s="34">
        <v>0</v>
      </c>
      <c r="R369" s="42"/>
      <c r="S369" s="86">
        <f t="shared" si="120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">
        <v>450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f t="shared" si="119"/>
        <v>0</v>
      </c>
      <c r="O370" s="42"/>
      <c r="P370" s="14"/>
      <c r="Q370" s="34">
        <v>0</v>
      </c>
      <c r="R370" s="42"/>
      <c r="S370" s="86">
        <f t="shared" si="120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hidden="1" customHeight="1">
      <c r="A371" t="s">
        <v>451</v>
      </c>
      <c r="B371" s="12" t="s">
        <v>120</v>
      </c>
      <c r="C371" s="106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f t="shared" si="119"/>
        <v>0</v>
      </c>
      <c r="O371" s="42"/>
      <c r="P371" s="14"/>
      <c r="Q371" s="23">
        <v>0</v>
      </c>
      <c r="R371" s="42"/>
      <c r="S371" s="86">
        <f t="shared" si="120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hidden="1" customHeight="1">
      <c r="A372" t="s">
        <v>452</v>
      </c>
      <c r="B372" s="12" t="s">
        <v>120</v>
      </c>
      <c r="C372" s="105" t="s">
        <v>47</v>
      </c>
      <c r="D372" s="107"/>
      <c r="E372" s="108"/>
      <c r="F372" s="31">
        <v>0</v>
      </c>
      <c r="G372" s="109"/>
      <c r="H372" s="108"/>
      <c r="I372" s="31">
        <v>0</v>
      </c>
      <c r="J372" s="110"/>
      <c r="K372" s="108"/>
      <c r="L372" s="34">
        <v>0</v>
      </c>
      <c r="M372" s="110"/>
      <c r="N372" s="112">
        <f t="shared" si="119"/>
        <v>0</v>
      </c>
      <c r="O372" s="110"/>
      <c r="P372" s="108"/>
      <c r="Q372" s="34">
        <v>0</v>
      </c>
      <c r="R372" s="110"/>
      <c r="S372" s="113">
        <f t="shared" si="120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hidden="1" customHeight="1">
      <c r="A373" t="s">
        <v>453</v>
      </c>
      <c r="B373" s="12" t="s">
        <v>120</v>
      </c>
      <c r="C373" s="105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f t="shared" si="119"/>
        <v>0</v>
      </c>
      <c r="O373" s="42"/>
      <c r="P373" s="14"/>
      <c r="Q373" s="34">
        <v>0</v>
      </c>
      <c r="R373" s="42"/>
      <c r="S373" s="86">
        <f t="shared" si="120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hidden="1" customHeight="1">
      <c r="A374" t="s">
        <v>454</v>
      </c>
      <c r="B374" s="12" t="s">
        <v>120</v>
      </c>
      <c r="C374" s="105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f t="shared" si="119"/>
        <v>0</v>
      </c>
      <c r="O374" s="42"/>
      <c r="P374" s="14"/>
      <c r="Q374" s="34">
        <v>0</v>
      </c>
      <c r="R374" s="42"/>
      <c r="S374" s="86">
        <f t="shared" si="120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">
        <v>450</v>
      </c>
      <c r="B375" s="12" t="s">
        <v>120</v>
      </c>
      <c r="C375" s="30" t="s">
        <v>21</v>
      </c>
      <c r="D375" s="89"/>
      <c r="E375" s="114"/>
      <c r="F375" s="31">
        <v>0</v>
      </c>
      <c r="G375" s="91"/>
      <c r="H375" s="114"/>
      <c r="I375" s="31">
        <v>0</v>
      </c>
      <c r="J375" s="24"/>
      <c r="K375" s="114"/>
      <c r="L375" s="34">
        <v>0</v>
      </c>
      <c r="M375" s="24"/>
      <c r="N375" s="94">
        <f t="shared" si="119"/>
        <v>0</v>
      </c>
      <c r="O375" s="24"/>
      <c r="P375" s="114"/>
      <c r="Q375" s="34">
        <v>0</v>
      </c>
      <c r="R375" s="24"/>
      <c r="S375" s="95">
        <f t="shared" si="120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hidden="1" customHeight="1">
      <c r="A376" t="s">
        <v>455</v>
      </c>
      <c r="B376" s="12" t="s">
        <v>120</v>
      </c>
      <c r="C376" s="96" t="s">
        <v>50</v>
      </c>
      <c r="D376" s="97" t="s">
        <v>40</v>
      </c>
      <c r="E376" s="98">
        <f>IFERROR(F376/F$359,0)</f>
        <v>0</v>
      </c>
      <c r="F376" s="99">
        <f>+SUM(F364:F375)</f>
        <v>0</v>
      </c>
      <c r="G376" s="100" t="s">
        <v>40</v>
      </c>
      <c r="H376" s="98">
        <f>IFERROR(I376/I$359,0)</f>
        <v>0</v>
      </c>
      <c r="I376" s="99">
        <f>+SUM(I364:I375)</f>
        <v>0</v>
      </c>
      <c r="J376" s="100" t="s">
        <v>40</v>
      </c>
      <c r="K376" s="98">
        <f>IFERROR(L376/L$359,0)</f>
        <v>0</v>
      </c>
      <c r="L376" s="99">
        <f>+SUM(L364:L375)</f>
        <v>0</v>
      </c>
      <c r="M376" s="151"/>
      <c r="N376" s="116">
        <f t="shared" si="119"/>
        <v>0</v>
      </c>
      <c r="O376" s="100" t="s">
        <v>40</v>
      </c>
      <c r="P376" s="98">
        <f>IFERROR(Q376/Q$359,0)</f>
        <v>0</v>
      </c>
      <c r="Q376" s="99">
        <f>+SUM(Q364:Q375)</f>
        <v>0</v>
      </c>
      <c r="R376" s="151"/>
      <c r="S376" s="117">
        <f t="shared" si="120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hidden="1" customHeight="1">
      <c r="A377" t="s">
        <v>456</v>
      </c>
      <c r="B377" s="12" t="s">
        <v>120</v>
      </c>
      <c r="C377" s="214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f t="shared" si="119"/>
        <v>0</v>
      </c>
      <c r="O377" s="42"/>
      <c r="P377" s="14"/>
      <c r="Q377" s="34">
        <v>0</v>
      </c>
      <c r="R377" s="42"/>
      <c r="S377" s="86">
        <f t="shared" si="120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hidden="1" customHeight="1">
      <c r="A378" t="s">
        <v>457</v>
      </c>
      <c r="B378" s="12" t="s">
        <v>120</v>
      </c>
      <c r="C378" s="105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f t="shared" si="119"/>
        <v>0</v>
      </c>
      <c r="O378" s="42"/>
      <c r="P378" s="14"/>
      <c r="Q378" s="34">
        <v>0</v>
      </c>
      <c r="R378" s="42"/>
      <c r="S378" s="86">
        <f t="shared" si="120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hidden="1" customHeight="1">
      <c r="A379" t="s">
        <v>458</v>
      </c>
      <c r="B379" s="12" t="s">
        <v>120</v>
      </c>
      <c r="C379" s="106" t="s">
        <v>53</v>
      </c>
      <c r="D379" s="89"/>
      <c r="E379" s="114"/>
      <c r="F379" s="23">
        <v>0</v>
      </c>
      <c r="G379" s="91"/>
      <c r="H379" s="114"/>
      <c r="I379" s="23">
        <v>0</v>
      </c>
      <c r="J379" s="24"/>
      <c r="K379" s="114"/>
      <c r="L379" s="23">
        <v>0</v>
      </c>
      <c r="M379" s="24"/>
      <c r="N379" s="94">
        <f t="shared" si="119"/>
        <v>0</v>
      </c>
      <c r="O379" s="24"/>
      <c r="P379" s="114"/>
      <c r="Q379" s="23">
        <v>0</v>
      </c>
      <c r="R379" s="24"/>
      <c r="S379" s="95">
        <f t="shared" si="120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hidden="1" customHeight="1">
      <c r="A380" t="s">
        <v>459</v>
      </c>
      <c r="B380" s="12" t="s">
        <v>120</v>
      </c>
      <c r="C380" s="105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f t="shared" si="119"/>
        <v>0</v>
      </c>
      <c r="O380" s="42"/>
      <c r="P380" s="14"/>
      <c r="Q380" s="34">
        <v>0</v>
      </c>
      <c r="R380" s="42"/>
      <c r="S380" s="86">
        <f t="shared" si="120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hidden="1" customHeight="1">
      <c r="A381" t="s">
        <v>460</v>
      </c>
      <c r="B381" s="12" t="s">
        <v>120</v>
      </c>
      <c r="C381" s="105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f t="shared" si="119"/>
        <v>0</v>
      </c>
      <c r="O381" s="42"/>
      <c r="P381" s="14"/>
      <c r="Q381" s="34">
        <v>0</v>
      </c>
      <c r="R381" s="42"/>
      <c r="S381" s="86">
        <f t="shared" si="120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hidden="1" customHeight="1">
      <c r="A382" t="s">
        <v>461</v>
      </c>
      <c r="B382" s="12" t="s">
        <v>120</v>
      </c>
      <c r="C382" s="105" t="s">
        <v>56</v>
      </c>
      <c r="D382" s="89"/>
      <c r="E382" s="114"/>
      <c r="F382" s="23">
        <v>0</v>
      </c>
      <c r="G382" s="91"/>
      <c r="H382" s="114"/>
      <c r="I382" s="23">
        <v>0</v>
      </c>
      <c r="J382" s="24"/>
      <c r="K382" s="114"/>
      <c r="L382" s="23">
        <v>0</v>
      </c>
      <c r="M382" s="24"/>
      <c r="N382" s="94">
        <f t="shared" si="119"/>
        <v>0</v>
      </c>
      <c r="O382" s="24"/>
      <c r="P382" s="114"/>
      <c r="Q382" s="23">
        <v>0</v>
      </c>
      <c r="R382" s="24"/>
      <c r="S382" s="95">
        <f t="shared" si="120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hidden="1" customHeight="1">
      <c r="A383" t="s">
        <v>462</v>
      </c>
      <c r="B383" s="12" t="s">
        <v>120</v>
      </c>
      <c r="C383" s="214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f t="shared" si="119"/>
        <v>0</v>
      </c>
      <c r="O383" s="42"/>
      <c r="P383" s="14"/>
      <c r="Q383" s="34">
        <v>0</v>
      </c>
      <c r="R383" s="42"/>
      <c r="S383" s="86">
        <f t="shared" si="120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hidden="1" customHeight="1">
      <c r="A384" t="s">
        <v>463</v>
      </c>
      <c r="B384" s="12" t="s">
        <v>120</v>
      </c>
      <c r="C384" s="105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f t="shared" si="119"/>
        <v>0</v>
      </c>
      <c r="O384" s="42"/>
      <c r="P384" s="14"/>
      <c r="Q384" s="34">
        <v>0</v>
      </c>
      <c r="R384" s="42"/>
      <c r="S384" s="86">
        <f t="shared" si="120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hidden="1" customHeight="1">
      <c r="A385" t="s">
        <v>464</v>
      </c>
      <c r="B385" s="12" t="s">
        <v>120</v>
      </c>
      <c r="C385" s="105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f t="shared" si="119"/>
        <v>0</v>
      </c>
      <c r="O385" s="42"/>
      <c r="P385" s="14"/>
      <c r="Q385" s="34">
        <v>0</v>
      </c>
      <c r="R385" s="42"/>
      <c r="S385" s="86">
        <f t="shared" si="120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hidden="1" customHeight="1">
      <c r="A386" t="s">
        <v>465</v>
      </c>
      <c r="B386" s="12" t="s">
        <v>120</v>
      </c>
      <c r="C386" s="105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f t="shared" si="119"/>
        <v>0</v>
      </c>
      <c r="O386" s="42"/>
      <c r="P386" s="14"/>
      <c r="Q386" s="34">
        <v>0</v>
      </c>
      <c r="R386" s="42"/>
      <c r="S386" s="86">
        <f t="shared" si="120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hidden="1" customHeight="1">
      <c r="A387" t="s">
        <v>466</v>
      </c>
      <c r="B387" s="12" t="s">
        <v>120</v>
      </c>
      <c r="C387" s="105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f t="shared" si="119"/>
        <v>0</v>
      </c>
      <c r="O387" s="42"/>
      <c r="P387" s="14"/>
      <c r="Q387" s="34">
        <v>0</v>
      </c>
      <c r="R387" s="42"/>
      <c r="S387" s="86">
        <f t="shared" si="120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hidden="1" customHeight="1">
      <c r="A388" t="s">
        <v>467</v>
      </c>
      <c r="B388" s="12" t="s">
        <v>120</v>
      </c>
      <c r="C388" s="105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f t="shared" si="119"/>
        <v>0</v>
      </c>
      <c r="O388" s="42"/>
      <c r="P388" s="14"/>
      <c r="Q388" s="34">
        <v>0</v>
      </c>
      <c r="R388" s="42"/>
      <c r="S388" s="86">
        <f t="shared" si="120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hidden="1" customHeight="1">
      <c r="A389" t="s">
        <v>468</v>
      </c>
      <c r="B389" s="12" t="s">
        <v>120</v>
      </c>
      <c r="C389" s="105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f t="shared" si="119"/>
        <v>0</v>
      </c>
      <c r="O389" s="42"/>
      <c r="P389" s="14"/>
      <c r="Q389" s="34">
        <v>0</v>
      </c>
      <c r="R389" s="42"/>
      <c r="S389" s="86">
        <f t="shared" si="120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hidden="1" customHeight="1">
      <c r="A390" t="s">
        <v>469</v>
      </c>
      <c r="B390" s="12" t="s">
        <v>120</v>
      </c>
      <c r="C390" s="105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f t="shared" si="119"/>
        <v>0</v>
      </c>
      <c r="O390" s="42"/>
      <c r="P390" s="14"/>
      <c r="Q390" s="34">
        <v>0</v>
      </c>
      <c r="R390" s="42"/>
      <c r="S390" s="86">
        <f t="shared" si="120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">
        <v>450</v>
      </c>
      <c r="B391" s="12" t="s">
        <v>120</v>
      </c>
      <c r="C391" s="105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f t="shared" si="119"/>
        <v>0</v>
      </c>
      <c r="O391" s="42"/>
      <c r="P391" s="14"/>
      <c r="Q391" s="34">
        <v>0</v>
      </c>
      <c r="R391" s="42"/>
      <c r="S391" s="86">
        <f t="shared" si="120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">
        <v>450</v>
      </c>
      <c r="B392" s="12" t="s">
        <v>120</v>
      </c>
      <c r="C392" s="105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f t="shared" si="119"/>
        <v>0</v>
      </c>
      <c r="O392" s="42"/>
      <c r="P392" s="14"/>
      <c r="Q392" s="34">
        <v>0</v>
      </c>
      <c r="R392" s="42"/>
      <c r="S392" s="86">
        <f t="shared" si="120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">
        <v>450</v>
      </c>
      <c r="B393" s="12" t="s">
        <v>120</v>
      </c>
      <c r="C393" s="105" t="s">
        <v>21</v>
      </c>
      <c r="D393" s="89"/>
      <c r="E393" s="114"/>
      <c r="F393" s="31">
        <v>0</v>
      </c>
      <c r="G393" s="91"/>
      <c r="H393" s="114"/>
      <c r="I393" s="31">
        <v>0</v>
      </c>
      <c r="J393" s="24"/>
      <c r="K393" s="114"/>
      <c r="L393" s="34">
        <v>0</v>
      </c>
      <c r="M393" s="24"/>
      <c r="N393" s="94">
        <f t="shared" si="119"/>
        <v>0</v>
      </c>
      <c r="O393" s="24"/>
      <c r="P393" s="114"/>
      <c r="Q393" s="34">
        <v>0</v>
      </c>
      <c r="R393" s="24"/>
      <c r="S393" s="95">
        <f t="shared" si="120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hidden="1" customHeight="1">
      <c r="B394" s="7"/>
      <c r="C394" s="96" t="s">
        <v>65</v>
      </c>
      <c r="D394" s="97" t="s">
        <v>40</v>
      </c>
      <c r="E394" s="98">
        <f>IFERROR(F394/F$359,0)</f>
        <v>0</v>
      </c>
      <c r="F394" s="99">
        <f>+SUM(F377:F393)</f>
        <v>0</v>
      </c>
      <c r="G394" s="100" t="s">
        <v>40</v>
      </c>
      <c r="H394" s="98">
        <f>IFERROR(I394/I$359,0)</f>
        <v>0</v>
      </c>
      <c r="I394" s="99">
        <f>+SUM(I377:I393)</f>
        <v>0</v>
      </c>
      <c r="J394" s="100" t="s">
        <v>40</v>
      </c>
      <c r="K394" s="98">
        <f>IFERROR(L394/L$359,0)</f>
        <v>0</v>
      </c>
      <c r="L394" s="99">
        <f>+SUM(L377:L393)</f>
        <v>0</v>
      </c>
      <c r="M394" s="151"/>
      <c r="N394" s="99">
        <f>+SUM(N377:N393)</f>
        <v>0</v>
      </c>
      <c r="O394" s="100" t="s">
        <v>40</v>
      </c>
      <c r="P394" s="98">
        <f>IFERROR(Q394/Q$359,0)</f>
        <v>0</v>
      </c>
      <c r="Q394" s="99">
        <f>+SUM(Q377:Q393)</f>
        <v>0</v>
      </c>
      <c r="R394" s="151"/>
      <c r="S394" s="117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49"/>
      <c r="T395" s="250"/>
      <c r="U395" s="250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hidden="1" customHeight="1">
      <c r="B396" s="7"/>
      <c r="C396" s="96" t="s">
        <v>66</v>
      </c>
      <c r="D396" s="97" t="s">
        <v>40</v>
      </c>
      <c r="E396" s="98">
        <f>IFERROR(F396/F$359,0)</f>
        <v>0</v>
      </c>
      <c r="F396" s="99">
        <f>F376+F394</f>
        <v>0</v>
      </c>
      <c r="G396" s="100" t="s">
        <v>40</v>
      </c>
      <c r="H396" s="98">
        <f>IFERROR(I396/I$359,0)</f>
        <v>0</v>
      </c>
      <c r="I396" s="99">
        <f>I376+I394</f>
        <v>0</v>
      </c>
      <c r="J396" s="100" t="s">
        <v>40</v>
      </c>
      <c r="K396" s="98">
        <f>IFERROR(L396/L$359,0)</f>
        <v>0</v>
      </c>
      <c r="L396" s="99">
        <f>L376+L394</f>
        <v>0</v>
      </c>
      <c r="M396" s="251"/>
      <c r="N396" s="99">
        <f>L396-I396</f>
        <v>0</v>
      </c>
      <c r="O396" s="100" t="s">
        <v>40</v>
      </c>
      <c r="P396" s="98">
        <f>IFERROR(Q396/Q$359,0)</f>
        <v>0</v>
      </c>
      <c r="Q396" s="99">
        <f>Q376+Q394</f>
        <v>0</v>
      </c>
      <c r="R396" s="103"/>
      <c r="S396" s="104">
        <f>L396-Q396</f>
        <v>0</v>
      </c>
      <c r="T396" s="250"/>
      <c r="U396" s="250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49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hidden="1" customHeight="1">
      <c r="B398" s="7"/>
      <c r="C398" s="252" t="s">
        <v>73</v>
      </c>
      <c r="D398" s="253"/>
      <c r="E398" s="253"/>
      <c r="F398" s="254">
        <f>F361-F396</f>
        <v>0</v>
      </c>
      <c r="G398" s="255"/>
      <c r="H398" s="253"/>
      <c r="I398" s="254">
        <f>I361-I396</f>
        <v>0</v>
      </c>
      <c r="J398" s="256"/>
      <c r="K398" s="257"/>
      <c r="L398" s="254">
        <f>L361-L396</f>
        <v>0</v>
      </c>
      <c r="M398" s="255"/>
      <c r="N398" s="254">
        <f>L398-I398</f>
        <v>0</v>
      </c>
      <c r="O398" s="256"/>
      <c r="P398" s="257"/>
      <c r="Q398" s="254">
        <f>Q361-Q396</f>
        <v>0</v>
      </c>
      <c r="R398" s="256"/>
      <c r="S398" s="258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>
      <c r="B399" s="7"/>
      <c r="C399" s="77"/>
      <c r="D399" s="82"/>
      <c r="E399" s="14"/>
      <c r="F399" s="115"/>
      <c r="G399" s="82"/>
      <c r="H399" s="14"/>
      <c r="I399" s="115"/>
      <c r="J399" s="77"/>
      <c r="K399" s="77"/>
      <c r="L399" s="115"/>
      <c r="M399" s="77"/>
      <c r="N399" s="115"/>
      <c r="O399" s="77"/>
      <c r="P399" s="77"/>
      <c r="Q399" s="115"/>
      <c r="R399" s="77"/>
      <c r="S399" s="11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519" t="s">
        <v>470</v>
      </c>
      <c r="E401" s="520" t="s">
        <v>471</v>
      </c>
      <c r="F401" s="521"/>
      <c r="G401" s="521"/>
      <c r="H401" s="521"/>
      <c r="I401" s="521"/>
      <c r="V401" s="522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523" t="s">
        <v>122</v>
      </c>
      <c r="AF401" s="6"/>
      <c r="AG401" s="6"/>
      <c r="AH401" s="1"/>
      <c r="AI401" s="1"/>
      <c r="AJ401" s="259"/>
      <c r="AK401" s="2"/>
      <c r="AL401" s="1"/>
      <c r="AM401" s="6"/>
      <c r="AN401" s="6"/>
      <c r="AO401" s="524" t="str">
        <f>$S$1</f>
        <v>Réalisé, Août 2022</v>
      </c>
      <c r="AP401" s="250"/>
      <c r="AQ401" s="250"/>
      <c r="AR401" s="250"/>
      <c r="AS401" s="250"/>
      <c r="AT401" s="250"/>
      <c r="AU401" s="250"/>
      <c r="AV401" s="250"/>
      <c r="AW401" s="250"/>
      <c r="AX401" s="250"/>
      <c r="AY401" s="250"/>
      <c r="AZ401" s="250"/>
      <c r="BA401" s="250"/>
      <c r="BB401" s="250"/>
      <c r="BC401" s="250"/>
      <c r="BD401" s="250"/>
      <c r="BE401" s="250"/>
      <c r="BF401" s="250"/>
      <c r="BG401" s="250"/>
      <c r="BH401" s="250"/>
      <c r="BI401" s="250"/>
    </row>
    <row r="402" spans="1:61" ht="15.75" customHeight="1" thickBot="1">
      <c r="B402" s="7"/>
      <c r="C402" s="519" t="s">
        <v>470</v>
      </c>
      <c r="V402" s="26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0"/>
      <c r="AQ402" s="250"/>
      <c r="AR402" s="250"/>
      <c r="AS402" s="250"/>
      <c r="AT402" s="250"/>
      <c r="AU402" s="250"/>
      <c r="AV402" s="250"/>
      <c r="AW402" s="250"/>
      <c r="AX402" s="250"/>
      <c r="AY402" s="250"/>
      <c r="AZ402" s="250"/>
      <c r="BA402" s="250"/>
      <c r="BB402" s="250"/>
      <c r="BC402" s="250"/>
      <c r="BD402" s="250"/>
      <c r="BE402" s="250"/>
      <c r="BF402" s="250"/>
      <c r="BG402" s="250"/>
      <c r="BH402" s="250"/>
      <c r="BI402" s="250"/>
    </row>
    <row r="403" spans="1:61" ht="15.75" customHeight="1" thickTop="1" thickBot="1">
      <c r="A403" t="s">
        <v>472</v>
      </c>
      <c r="B403" s="7"/>
      <c r="C403" s="519" t="s">
        <v>470</v>
      </c>
      <c r="V403" s="261"/>
      <c r="W403" s="262"/>
      <c r="X403" s="571" t="s">
        <v>123</v>
      </c>
      <c r="Y403" s="569"/>
      <c r="Z403" s="572"/>
      <c r="AA403" s="568" t="s">
        <v>75</v>
      </c>
      <c r="AB403" s="569"/>
      <c r="AC403" s="572"/>
      <c r="AD403" s="568" t="s">
        <v>7</v>
      </c>
      <c r="AE403" s="569"/>
      <c r="AF403" s="572"/>
      <c r="AG403" s="568" t="s">
        <v>124</v>
      </c>
      <c r="AH403" s="569"/>
      <c r="AI403" s="572"/>
      <c r="AJ403" s="568" t="s">
        <v>125</v>
      </c>
      <c r="AK403" s="569"/>
      <c r="AL403" s="569"/>
      <c r="AM403" s="568" t="s">
        <v>126</v>
      </c>
      <c r="AN403" s="569"/>
      <c r="AO403" s="570"/>
      <c r="AP403" s="250"/>
      <c r="AQ403" s="250"/>
      <c r="AR403" s="250"/>
      <c r="AS403" s="250"/>
      <c r="AT403" s="250"/>
      <c r="AU403" s="250"/>
      <c r="AV403" s="250"/>
      <c r="AW403" s="250"/>
      <c r="AX403" s="250"/>
      <c r="AY403" s="250"/>
      <c r="AZ403" s="250"/>
      <c r="BA403" s="250"/>
      <c r="BB403" s="250"/>
      <c r="BC403" s="250"/>
      <c r="BD403" s="250"/>
      <c r="BE403" s="250"/>
      <c r="BF403" s="250"/>
      <c r="BG403" s="250"/>
      <c r="BH403" s="250"/>
      <c r="BI403" s="250"/>
    </row>
    <row r="404" spans="1:61" ht="15.75" customHeight="1">
      <c r="A404" t="s">
        <v>472</v>
      </c>
      <c r="B404" s="7"/>
      <c r="C404" s="519" t="s">
        <v>470</v>
      </c>
      <c r="V404" s="88"/>
      <c r="W404" s="263" t="s">
        <v>127</v>
      </c>
      <c r="X404" s="263" t="s">
        <v>128</v>
      </c>
      <c r="Y404" s="263" t="s">
        <v>129</v>
      </c>
      <c r="Z404" s="264" t="s">
        <v>130</v>
      </c>
      <c r="AA404" s="263" t="s">
        <v>128</v>
      </c>
      <c r="AB404" s="263" t="s">
        <v>129</v>
      </c>
      <c r="AC404" s="264" t="s">
        <v>130</v>
      </c>
      <c r="AD404" s="265" t="s">
        <v>128</v>
      </c>
      <c r="AE404" s="263" t="s">
        <v>129</v>
      </c>
      <c r="AF404" s="263" t="s">
        <v>130</v>
      </c>
      <c r="AG404" s="265" t="s">
        <v>131</v>
      </c>
      <c r="AH404" s="263" t="s">
        <v>132</v>
      </c>
      <c r="AI404" s="263" t="s">
        <v>133</v>
      </c>
      <c r="AJ404" s="265" t="s">
        <v>128</v>
      </c>
      <c r="AK404" s="263" t="s">
        <v>129</v>
      </c>
      <c r="AL404" s="263" t="s">
        <v>130</v>
      </c>
      <c r="AM404" s="266" t="s">
        <v>131</v>
      </c>
      <c r="AN404" s="263" t="s">
        <v>132</v>
      </c>
      <c r="AO404" s="142" t="s">
        <v>133</v>
      </c>
      <c r="AP404" s="250"/>
      <c r="AQ404" s="250"/>
      <c r="AR404" s="250"/>
      <c r="AS404" s="250"/>
      <c r="AT404" s="250"/>
      <c r="AU404" s="250"/>
      <c r="AV404" s="250"/>
      <c r="AW404" s="250"/>
      <c r="AX404" s="250"/>
      <c r="AY404" s="250"/>
      <c r="AZ404" s="250"/>
      <c r="BA404" s="250"/>
      <c r="BB404" s="250"/>
      <c r="BC404" s="250"/>
      <c r="BD404" s="250"/>
      <c r="BE404" s="250"/>
      <c r="BF404" s="250"/>
      <c r="BG404" s="250"/>
      <c r="BH404" s="250"/>
      <c r="BI404" s="250"/>
    </row>
    <row r="405" spans="1:61" ht="15.75" customHeight="1">
      <c r="A405" t="s">
        <v>16</v>
      </c>
      <c r="B405" s="7"/>
      <c r="C405" s="519" t="s">
        <v>470</v>
      </c>
      <c r="V405" s="106" t="s">
        <v>16</v>
      </c>
      <c r="W405" s="267"/>
      <c r="X405" s="267"/>
      <c r="Y405" s="267"/>
      <c r="Z405" s="268">
        <f>F5+F93+E193+E249+D313+D361</f>
        <v>5291083.2460958883</v>
      </c>
      <c r="AA405" s="267"/>
      <c r="AB405" s="267"/>
      <c r="AC405" s="268">
        <f>I5+I93+H193+H249+G313+G361</f>
        <v>5291083.2460958883</v>
      </c>
      <c r="AD405" s="269"/>
      <c r="AE405" s="270"/>
      <c r="AF405" s="270">
        <f>L5+L93+K193+K249+J313+J361</f>
        <v>6093583.4700000007</v>
      </c>
      <c r="AG405" s="269"/>
      <c r="AH405" s="270"/>
      <c r="AI405" s="271"/>
      <c r="AJ405" s="269"/>
      <c r="AK405" s="270"/>
      <c r="AL405" s="270">
        <f>Q5+Q93+P193+P249+O313+O361</f>
        <v>5251946.54</v>
      </c>
      <c r="AM405" s="272"/>
      <c r="AN405" s="270"/>
      <c r="AO405" s="273"/>
      <c r="AP405" s="250"/>
      <c r="AQ405" s="250"/>
      <c r="AR405" s="250"/>
      <c r="AS405" s="250"/>
      <c r="AT405" s="250"/>
      <c r="AU405" s="250"/>
      <c r="AV405" s="250"/>
      <c r="AW405" s="250"/>
      <c r="AX405" s="250"/>
      <c r="AY405" s="250"/>
      <c r="AZ405" s="250"/>
      <c r="BA405" s="250"/>
      <c r="BB405" s="250"/>
      <c r="BC405" s="250"/>
      <c r="BD405" s="250"/>
      <c r="BE405" s="250"/>
      <c r="BF405" s="250"/>
      <c r="BG405" s="250"/>
      <c r="BH405" s="250"/>
      <c r="BI405" s="250"/>
    </row>
    <row r="406" spans="1:61" ht="15.75" customHeight="1">
      <c r="A406" t="s">
        <v>134</v>
      </c>
      <c r="B406" s="7"/>
      <c r="C406" s="519" t="s">
        <v>470</v>
      </c>
      <c r="V406" s="274" t="s">
        <v>134</v>
      </c>
      <c r="W406" s="275"/>
      <c r="X406" s="275"/>
      <c r="Y406" s="275"/>
      <c r="Z406" s="276">
        <f>F27+F107+F193+F249+F313+F361</f>
        <v>666529.57667616615</v>
      </c>
      <c r="AA406" s="275"/>
      <c r="AB406" s="275"/>
      <c r="AC406" s="276">
        <f>I27+I107+I193+I249+I313+I361</f>
        <v>666529.57667616615</v>
      </c>
      <c r="AD406" s="277"/>
      <c r="AE406" s="278"/>
      <c r="AF406" s="278">
        <f>L27+L107+L193+L249+L313+L361</f>
        <v>776873.9299999997</v>
      </c>
      <c r="AG406" s="277"/>
      <c r="AH406" s="278">
        <f>AF406-AC406</f>
        <v>110344.35332383355</v>
      </c>
      <c r="AI406" s="279">
        <f>AH406/AC406</f>
        <v>0.16555057297546516</v>
      </c>
      <c r="AJ406" s="277"/>
      <c r="AK406" s="278"/>
      <c r="AL406" s="278">
        <f>Q27+Q107+Q193+Q249+Q313+Q361</f>
        <v>571949.9800000001</v>
      </c>
      <c r="AM406" s="280"/>
      <c r="AN406" s="278">
        <f>AF406-AL406</f>
        <v>204923.9499999996</v>
      </c>
      <c r="AO406" s="281">
        <f>IF(AL406=0,0,AN406/AL406)</f>
        <v>0.35828998542844526</v>
      </c>
      <c r="AP406" s="250"/>
      <c r="AQ406" s="250"/>
      <c r="AR406" s="250"/>
      <c r="AS406" s="250"/>
      <c r="AT406" s="250"/>
      <c r="AU406" s="250"/>
      <c r="AV406" s="250"/>
      <c r="AW406" s="250"/>
      <c r="AX406" s="250"/>
      <c r="AY406" s="250"/>
      <c r="AZ406" s="250"/>
      <c r="BA406" s="250"/>
      <c r="BB406" s="250"/>
      <c r="BC406" s="250"/>
      <c r="BD406" s="250"/>
      <c r="BE406" s="250"/>
      <c r="BF406" s="250"/>
      <c r="BG406" s="250"/>
      <c r="BH406" s="250"/>
      <c r="BI406" s="250"/>
    </row>
    <row r="407" spans="1:61" ht="15.75" customHeight="1">
      <c r="A407" t="s">
        <v>135</v>
      </c>
      <c r="B407" s="7"/>
      <c r="C407" s="519" t="s">
        <v>470</v>
      </c>
      <c r="V407" s="282" t="s">
        <v>135</v>
      </c>
      <c r="W407" s="283"/>
      <c r="X407" s="283"/>
      <c r="Y407" s="283"/>
      <c r="Z407" s="284"/>
      <c r="AA407" s="283"/>
      <c r="AB407" s="283"/>
      <c r="AC407" s="284"/>
      <c r="AD407" s="285"/>
      <c r="AE407" s="283"/>
      <c r="AF407" s="286"/>
      <c r="AG407" s="285"/>
      <c r="AH407" s="286"/>
      <c r="AI407" s="287"/>
      <c r="AJ407" s="285"/>
      <c r="AK407" s="283"/>
      <c r="AL407" s="286"/>
      <c r="AM407" s="288"/>
      <c r="AN407" s="286"/>
      <c r="AO407" s="289"/>
      <c r="AP407" s="250"/>
      <c r="AQ407" s="250"/>
      <c r="AR407" s="250"/>
      <c r="AS407" s="250"/>
      <c r="AT407" s="250"/>
      <c r="AU407" s="250"/>
      <c r="AV407" s="250"/>
      <c r="AW407" s="250"/>
      <c r="AX407" s="250"/>
      <c r="AY407" s="250"/>
      <c r="AZ407" s="250"/>
      <c r="BA407" s="250"/>
      <c r="BB407" s="250"/>
      <c r="BC407" s="250"/>
      <c r="BD407" s="250"/>
      <c r="BE407" s="250"/>
      <c r="BF407" s="250"/>
      <c r="BG407" s="250"/>
      <c r="BH407" s="250"/>
      <c r="BI407" s="250"/>
    </row>
    <row r="408" spans="1:61" ht="15.75" customHeight="1">
      <c r="A408" t="s">
        <v>32</v>
      </c>
      <c r="B408" s="7"/>
      <c r="C408" s="519" t="s">
        <v>470</v>
      </c>
      <c r="V408" s="494" t="s">
        <v>32</v>
      </c>
      <c r="W408" s="290" t="s">
        <v>136</v>
      </c>
      <c r="X408" s="283"/>
      <c r="Y408" s="291">
        <f t="shared" ref="Y408:Y417" si="121">Z408/(D$13+D$96)</f>
        <v>606.91926758612487</v>
      </c>
      <c r="Z408" s="284">
        <f t="shared" ref="Z408:Z414" si="122">+SUMIF($C:$C,$V408,F:F)</f>
        <v>70467.898916782142</v>
      </c>
      <c r="AA408" s="283"/>
      <c r="AB408" s="291">
        <f t="shared" ref="AB408:AB417" si="123">IF(AC408=0,0,AC408/(G$13+G$96))</f>
        <v>606.91926758612487</v>
      </c>
      <c r="AC408" s="284">
        <f t="shared" ref="AC408:AC414" si="124">+SUMIF($C:$C,$V408,I:I)</f>
        <v>70467.898916782142</v>
      </c>
      <c r="AD408" s="292"/>
      <c r="AE408" s="291">
        <f t="shared" ref="AE408:AE413" si="125">IF(AF408=0,0,AF408/(J$13+J$96))</f>
        <v>695.44870370370381</v>
      </c>
      <c r="AF408" s="284">
        <f t="shared" ref="AF408:AF414" si="126">+SUMIF($C:$C,$V408,L:L)</f>
        <v>75108.460000000006</v>
      </c>
      <c r="AG408" s="285">
        <f t="shared" ref="AG408:AH417" si="127">AE408-AB408</f>
        <v>88.529436117578939</v>
      </c>
      <c r="AH408" s="286">
        <f t="shared" si="127"/>
        <v>4640.5610832178645</v>
      </c>
      <c r="AI408" s="287">
        <f>IF(AC408=0,0,AH408/AC408)</f>
        <v>6.5853546856818532E-2</v>
      </c>
      <c r="AJ408" s="292"/>
      <c r="AK408" s="286">
        <f t="shared" ref="AK408:AK417" si="128">AL408/(O$13+O$96)</f>
        <v>653.22058823529414</v>
      </c>
      <c r="AL408" s="284">
        <f t="shared" ref="AL408:AL414" si="129">+SUMIF($C:$C,$V408,Q:Q)</f>
        <v>66628.5</v>
      </c>
      <c r="AM408" s="288">
        <f t="shared" ref="AM408:AM417" si="130">AE408-Y408</f>
        <v>88.529436117578939</v>
      </c>
      <c r="AN408" s="286">
        <f t="shared" ref="AN408:AN430" si="131">AF408-AL408</f>
        <v>8479.9600000000064</v>
      </c>
      <c r="AO408" s="293">
        <f>IF(AL408=0,0,AN408/AL408)</f>
        <v>0.12727226337077988</v>
      </c>
      <c r="AP408" s="250"/>
      <c r="AQ408" s="250"/>
      <c r="AR408" s="7"/>
      <c r="AS408" s="250"/>
      <c r="AT408" s="250"/>
      <c r="AU408" s="250"/>
      <c r="AV408" s="250"/>
      <c r="AW408" s="250"/>
      <c r="AX408" s="250"/>
      <c r="AY408" s="250"/>
      <c r="AZ408" s="250"/>
      <c r="BA408" s="250"/>
      <c r="BB408" s="250"/>
      <c r="BC408" s="250"/>
      <c r="BD408" s="250"/>
      <c r="BE408" s="250"/>
      <c r="BF408" s="250"/>
      <c r="BG408" s="250"/>
      <c r="BH408" s="250"/>
      <c r="BI408" s="250"/>
    </row>
    <row r="409" spans="1:61" ht="15.75" customHeight="1">
      <c r="A409" t="s">
        <v>33</v>
      </c>
      <c r="B409" s="7"/>
      <c r="C409" s="519" t="s">
        <v>470</v>
      </c>
      <c r="V409" s="106" t="s">
        <v>33</v>
      </c>
      <c r="W409" s="294" t="s">
        <v>137</v>
      </c>
      <c r="X409" s="267"/>
      <c r="Y409" s="295">
        <f t="shared" si="121"/>
        <v>379.65781686311249</v>
      </c>
      <c r="Z409" s="268">
        <f t="shared" si="122"/>
        <v>44081.132517150676</v>
      </c>
      <c r="AA409" s="267"/>
      <c r="AB409" s="295">
        <f t="shared" si="123"/>
        <v>379.65781686311249</v>
      </c>
      <c r="AC409" s="268">
        <f t="shared" si="124"/>
        <v>44081.132517150676</v>
      </c>
      <c r="AD409" s="296"/>
      <c r="AE409" s="295">
        <f t="shared" si="125"/>
        <v>509.60842592592593</v>
      </c>
      <c r="AF409" s="268">
        <f t="shared" si="126"/>
        <v>55037.71</v>
      </c>
      <c r="AG409" s="269">
        <f t="shared" si="127"/>
        <v>129.95060906281344</v>
      </c>
      <c r="AH409" s="270">
        <f t="shared" si="127"/>
        <v>10956.577482849323</v>
      </c>
      <c r="AI409" s="297">
        <f t="shared" ref="AI409:AI417" si="132">IF(AC409=0,0,AH409/AC409)</f>
        <v>0.24855480921653816</v>
      </c>
      <c r="AJ409" s="296"/>
      <c r="AK409" s="270">
        <f t="shared" si="128"/>
        <v>399.15980392156865</v>
      </c>
      <c r="AL409" s="268">
        <f t="shared" si="129"/>
        <v>40714.300000000003</v>
      </c>
      <c r="AM409" s="272">
        <f t="shared" si="130"/>
        <v>129.95060906281344</v>
      </c>
      <c r="AN409" s="270">
        <f t="shared" si="131"/>
        <v>14323.409999999996</v>
      </c>
      <c r="AO409" s="298">
        <f t="shared" ref="AO409:AO417" si="133">IF(AL409=0,0,AN409/AL409)</f>
        <v>0.35180292919195455</v>
      </c>
      <c r="AP409" s="250"/>
      <c r="AQ409" s="250"/>
      <c r="AR409" s="14"/>
      <c r="AS409" s="250"/>
      <c r="AT409" s="250"/>
      <c r="AU409" s="250"/>
      <c r="AV409" s="250"/>
      <c r="AW409" s="250"/>
      <c r="AX409" s="250"/>
      <c r="AY409" s="250"/>
      <c r="AZ409" s="250"/>
      <c r="BA409" s="250"/>
      <c r="BB409" s="250"/>
      <c r="BC409" s="250"/>
      <c r="BD409" s="250"/>
      <c r="BE409" s="250"/>
      <c r="BF409" s="250"/>
      <c r="BG409" s="250"/>
      <c r="BH409" s="250"/>
      <c r="BI409" s="250"/>
    </row>
    <row r="410" spans="1:61" ht="15.75" customHeight="1">
      <c r="A410" t="s">
        <v>34</v>
      </c>
      <c r="B410" s="7"/>
      <c r="C410" s="519" t="s">
        <v>470</v>
      </c>
      <c r="V410" s="494" t="s">
        <v>34</v>
      </c>
      <c r="W410" s="290" t="s">
        <v>138</v>
      </c>
      <c r="X410" s="283"/>
      <c r="Y410" s="291">
        <f t="shared" si="121"/>
        <v>142.20623434891436</v>
      </c>
      <c r="Z410" s="284">
        <f t="shared" si="122"/>
        <v>16511.215053843229</v>
      </c>
      <c r="AA410" s="283"/>
      <c r="AB410" s="291">
        <f t="shared" si="123"/>
        <v>142.20623434891436</v>
      </c>
      <c r="AC410" s="284">
        <f t="shared" si="124"/>
        <v>16511.215053843229</v>
      </c>
      <c r="AD410" s="292"/>
      <c r="AE410" s="291">
        <f t="shared" si="125"/>
        <v>19.830092592592592</v>
      </c>
      <c r="AF410" s="284">
        <f t="shared" si="126"/>
        <v>2141.65</v>
      </c>
      <c r="AG410" s="285">
        <f t="shared" si="127"/>
        <v>-122.37614175632177</v>
      </c>
      <c r="AH410" s="286">
        <f t="shared" si="127"/>
        <v>-14369.565053843229</v>
      </c>
      <c r="AI410" s="287">
        <f t="shared" si="132"/>
        <v>-0.87029119340908234</v>
      </c>
      <c r="AJ410" s="292"/>
      <c r="AK410" s="286">
        <f t="shared" si="128"/>
        <v>134.26852941176469</v>
      </c>
      <c r="AL410" s="284">
        <f t="shared" si="129"/>
        <v>13695.39</v>
      </c>
      <c r="AM410" s="288">
        <f t="shared" si="130"/>
        <v>-122.37614175632177</v>
      </c>
      <c r="AN410" s="286">
        <f t="shared" si="131"/>
        <v>-11553.74</v>
      </c>
      <c r="AO410" s="293">
        <f t="shared" si="133"/>
        <v>-0.8436225620446004</v>
      </c>
      <c r="AP410" s="250"/>
      <c r="AQ410" s="250"/>
      <c r="AR410" s="14"/>
      <c r="AS410" s="250"/>
      <c r="AT410" s="250"/>
      <c r="AU410" s="250"/>
      <c r="AV410" s="250"/>
      <c r="AW410" s="250"/>
      <c r="AX410" s="250"/>
      <c r="AY410" s="250"/>
      <c r="AZ410" s="250"/>
      <c r="BA410" s="250"/>
      <c r="BB410" s="250"/>
      <c r="BC410" s="250"/>
      <c r="BD410" s="250"/>
      <c r="BE410" s="250"/>
      <c r="BF410" s="250"/>
      <c r="BG410" s="250"/>
      <c r="BH410" s="250"/>
      <c r="BI410" s="250"/>
    </row>
    <row r="411" spans="1:61" ht="15.75" customHeight="1">
      <c r="A411" t="s">
        <v>35</v>
      </c>
      <c r="B411" s="7"/>
      <c r="C411" s="519" t="s">
        <v>470</v>
      </c>
      <c r="V411" s="494" t="s">
        <v>35</v>
      </c>
      <c r="W411" s="290" t="s">
        <v>139</v>
      </c>
      <c r="X411" s="283"/>
      <c r="Y411" s="291">
        <f t="shared" si="121"/>
        <v>17.301482383538922</v>
      </c>
      <c r="Z411" s="284">
        <f t="shared" si="122"/>
        <v>2008.8324375707803</v>
      </c>
      <c r="AA411" s="283"/>
      <c r="AB411" s="291">
        <f t="shared" si="123"/>
        <v>17.301482383538922</v>
      </c>
      <c r="AC411" s="284">
        <f t="shared" si="124"/>
        <v>2008.8324375707803</v>
      </c>
      <c r="AD411" s="292"/>
      <c r="AE411" s="291">
        <f t="shared" si="125"/>
        <v>1.4412037037037038</v>
      </c>
      <c r="AF411" s="284">
        <f t="shared" si="126"/>
        <v>155.65</v>
      </c>
      <c r="AG411" s="285">
        <f t="shared" si="127"/>
        <v>-15.860278679835218</v>
      </c>
      <c r="AH411" s="286">
        <f t="shared" si="127"/>
        <v>-1853.1824375707802</v>
      </c>
      <c r="AI411" s="287">
        <f t="shared" si="132"/>
        <v>-0.92251718108045744</v>
      </c>
      <c r="AJ411" s="292"/>
      <c r="AK411" s="286">
        <f t="shared" si="128"/>
        <v>-2.1302941176470598</v>
      </c>
      <c r="AL411" s="284">
        <f t="shared" si="129"/>
        <v>-217.29000000000008</v>
      </c>
      <c r="AM411" s="288">
        <f t="shared" si="130"/>
        <v>-15.860278679835218</v>
      </c>
      <c r="AN411" s="286">
        <f t="shared" si="131"/>
        <v>372.94000000000005</v>
      </c>
      <c r="AO411" s="299">
        <f t="shared" si="133"/>
        <v>-1.7163238068940123</v>
      </c>
      <c r="AP411" s="250"/>
      <c r="AQ411" s="250"/>
      <c r="AR411" s="14"/>
      <c r="AS411" s="250"/>
      <c r="AT411" s="250"/>
      <c r="AU411" s="250"/>
      <c r="AV411" s="250"/>
      <c r="AW411" s="250"/>
      <c r="AX411" s="250"/>
      <c r="AY411" s="250"/>
      <c r="AZ411" s="250"/>
      <c r="BA411" s="250"/>
      <c r="BB411" s="250"/>
      <c r="BC411" s="250"/>
      <c r="BD411" s="250"/>
      <c r="BE411" s="250"/>
      <c r="BF411" s="250"/>
      <c r="BG411" s="250"/>
      <c r="BH411" s="250"/>
      <c r="BI411" s="250"/>
    </row>
    <row r="412" spans="1:61" ht="15.75" customHeight="1">
      <c r="A412" t="s">
        <v>36</v>
      </c>
      <c r="B412" s="7"/>
      <c r="C412" s="519" t="s">
        <v>470</v>
      </c>
      <c r="V412" s="106" t="s">
        <v>36</v>
      </c>
      <c r="W412" s="294"/>
      <c r="X412" s="267"/>
      <c r="Y412" s="295">
        <f t="shared" si="121"/>
        <v>44.533493609676803</v>
      </c>
      <c r="Z412" s="268">
        <f t="shared" si="122"/>
        <v>5170.674080885964</v>
      </c>
      <c r="AA412" s="267"/>
      <c r="AB412" s="295">
        <f t="shared" si="123"/>
        <v>44.533493609676803</v>
      </c>
      <c r="AC412" s="268">
        <f t="shared" si="124"/>
        <v>5170.674080885964</v>
      </c>
      <c r="AD412" s="296"/>
      <c r="AE412" s="295">
        <f t="shared" si="125"/>
        <v>96.978796296296295</v>
      </c>
      <c r="AF412" s="268">
        <f t="shared" si="126"/>
        <v>10473.709999999999</v>
      </c>
      <c r="AG412" s="269">
        <f t="shared" si="127"/>
        <v>52.445302686619492</v>
      </c>
      <c r="AH412" s="270">
        <f t="shared" si="127"/>
        <v>5303.0359191140351</v>
      </c>
      <c r="AI412" s="297">
        <f t="shared" si="132"/>
        <v>1.0255985653238835</v>
      </c>
      <c r="AJ412" s="296"/>
      <c r="AK412" s="270">
        <f t="shared" si="128"/>
        <v>55.884411764705881</v>
      </c>
      <c r="AL412" s="268">
        <f t="shared" si="129"/>
        <v>5700.21</v>
      </c>
      <c r="AM412" s="272">
        <f t="shared" si="130"/>
        <v>52.445302686619492</v>
      </c>
      <c r="AN412" s="270">
        <f t="shared" si="131"/>
        <v>4773.4999999999991</v>
      </c>
      <c r="AO412" s="298">
        <f t="shared" si="133"/>
        <v>0.83742528784027237</v>
      </c>
      <c r="AP412" s="250"/>
      <c r="AQ412" s="250"/>
      <c r="AR412" s="14"/>
      <c r="AS412" s="250"/>
      <c r="AT412" s="250"/>
      <c r="AU412" s="250"/>
      <c r="AV412" s="250"/>
      <c r="AW412" s="250"/>
      <c r="AX412" s="250"/>
      <c r="AY412" s="250"/>
      <c r="AZ412" s="250"/>
      <c r="BA412" s="250"/>
      <c r="BB412" s="250"/>
      <c r="BC412" s="250"/>
      <c r="BD412" s="250"/>
      <c r="BE412" s="250"/>
      <c r="BF412" s="250"/>
      <c r="BG412" s="250"/>
      <c r="BH412" s="250"/>
      <c r="BI412" s="250"/>
    </row>
    <row r="413" spans="1:61" ht="15.75" customHeight="1">
      <c r="A413" t="s">
        <v>37</v>
      </c>
      <c r="B413" s="7"/>
      <c r="C413" s="519" t="s">
        <v>470</v>
      </c>
      <c r="V413" s="494" t="s">
        <v>37</v>
      </c>
      <c r="W413" s="290" t="s">
        <v>140</v>
      </c>
      <c r="X413" s="287"/>
      <c r="Y413" s="291">
        <f t="shared" si="121"/>
        <v>151.92160901540421</v>
      </c>
      <c r="Z413" s="284">
        <f t="shared" si="122"/>
        <v>17639.243238975316</v>
      </c>
      <c r="AA413" s="287"/>
      <c r="AB413" s="291">
        <f t="shared" si="123"/>
        <v>151.92160901540421</v>
      </c>
      <c r="AC413" s="284">
        <f t="shared" si="124"/>
        <v>17639.243238975316</v>
      </c>
      <c r="AD413" s="292"/>
      <c r="AE413" s="291">
        <f t="shared" si="125"/>
        <v>101.09981481481481</v>
      </c>
      <c r="AF413" s="284">
        <f t="shared" si="126"/>
        <v>10918.779999999999</v>
      </c>
      <c r="AG413" s="285">
        <f t="shared" si="127"/>
        <v>-50.821794200589409</v>
      </c>
      <c r="AH413" s="286">
        <f t="shared" si="127"/>
        <v>-6720.4632389753169</v>
      </c>
      <c r="AI413" s="287">
        <f t="shared" si="132"/>
        <v>-0.38099498645871138</v>
      </c>
      <c r="AJ413" s="292"/>
      <c r="AK413" s="286">
        <f t="shared" si="128"/>
        <v>143.99725490196076</v>
      </c>
      <c r="AL413" s="284">
        <f t="shared" si="129"/>
        <v>14687.719999999998</v>
      </c>
      <c r="AM413" s="288">
        <f t="shared" si="130"/>
        <v>-50.821794200589409</v>
      </c>
      <c r="AN413" s="286">
        <f t="shared" si="131"/>
        <v>-3768.9399999999987</v>
      </c>
      <c r="AO413" s="293">
        <f t="shared" si="133"/>
        <v>-0.25660483723818261</v>
      </c>
      <c r="AP413" s="250"/>
      <c r="AQ413" s="250"/>
      <c r="AR413" s="14"/>
      <c r="AS413" s="250"/>
      <c r="AT413" s="250"/>
      <c r="AU413" s="250"/>
      <c r="AV413" s="250"/>
      <c r="AW413" s="250"/>
      <c r="AX413" s="250"/>
      <c r="AY413" s="250"/>
      <c r="AZ413" s="250"/>
      <c r="BA413" s="250"/>
      <c r="BB413" s="250"/>
      <c r="BC413" s="250"/>
      <c r="BD413" s="250"/>
      <c r="BE413" s="250"/>
      <c r="BF413" s="250"/>
      <c r="BG413" s="250"/>
      <c r="BH413" s="250"/>
      <c r="BI413" s="250"/>
    </row>
    <row r="414" spans="1:61" ht="15.75" customHeight="1">
      <c r="A414" t="s">
        <v>38</v>
      </c>
      <c r="B414" s="7"/>
      <c r="C414" s="519" t="s">
        <v>470</v>
      </c>
      <c r="V414" s="494" t="s">
        <v>38</v>
      </c>
      <c r="W414" s="290" t="s">
        <v>141</v>
      </c>
      <c r="X414" s="283"/>
      <c r="Y414" s="291">
        <f t="shared" si="121"/>
        <v>73.821579645014324</v>
      </c>
      <c r="Z414" s="284">
        <f t="shared" si="122"/>
        <v>8571.2414980528774</v>
      </c>
      <c r="AA414" s="283"/>
      <c r="AB414" s="291">
        <f t="shared" si="123"/>
        <v>73.821579645014324</v>
      </c>
      <c r="AC414" s="284">
        <f t="shared" si="124"/>
        <v>8571.2414980528774</v>
      </c>
      <c r="AD414" s="292"/>
      <c r="AE414" s="291">
        <f>IF(AF414=0,0,AF414/(J$13+J$13))</f>
        <v>53.792676056338024</v>
      </c>
      <c r="AF414" s="284">
        <f t="shared" si="126"/>
        <v>7638.5599999999995</v>
      </c>
      <c r="AG414" s="285">
        <f t="shared" si="127"/>
        <v>-20.0289035886763</v>
      </c>
      <c r="AH414" s="286">
        <f t="shared" si="127"/>
        <v>-932.68149805287794</v>
      </c>
      <c r="AI414" s="287">
        <f t="shared" si="132"/>
        <v>-0.10881521635631834</v>
      </c>
      <c r="AJ414" s="292"/>
      <c r="AK414" s="286">
        <f t="shared" si="128"/>
        <v>120.13156862745097</v>
      </c>
      <c r="AL414" s="284">
        <f t="shared" si="129"/>
        <v>12253.42</v>
      </c>
      <c r="AM414" s="288">
        <f t="shared" si="130"/>
        <v>-20.0289035886763</v>
      </c>
      <c r="AN414" s="286">
        <f t="shared" si="131"/>
        <v>-4614.8600000000006</v>
      </c>
      <c r="AO414" s="293">
        <f t="shared" si="133"/>
        <v>-0.37661811967597625</v>
      </c>
      <c r="AP414" s="250"/>
      <c r="AQ414" s="250"/>
      <c r="AR414" s="14"/>
      <c r="AS414" s="250"/>
      <c r="AT414" s="250"/>
      <c r="AU414" s="250"/>
      <c r="AV414" s="250"/>
      <c r="AW414" s="250"/>
      <c r="AX414" s="250"/>
      <c r="AY414" s="250"/>
      <c r="AZ414" s="250"/>
      <c r="BA414" s="250"/>
      <c r="BB414" s="250"/>
      <c r="BC414" s="250"/>
      <c r="BD414" s="250"/>
      <c r="BE414" s="250"/>
      <c r="BF414" s="250"/>
      <c r="BG414" s="250"/>
      <c r="BH414" s="250"/>
      <c r="BI414" s="250"/>
    </row>
    <row r="415" spans="1:61" ht="15.75" hidden="1" customHeight="1">
      <c r="A415" t="s">
        <v>21</v>
      </c>
      <c r="B415" s="7"/>
      <c r="C415" s="519" t="s">
        <v>470</v>
      </c>
      <c r="V415" s="494" t="s">
        <v>21</v>
      </c>
      <c r="W415" s="290"/>
      <c r="X415" s="287"/>
      <c r="Y415" s="291">
        <f t="shared" si="121"/>
        <v>0</v>
      </c>
      <c r="Z415" s="284">
        <f>IFERROR(SUMIF($C:$C,$V415,F:F),0)</f>
        <v>0</v>
      </c>
      <c r="AA415" s="283"/>
      <c r="AB415" s="291">
        <f t="shared" si="123"/>
        <v>0</v>
      </c>
      <c r="AC415" s="284">
        <f>IFERROR(SUMIF($C:$C,$V415,I:I),0)</f>
        <v>0</v>
      </c>
      <c r="AD415" s="292"/>
      <c r="AE415" s="291">
        <f t="shared" ref="AE415:AE417" si="134">IF(AF415=0,0,AF415/(J$13+J$13))</f>
        <v>0</v>
      </c>
      <c r="AF415" s="284">
        <f>IFERROR(SUMIF($C:$C,$V415,L:L),0)</f>
        <v>0</v>
      </c>
      <c r="AG415" s="285">
        <f t="shared" si="127"/>
        <v>0</v>
      </c>
      <c r="AH415" s="286">
        <f t="shared" si="127"/>
        <v>0</v>
      </c>
      <c r="AI415" s="287">
        <f t="shared" si="132"/>
        <v>0</v>
      </c>
      <c r="AJ415" s="292"/>
      <c r="AK415" s="286">
        <f t="shared" si="128"/>
        <v>0</v>
      </c>
      <c r="AL415" s="284">
        <f>IFERROR(SUMIF($C:$C,$V415,Q:Q),0)</f>
        <v>0</v>
      </c>
      <c r="AM415" s="288">
        <f t="shared" si="130"/>
        <v>0</v>
      </c>
      <c r="AN415" s="286">
        <f t="shared" si="131"/>
        <v>0</v>
      </c>
      <c r="AO415" s="293">
        <f t="shared" si="133"/>
        <v>0</v>
      </c>
      <c r="AP415" s="250"/>
      <c r="AQ415" s="250"/>
      <c r="AR415" s="14"/>
      <c r="AS415" s="250"/>
      <c r="AT415" s="250"/>
      <c r="AU415" s="250"/>
      <c r="AV415" s="250"/>
      <c r="AW415" s="250"/>
      <c r="AX415" s="250"/>
      <c r="AY415" s="250"/>
      <c r="AZ415" s="250"/>
      <c r="BA415" s="250"/>
      <c r="BB415" s="250"/>
      <c r="BC415" s="250"/>
      <c r="BD415" s="250"/>
      <c r="BE415" s="250"/>
      <c r="BF415" s="250"/>
      <c r="BG415" s="250"/>
      <c r="BH415" s="250"/>
      <c r="BI415" s="250"/>
    </row>
    <row r="416" spans="1:61" ht="15.75" hidden="1" customHeight="1">
      <c r="A416" t="s">
        <v>21</v>
      </c>
      <c r="B416" s="7"/>
      <c r="C416" s="519" t="s">
        <v>470</v>
      </c>
      <c r="V416" s="494" t="s">
        <v>21</v>
      </c>
      <c r="W416" s="290"/>
      <c r="X416" s="287"/>
      <c r="Y416" s="291">
        <f t="shared" si="121"/>
        <v>0</v>
      </c>
      <c r="Z416" s="284">
        <f>IFERROR(SUMIF($C:$C,$V416,F:F),0)</f>
        <v>0</v>
      </c>
      <c r="AA416" s="283"/>
      <c r="AB416" s="291">
        <f t="shared" si="123"/>
        <v>0</v>
      </c>
      <c r="AC416" s="284">
        <f>IFERROR(SUMIF($C:$C,$V416,I:I),0)</f>
        <v>0</v>
      </c>
      <c r="AD416" s="292"/>
      <c r="AE416" s="291">
        <f t="shared" si="134"/>
        <v>0</v>
      </c>
      <c r="AF416" s="284">
        <f>IFERROR(SUMIF($C:$C,$V416,L:L),0)</f>
        <v>0</v>
      </c>
      <c r="AG416" s="285">
        <f t="shared" si="127"/>
        <v>0</v>
      </c>
      <c r="AH416" s="286">
        <f t="shared" si="127"/>
        <v>0</v>
      </c>
      <c r="AI416" s="287">
        <f t="shared" si="132"/>
        <v>0</v>
      </c>
      <c r="AJ416" s="292"/>
      <c r="AK416" s="286">
        <f t="shared" si="128"/>
        <v>0</v>
      </c>
      <c r="AL416" s="284">
        <f>IFERROR(SUMIF($C:$C,$V416,Q:Q),0)</f>
        <v>0</v>
      </c>
      <c r="AM416" s="288">
        <f t="shared" si="130"/>
        <v>0</v>
      </c>
      <c r="AN416" s="286">
        <f t="shared" si="131"/>
        <v>0</v>
      </c>
      <c r="AO416" s="293">
        <f t="shared" si="133"/>
        <v>0</v>
      </c>
      <c r="AP416" s="250"/>
      <c r="AQ416" s="250"/>
      <c r="AR416" s="14"/>
      <c r="AS416" s="250"/>
      <c r="AT416" s="250"/>
      <c r="AU416" s="250"/>
      <c r="AV416" s="250"/>
      <c r="AW416" s="250"/>
      <c r="AX416" s="250"/>
      <c r="AY416" s="250"/>
      <c r="AZ416" s="250"/>
      <c r="BA416" s="250"/>
      <c r="BB416" s="250"/>
      <c r="BC416" s="250"/>
      <c r="BD416" s="250"/>
      <c r="BE416" s="250"/>
      <c r="BF416" s="250"/>
      <c r="BG416" s="250"/>
      <c r="BH416" s="250"/>
      <c r="BI416" s="250"/>
    </row>
    <row r="417" spans="1:61" ht="15.75" hidden="1" customHeight="1">
      <c r="A417" t="s">
        <v>21</v>
      </c>
      <c r="B417" s="7"/>
      <c r="C417" s="519" t="s">
        <v>470</v>
      </c>
      <c r="V417" s="494" t="s">
        <v>21</v>
      </c>
      <c r="W417" s="290" t="s">
        <v>141</v>
      </c>
      <c r="X417" s="283"/>
      <c r="Y417" s="291">
        <f t="shared" si="121"/>
        <v>0</v>
      </c>
      <c r="Z417" s="284">
        <f>IFERROR(SUMIF($C:$C,$V417,F:F),0)</f>
        <v>0</v>
      </c>
      <c r="AA417" s="283"/>
      <c r="AB417" s="291">
        <f t="shared" si="123"/>
        <v>0</v>
      </c>
      <c r="AC417" s="284">
        <f>IFERROR(SUMIF($C:$C,$V417,I:I),0)</f>
        <v>0</v>
      </c>
      <c r="AD417" s="292"/>
      <c r="AE417" s="291">
        <f t="shared" si="134"/>
        <v>0</v>
      </c>
      <c r="AF417" s="284">
        <f>IFERROR(SUMIF($C:$C,$V417,L:L),0)</f>
        <v>0</v>
      </c>
      <c r="AG417" s="285">
        <f t="shared" si="127"/>
        <v>0</v>
      </c>
      <c r="AH417" s="286">
        <f t="shared" si="127"/>
        <v>0</v>
      </c>
      <c r="AI417" s="287">
        <f t="shared" si="132"/>
        <v>0</v>
      </c>
      <c r="AJ417" s="292"/>
      <c r="AK417" s="286">
        <f t="shared" si="128"/>
        <v>0</v>
      </c>
      <c r="AL417" s="284">
        <f>IFERROR(SUMIF($C:$C,$V417,Q:Q),0)</f>
        <v>0</v>
      </c>
      <c r="AM417" s="288">
        <f t="shared" si="130"/>
        <v>0</v>
      </c>
      <c r="AN417" s="286">
        <f t="shared" si="131"/>
        <v>0</v>
      </c>
      <c r="AO417" s="293">
        <f t="shared" si="133"/>
        <v>0</v>
      </c>
      <c r="AP417" s="250"/>
      <c r="AQ417" s="250"/>
      <c r="AR417" s="14"/>
      <c r="AS417" s="250"/>
      <c r="AT417" s="250"/>
      <c r="AU417" s="250"/>
      <c r="AV417" s="250"/>
      <c r="AW417" s="250"/>
      <c r="AX417" s="250"/>
      <c r="AY417" s="250"/>
      <c r="AZ417" s="250"/>
      <c r="BA417" s="250"/>
      <c r="BB417" s="250"/>
      <c r="BC417" s="250"/>
      <c r="BD417" s="250"/>
      <c r="BE417" s="250"/>
      <c r="BF417" s="250"/>
      <c r="BG417" s="250"/>
      <c r="BH417" s="250"/>
      <c r="BI417" s="250"/>
    </row>
    <row r="418" spans="1:61" ht="15.75" customHeight="1">
      <c r="A418" t="s">
        <v>39</v>
      </c>
      <c r="B418" s="7"/>
      <c r="C418" s="519" t="s">
        <v>470</v>
      </c>
      <c r="V418" s="300" t="s">
        <v>39</v>
      </c>
      <c r="W418" s="301"/>
      <c r="X418" s="302">
        <f>Z418/Z406</f>
        <v>0.24672609213133129</v>
      </c>
      <c r="Y418" s="301"/>
      <c r="Z418" s="303">
        <f>SUM(Z408:Z417)</f>
        <v>164450.23774326101</v>
      </c>
      <c r="AA418" s="302">
        <f>AC418/AC406</f>
        <v>0.24672609213133129</v>
      </c>
      <c r="AB418" s="301"/>
      <c r="AC418" s="303">
        <f>SUM(AC408:AC417)</f>
        <v>164450.23774326101</v>
      </c>
      <c r="AD418" s="304">
        <f>AF418/AF406</f>
        <v>0.20785163945455096</v>
      </c>
      <c r="AE418" s="301"/>
      <c r="AF418" s="303">
        <f>SUM(AF408:AF417)</f>
        <v>161474.51999999999</v>
      </c>
      <c r="AG418" s="305"/>
      <c r="AH418" s="306">
        <f>AF418-AC418</f>
        <v>-2975.7177432610188</v>
      </c>
      <c r="AI418" s="302">
        <f>AH418/AC418</f>
        <v>-1.8094943395014704E-2</v>
      </c>
      <c r="AJ418" s="304">
        <f>IF($AL$406=0,0,AL418/$AL$406)</f>
        <v>0.26831411026537672</v>
      </c>
      <c r="AK418" s="301"/>
      <c r="AL418" s="303">
        <f>SUM(AL408:AL417)</f>
        <v>153462.25000000003</v>
      </c>
      <c r="AM418" s="307"/>
      <c r="AN418" s="306">
        <f t="shared" si="131"/>
        <v>8012.2699999999604</v>
      </c>
      <c r="AO418" s="281">
        <f>IF(AL418=0,0,AN418/AL418)</f>
        <v>5.2210038625133924E-2</v>
      </c>
      <c r="AP418" s="250"/>
      <c r="AQ418" s="250"/>
      <c r="AR418" s="14"/>
      <c r="AS418" s="250"/>
      <c r="AT418" s="250"/>
      <c r="AU418" s="250"/>
      <c r="AV418" s="250"/>
      <c r="AW418" s="250"/>
      <c r="AX418" s="250"/>
      <c r="AY418" s="250"/>
      <c r="AZ418" s="250"/>
      <c r="BA418" s="250"/>
      <c r="BB418" s="250"/>
      <c r="BC418" s="250"/>
      <c r="BD418" s="250"/>
      <c r="BE418" s="250"/>
      <c r="BF418" s="250"/>
      <c r="BG418" s="250"/>
      <c r="BH418" s="250"/>
      <c r="BI418" s="250"/>
    </row>
    <row r="419" spans="1:61" ht="15.75" customHeight="1">
      <c r="A419" t="s">
        <v>142</v>
      </c>
      <c r="B419" s="7"/>
      <c r="C419" s="519" t="s">
        <v>470</v>
      </c>
      <c r="V419" s="494" t="s">
        <v>142</v>
      </c>
      <c r="W419" s="290" t="s">
        <v>143</v>
      </c>
      <c r="X419" s="283"/>
      <c r="Y419" s="283"/>
      <c r="Z419" s="284">
        <v>15497.547546666668</v>
      </c>
      <c r="AA419" s="283"/>
      <c r="AB419" s="283"/>
      <c r="AC419" s="284">
        <v>15497.547546666668</v>
      </c>
      <c r="AD419" s="292"/>
      <c r="AE419" s="291"/>
      <c r="AF419" s="284">
        <v>15718.93</v>
      </c>
      <c r="AG419" s="285"/>
      <c r="AH419" s="286">
        <f t="shared" ref="AH419:AH450" si="135">AF419-AC419</f>
        <v>221.3824533333318</v>
      </c>
      <c r="AI419" s="287">
        <f>IF(AC419=0,0,AH419/AC419)</f>
        <v>1.4284999137231131E-2</v>
      </c>
      <c r="AJ419" s="292"/>
      <c r="AK419" s="283"/>
      <c r="AL419" s="284">
        <v>2336.25</v>
      </c>
      <c r="AM419" s="288"/>
      <c r="AN419" s="286">
        <f t="shared" si="131"/>
        <v>13382.68</v>
      </c>
      <c r="AO419" s="293">
        <f t="shared" ref="AO419:AO430" si="136">IF(AL419=0,0,AN419/AL419)</f>
        <v>5.7282739432851795</v>
      </c>
      <c r="AP419" s="250"/>
      <c r="AQ419" s="250"/>
      <c r="AR419" s="250"/>
      <c r="AS419" s="250"/>
      <c r="AT419" s="250"/>
      <c r="AU419" s="250"/>
      <c r="AV419" s="250"/>
      <c r="AW419" s="250"/>
      <c r="AX419" s="250"/>
      <c r="AY419" s="250"/>
      <c r="AZ419" s="250"/>
      <c r="BA419" s="250"/>
      <c r="BB419" s="250"/>
      <c r="BC419" s="250"/>
      <c r="BD419" s="250"/>
      <c r="BE419" s="250"/>
      <c r="BF419" s="250"/>
      <c r="BG419" s="250"/>
      <c r="BH419" s="250"/>
      <c r="BI419" s="250"/>
    </row>
    <row r="420" spans="1:61" ht="15.75" customHeight="1">
      <c r="A420" t="s">
        <v>42</v>
      </c>
      <c r="B420" s="7"/>
      <c r="C420" s="519" t="s">
        <v>470</v>
      </c>
      <c r="V420" s="494" t="s">
        <v>42</v>
      </c>
      <c r="W420" s="290" t="s">
        <v>144</v>
      </c>
      <c r="X420" s="283"/>
      <c r="Y420" s="283"/>
      <c r="Z420" s="284">
        <f>+SUMIF($C:$C,$V420,F:F)</f>
        <v>38467.750957854405</v>
      </c>
      <c r="AA420" s="283"/>
      <c r="AB420" s="283"/>
      <c r="AC420" s="284">
        <f>+SUMIF($C:$C,$V420,I:I)</f>
        <v>38467.750957854405</v>
      </c>
      <c r="AD420" s="292"/>
      <c r="AE420" s="291"/>
      <c r="AF420" s="284">
        <f>+SUMIF($C:$C,$V420,L:L)</f>
        <v>55679.33</v>
      </c>
      <c r="AG420" s="285"/>
      <c r="AH420" s="286">
        <f t="shared" si="135"/>
        <v>17211.579042145597</v>
      </c>
      <c r="AI420" s="287">
        <f t="shared" ref="AI420:AI431" si="137">IF(AC420=0,0,AH420/AC420)</f>
        <v>0.44742878420427412</v>
      </c>
      <c r="AJ420" s="292"/>
      <c r="AK420" s="283"/>
      <c r="AL420" s="284">
        <f>+SUMIF($C:$C,$V420,Q:Q)</f>
        <v>41305.11</v>
      </c>
      <c r="AM420" s="288"/>
      <c r="AN420" s="286">
        <f t="shared" si="131"/>
        <v>14374.220000000001</v>
      </c>
      <c r="AO420" s="293">
        <f t="shared" si="136"/>
        <v>0.34800101004451994</v>
      </c>
      <c r="AP420" s="250"/>
      <c r="AQ420" s="250"/>
      <c r="AR420" s="250"/>
      <c r="AS420" s="250"/>
      <c r="AT420" s="250"/>
      <c r="AU420" s="250"/>
      <c r="AV420" s="250"/>
      <c r="AW420" s="250"/>
      <c r="AX420" s="250"/>
      <c r="AY420" s="250"/>
      <c r="AZ420" s="250"/>
      <c r="BA420" s="250"/>
      <c r="BB420" s="250"/>
      <c r="BC420" s="250"/>
      <c r="BD420" s="250"/>
      <c r="BE420" s="250"/>
      <c r="BF420" s="250"/>
      <c r="BG420" s="250"/>
      <c r="BH420" s="250"/>
      <c r="BI420" s="250"/>
    </row>
    <row r="421" spans="1:61" ht="15.75" customHeight="1">
      <c r="A421" t="s">
        <v>43</v>
      </c>
      <c r="B421" s="7"/>
      <c r="C421" s="519" t="s">
        <v>470</v>
      </c>
      <c r="V421" s="106" t="s">
        <v>43</v>
      </c>
      <c r="W421" s="294" t="s">
        <v>145</v>
      </c>
      <c r="X421" s="267"/>
      <c r="Y421" s="267"/>
      <c r="Z421" s="268">
        <f>+SUMIF($C:$C,$V421,F:F)</f>
        <v>26732.282612567054</v>
      </c>
      <c r="AA421" s="267"/>
      <c r="AB421" s="267"/>
      <c r="AC421" s="268">
        <f>+SUMIF($C:$C,$V421,I:I)</f>
        <v>26732.282612567054</v>
      </c>
      <c r="AD421" s="296"/>
      <c r="AE421" s="295"/>
      <c r="AF421" s="268">
        <f>+SUMIF($C:$C,$V421,L:L)</f>
        <v>20825.61</v>
      </c>
      <c r="AG421" s="269"/>
      <c r="AH421" s="270">
        <f t="shared" si="135"/>
        <v>-5906.6726125670539</v>
      </c>
      <c r="AI421" s="297">
        <f t="shared" si="137"/>
        <v>-0.22095653776270796</v>
      </c>
      <c r="AJ421" s="296"/>
      <c r="AK421" s="267"/>
      <c r="AL421" s="268">
        <f>+SUMIF($C:$C,$V421,Q:Q)</f>
        <v>23605.089999999997</v>
      </c>
      <c r="AM421" s="272"/>
      <c r="AN421" s="270">
        <f t="shared" si="131"/>
        <v>-2779.4799999999959</v>
      </c>
      <c r="AO421" s="273">
        <f t="shared" si="136"/>
        <v>-0.11774918036745449</v>
      </c>
      <c r="AP421" s="250"/>
      <c r="AQ421" s="250"/>
      <c r="AR421" s="250"/>
      <c r="AS421" s="250"/>
      <c r="AT421" s="250"/>
      <c r="AU421" s="250"/>
      <c r="AV421" s="250"/>
      <c r="AW421" s="250"/>
      <c r="AX421" s="250"/>
      <c r="AY421" s="250"/>
      <c r="AZ421" s="250"/>
      <c r="BA421" s="250"/>
      <c r="BB421" s="250"/>
      <c r="BC421" s="250"/>
      <c r="BD421" s="250"/>
      <c r="BE421" s="250"/>
      <c r="BF421" s="250"/>
      <c r="BG421" s="250"/>
      <c r="BH421" s="250"/>
      <c r="BI421" s="250"/>
    </row>
    <row r="422" spans="1:61" ht="15.75" customHeight="1">
      <c r="A422" t="s">
        <v>44</v>
      </c>
      <c r="B422" s="7"/>
      <c r="C422" s="519" t="s">
        <v>470</v>
      </c>
      <c r="V422" s="494" t="s">
        <v>44</v>
      </c>
      <c r="W422" s="290" t="s">
        <v>146</v>
      </c>
      <c r="X422" s="283"/>
      <c r="Y422" s="283"/>
      <c r="Z422" s="284">
        <f>+SUMIF($C:$C,$V422,F:F)</f>
        <v>56911.548926896547</v>
      </c>
      <c r="AA422" s="283"/>
      <c r="AB422" s="283"/>
      <c r="AC422" s="284">
        <f>+SUMIF($C:$C,$V422,I:I)</f>
        <v>56911.548926896547</v>
      </c>
      <c r="AD422" s="292"/>
      <c r="AE422" s="291"/>
      <c r="AF422" s="284">
        <f>+SUMIF($C:$C,$V422,L:L)</f>
        <v>55012.59</v>
      </c>
      <c r="AG422" s="285"/>
      <c r="AH422" s="286">
        <f t="shared" si="135"/>
        <v>-1898.9589268965501</v>
      </c>
      <c r="AI422" s="287">
        <f t="shared" si="137"/>
        <v>-3.3366846671767481E-2</v>
      </c>
      <c r="AJ422" s="292"/>
      <c r="AK422" s="283"/>
      <c r="AL422" s="284">
        <f>+SUMIF($C:$C,$V422,Q:Q)</f>
        <v>43938.26</v>
      </c>
      <c r="AM422" s="288"/>
      <c r="AN422" s="286">
        <f t="shared" si="131"/>
        <v>11074.329999999994</v>
      </c>
      <c r="AO422" s="293">
        <f t="shared" si="136"/>
        <v>0.25204298030918826</v>
      </c>
      <c r="AP422" s="250"/>
      <c r="AQ422" s="250"/>
      <c r="AR422" s="250"/>
      <c r="AS422" s="250"/>
      <c r="AT422" s="250"/>
      <c r="AU422" s="250"/>
      <c r="AV422" s="250"/>
      <c r="AW422" s="250"/>
      <c r="AX422" s="250"/>
      <c r="AY422" s="250"/>
      <c r="AZ422" s="250"/>
      <c r="BA422" s="250"/>
      <c r="BB422" s="250"/>
      <c r="BC422" s="250"/>
      <c r="BD422" s="250"/>
      <c r="BE422" s="250"/>
      <c r="BF422" s="250"/>
      <c r="BG422" s="250"/>
      <c r="BH422" s="250"/>
      <c r="BI422" s="250"/>
    </row>
    <row r="423" spans="1:61" ht="15.75" customHeight="1">
      <c r="A423" t="s">
        <v>45</v>
      </c>
      <c r="B423" s="7"/>
      <c r="C423" s="519" t="s">
        <v>470</v>
      </c>
      <c r="V423" s="494" t="s">
        <v>45</v>
      </c>
      <c r="W423" s="290" t="s">
        <v>147</v>
      </c>
      <c r="X423" s="283"/>
      <c r="Y423" s="283"/>
      <c r="Z423" s="284">
        <f>+SUMIF($C:$C,$V423,F:F)</f>
        <v>31383.738445112467</v>
      </c>
      <c r="AA423" s="283"/>
      <c r="AB423" s="283"/>
      <c r="AC423" s="284">
        <f>+SUMIF($C:$C,$V423,I:I)</f>
        <v>31383.738445112467</v>
      </c>
      <c r="AD423" s="292"/>
      <c r="AE423" s="291"/>
      <c r="AF423" s="284">
        <f>+SUMIF($C:$C,$V423,L:L)</f>
        <v>29100.240000000002</v>
      </c>
      <c r="AG423" s="285"/>
      <c r="AH423" s="286">
        <f t="shared" si="135"/>
        <v>-2283.4984451124656</v>
      </c>
      <c r="AI423" s="287">
        <f t="shared" si="137"/>
        <v>-7.2760561942169927E-2</v>
      </c>
      <c r="AJ423" s="292"/>
      <c r="AK423" s="283"/>
      <c r="AL423" s="284">
        <f>+SUMIF($C:$C,$V423,Q:Q)</f>
        <v>19786.530000000002</v>
      </c>
      <c r="AM423" s="288"/>
      <c r="AN423" s="286">
        <f t="shared" si="131"/>
        <v>9313.7099999999991</v>
      </c>
      <c r="AO423" s="293">
        <f t="shared" si="136"/>
        <v>0.47070961911967374</v>
      </c>
      <c r="AP423" s="250"/>
      <c r="AQ423" s="250"/>
      <c r="AR423" s="250"/>
      <c r="AS423" s="250"/>
      <c r="AT423" s="250"/>
      <c r="AU423" s="250"/>
      <c r="AV423" s="250"/>
      <c r="AW423" s="250"/>
      <c r="AX423" s="250"/>
      <c r="AY423" s="250"/>
      <c r="AZ423" s="250"/>
      <c r="BA423" s="250"/>
      <c r="BB423" s="250"/>
      <c r="BC423" s="250"/>
      <c r="BD423" s="250"/>
      <c r="BE423" s="250"/>
      <c r="BF423" s="250"/>
      <c r="BG423" s="250"/>
      <c r="BH423" s="250"/>
      <c r="BI423" s="250"/>
    </row>
    <row r="424" spans="1:61" ht="15.75" hidden="1" customHeight="1">
      <c r="A424" t="s">
        <v>21</v>
      </c>
      <c r="B424" s="7"/>
      <c r="C424" s="519" t="s">
        <v>470</v>
      </c>
      <c r="V424" s="494" t="s">
        <v>21</v>
      </c>
      <c r="W424" s="290"/>
      <c r="X424" s="283"/>
      <c r="Y424" s="283"/>
      <c r="Z424" s="284">
        <f>IFERROR(SUMIF($C:$C,$V424,F:F),0)</f>
        <v>0</v>
      </c>
      <c r="AA424" s="283"/>
      <c r="AB424" s="283"/>
      <c r="AC424" s="284">
        <f>IFERROR(SUMIF($C:$C,$V424,I:I),0)</f>
        <v>0</v>
      </c>
      <c r="AD424" s="292"/>
      <c r="AE424" s="291"/>
      <c r="AF424" s="284">
        <f>IFERROR(SUMIF($C:$C,$V424,L:L),0)</f>
        <v>0</v>
      </c>
      <c r="AG424" s="285"/>
      <c r="AH424" s="286">
        <f t="shared" si="135"/>
        <v>0</v>
      </c>
      <c r="AI424" s="287">
        <f t="shared" si="137"/>
        <v>0</v>
      </c>
      <c r="AJ424" s="292"/>
      <c r="AK424" s="283"/>
      <c r="AL424" s="284">
        <f>IFERROR(SUMIF($C:$C,$V424,Q:Q),0)</f>
        <v>0</v>
      </c>
      <c r="AM424" s="288"/>
      <c r="AN424" s="286">
        <f t="shared" si="131"/>
        <v>0</v>
      </c>
      <c r="AO424" s="293">
        <f t="shared" si="136"/>
        <v>0</v>
      </c>
      <c r="AP424" s="250"/>
      <c r="AQ424" s="250"/>
      <c r="AR424" s="250"/>
      <c r="AS424" s="250"/>
      <c r="AT424" s="250"/>
      <c r="AU424" s="250"/>
      <c r="AV424" s="250"/>
      <c r="AW424" s="250"/>
      <c r="AX424" s="250"/>
      <c r="AY424" s="250"/>
      <c r="AZ424" s="250"/>
      <c r="BA424" s="250"/>
      <c r="BB424" s="250"/>
      <c r="BC424" s="250"/>
      <c r="BD424" s="250"/>
      <c r="BE424" s="250"/>
      <c r="BF424" s="250"/>
      <c r="BG424" s="250"/>
      <c r="BH424" s="250"/>
      <c r="BI424" s="250"/>
    </row>
    <row r="425" spans="1:61" ht="15.75" hidden="1" customHeight="1">
      <c r="A425" t="s">
        <v>21</v>
      </c>
      <c r="B425" s="7"/>
      <c r="C425" s="519" t="s">
        <v>470</v>
      </c>
      <c r="V425" s="494" t="s">
        <v>21</v>
      </c>
      <c r="W425" s="290"/>
      <c r="X425" s="283"/>
      <c r="Y425" s="283"/>
      <c r="Z425" s="284">
        <f>IFERROR(SUMIF($C:$C,$V425,F:F),0)</f>
        <v>0</v>
      </c>
      <c r="AA425" s="283"/>
      <c r="AB425" s="283"/>
      <c r="AC425" s="284">
        <f>IFERROR(SUMIF($C:$C,$V425,I:I),0)</f>
        <v>0</v>
      </c>
      <c r="AD425" s="292"/>
      <c r="AE425" s="291"/>
      <c r="AF425" s="284">
        <f>IFERROR(SUMIF($C:$C,$V425,L:L),0)</f>
        <v>0</v>
      </c>
      <c r="AG425" s="285"/>
      <c r="AH425" s="286">
        <f t="shared" si="135"/>
        <v>0</v>
      </c>
      <c r="AI425" s="287">
        <f t="shared" si="137"/>
        <v>0</v>
      </c>
      <c r="AJ425" s="292"/>
      <c r="AK425" s="283"/>
      <c r="AL425" s="284">
        <f>IFERROR(SUMIF($C:$C,$V425,Q:Q),0)</f>
        <v>0</v>
      </c>
      <c r="AM425" s="288"/>
      <c r="AN425" s="286">
        <f t="shared" si="131"/>
        <v>0</v>
      </c>
      <c r="AO425" s="293">
        <f t="shared" si="136"/>
        <v>0</v>
      </c>
      <c r="AP425" s="250"/>
      <c r="AQ425" s="250"/>
      <c r="AR425" s="250"/>
      <c r="AS425" s="250"/>
      <c r="AT425" s="250"/>
      <c r="AU425" s="250"/>
      <c r="AV425" s="250"/>
      <c r="AW425" s="250"/>
      <c r="AX425" s="250"/>
      <c r="AY425" s="250"/>
      <c r="AZ425" s="250"/>
      <c r="BA425" s="250"/>
      <c r="BB425" s="250"/>
      <c r="BC425" s="250"/>
      <c r="BD425" s="250"/>
      <c r="BE425" s="250"/>
      <c r="BF425" s="250"/>
      <c r="BG425" s="250"/>
      <c r="BH425" s="250"/>
      <c r="BI425" s="250"/>
    </row>
    <row r="426" spans="1:61" ht="15.75" hidden="1" customHeight="1">
      <c r="A426" t="s">
        <v>21</v>
      </c>
      <c r="B426" s="7"/>
      <c r="C426" s="519" t="s">
        <v>470</v>
      </c>
      <c r="V426" s="494" t="s">
        <v>21</v>
      </c>
      <c r="W426" s="290"/>
      <c r="X426" s="283"/>
      <c r="Y426" s="283"/>
      <c r="Z426" s="284">
        <f>IFERROR(SUMIF($C:$C,$V426,F:F),0)</f>
        <v>0</v>
      </c>
      <c r="AA426" s="283"/>
      <c r="AB426" s="283"/>
      <c r="AC426" s="284">
        <f>IFERROR(SUMIF($C:$C,$V426,I:I),0)</f>
        <v>0</v>
      </c>
      <c r="AD426" s="292"/>
      <c r="AE426" s="291"/>
      <c r="AF426" s="284">
        <f>IFERROR(SUMIF($C:$C,$V426,L:L),0)</f>
        <v>0</v>
      </c>
      <c r="AG426" s="285"/>
      <c r="AH426" s="286">
        <f t="shared" si="135"/>
        <v>0</v>
      </c>
      <c r="AI426" s="287">
        <f t="shared" si="137"/>
        <v>0</v>
      </c>
      <c r="AJ426" s="292"/>
      <c r="AK426" s="283"/>
      <c r="AL426" s="284">
        <f>IFERROR(SUMIF($C:$C,$V426,Q:Q),0)</f>
        <v>0</v>
      </c>
      <c r="AM426" s="288"/>
      <c r="AN426" s="286">
        <f t="shared" si="131"/>
        <v>0</v>
      </c>
      <c r="AO426" s="293">
        <f t="shared" si="136"/>
        <v>0</v>
      </c>
      <c r="AP426" s="250"/>
      <c r="AQ426" s="250"/>
      <c r="AR426" s="250"/>
      <c r="AS426" s="250"/>
      <c r="AT426" s="250"/>
      <c r="AU426" s="250"/>
      <c r="AV426" s="250"/>
      <c r="AW426" s="250"/>
      <c r="AX426" s="250"/>
      <c r="AY426" s="250"/>
      <c r="AZ426" s="250"/>
      <c r="BA426" s="250"/>
      <c r="BB426" s="250"/>
      <c r="BC426" s="250"/>
      <c r="BD426" s="250"/>
      <c r="BE426" s="250"/>
      <c r="BF426" s="250"/>
      <c r="BG426" s="250"/>
      <c r="BH426" s="250"/>
      <c r="BI426" s="250"/>
    </row>
    <row r="427" spans="1:61" ht="15.75" customHeight="1">
      <c r="A427" t="s">
        <v>46</v>
      </c>
      <c r="B427" s="7"/>
      <c r="C427" s="519" t="s">
        <v>470</v>
      </c>
      <c r="V427" s="106" t="s">
        <v>46</v>
      </c>
      <c r="W427" s="294" t="s">
        <v>148</v>
      </c>
      <c r="X427" s="267"/>
      <c r="Y427" s="267"/>
      <c r="Z427" s="268">
        <f>+SUMIF($C:$C,$V427,F:F)</f>
        <v>40829.245266991187</v>
      </c>
      <c r="AA427" s="267"/>
      <c r="AB427" s="267"/>
      <c r="AC427" s="268">
        <f>+SUMIF($C:$C,$V427,I:I)</f>
        <v>40829.245266991187</v>
      </c>
      <c r="AD427" s="296"/>
      <c r="AE427" s="295"/>
      <c r="AF427" s="268">
        <f>+SUMIF($C:$C,$V427,L:L)</f>
        <v>33448.730000000003</v>
      </c>
      <c r="AG427" s="269"/>
      <c r="AH427" s="270">
        <f t="shared" si="135"/>
        <v>-7380.515266991184</v>
      </c>
      <c r="AI427" s="297">
        <f t="shared" si="137"/>
        <v>-0.18076541015461864</v>
      </c>
      <c r="AJ427" s="296"/>
      <c r="AK427" s="267"/>
      <c r="AL427" s="268">
        <f>+SUMIF($C:$C,$V427,Q:Q)</f>
        <v>28558.420000000002</v>
      </c>
      <c r="AM427" s="272"/>
      <c r="AN427" s="270">
        <f t="shared" si="131"/>
        <v>4890.3100000000013</v>
      </c>
      <c r="AO427" s="298">
        <f t="shared" si="136"/>
        <v>0.17123881503248434</v>
      </c>
      <c r="AP427" s="250"/>
      <c r="AQ427" s="250"/>
      <c r="AR427" s="250"/>
      <c r="AS427" s="250"/>
      <c r="AT427" s="250"/>
      <c r="AU427" s="250"/>
      <c r="AV427" s="250"/>
      <c r="AW427" s="250"/>
      <c r="AX427" s="250"/>
      <c r="AY427" s="250"/>
      <c r="AZ427" s="250"/>
      <c r="BA427" s="250"/>
      <c r="BB427" s="250"/>
      <c r="BC427" s="250"/>
      <c r="BD427" s="250"/>
      <c r="BE427" s="250"/>
      <c r="BF427" s="250"/>
      <c r="BG427" s="250"/>
      <c r="BH427" s="250"/>
      <c r="BI427" s="250"/>
    </row>
    <row r="428" spans="1:61" ht="15.75" customHeight="1">
      <c r="A428" t="s">
        <v>47</v>
      </c>
      <c r="B428" s="7"/>
      <c r="C428" s="519" t="s">
        <v>470</v>
      </c>
      <c r="V428" s="494" t="s">
        <v>47</v>
      </c>
      <c r="W428" s="290" t="s">
        <v>149</v>
      </c>
      <c r="X428" s="283"/>
      <c r="Y428" s="283"/>
      <c r="Z428" s="284">
        <f>+SUMIF($C:$C,$V428,F:F)</f>
        <v>36566.774368149061</v>
      </c>
      <c r="AA428" s="283"/>
      <c r="AB428" s="283"/>
      <c r="AC428" s="284">
        <f>+SUMIF($C:$C,$V428,I:I)</f>
        <v>36566.774368149061</v>
      </c>
      <c r="AD428" s="292"/>
      <c r="AE428" s="291"/>
      <c r="AF428" s="284">
        <f>+SUMIF($C:$C,$V428,L:L)</f>
        <v>34146.090000000004</v>
      </c>
      <c r="AG428" s="285"/>
      <c r="AH428" s="286">
        <f t="shared" si="135"/>
        <v>-2420.6843681490573</v>
      </c>
      <c r="AI428" s="287">
        <f t="shared" si="137"/>
        <v>-6.6199012901109425E-2</v>
      </c>
      <c r="AJ428" s="292"/>
      <c r="AK428" s="283"/>
      <c r="AL428" s="284">
        <f>+SUMIF($C:$C,$V428,Q:Q)</f>
        <v>31636.729999999996</v>
      </c>
      <c r="AM428" s="288"/>
      <c r="AN428" s="286">
        <f t="shared" si="131"/>
        <v>2509.3600000000079</v>
      </c>
      <c r="AO428" s="293">
        <f t="shared" si="136"/>
        <v>7.9317932036591904E-2</v>
      </c>
      <c r="AP428" s="250"/>
      <c r="AQ428" s="250"/>
      <c r="AR428" s="250"/>
      <c r="AS428" s="250"/>
      <c r="AT428" s="250"/>
      <c r="AU428" s="250"/>
      <c r="AV428" s="250"/>
      <c r="AW428" s="250"/>
      <c r="AX428" s="250"/>
      <c r="AY428" s="250"/>
      <c r="AZ428" s="250"/>
      <c r="BA428" s="250"/>
      <c r="BB428" s="250"/>
      <c r="BC428" s="250"/>
      <c r="BD428" s="250"/>
      <c r="BE428" s="250"/>
      <c r="BF428" s="250"/>
      <c r="BG428" s="250"/>
      <c r="BH428" s="250"/>
      <c r="BI428" s="250"/>
    </row>
    <row r="429" spans="1:61" ht="15.75" customHeight="1">
      <c r="A429" t="s">
        <v>48</v>
      </c>
      <c r="B429" s="7"/>
      <c r="C429" s="519" t="s">
        <v>470</v>
      </c>
      <c r="V429" s="494" t="s">
        <v>48</v>
      </c>
      <c r="W429" s="290" t="s">
        <v>150</v>
      </c>
      <c r="X429" s="283"/>
      <c r="Y429" s="283"/>
      <c r="Z429" s="284">
        <f>+SUMIF($C:$C,$V429,F:F)</f>
        <v>29038.320821765432</v>
      </c>
      <c r="AA429" s="283"/>
      <c r="AB429" s="283"/>
      <c r="AC429" s="284">
        <f>+SUMIF($C:$C,$V429,I:I)</f>
        <v>29038.320821765432</v>
      </c>
      <c r="AD429" s="292"/>
      <c r="AE429" s="291"/>
      <c r="AF429" s="284">
        <f>+SUMIF($C:$C,$V429,L:L)</f>
        <v>22203.410000000003</v>
      </c>
      <c r="AG429" s="285"/>
      <c r="AH429" s="286">
        <f t="shared" si="135"/>
        <v>-6834.9108217654284</v>
      </c>
      <c r="AI429" s="287">
        <f t="shared" si="137"/>
        <v>-0.23537555300519919</v>
      </c>
      <c r="AJ429" s="292"/>
      <c r="AK429" s="283"/>
      <c r="AL429" s="284">
        <f>+SUMIF($C:$C,$V429,Q:Q)</f>
        <v>24548.66</v>
      </c>
      <c r="AM429" s="288"/>
      <c r="AN429" s="286">
        <f t="shared" si="131"/>
        <v>-2345.2499999999964</v>
      </c>
      <c r="AO429" s="293">
        <f t="shared" si="136"/>
        <v>-9.5534746092047235E-2</v>
      </c>
      <c r="AP429" s="250"/>
      <c r="AQ429" s="250"/>
      <c r="AR429" s="250"/>
      <c r="AS429" s="250"/>
      <c r="AT429" s="250"/>
      <c r="AU429" s="250"/>
      <c r="AV429" s="250"/>
      <c r="AW429" s="250"/>
      <c r="AX429" s="250"/>
      <c r="AY429" s="250"/>
      <c r="AZ429" s="250"/>
      <c r="BA429" s="250"/>
      <c r="BB429" s="250"/>
      <c r="BC429" s="250"/>
      <c r="BD429" s="250"/>
      <c r="BE429" s="250"/>
      <c r="BF429" s="250"/>
      <c r="BG429" s="250"/>
      <c r="BH429" s="250"/>
      <c r="BI429" s="250"/>
    </row>
    <row r="430" spans="1:61" ht="15.75" customHeight="1">
      <c r="A430" t="s">
        <v>49</v>
      </c>
      <c r="B430" s="7"/>
      <c r="C430" s="519" t="s">
        <v>470</v>
      </c>
      <c r="V430" s="494" t="s">
        <v>49</v>
      </c>
      <c r="W430" s="290"/>
      <c r="X430" s="283"/>
      <c r="Y430" s="283"/>
      <c r="Z430" s="284">
        <f>+SUMIF($C:$C,$V430,F:F)</f>
        <v>11830.427001459992</v>
      </c>
      <c r="AA430" s="283"/>
      <c r="AB430" s="283"/>
      <c r="AC430" s="284">
        <f>+SUMIF($C:$C,$V430,I:I)</f>
        <v>11830.427001459992</v>
      </c>
      <c r="AD430" s="292"/>
      <c r="AE430" s="291"/>
      <c r="AF430" s="284">
        <f>+SUMIF($C:$C,$V430,L:L)</f>
        <v>13256.93</v>
      </c>
      <c r="AG430" s="285"/>
      <c r="AH430" s="286">
        <f t="shared" si="135"/>
        <v>1426.5029985400088</v>
      </c>
      <c r="AI430" s="310">
        <f t="shared" si="137"/>
        <v>0.12057916407953527</v>
      </c>
      <c r="AJ430" s="292"/>
      <c r="AK430" s="283"/>
      <c r="AL430" s="284">
        <f>+SUMIF($C:$C,$V430,Q:Q)</f>
        <v>8326.2199999999975</v>
      </c>
      <c r="AM430" s="288"/>
      <c r="AN430" s="286">
        <f t="shared" si="131"/>
        <v>4930.7100000000028</v>
      </c>
      <c r="AO430" s="293">
        <f t="shared" si="136"/>
        <v>0.59219069397637869</v>
      </c>
      <c r="AP430" s="250"/>
      <c r="AQ430" s="250"/>
      <c r="AR430" s="250"/>
      <c r="AS430" s="250"/>
      <c r="AT430" s="250"/>
      <c r="AU430" s="250"/>
      <c r="AV430" s="250"/>
      <c r="AW430" s="250"/>
      <c r="AX430" s="250"/>
      <c r="AY430" s="250"/>
      <c r="AZ430" s="250"/>
      <c r="BA430" s="250"/>
      <c r="BB430" s="250"/>
      <c r="BC430" s="250"/>
      <c r="BD430" s="250"/>
      <c r="BE430" s="250"/>
      <c r="BF430" s="250"/>
      <c r="BG430" s="250"/>
      <c r="BH430" s="250"/>
      <c r="BI430" s="250"/>
    </row>
    <row r="431" spans="1:61" ht="15.75" hidden="1" customHeight="1">
      <c r="A431" t="s">
        <v>21</v>
      </c>
      <c r="B431" s="7"/>
      <c r="C431" s="519" t="s">
        <v>470</v>
      </c>
      <c r="V431" s="481" t="s">
        <v>21</v>
      </c>
      <c r="W431" s="290"/>
      <c r="X431" s="283"/>
      <c r="Y431" s="291"/>
      <c r="Z431" s="284">
        <f>IFERROR(SUMIF($C:$C,$V431,F:F),0)</f>
        <v>0</v>
      </c>
      <c r="AA431" s="283"/>
      <c r="AB431" s="283"/>
      <c r="AC431" s="284">
        <f>IFERROR(SUMIF($C:$C,$V431,I:I),0)</f>
        <v>0</v>
      </c>
      <c r="AD431" s="292"/>
      <c r="AE431" s="291"/>
      <c r="AF431" s="284">
        <f>IFERROR(SUMIF($C:$C,$V431,L:L),0)</f>
        <v>0</v>
      </c>
      <c r="AG431" s="285"/>
      <c r="AH431" s="286">
        <f t="shared" si="135"/>
        <v>0</v>
      </c>
      <c r="AI431" s="287">
        <f t="shared" si="137"/>
        <v>0</v>
      </c>
      <c r="AJ431" s="292"/>
      <c r="AK431" s="283"/>
      <c r="AL431" s="284">
        <f>IFERROR(SUMIF($C:$C,$V431,Q:Q),0)</f>
        <v>0</v>
      </c>
      <c r="AM431" s="288"/>
      <c r="AN431" s="286"/>
      <c r="AO431" s="298"/>
      <c r="AP431" s="250"/>
      <c r="AQ431" s="250"/>
      <c r="AR431" s="250"/>
      <c r="AS431" s="250"/>
      <c r="AT431" s="250"/>
      <c r="AU431" s="250"/>
      <c r="AV431" s="250"/>
      <c r="AW431" s="250"/>
      <c r="AX431" s="250"/>
      <c r="AY431" s="250"/>
      <c r="AZ431" s="250"/>
      <c r="BA431" s="250"/>
      <c r="BB431" s="250"/>
      <c r="BC431" s="250"/>
      <c r="BD431" s="250"/>
      <c r="BE431" s="250"/>
      <c r="BF431" s="250"/>
      <c r="BG431" s="250"/>
      <c r="BH431" s="250"/>
      <c r="BI431" s="250"/>
    </row>
    <row r="432" spans="1:61" ht="15.75" customHeight="1">
      <c r="A432" t="s">
        <v>50</v>
      </c>
      <c r="B432" s="7"/>
      <c r="C432" s="519" t="s">
        <v>470</v>
      </c>
      <c r="V432" s="300" t="s">
        <v>50</v>
      </c>
      <c r="W432" s="301"/>
      <c r="X432" s="302">
        <f>Z432/Z406</f>
        <v>0.43097507747510982</v>
      </c>
      <c r="Y432" s="301"/>
      <c r="Z432" s="303">
        <f>SUM(Z419:Z431)</f>
        <v>287257.63594746287</v>
      </c>
      <c r="AA432" s="302">
        <f>AC432/AC406</f>
        <v>0.43097507747510982</v>
      </c>
      <c r="AB432" s="301"/>
      <c r="AC432" s="303">
        <f>SUM(AC419:AC431)</f>
        <v>287257.63594746287</v>
      </c>
      <c r="AD432" s="304">
        <f>AF432/AF406</f>
        <v>0.35963603515437848</v>
      </c>
      <c r="AE432" s="311"/>
      <c r="AF432" s="303">
        <f>SUM(AF419:AF431)</f>
        <v>279391.86000000004</v>
      </c>
      <c r="AG432" s="312"/>
      <c r="AH432" s="306">
        <f t="shared" si="135"/>
        <v>-7865.7759474628256</v>
      </c>
      <c r="AI432" s="302">
        <f>AH432/AC432</f>
        <v>-2.7382304117065884E-2</v>
      </c>
      <c r="AJ432" s="304">
        <f>IF($AL$406=0,0,AL432/$AL$406)</f>
        <v>0.39171479645824969</v>
      </c>
      <c r="AK432" s="301"/>
      <c r="AL432" s="303">
        <f>SUM(AL419:AL431)</f>
        <v>224041.27000000002</v>
      </c>
      <c r="AM432" s="313"/>
      <c r="AN432" s="306">
        <f t="shared" ref="AN432:AN450" si="138">AF432-AL432</f>
        <v>55350.590000000026</v>
      </c>
      <c r="AO432" s="281">
        <f>IF(AL432=0,0,AN432/AL432)</f>
        <v>0.24705533047549685</v>
      </c>
      <c r="AP432" s="250"/>
      <c r="AQ432" s="250"/>
      <c r="AR432" s="250"/>
      <c r="AS432" s="250"/>
      <c r="AT432" s="250"/>
      <c r="AU432" s="250"/>
      <c r="AV432" s="250"/>
      <c r="AW432" s="250"/>
      <c r="AX432" s="250"/>
      <c r="AY432" s="250"/>
      <c r="AZ432" s="250"/>
      <c r="BA432" s="250"/>
      <c r="BB432" s="250"/>
      <c r="BC432" s="250"/>
      <c r="BD432" s="250"/>
      <c r="BE432" s="250"/>
      <c r="BF432" s="250"/>
      <c r="BG432" s="250"/>
      <c r="BH432" s="250"/>
      <c r="BI432" s="250"/>
    </row>
    <row r="433" spans="1:62" ht="15.75" customHeight="1">
      <c r="A433" t="s">
        <v>51</v>
      </c>
      <c r="B433" s="7"/>
      <c r="C433" s="519" t="s">
        <v>470</v>
      </c>
      <c r="V433" s="214" t="s">
        <v>51</v>
      </c>
      <c r="W433" s="315" t="s">
        <v>140</v>
      </c>
      <c r="X433" s="316"/>
      <c r="Y433" s="316"/>
      <c r="Z433" s="317">
        <f t="shared" ref="Z433:Z447" si="139">+SUMIF($C:$C,$V433,F:F)</f>
        <v>10644.25</v>
      </c>
      <c r="AA433" s="316"/>
      <c r="AB433" s="316"/>
      <c r="AC433" s="317">
        <f t="shared" ref="AC433:AC447" si="140">+SUMIF($C:$C,$V433,I:I)</f>
        <v>10644.25</v>
      </c>
      <c r="AD433" s="318"/>
      <c r="AE433" s="319"/>
      <c r="AF433" s="317">
        <f t="shared" ref="AF433:AF447" si="141">+SUMIF($C:$C,$V433,L:L)</f>
        <v>11388.12</v>
      </c>
      <c r="AG433" s="318"/>
      <c r="AH433" s="320">
        <f t="shared" si="135"/>
        <v>743.8700000000008</v>
      </c>
      <c r="AI433" s="321">
        <f>IF(AC433=0,0,AH433/AC433)</f>
        <v>6.988467952180763E-2</v>
      </c>
      <c r="AJ433" s="318"/>
      <c r="AK433" s="316"/>
      <c r="AL433" s="317">
        <f t="shared" ref="AL433:AL446" si="142">+SUMIF($C:$C,$V433,Q:Q)</f>
        <v>11416.17</v>
      </c>
      <c r="AM433" s="322"/>
      <c r="AN433" s="320">
        <f t="shared" si="138"/>
        <v>-28.049999999999272</v>
      </c>
      <c r="AO433" s="289">
        <f t="shared" ref="AO433:AO450" si="143">IF(AL433=0,0,AN433/AL433)</f>
        <v>-2.457041196828645E-3</v>
      </c>
      <c r="AP433" s="250"/>
      <c r="AQ433" s="250"/>
      <c r="AR433" s="250"/>
      <c r="AS433" s="250"/>
      <c r="AT433" s="250"/>
      <c r="AU433" s="250"/>
      <c r="AV433" s="250"/>
      <c r="AW433" s="250"/>
      <c r="AX433" s="250"/>
      <c r="AY433" s="250"/>
      <c r="AZ433" s="250"/>
      <c r="BA433" s="250"/>
      <c r="BB433" s="250"/>
      <c r="BC433" s="250"/>
      <c r="BD433" s="250"/>
      <c r="BE433" s="250"/>
      <c r="BF433" s="250"/>
      <c r="BG433" s="250"/>
      <c r="BH433" s="250"/>
      <c r="BI433" s="250"/>
    </row>
    <row r="434" spans="1:62" ht="15.75" customHeight="1">
      <c r="A434" t="s">
        <v>52</v>
      </c>
      <c r="B434" s="7"/>
      <c r="C434" s="519" t="s">
        <v>470</v>
      </c>
      <c r="V434" s="494" t="s">
        <v>52</v>
      </c>
      <c r="W434" s="290" t="s">
        <v>151</v>
      </c>
      <c r="X434" s="283"/>
      <c r="Y434" s="283"/>
      <c r="Z434" s="284">
        <f t="shared" si="139"/>
        <v>3201.2832699302448</v>
      </c>
      <c r="AA434" s="283"/>
      <c r="AB434" s="283"/>
      <c r="AC434" s="284">
        <f t="shared" si="140"/>
        <v>3201.2832699302448</v>
      </c>
      <c r="AD434" s="292"/>
      <c r="AE434" s="291"/>
      <c r="AF434" s="284">
        <f t="shared" si="141"/>
        <v>8428</v>
      </c>
      <c r="AG434" s="285"/>
      <c r="AH434" s="286">
        <f t="shared" si="135"/>
        <v>5226.7167300697547</v>
      </c>
      <c r="AI434" s="287">
        <f t="shared" ref="AI434:AI450" si="144">IF(AC434=0,0,AH434/AC434)</f>
        <v>1.6326942320801381</v>
      </c>
      <c r="AJ434" s="292"/>
      <c r="AK434" s="283"/>
      <c r="AL434" s="284">
        <f t="shared" si="142"/>
        <v>2967.7799999999997</v>
      </c>
      <c r="AM434" s="288"/>
      <c r="AN434" s="286">
        <f t="shared" si="138"/>
        <v>5460.22</v>
      </c>
      <c r="AO434" s="293">
        <f t="shared" si="143"/>
        <v>1.8398331412705795</v>
      </c>
      <c r="AP434" s="250"/>
      <c r="AQ434" s="250"/>
      <c r="AR434" s="250"/>
      <c r="AS434" s="250"/>
      <c r="AT434" s="250"/>
      <c r="AU434" s="250"/>
      <c r="AV434" s="250"/>
      <c r="AW434" s="250"/>
      <c r="AX434" s="250"/>
      <c r="AY434" s="250"/>
      <c r="AZ434" s="250"/>
      <c r="BA434" s="250"/>
      <c r="BB434" s="250"/>
      <c r="BC434" s="250"/>
      <c r="BD434" s="250"/>
      <c r="BE434" s="250"/>
      <c r="BF434" s="250"/>
      <c r="BG434" s="250"/>
      <c r="BH434" s="250"/>
      <c r="BI434" s="250"/>
    </row>
    <row r="435" spans="1:62" ht="15.75" customHeight="1">
      <c r="A435" t="s">
        <v>53</v>
      </c>
      <c r="B435" s="7"/>
      <c r="C435" s="519" t="s">
        <v>470</v>
      </c>
      <c r="U435" s="525"/>
      <c r="V435" s="106" t="s">
        <v>53</v>
      </c>
      <c r="W435" s="294" t="s">
        <v>152</v>
      </c>
      <c r="X435" s="267"/>
      <c r="Y435" s="267"/>
      <c r="Z435" s="268">
        <f t="shared" si="139"/>
        <v>20387.434444444443</v>
      </c>
      <c r="AA435" s="267"/>
      <c r="AB435" s="267"/>
      <c r="AC435" s="268">
        <f t="shared" si="140"/>
        <v>20387.434444444443</v>
      </c>
      <c r="AD435" s="296"/>
      <c r="AE435" s="295"/>
      <c r="AF435" s="268">
        <f t="shared" si="141"/>
        <v>24432.079999999998</v>
      </c>
      <c r="AG435" s="269"/>
      <c r="AH435" s="270">
        <f t="shared" si="135"/>
        <v>4044.6455555555549</v>
      </c>
      <c r="AI435" s="297">
        <f t="shared" si="144"/>
        <v>0.19838913849494766</v>
      </c>
      <c r="AJ435" s="296"/>
      <c r="AK435" s="267"/>
      <c r="AL435" s="268">
        <f t="shared" si="142"/>
        <v>26776.07</v>
      </c>
      <c r="AM435" s="272"/>
      <c r="AN435" s="270">
        <f t="shared" si="138"/>
        <v>-2343.9900000000016</v>
      </c>
      <c r="AO435" s="273">
        <f t="shared" si="143"/>
        <v>-8.7540479241352512E-2</v>
      </c>
      <c r="AP435" s="250"/>
      <c r="AQ435" s="250"/>
      <c r="AR435" s="250"/>
      <c r="AS435" s="250"/>
      <c r="AT435" s="250"/>
      <c r="AU435" s="250"/>
      <c r="AV435" s="250"/>
      <c r="AW435" s="250"/>
      <c r="AX435" s="250"/>
      <c r="AY435" s="250"/>
      <c r="AZ435" s="250"/>
      <c r="BA435" s="250"/>
      <c r="BB435" s="250"/>
      <c r="BC435" s="250"/>
      <c r="BD435" s="250"/>
      <c r="BE435" s="250"/>
      <c r="BF435" s="250"/>
      <c r="BG435" s="250"/>
      <c r="BH435" s="250"/>
      <c r="BI435" s="250"/>
      <c r="BJ435" s="250"/>
    </row>
    <row r="436" spans="1:62" ht="15.75" customHeight="1">
      <c r="A436" t="s">
        <v>54</v>
      </c>
      <c r="B436" s="7"/>
      <c r="C436" s="519" t="s">
        <v>470</v>
      </c>
      <c r="U436" s="525"/>
      <c r="V436" s="494" t="s">
        <v>54</v>
      </c>
      <c r="W436" s="290" t="s">
        <v>153</v>
      </c>
      <c r="X436" s="283"/>
      <c r="Y436" s="283"/>
      <c r="Z436" s="284">
        <f t="shared" si="139"/>
        <v>20034.212666666666</v>
      </c>
      <c r="AA436" s="283"/>
      <c r="AB436" s="283"/>
      <c r="AC436" s="284">
        <f t="shared" si="140"/>
        <v>20034.212666666666</v>
      </c>
      <c r="AD436" s="292"/>
      <c r="AE436" s="291"/>
      <c r="AF436" s="284">
        <f t="shared" si="141"/>
        <v>19291.95</v>
      </c>
      <c r="AG436" s="285"/>
      <c r="AH436" s="286">
        <f t="shared" si="135"/>
        <v>-742.26266666666561</v>
      </c>
      <c r="AI436" s="287">
        <f t="shared" si="144"/>
        <v>-3.7049754787801439E-2</v>
      </c>
      <c r="AJ436" s="292"/>
      <c r="AK436" s="283"/>
      <c r="AL436" s="284">
        <f t="shared" si="142"/>
        <v>16763.32</v>
      </c>
      <c r="AM436" s="288"/>
      <c r="AN436" s="286">
        <f t="shared" si="138"/>
        <v>2528.630000000001</v>
      </c>
      <c r="AO436" s="293">
        <f t="shared" si="143"/>
        <v>0.15084303109407929</v>
      </c>
      <c r="AP436" s="250"/>
      <c r="AQ436" s="250"/>
      <c r="AR436" s="250"/>
      <c r="AS436" s="250"/>
      <c r="AT436" s="250"/>
      <c r="AU436" s="250"/>
      <c r="AV436" s="250"/>
      <c r="AW436" s="250"/>
      <c r="AX436" s="250"/>
      <c r="AY436" s="250"/>
      <c r="AZ436" s="250"/>
      <c r="BA436" s="250"/>
      <c r="BB436" s="250"/>
      <c r="BC436" s="250"/>
      <c r="BD436" s="250"/>
      <c r="BE436" s="250"/>
      <c r="BF436" s="250"/>
      <c r="BG436" s="250"/>
      <c r="BH436" s="250"/>
      <c r="BI436" s="250"/>
      <c r="BJ436" s="250"/>
    </row>
    <row r="437" spans="1:62" ht="15.75" customHeight="1">
      <c r="A437" t="s">
        <v>55</v>
      </c>
      <c r="B437" s="7"/>
      <c r="C437" s="519" t="s">
        <v>470</v>
      </c>
      <c r="U437" s="525"/>
      <c r="V437" s="494" t="s">
        <v>55</v>
      </c>
      <c r="W437" s="290" t="s">
        <v>154</v>
      </c>
      <c r="X437" s="283"/>
      <c r="Y437" s="283"/>
      <c r="Z437" s="284">
        <f t="shared" si="139"/>
        <v>2475.4431250000002</v>
      </c>
      <c r="AA437" s="283"/>
      <c r="AB437" s="283"/>
      <c r="AC437" s="284">
        <f t="shared" si="140"/>
        <v>2475.4431250000002</v>
      </c>
      <c r="AD437" s="292"/>
      <c r="AE437" s="291"/>
      <c r="AF437" s="284">
        <f t="shared" si="141"/>
        <v>3481.92</v>
      </c>
      <c r="AG437" s="285"/>
      <c r="AH437" s="286">
        <f t="shared" si="135"/>
        <v>1006.4768749999998</v>
      </c>
      <c r="AI437" s="287">
        <f t="shared" si="144"/>
        <v>0.40658452817412227</v>
      </c>
      <c r="AJ437" s="292"/>
      <c r="AK437" s="283"/>
      <c r="AL437" s="284">
        <f t="shared" si="142"/>
        <v>680.4</v>
      </c>
      <c r="AM437" s="288"/>
      <c r="AN437" s="286">
        <f t="shared" si="138"/>
        <v>2801.52</v>
      </c>
      <c r="AO437" s="293">
        <f t="shared" si="143"/>
        <v>4.1174603174603179</v>
      </c>
      <c r="AP437" s="250"/>
      <c r="AQ437" s="250"/>
      <c r="AR437" s="250"/>
      <c r="AS437" s="250"/>
      <c r="AT437" s="250"/>
      <c r="AU437" s="250"/>
      <c r="AV437" s="250"/>
      <c r="AW437" s="250"/>
      <c r="AX437" s="250"/>
      <c r="AY437" s="250"/>
      <c r="AZ437" s="250"/>
      <c r="BA437" s="250"/>
      <c r="BB437" s="250"/>
      <c r="BC437" s="250"/>
      <c r="BD437" s="250"/>
      <c r="BE437" s="250"/>
      <c r="BF437" s="250"/>
      <c r="BG437" s="250"/>
      <c r="BH437" s="250"/>
      <c r="BI437" s="250"/>
      <c r="BJ437" s="250"/>
    </row>
    <row r="438" spans="1:62" ht="15.75" customHeight="1">
      <c r="A438" t="s">
        <v>56</v>
      </c>
      <c r="B438" s="7"/>
      <c r="C438" s="519" t="s">
        <v>470</v>
      </c>
      <c r="V438" s="494" t="s">
        <v>56</v>
      </c>
      <c r="W438" s="290" t="s">
        <v>155</v>
      </c>
      <c r="X438" s="283"/>
      <c r="Y438" s="283"/>
      <c r="Z438" s="284">
        <f t="shared" si="139"/>
        <v>18933.671255555557</v>
      </c>
      <c r="AA438" s="283"/>
      <c r="AB438" s="283"/>
      <c r="AC438" s="284">
        <f t="shared" si="140"/>
        <v>18933.671255555557</v>
      </c>
      <c r="AD438" s="292"/>
      <c r="AE438" s="291"/>
      <c r="AF438" s="284">
        <f t="shared" si="141"/>
        <v>20308.21</v>
      </c>
      <c r="AG438" s="285"/>
      <c r="AH438" s="286">
        <f t="shared" si="135"/>
        <v>1374.5387444444423</v>
      </c>
      <c r="AI438" s="287">
        <f t="shared" si="144"/>
        <v>7.2597581625440041E-2</v>
      </c>
      <c r="AJ438" s="292"/>
      <c r="AK438" s="283"/>
      <c r="AL438" s="284">
        <f t="shared" si="142"/>
        <v>15655.44</v>
      </c>
      <c r="AM438" s="288"/>
      <c r="AN438" s="286">
        <f t="shared" si="138"/>
        <v>4652.7699999999986</v>
      </c>
      <c r="AO438" s="293">
        <f t="shared" si="143"/>
        <v>0.29719829017900479</v>
      </c>
      <c r="AP438" s="250"/>
      <c r="AQ438" s="250"/>
      <c r="AR438" s="250"/>
      <c r="AS438" s="250"/>
      <c r="AT438" s="250"/>
      <c r="AU438" s="250"/>
      <c r="AV438" s="250"/>
      <c r="AW438" s="250"/>
      <c r="AX438" s="250"/>
      <c r="AY438" s="250"/>
      <c r="AZ438" s="250"/>
      <c r="BA438" s="250"/>
      <c r="BB438" s="250"/>
      <c r="BC438" s="250"/>
      <c r="BD438" s="250"/>
      <c r="BE438" s="250"/>
      <c r="BF438" s="250"/>
      <c r="BG438" s="250"/>
      <c r="BH438" s="250"/>
      <c r="BI438" s="250"/>
      <c r="BJ438" s="250"/>
    </row>
    <row r="439" spans="1:62" ht="15.75" customHeight="1">
      <c r="B439" s="7"/>
      <c r="C439" s="519" t="s">
        <v>470</v>
      </c>
      <c r="V439" s="215" t="s">
        <v>99</v>
      </c>
      <c r="W439" s="323"/>
      <c r="X439" s="324"/>
      <c r="Y439" s="324"/>
      <c r="Z439" s="325">
        <f t="shared" si="139"/>
        <v>0</v>
      </c>
      <c r="AA439" s="324"/>
      <c r="AB439" s="324"/>
      <c r="AC439" s="325">
        <f t="shared" si="140"/>
        <v>0</v>
      </c>
      <c r="AD439" s="326"/>
      <c r="AE439" s="327"/>
      <c r="AF439" s="325">
        <f t="shared" si="141"/>
        <v>0</v>
      </c>
      <c r="AG439" s="328"/>
      <c r="AH439" s="329">
        <f t="shared" si="135"/>
        <v>0</v>
      </c>
      <c r="AI439" s="330">
        <f t="shared" si="144"/>
        <v>0</v>
      </c>
      <c r="AJ439" s="326"/>
      <c r="AK439" s="324"/>
      <c r="AL439" s="325">
        <f t="shared" si="142"/>
        <v>0</v>
      </c>
      <c r="AM439" s="331"/>
      <c r="AN439" s="329">
        <f t="shared" si="138"/>
        <v>0</v>
      </c>
      <c r="AO439" s="332">
        <f t="shared" si="143"/>
        <v>0</v>
      </c>
      <c r="AP439" s="250"/>
      <c r="AQ439" s="250"/>
      <c r="AR439" s="250"/>
      <c r="AS439" s="250"/>
      <c r="AT439" s="250"/>
      <c r="AU439" s="250"/>
      <c r="AV439" s="250"/>
      <c r="AW439" s="250"/>
      <c r="AX439" s="250"/>
      <c r="AY439" s="250"/>
      <c r="AZ439" s="250"/>
      <c r="BA439" s="250"/>
      <c r="BB439" s="250"/>
      <c r="BC439" s="250"/>
      <c r="BD439" s="250"/>
      <c r="BE439" s="250"/>
      <c r="BF439" s="250"/>
      <c r="BG439" s="250"/>
      <c r="BH439" s="250"/>
      <c r="BI439" s="250"/>
      <c r="BJ439" s="250"/>
    </row>
    <row r="440" spans="1:62" ht="15.75" customHeight="1">
      <c r="A440" t="s">
        <v>57</v>
      </c>
      <c r="B440" s="7"/>
      <c r="C440" s="519" t="s">
        <v>470</v>
      </c>
      <c r="V440" s="494" t="s">
        <v>57</v>
      </c>
      <c r="W440" s="290" t="s">
        <v>156</v>
      </c>
      <c r="X440" s="283"/>
      <c r="Y440" s="291"/>
      <c r="Z440" s="284">
        <f t="shared" si="139"/>
        <v>1642.863691816365</v>
      </c>
      <c r="AA440" s="283"/>
      <c r="AB440" s="291"/>
      <c r="AC440" s="284">
        <f t="shared" si="140"/>
        <v>1642.863691816365</v>
      </c>
      <c r="AD440" s="292"/>
      <c r="AE440" s="291"/>
      <c r="AF440" s="284">
        <f t="shared" si="141"/>
        <v>2187.7199999999998</v>
      </c>
      <c r="AG440" s="285"/>
      <c r="AH440" s="286">
        <f t="shared" si="135"/>
        <v>544.85630818363484</v>
      </c>
      <c r="AI440" s="287">
        <f t="shared" si="144"/>
        <v>0.33165034378551317</v>
      </c>
      <c r="AJ440" s="292"/>
      <c r="AK440" s="283"/>
      <c r="AL440" s="284">
        <f t="shared" si="142"/>
        <v>2121.88</v>
      </c>
      <c r="AM440" s="288"/>
      <c r="AN440" s="286">
        <f t="shared" si="138"/>
        <v>65.839999999999691</v>
      </c>
      <c r="AO440" s="293">
        <f t="shared" si="143"/>
        <v>3.1029087413048658E-2</v>
      </c>
      <c r="AP440" s="250"/>
      <c r="AQ440" s="250"/>
      <c r="AR440" s="250"/>
      <c r="AS440" s="250"/>
      <c r="AT440" s="250"/>
      <c r="AU440" s="250"/>
      <c r="AV440" s="250"/>
      <c r="AW440" s="250"/>
      <c r="AX440" s="250"/>
      <c r="AY440" s="250"/>
      <c r="AZ440" s="250"/>
      <c r="BA440" s="250"/>
      <c r="BB440" s="250"/>
      <c r="BC440" s="250"/>
      <c r="BD440" s="250"/>
      <c r="BE440" s="250"/>
      <c r="BF440" s="250"/>
      <c r="BG440" s="250"/>
      <c r="BH440" s="250"/>
      <c r="BI440" s="250"/>
      <c r="BJ440" s="250"/>
    </row>
    <row r="441" spans="1:62" ht="15.75" customHeight="1">
      <c r="A441" t="s">
        <v>58</v>
      </c>
      <c r="B441" s="7"/>
      <c r="C441" s="519" t="s">
        <v>470</v>
      </c>
      <c r="U441" s="250"/>
      <c r="V441" s="494" t="s">
        <v>58</v>
      </c>
      <c r="W441" s="290" t="s">
        <v>157</v>
      </c>
      <c r="X441" s="283"/>
      <c r="Y441" s="283"/>
      <c r="Z441" s="284">
        <f t="shared" si="139"/>
        <v>872.97457858882672</v>
      </c>
      <c r="AA441" s="283"/>
      <c r="AB441" s="283"/>
      <c r="AC441" s="284">
        <f t="shared" si="140"/>
        <v>872.97457858882672</v>
      </c>
      <c r="AD441" s="292"/>
      <c r="AE441" s="291"/>
      <c r="AF441" s="284">
        <f t="shared" si="141"/>
        <v>632.98</v>
      </c>
      <c r="AG441" s="285"/>
      <c r="AH441" s="286">
        <f t="shared" si="135"/>
        <v>-239.9945785888267</v>
      </c>
      <c r="AI441" s="310">
        <f t="shared" si="144"/>
        <v>-0.27491588469481054</v>
      </c>
      <c r="AJ441" s="292"/>
      <c r="AK441" s="283"/>
      <c r="AL441" s="284">
        <f t="shared" si="142"/>
        <v>428.44</v>
      </c>
      <c r="AM441" s="288"/>
      <c r="AN441" s="286">
        <f t="shared" si="138"/>
        <v>204.54000000000002</v>
      </c>
      <c r="AO441" s="293">
        <f t="shared" si="143"/>
        <v>0.47740640463075346</v>
      </c>
      <c r="AP441" s="250"/>
      <c r="AQ441" s="250"/>
      <c r="AR441" s="250"/>
      <c r="AS441" s="250"/>
      <c r="AT441" s="250"/>
      <c r="AU441" s="250"/>
      <c r="AV441" s="250"/>
      <c r="AW441" s="250"/>
      <c r="AX441" s="250"/>
      <c r="AY441" s="250"/>
      <c r="AZ441" s="250"/>
      <c r="BA441" s="250"/>
      <c r="BB441" s="250"/>
      <c r="BC441" s="250"/>
      <c r="BD441" s="250"/>
      <c r="BE441" s="250"/>
      <c r="BF441" s="250"/>
      <c r="BG441" s="250"/>
      <c r="BH441" s="250"/>
      <c r="BI441" s="250"/>
      <c r="BJ441" s="250"/>
    </row>
    <row r="442" spans="1:62" ht="15.75" customHeight="1">
      <c r="A442" t="s">
        <v>59</v>
      </c>
      <c r="B442" s="7"/>
      <c r="C442" s="519" t="s">
        <v>470</v>
      </c>
      <c r="T442" s="250"/>
      <c r="U442" s="250"/>
      <c r="V442" s="494" t="s">
        <v>59</v>
      </c>
      <c r="W442" s="290" t="s">
        <v>158</v>
      </c>
      <c r="X442" s="283"/>
      <c r="Y442" s="283"/>
      <c r="Z442" s="284">
        <f t="shared" si="139"/>
        <v>2040.2009999999998</v>
      </c>
      <c r="AA442" s="283"/>
      <c r="AB442" s="283"/>
      <c r="AC442" s="284">
        <f t="shared" si="140"/>
        <v>2040.2009999999998</v>
      </c>
      <c r="AD442" s="292"/>
      <c r="AE442" s="291"/>
      <c r="AF442" s="284">
        <f t="shared" si="141"/>
        <v>2169.75</v>
      </c>
      <c r="AG442" s="285"/>
      <c r="AH442" s="286">
        <f t="shared" si="135"/>
        <v>129.54900000000021</v>
      </c>
      <c r="AI442" s="287">
        <f t="shared" si="144"/>
        <v>6.3498155328813297E-2</v>
      </c>
      <c r="AJ442" s="292"/>
      <c r="AK442" s="283"/>
      <c r="AL442" s="284">
        <f t="shared" si="142"/>
        <v>3711.12</v>
      </c>
      <c r="AM442" s="288"/>
      <c r="AN442" s="286">
        <f t="shared" si="138"/>
        <v>-1541.37</v>
      </c>
      <c r="AO442" s="293">
        <f t="shared" si="143"/>
        <v>-0.41533822673478626</v>
      </c>
      <c r="AP442" s="250"/>
      <c r="AQ442" s="250"/>
      <c r="AR442" s="250"/>
      <c r="AS442" s="250"/>
      <c r="AT442" s="250"/>
      <c r="AU442" s="250"/>
      <c r="AV442" s="250"/>
      <c r="AW442" s="250"/>
      <c r="AX442" s="250"/>
      <c r="AY442" s="250"/>
      <c r="AZ442" s="250"/>
      <c r="BA442" s="250"/>
      <c r="BB442" s="250"/>
      <c r="BC442" s="250"/>
      <c r="BD442" s="250"/>
      <c r="BE442" s="250"/>
      <c r="BF442" s="250"/>
      <c r="BG442" s="250"/>
      <c r="BH442" s="250"/>
      <c r="BI442" s="250"/>
      <c r="BJ442" s="250"/>
    </row>
    <row r="443" spans="1:62" ht="15.75" customHeight="1">
      <c r="A443" t="s">
        <v>60</v>
      </c>
      <c r="B443" s="7"/>
      <c r="C443" s="519" t="s">
        <v>470</v>
      </c>
      <c r="T443" s="250"/>
      <c r="U443" s="250"/>
      <c r="V443" s="494" t="s">
        <v>60</v>
      </c>
      <c r="W443" s="290" t="s">
        <v>159</v>
      </c>
      <c r="X443" s="283"/>
      <c r="Y443" s="283"/>
      <c r="Z443" s="284">
        <f t="shared" si="139"/>
        <v>942.07664583333337</v>
      </c>
      <c r="AA443" s="283"/>
      <c r="AB443" s="283"/>
      <c r="AC443" s="284">
        <f t="shared" si="140"/>
        <v>942.07664583333337</v>
      </c>
      <c r="AD443" s="292"/>
      <c r="AE443" s="291"/>
      <c r="AF443" s="284">
        <f t="shared" si="141"/>
        <v>941.78</v>
      </c>
      <c r="AG443" s="285"/>
      <c r="AH443" s="286">
        <f t="shared" si="135"/>
        <v>-0.29664583333340033</v>
      </c>
      <c r="AI443" s="310">
        <f t="shared" si="144"/>
        <v>-3.1488503047540908E-4</v>
      </c>
      <c r="AJ443" s="292"/>
      <c r="AK443" s="283"/>
      <c r="AL443" s="284">
        <f t="shared" si="142"/>
        <v>587.58000000000004</v>
      </c>
      <c r="AM443" s="288"/>
      <c r="AN443" s="286">
        <f t="shared" si="138"/>
        <v>354.19999999999993</v>
      </c>
      <c r="AO443" s="293">
        <f t="shared" si="143"/>
        <v>0.6028115320466999</v>
      </c>
      <c r="AP443" s="250"/>
      <c r="AQ443" s="250"/>
      <c r="AR443" s="250"/>
      <c r="AS443" s="250"/>
      <c r="AT443" s="250"/>
      <c r="AU443" s="250"/>
      <c r="AV443" s="250"/>
      <c r="AW443" s="250"/>
      <c r="AX443" s="250"/>
      <c r="AY443" s="250"/>
      <c r="AZ443" s="250"/>
      <c r="BA443" s="250"/>
      <c r="BB443" s="250"/>
      <c r="BC443" s="250"/>
      <c r="BD443" s="250"/>
      <c r="BE443" s="250"/>
      <c r="BF443" s="250"/>
      <c r="BG443" s="250"/>
      <c r="BH443" s="250"/>
      <c r="BI443" s="250"/>
      <c r="BJ443" s="250"/>
    </row>
    <row r="444" spans="1:62" ht="15.75" customHeight="1">
      <c r="A444" t="s">
        <v>61</v>
      </c>
      <c r="B444" s="7"/>
      <c r="C444" s="519" t="s">
        <v>470</v>
      </c>
      <c r="T444" s="250"/>
      <c r="U444" s="250"/>
      <c r="V444" s="494" t="s">
        <v>61</v>
      </c>
      <c r="W444" s="290" t="s">
        <v>160</v>
      </c>
      <c r="X444" s="283"/>
      <c r="Y444" s="283"/>
      <c r="Z444" s="284">
        <f t="shared" si="139"/>
        <v>502.86585416666657</v>
      </c>
      <c r="AA444" s="283"/>
      <c r="AB444" s="283"/>
      <c r="AC444" s="284">
        <f t="shared" si="140"/>
        <v>502.86585416666657</v>
      </c>
      <c r="AD444" s="292"/>
      <c r="AE444" s="291"/>
      <c r="AF444" s="284">
        <f t="shared" si="141"/>
        <v>193.2</v>
      </c>
      <c r="AG444" s="285"/>
      <c r="AH444" s="286">
        <f t="shared" si="135"/>
        <v>-309.66585416666658</v>
      </c>
      <c r="AI444" s="287">
        <f t="shared" si="144"/>
        <v>-0.61580211024635001</v>
      </c>
      <c r="AJ444" s="292"/>
      <c r="AK444" s="283"/>
      <c r="AL444" s="284">
        <f t="shared" si="142"/>
        <v>781.67000000000007</v>
      </c>
      <c r="AM444" s="288"/>
      <c r="AN444" s="286">
        <f t="shared" si="138"/>
        <v>-588.47</v>
      </c>
      <c r="AO444" s="293">
        <f t="shared" si="143"/>
        <v>-0.75283687489605589</v>
      </c>
      <c r="AP444" s="250"/>
      <c r="AQ444" s="250"/>
      <c r="AR444" s="250"/>
      <c r="AS444" s="250"/>
      <c r="AT444" s="250"/>
      <c r="AU444" s="250"/>
      <c r="AV444" s="250"/>
      <c r="AW444" s="250"/>
      <c r="AX444" s="250"/>
      <c r="AY444" s="250"/>
      <c r="AZ444" s="250"/>
      <c r="BA444" s="250"/>
      <c r="BB444" s="250"/>
      <c r="BC444" s="250"/>
      <c r="BD444" s="250"/>
      <c r="BE444" s="250"/>
      <c r="BF444" s="250"/>
      <c r="BG444" s="250"/>
      <c r="BH444" s="250"/>
      <c r="BI444" s="250"/>
      <c r="BJ444" s="250"/>
    </row>
    <row r="445" spans="1:62" ht="15.75" customHeight="1">
      <c r="A445" t="s">
        <v>62</v>
      </c>
      <c r="B445" s="7"/>
      <c r="C445" s="519" t="s">
        <v>470</v>
      </c>
      <c r="T445" s="250"/>
      <c r="U445" s="250"/>
      <c r="V445" s="494" t="s">
        <v>62</v>
      </c>
      <c r="W445" s="290" t="s">
        <v>161</v>
      </c>
      <c r="X445" s="283"/>
      <c r="Y445" s="291"/>
      <c r="Z445" s="284">
        <f t="shared" si="139"/>
        <v>2425.729979166666</v>
      </c>
      <c r="AA445" s="283"/>
      <c r="AB445" s="291"/>
      <c r="AC445" s="284">
        <f t="shared" si="140"/>
        <v>2425.729979166666</v>
      </c>
      <c r="AD445" s="292"/>
      <c r="AE445" s="291"/>
      <c r="AF445" s="284">
        <f t="shared" si="141"/>
        <v>196</v>
      </c>
      <c r="AG445" s="285"/>
      <c r="AH445" s="286">
        <f t="shared" si="135"/>
        <v>-2229.729979166666</v>
      </c>
      <c r="AI445" s="310">
        <f t="shared" si="144"/>
        <v>-0.91919958046305972</v>
      </c>
      <c r="AJ445" s="292"/>
      <c r="AK445" s="283"/>
      <c r="AL445" s="284">
        <f t="shared" si="142"/>
        <v>495.82999999999993</v>
      </c>
      <c r="AM445" s="288"/>
      <c r="AN445" s="286">
        <f t="shared" si="138"/>
        <v>-299.82999999999993</v>
      </c>
      <c r="AO445" s="293">
        <f t="shared" si="143"/>
        <v>-0.60470322489562944</v>
      </c>
      <c r="AP445" s="250"/>
      <c r="AQ445" s="250"/>
      <c r="AR445" s="250"/>
      <c r="AS445" s="250"/>
      <c r="AT445" s="250"/>
      <c r="AU445" s="250"/>
      <c r="AV445" s="250"/>
      <c r="AW445" s="250"/>
      <c r="AX445" s="250"/>
      <c r="AY445" s="250"/>
      <c r="AZ445" s="250"/>
      <c r="BA445" s="250"/>
      <c r="BB445" s="250"/>
      <c r="BC445" s="250"/>
      <c r="BD445" s="250"/>
      <c r="BE445" s="250"/>
      <c r="BF445" s="250"/>
      <c r="BG445" s="250"/>
      <c r="BH445" s="250"/>
      <c r="BI445" s="250"/>
      <c r="BJ445" s="250"/>
    </row>
    <row r="446" spans="1:62" ht="15.75" customHeight="1">
      <c r="A446" t="s">
        <v>63</v>
      </c>
      <c r="B446" s="7"/>
      <c r="C446" s="519" t="s">
        <v>470</v>
      </c>
      <c r="T446" s="250"/>
      <c r="U446" s="250"/>
      <c r="V446" s="494" t="s">
        <v>63</v>
      </c>
      <c r="W446" s="290" t="s">
        <v>162</v>
      </c>
      <c r="X446" s="283"/>
      <c r="Y446" s="291"/>
      <c r="Z446" s="284">
        <f t="shared" si="139"/>
        <v>3603.9258333333332</v>
      </c>
      <c r="AA446" s="283"/>
      <c r="AB446" s="291"/>
      <c r="AC446" s="284">
        <f t="shared" si="140"/>
        <v>3603.9258333333332</v>
      </c>
      <c r="AD446" s="292"/>
      <c r="AE446" s="291"/>
      <c r="AF446" s="284">
        <f t="shared" si="141"/>
        <v>1709.1399999999999</v>
      </c>
      <c r="AG446" s="285"/>
      <c r="AH446" s="286">
        <f t="shared" si="135"/>
        <v>-1894.7858333333334</v>
      </c>
      <c r="AI446" s="287">
        <f t="shared" si="144"/>
        <v>-0.52575605630064071</v>
      </c>
      <c r="AJ446" s="292"/>
      <c r="AK446" s="283"/>
      <c r="AL446" s="284">
        <f t="shared" si="142"/>
        <v>1926.4099999999999</v>
      </c>
      <c r="AM446" s="288"/>
      <c r="AN446" s="286">
        <f t="shared" si="138"/>
        <v>-217.26999999999998</v>
      </c>
      <c r="AO446" s="293">
        <f t="shared" si="143"/>
        <v>-0.11278492117462015</v>
      </c>
      <c r="AQ446" s="14"/>
      <c r="AR446" s="14"/>
      <c r="AS446" s="495" t="s">
        <v>496</v>
      </c>
      <c r="AT446" s="250"/>
      <c r="AU446" s="250"/>
      <c r="AV446" s="250"/>
      <c r="AW446" s="250"/>
      <c r="AX446" s="250"/>
      <c r="AY446" s="250"/>
      <c r="AZ446" s="250"/>
      <c r="BA446" s="250"/>
      <c r="BB446" s="250"/>
      <c r="BC446" s="250"/>
      <c r="BD446" s="250"/>
      <c r="BE446" s="250"/>
      <c r="BF446" s="250"/>
      <c r="BG446" s="250"/>
      <c r="BH446" s="250"/>
      <c r="BI446" s="250"/>
      <c r="BJ446" s="250"/>
    </row>
    <row r="447" spans="1:62" ht="15.75" customHeight="1">
      <c r="A447" t="s">
        <v>64</v>
      </c>
      <c r="B447" s="7"/>
      <c r="C447" s="519" t="s">
        <v>470</v>
      </c>
      <c r="T447" s="250"/>
      <c r="U447" s="250"/>
      <c r="V447" s="494" t="s">
        <v>64</v>
      </c>
      <c r="W447" s="290" t="s">
        <v>163</v>
      </c>
      <c r="X447" s="283"/>
      <c r="Y447" s="291"/>
      <c r="Z447" s="284">
        <f t="shared" si="139"/>
        <v>6444.1879269473675</v>
      </c>
      <c r="AA447" s="283"/>
      <c r="AB447" s="291"/>
      <c r="AC447" s="284">
        <f t="shared" si="140"/>
        <v>6444.1879269473675</v>
      </c>
      <c r="AD447" s="292"/>
      <c r="AE447" s="291"/>
      <c r="AF447" s="284">
        <f t="shared" si="141"/>
        <v>9084.06</v>
      </c>
      <c r="AG447" s="285"/>
      <c r="AH447" s="286">
        <f t="shared" si="135"/>
        <v>2639.872073052632</v>
      </c>
      <c r="AI447" s="287">
        <f t="shared" si="144"/>
        <v>0.40965162763388679</v>
      </c>
      <c r="AJ447" s="292"/>
      <c r="AK447" s="283"/>
      <c r="AL447" s="284">
        <v>6282.45</v>
      </c>
      <c r="AM447" s="288"/>
      <c r="AN447" s="286">
        <f t="shared" si="138"/>
        <v>2801.6099999999997</v>
      </c>
      <c r="AO447" s="293">
        <f t="shared" si="143"/>
        <v>0.44594226774586343</v>
      </c>
      <c r="AQ447" s="499" t="s">
        <v>497</v>
      </c>
      <c r="AR447" s="497"/>
      <c r="AS447" s="500">
        <v>43488.75</v>
      </c>
      <c r="AT447" s="250"/>
      <c r="AU447" s="250"/>
      <c r="AV447" s="250"/>
      <c r="AW447" s="250"/>
      <c r="AX447" s="250"/>
      <c r="AY447" s="250"/>
      <c r="AZ447" s="250"/>
      <c r="BA447" s="250"/>
      <c r="BB447" s="250"/>
      <c r="BC447" s="250"/>
      <c r="BD447" s="250"/>
      <c r="BE447" s="250"/>
      <c r="BF447" s="250"/>
      <c r="BG447" s="250"/>
      <c r="BH447" s="250"/>
      <c r="BI447" s="250"/>
      <c r="BJ447" s="250"/>
    </row>
    <row r="448" spans="1:62" ht="15.75" hidden="1" customHeight="1">
      <c r="A448" t="s">
        <v>21</v>
      </c>
      <c r="B448" s="7"/>
      <c r="C448" s="519" t="s">
        <v>470</v>
      </c>
      <c r="T448" s="250"/>
      <c r="U448" s="250"/>
      <c r="V448" s="494" t="s">
        <v>21</v>
      </c>
      <c r="W448" s="290"/>
      <c r="X448" s="283"/>
      <c r="Y448" s="291"/>
      <c r="Z448" s="284">
        <f>IFERROR(SUMIF($C:$C,$V448,F:F),0)</f>
        <v>0</v>
      </c>
      <c r="AA448" s="283"/>
      <c r="AB448" s="283"/>
      <c r="AC448" s="284">
        <f>IFERROR(SUMIF($C:$C,$V448,I:I),0)</f>
        <v>0</v>
      </c>
      <c r="AD448" s="292"/>
      <c r="AE448" s="291"/>
      <c r="AF448" s="284">
        <f>IFERROR(SUMIF($C:$C,$V448,L:L),0)</f>
        <v>0</v>
      </c>
      <c r="AG448" s="285"/>
      <c r="AH448" s="286">
        <f t="shared" si="135"/>
        <v>0</v>
      </c>
      <c r="AI448" s="287">
        <f t="shared" si="144"/>
        <v>0</v>
      </c>
      <c r="AJ448" s="292"/>
      <c r="AK448" s="283"/>
      <c r="AL448" s="284">
        <f>IFERROR(SUMIF($C:$C,$V448,Q:Q),0)</f>
        <v>0</v>
      </c>
      <c r="AM448" s="288"/>
      <c r="AN448" s="286">
        <f t="shared" si="138"/>
        <v>0</v>
      </c>
      <c r="AO448" s="293">
        <f t="shared" si="143"/>
        <v>0</v>
      </c>
      <c r="AP448" s="250"/>
      <c r="AQ448" s="250"/>
      <c r="AR448" s="250"/>
      <c r="AS448" s="250"/>
      <c r="AT448" s="250"/>
      <c r="AU448" s="250"/>
      <c r="AV448" s="250"/>
      <c r="AW448" s="250"/>
      <c r="AX448" s="250"/>
      <c r="AY448" s="250"/>
      <c r="AZ448" s="250"/>
      <c r="BA448" s="250"/>
      <c r="BB448" s="250"/>
      <c r="BC448" s="250"/>
      <c r="BD448" s="250"/>
      <c r="BE448" s="250"/>
      <c r="BF448" s="250"/>
      <c r="BG448" s="250"/>
      <c r="BH448" s="250"/>
      <c r="BI448" s="250"/>
      <c r="BJ448" s="250"/>
    </row>
    <row r="449" spans="1:62" ht="15.75" hidden="1" customHeight="1">
      <c r="A449" t="s">
        <v>21</v>
      </c>
      <c r="B449" s="7"/>
      <c r="C449" s="519" t="s">
        <v>470</v>
      </c>
      <c r="T449" s="250"/>
      <c r="U449" s="250"/>
      <c r="V449" s="494" t="s">
        <v>21</v>
      </c>
      <c r="W449" s="290"/>
      <c r="X449" s="283"/>
      <c r="Y449" s="291"/>
      <c r="Z449" s="284">
        <f>IFERROR(SUMIF($C:$C,$V449,F:F),0)</f>
        <v>0</v>
      </c>
      <c r="AA449" s="283"/>
      <c r="AB449" s="283"/>
      <c r="AC449" s="284">
        <f>IFERROR(SUMIF($C:$C,$V449,I:I),0)</f>
        <v>0</v>
      </c>
      <c r="AD449" s="292"/>
      <c r="AE449" s="291"/>
      <c r="AF449" s="284">
        <f>IFERROR(SUMIF($C:$C,$V449,L:L),0)</f>
        <v>0</v>
      </c>
      <c r="AG449" s="285"/>
      <c r="AH449" s="286">
        <f t="shared" si="135"/>
        <v>0</v>
      </c>
      <c r="AI449" s="287">
        <f t="shared" si="144"/>
        <v>0</v>
      </c>
      <c r="AJ449" s="292"/>
      <c r="AK449" s="283"/>
      <c r="AL449" s="284">
        <f>IFERROR(SUMIF($C:$C,$V449,Q:Q),0)</f>
        <v>0</v>
      </c>
      <c r="AM449" s="288"/>
      <c r="AN449" s="286">
        <f t="shared" si="138"/>
        <v>0</v>
      </c>
      <c r="AO449" s="293">
        <f t="shared" si="143"/>
        <v>0</v>
      </c>
      <c r="AP449" s="250"/>
      <c r="AQ449" s="250"/>
      <c r="AR449" s="250"/>
      <c r="AS449" s="250"/>
      <c r="AT449" s="250"/>
      <c r="AU449" s="250"/>
      <c r="AV449" s="250"/>
      <c r="AW449" s="250"/>
      <c r="AX449" s="250"/>
      <c r="AY449" s="250"/>
      <c r="AZ449" s="250"/>
      <c r="BA449" s="250"/>
      <c r="BB449" s="250"/>
      <c r="BC449" s="250"/>
      <c r="BD449" s="250"/>
      <c r="BE449" s="250"/>
      <c r="BF449" s="250"/>
      <c r="BG449" s="250"/>
      <c r="BH449" s="250"/>
      <c r="BI449" s="250"/>
      <c r="BJ449" s="250"/>
    </row>
    <row r="450" spans="1:62" ht="15.75" hidden="1" customHeight="1">
      <c r="A450" t="s">
        <v>21</v>
      </c>
      <c r="B450" s="7"/>
      <c r="C450" s="519" t="s">
        <v>470</v>
      </c>
      <c r="T450" s="250"/>
      <c r="U450" s="250"/>
      <c r="V450" s="494" t="s">
        <v>21</v>
      </c>
      <c r="W450" s="290"/>
      <c r="X450" s="283"/>
      <c r="Y450" s="291"/>
      <c r="Z450" s="284">
        <f>IFERROR(SUMIF($C:$C,$V450,F:F),0)</f>
        <v>0</v>
      </c>
      <c r="AA450" s="283"/>
      <c r="AB450" s="283"/>
      <c r="AC450" s="284">
        <f>IFERROR(SUMIF($C:$C,$V450,I:I),0)</f>
        <v>0</v>
      </c>
      <c r="AD450" s="292"/>
      <c r="AE450" s="291"/>
      <c r="AF450" s="284">
        <f>IFERROR(SUMIF($C:$C,$V450,L:L),0)</f>
        <v>0</v>
      </c>
      <c r="AG450" s="285"/>
      <c r="AH450" s="286">
        <f t="shared" si="135"/>
        <v>0</v>
      </c>
      <c r="AI450" s="287">
        <f t="shared" si="144"/>
        <v>0</v>
      </c>
      <c r="AJ450" s="292"/>
      <c r="AK450" s="283"/>
      <c r="AL450" s="284">
        <f>IFERROR(SUMIF($C:$C,$V450,Q:Q),0)</f>
        <v>0</v>
      </c>
      <c r="AM450" s="288"/>
      <c r="AN450" s="286">
        <f t="shared" si="138"/>
        <v>0</v>
      </c>
      <c r="AO450" s="293">
        <f t="shared" si="143"/>
        <v>0</v>
      </c>
      <c r="AP450" s="250"/>
      <c r="AQ450" s="250"/>
      <c r="AR450" s="250"/>
      <c r="AS450" s="250"/>
      <c r="AT450" s="250"/>
      <c r="AU450" s="250"/>
      <c r="AV450" s="250"/>
      <c r="AW450" s="250"/>
      <c r="AX450" s="250"/>
      <c r="AY450" s="250"/>
      <c r="AZ450" s="250"/>
      <c r="BA450" s="250"/>
      <c r="BB450" s="250"/>
      <c r="BC450" s="250"/>
      <c r="BD450" s="250"/>
      <c r="BE450" s="250"/>
      <c r="BF450" s="250"/>
      <c r="BG450" s="250"/>
      <c r="BH450" s="250"/>
      <c r="BI450" s="250"/>
      <c r="BJ450" s="250"/>
    </row>
    <row r="451" spans="1:62" ht="15.75" customHeight="1">
      <c r="A451" t="s">
        <v>65</v>
      </c>
      <c r="B451" s="7"/>
      <c r="C451" s="519" t="s">
        <v>470</v>
      </c>
      <c r="T451" s="250"/>
      <c r="U451" s="250"/>
      <c r="V451" s="300" t="s">
        <v>65</v>
      </c>
      <c r="W451" s="334"/>
      <c r="X451" s="302">
        <f>Z451/+Z406</f>
        <v>0.14125572752669138</v>
      </c>
      <c r="Y451" s="301"/>
      <c r="Z451" s="303">
        <f>+SUM(Z433:Z450)</f>
        <v>94151.120271449472</v>
      </c>
      <c r="AA451" s="302">
        <f>AC451/+AC406</f>
        <v>0.14125572752669138</v>
      </c>
      <c r="AB451" s="301"/>
      <c r="AC451" s="303">
        <f>+SUM(AC433:AC450)</f>
        <v>94151.120271449472</v>
      </c>
      <c r="AD451" s="304">
        <f>AF451/AF406</f>
        <v>0.13444254719681484</v>
      </c>
      <c r="AE451" s="301"/>
      <c r="AF451" s="303">
        <f>+SUM(AF433:AF450)</f>
        <v>104444.90999999999</v>
      </c>
      <c r="AG451" s="312"/>
      <c r="AH451" s="335">
        <f>+SUM(AH433:AH450)</f>
        <v>10293.789728550528</v>
      </c>
      <c r="AI451" s="302">
        <f>AH451/AC451</f>
        <v>0.10933263140016011</v>
      </c>
      <c r="AJ451" s="304">
        <f>IF($AL$406=0,0,AL451/$AL$406)</f>
        <v>0.15839594924017655</v>
      </c>
      <c r="AK451" s="302"/>
      <c r="AL451" s="303">
        <f>+SUM(AL433:AL450)</f>
        <v>90594.560000000012</v>
      </c>
      <c r="AM451" s="313"/>
      <c r="AN451" s="306">
        <f>+SUM(AN433:AN450)</f>
        <v>13850.350000000002</v>
      </c>
      <c r="AO451" s="336">
        <f>IF(AL451=0,0,AN451/AL451)</f>
        <v>0.15288280002684487</v>
      </c>
      <c r="AP451" s="250"/>
      <c r="AQ451" s="250"/>
      <c r="AR451" s="250"/>
      <c r="AS451" s="250"/>
      <c r="AT451" s="250"/>
      <c r="AU451" s="250"/>
      <c r="AV451" s="250"/>
      <c r="AW451" s="250"/>
      <c r="AX451" s="250"/>
      <c r="AY451" s="250"/>
      <c r="AZ451" s="250"/>
      <c r="BA451" s="250"/>
      <c r="BB451" s="250"/>
      <c r="BC451" s="250"/>
      <c r="BD451" s="250"/>
      <c r="BE451" s="250"/>
      <c r="BF451" s="250"/>
      <c r="BG451" s="250"/>
      <c r="BH451" s="250"/>
      <c r="BI451" s="250"/>
      <c r="BJ451" s="250"/>
    </row>
    <row r="452" spans="1:62" ht="15.75" customHeight="1">
      <c r="A452" t="s">
        <v>164</v>
      </c>
      <c r="B452" s="7"/>
      <c r="C452" s="519" t="s">
        <v>470</v>
      </c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494" t="s">
        <v>164</v>
      </c>
      <c r="W452" s="290" t="s">
        <v>165</v>
      </c>
      <c r="X452" s="283"/>
      <c r="Y452" s="291"/>
      <c r="Z452" s="284">
        <v>26000</v>
      </c>
      <c r="AA452" s="283"/>
      <c r="AB452" s="291"/>
      <c r="AC452" s="284">
        <v>26000</v>
      </c>
      <c r="AD452" s="292"/>
      <c r="AE452" s="291"/>
      <c r="AF452" s="284">
        <v>26000</v>
      </c>
      <c r="AG452" s="285"/>
      <c r="AH452" s="286">
        <f t="shared" ref="AH452:AH460" si="145">AF452-AC452</f>
        <v>0</v>
      </c>
      <c r="AI452" s="287">
        <f>IF(AC452=0,0,AH452/AC452)</f>
        <v>0</v>
      </c>
      <c r="AJ452" s="292"/>
      <c r="AK452" s="283"/>
      <c r="AL452" s="284">
        <v>26000</v>
      </c>
      <c r="AM452" s="288"/>
      <c r="AN452" s="286">
        <f t="shared" ref="AN452:AN460" si="146">AF452-AL452</f>
        <v>0</v>
      </c>
      <c r="AO452" s="293">
        <f t="shared" ref="AO452:AO460" si="147">IF(AL452=0,0,AN452/AL452)</f>
        <v>0</v>
      </c>
      <c r="AP452" s="250"/>
      <c r="AQ452" s="250"/>
      <c r="AR452" s="250"/>
      <c r="AS452" s="250"/>
      <c r="AT452" s="250"/>
      <c r="AU452" s="250"/>
      <c r="AV452" s="250"/>
      <c r="AW452" s="250"/>
      <c r="AX452" s="250"/>
      <c r="AY452" s="250"/>
      <c r="AZ452" s="250"/>
      <c r="BA452" s="250"/>
      <c r="BB452" s="250"/>
      <c r="BC452" s="250"/>
      <c r="BD452" s="250"/>
      <c r="BE452" s="250"/>
      <c r="BF452" s="250"/>
      <c r="BG452" s="250"/>
      <c r="BH452" s="250"/>
      <c r="BI452" s="250"/>
      <c r="BJ452" s="250"/>
    </row>
    <row r="453" spans="1:62" ht="15.75" customHeight="1">
      <c r="A453" t="s">
        <v>166</v>
      </c>
      <c r="B453" s="7"/>
      <c r="C453" s="519" t="s">
        <v>470</v>
      </c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494" t="s">
        <v>166</v>
      </c>
      <c r="W453" s="290" t="s">
        <v>167</v>
      </c>
      <c r="X453" s="283"/>
      <c r="Y453" s="291"/>
      <c r="Z453" s="284">
        <v>4930.2499999999991</v>
      </c>
      <c r="AA453" s="283"/>
      <c r="AB453" s="291"/>
      <c r="AC453" s="284">
        <v>4930.2499999999991</v>
      </c>
      <c r="AD453" s="292"/>
      <c r="AE453" s="291"/>
      <c r="AF453" s="284">
        <v>4930</v>
      </c>
      <c r="AG453" s="285"/>
      <c r="AH453" s="286">
        <f t="shared" si="145"/>
        <v>-0.24999999999909051</v>
      </c>
      <c r="AI453" s="287">
        <f t="shared" ref="AI453:AI460" si="148">IF(AC453=0,0,AH453/AC453)</f>
        <v>-5.0707367780354051E-5</v>
      </c>
      <c r="AJ453" s="292"/>
      <c r="AK453" s="283"/>
      <c r="AL453" s="284">
        <v>4810</v>
      </c>
      <c r="AM453" s="288"/>
      <c r="AN453" s="286">
        <f t="shared" si="146"/>
        <v>120</v>
      </c>
      <c r="AO453" s="293">
        <f t="shared" si="147"/>
        <v>2.4948024948024949E-2</v>
      </c>
      <c r="AP453" s="250"/>
      <c r="AQ453" s="250"/>
      <c r="AR453" s="250"/>
      <c r="AS453" s="250"/>
      <c r="AT453" s="250"/>
      <c r="AU453" s="250"/>
      <c r="AV453" s="250"/>
      <c r="AW453" s="250"/>
      <c r="AX453" s="250"/>
      <c r="AY453" s="250"/>
      <c r="AZ453" s="250"/>
      <c r="BA453" s="250"/>
      <c r="BB453" s="250"/>
      <c r="BC453" s="250"/>
      <c r="BD453" s="250"/>
      <c r="BE453" s="250"/>
      <c r="BF453" s="250"/>
      <c r="BG453" s="250"/>
      <c r="BH453" s="250"/>
      <c r="BI453" s="250"/>
      <c r="BJ453" s="250"/>
    </row>
    <row r="454" spans="1:62" ht="15.75" customHeight="1">
      <c r="A454" t="s">
        <v>168</v>
      </c>
      <c r="B454" s="7"/>
      <c r="C454" s="519" t="s">
        <v>470</v>
      </c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106" t="s">
        <v>168</v>
      </c>
      <c r="W454" s="294" t="s">
        <v>169</v>
      </c>
      <c r="X454" s="267"/>
      <c r="Y454" s="295"/>
      <c r="Z454" s="268">
        <v>3279.9999999999995</v>
      </c>
      <c r="AA454" s="267"/>
      <c r="AB454" s="295"/>
      <c r="AC454" s="268">
        <v>3279.9999999999995</v>
      </c>
      <c r="AD454" s="296"/>
      <c r="AE454" s="295"/>
      <c r="AF454" s="268">
        <v>3279.9999999999995</v>
      </c>
      <c r="AG454" s="269"/>
      <c r="AH454" s="270">
        <f t="shared" si="145"/>
        <v>0</v>
      </c>
      <c r="AI454" s="297">
        <f t="shared" si="148"/>
        <v>0</v>
      </c>
      <c r="AJ454" s="296"/>
      <c r="AK454" s="267"/>
      <c r="AL454" s="268">
        <v>3200</v>
      </c>
      <c r="AM454" s="272"/>
      <c r="AN454" s="270">
        <f t="shared" si="146"/>
        <v>79.999999999999545</v>
      </c>
      <c r="AO454" s="273">
        <f t="shared" si="147"/>
        <v>2.4999999999999859E-2</v>
      </c>
      <c r="AP454" s="250"/>
      <c r="AQ454" s="250"/>
      <c r="AR454" s="250"/>
      <c r="AS454" s="250"/>
      <c r="AT454" s="250"/>
      <c r="AU454" s="250"/>
      <c r="AV454" s="250"/>
      <c r="AW454" s="250"/>
      <c r="AX454" s="250"/>
      <c r="AY454" s="250"/>
      <c r="AZ454" s="250"/>
      <c r="BA454" s="250"/>
      <c r="BB454" s="250"/>
      <c r="BC454" s="250"/>
      <c r="BD454" s="250"/>
      <c r="BE454" s="250"/>
      <c r="BF454" s="250"/>
      <c r="BG454" s="250"/>
      <c r="BH454" s="250"/>
      <c r="BI454" s="250"/>
      <c r="BJ454" s="250"/>
    </row>
    <row r="455" spans="1:62" ht="15.75" customHeight="1">
      <c r="A455" t="s">
        <v>170</v>
      </c>
      <c r="B455" s="7"/>
      <c r="C455" s="519" t="s">
        <v>470</v>
      </c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494" t="s">
        <v>170</v>
      </c>
      <c r="W455" s="290"/>
      <c r="X455" s="283"/>
      <c r="Y455" s="291"/>
      <c r="Z455" s="284">
        <v>0</v>
      </c>
      <c r="AA455" s="283"/>
      <c r="AB455" s="291"/>
      <c r="AC455" s="284">
        <v>0</v>
      </c>
      <c r="AD455" s="292"/>
      <c r="AE455" s="291"/>
      <c r="AF455" s="284">
        <v>0</v>
      </c>
      <c r="AG455" s="285"/>
      <c r="AH455" s="286">
        <f t="shared" si="145"/>
        <v>0</v>
      </c>
      <c r="AI455" s="287">
        <f t="shared" si="148"/>
        <v>0</v>
      </c>
      <c r="AJ455" s="292"/>
      <c r="AK455" s="283"/>
      <c r="AL455" s="284">
        <v>0</v>
      </c>
      <c r="AM455" s="288"/>
      <c r="AN455" s="286">
        <f t="shared" si="146"/>
        <v>0</v>
      </c>
      <c r="AO455" s="293">
        <f t="shared" si="147"/>
        <v>0</v>
      </c>
      <c r="AP455" s="250"/>
      <c r="AQ455" s="250"/>
      <c r="AR455" s="250"/>
      <c r="AS455" s="250"/>
      <c r="AT455" s="250"/>
      <c r="AU455" s="250"/>
      <c r="AV455" s="250"/>
      <c r="AW455" s="250"/>
      <c r="AX455" s="250"/>
      <c r="AY455" s="250"/>
      <c r="AZ455" s="250"/>
      <c r="BA455" s="250"/>
      <c r="BB455" s="250"/>
      <c r="BC455" s="250"/>
      <c r="BD455" s="250"/>
      <c r="BE455" s="250"/>
      <c r="BF455" s="250"/>
      <c r="BG455" s="250"/>
      <c r="BH455" s="250"/>
      <c r="BI455" s="250"/>
      <c r="BJ455" s="250"/>
    </row>
    <row r="456" spans="1:62" ht="15.75" customHeight="1">
      <c r="A456" t="s">
        <v>171</v>
      </c>
      <c r="B456" s="7"/>
      <c r="C456" s="519" t="s">
        <v>470</v>
      </c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106" t="s">
        <v>171</v>
      </c>
      <c r="W456" s="294" t="s">
        <v>172</v>
      </c>
      <c r="X456" s="267"/>
      <c r="Y456" s="295"/>
      <c r="Z456" s="268">
        <v>4270.5833333333321</v>
      </c>
      <c r="AA456" s="267"/>
      <c r="AB456" s="295"/>
      <c r="AC456" s="268">
        <v>4270.5833333333321</v>
      </c>
      <c r="AD456" s="296"/>
      <c r="AE456" s="295"/>
      <c r="AF456" s="268">
        <v>4271</v>
      </c>
      <c r="AG456" s="269"/>
      <c r="AH456" s="270">
        <f t="shared" si="145"/>
        <v>0.41666666666787933</v>
      </c>
      <c r="AI456" s="297">
        <f t="shared" si="148"/>
        <v>9.7566686830732595E-5</v>
      </c>
      <c r="AJ456" s="296"/>
      <c r="AK456" s="267"/>
      <c r="AL456" s="268">
        <v>3708.11</v>
      </c>
      <c r="AM456" s="272"/>
      <c r="AN456" s="270">
        <f t="shared" si="146"/>
        <v>562.88999999999987</v>
      </c>
      <c r="AO456" s="273">
        <f t="shared" si="147"/>
        <v>0.15179970389227931</v>
      </c>
      <c r="AP456" s="250"/>
      <c r="AQ456" s="250"/>
      <c r="AR456" s="250"/>
      <c r="AS456" s="250"/>
      <c r="AT456" s="250"/>
      <c r="AU456" s="250"/>
      <c r="AV456" s="250"/>
      <c r="AW456" s="250"/>
      <c r="AX456" s="250"/>
      <c r="AY456" s="250"/>
      <c r="AZ456" s="250"/>
      <c r="BA456" s="250"/>
      <c r="BB456" s="250"/>
      <c r="BC456" s="250"/>
      <c r="BD456" s="250"/>
      <c r="BE456" s="250"/>
      <c r="BF456" s="250"/>
      <c r="BG456" s="250"/>
      <c r="BH456" s="250"/>
      <c r="BI456" s="250"/>
      <c r="BJ456" s="250"/>
    </row>
    <row r="457" spans="1:62" ht="15.75" customHeight="1">
      <c r="A457" t="s">
        <v>173</v>
      </c>
      <c r="B457" s="7"/>
      <c r="C457" s="519" t="s">
        <v>470</v>
      </c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494" t="s">
        <v>173</v>
      </c>
      <c r="W457" s="290" t="s">
        <v>174</v>
      </c>
      <c r="X457" s="337"/>
      <c r="Y457" s="338"/>
      <c r="Z457" s="284">
        <v>2838.4863750000004</v>
      </c>
      <c r="AA457" s="337"/>
      <c r="AB457" s="338"/>
      <c r="AC457" s="284">
        <v>2838.4863750000004</v>
      </c>
      <c r="AD457" s="292"/>
      <c r="AE457" s="291"/>
      <c r="AF457" s="529">
        <v>3714.91</v>
      </c>
      <c r="AG457" s="285"/>
      <c r="AH457" s="286">
        <f t="shared" si="145"/>
        <v>876.42362499999945</v>
      </c>
      <c r="AI457" s="287">
        <f t="shared" si="148"/>
        <v>0.30876442907005297</v>
      </c>
      <c r="AJ457" s="292"/>
      <c r="AK457" s="283"/>
      <c r="AL457" s="284">
        <v>3242.9200000000005</v>
      </c>
      <c r="AM457" s="288"/>
      <c r="AN457" s="286">
        <f t="shared" si="146"/>
        <v>471.98999999999933</v>
      </c>
      <c r="AO457" s="293">
        <f t="shared" si="147"/>
        <v>0.14554475596067717</v>
      </c>
      <c r="AP457" s="250"/>
      <c r="AQ457" s="250"/>
      <c r="AR457" s="250"/>
      <c r="AS457" s="250"/>
      <c r="AT457" s="250"/>
      <c r="AU457" s="250"/>
      <c r="AV457" s="250"/>
      <c r="AW457" s="250"/>
      <c r="AX457" s="250"/>
      <c r="AY457" s="250"/>
      <c r="AZ457" s="250"/>
      <c r="BA457" s="250"/>
      <c r="BB457" s="250"/>
      <c r="BC457" s="250"/>
      <c r="BD457" s="250"/>
      <c r="BE457" s="250"/>
      <c r="BF457" s="250"/>
      <c r="BG457" s="250"/>
      <c r="BH457" s="250"/>
      <c r="BI457" s="250"/>
      <c r="BJ457" s="250"/>
    </row>
    <row r="458" spans="1:62" ht="15.75" customHeight="1">
      <c r="A458" t="s">
        <v>175</v>
      </c>
      <c r="B458" s="7"/>
      <c r="C458" s="519" t="s">
        <v>470</v>
      </c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494" t="s">
        <v>175</v>
      </c>
      <c r="W458" s="290" t="s">
        <v>176</v>
      </c>
      <c r="X458" s="283"/>
      <c r="Y458" s="291"/>
      <c r="Z458" s="284">
        <v>6122.833333333333</v>
      </c>
      <c r="AA458" s="283"/>
      <c r="AB458" s="291"/>
      <c r="AC458" s="284">
        <v>6122.833333333333</v>
      </c>
      <c r="AD458" s="292"/>
      <c r="AE458" s="291"/>
      <c r="AF458" s="284">
        <v>6123.33</v>
      </c>
      <c r="AG458" s="285"/>
      <c r="AH458" s="286">
        <f t="shared" si="145"/>
        <v>0.49666666666689707</v>
      </c>
      <c r="AI458" s="287">
        <f t="shared" si="148"/>
        <v>8.1117129869106967E-5</v>
      </c>
      <c r="AJ458" s="292"/>
      <c r="AK458" s="283"/>
      <c r="AL458" s="284">
        <v>6217.0899999999992</v>
      </c>
      <c r="AM458" s="288"/>
      <c r="AN458" s="286">
        <f t="shared" si="146"/>
        <v>-93.759999999999309</v>
      </c>
      <c r="AO458" s="293">
        <f t="shared" si="147"/>
        <v>-1.5081010569253352E-2</v>
      </c>
      <c r="AP458" s="250"/>
      <c r="AQ458" s="250"/>
      <c r="AR458" s="250"/>
      <c r="AS458" s="250"/>
      <c r="AT458" s="250"/>
      <c r="AU458" s="250"/>
      <c r="AV458" s="250"/>
      <c r="AW458" s="250"/>
      <c r="AX458" s="250"/>
      <c r="AY458" s="250"/>
      <c r="AZ458" s="250"/>
      <c r="BA458" s="250"/>
      <c r="BB458" s="250"/>
      <c r="BC458" s="250"/>
      <c r="BD458" s="250"/>
      <c r="BE458" s="250"/>
      <c r="BF458" s="250"/>
      <c r="BG458" s="250"/>
      <c r="BH458" s="250"/>
      <c r="BI458" s="250"/>
      <c r="BJ458" s="250"/>
    </row>
    <row r="459" spans="1:62" ht="15.75" customHeight="1">
      <c r="A459" t="s">
        <v>177</v>
      </c>
      <c r="B459" s="7"/>
      <c r="C459" s="519" t="s">
        <v>470</v>
      </c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106" t="s">
        <v>177</v>
      </c>
      <c r="W459" s="294" t="s">
        <v>178</v>
      </c>
      <c r="X459" s="267"/>
      <c r="Y459" s="295"/>
      <c r="Z459" s="268">
        <v>1188.8599166666665</v>
      </c>
      <c r="AA459" s="267"/>
      <c r="AB459" s="295"/>
      <c r="AC459" s="268">
        <v>1188.8599166666665</v>
      </c>
      <c r="AD459" s="296"/>
      <c r="AE459" s="295"/>
      <c r="AF459" s="268">
        <v>1799.98</v>
      </c>
      <c r="AG459" s="269"/>
      <c r="AH459" s="270">
        <f t="shared" si="145"/>
        <v>611.12008333333347</v>
      </c>
      <c r="AI459" s="297">
        <f t="shared" si="148"/>
        <v>0.51403876501009138</v>
      </c>
      <c r="AJ459" s="296"/>
      <c r="AK459" s="267"/>
      <c r="AL459" s="268">
        <v>2180.09</v>
      </c>
      <c r="AM459" s="272"/>
      <c r="AN459" s="270">
        <f t="shared" si="146"/>
        <v>-380.11000000000013</v>
      </c>
      <c r="AO459" s="273">
        <f t="shared" si="147"/>
        <v>-0.17435518717117188</v>
      </c>
      <c r="AP459" s="250"/>
      <c r="AQ459" s="250"/>
      <c r="AR459" s="250"/>
      <c r="AS459" s="250"/>
      <c r="AT459" s="250"/>
      <c r="AU459" s="250"/>
      <c r="AV459" s="250"/>
      <c r="AW459" s="250"/>
      <c r="AX459" s="250"/>
      <c r="AY459" s="250"/>
      <c r="AZ459" s="250"/>
      <c r="BA459" s="250"/>
      <c r="BB459" s="250"/>
      <c r="BC459" s="250"/>
      <c r="BD459" s="250"/>
      <c r="BE459" s="250"/>
      <c r="BF459" s="250"/>
      <c r="BG459" s="250"/>
      <c r="BH459" s="250"/>
      <c r="BI459" s="250"/>
      <c r="BJ459" s="250"/>
    </row>
    <row r="460" spans="1:62" ht="15.75" customHeight="1">
      <c r="A460" t="s">
        <v>179</v>
      </c>
      <c r="B460" s="7"/>
      <c r="C460" s="519" t="s">
        <v>470</v>
      </c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339"/>
      <c r="V460" s="494" t="s">
        <v>179</v>
      </c>
      <c r="W460" s="290" t="s">
        <v>180</v>
      </c>
      <c r="X460" s="283"/>
      <c r="Y460" s="291"/>
      <c r="Z460" s="284">
        <v>230.625</v>
      </c>
      <c r="AA460" s="283"/>
      <c r="AB460" s="291"/>
      <c r="AC460" s="284">
        <v>230.625</v>
      </c>
      <c r="AD460" s="292"/>
      <c r="AE460" s="291"/>
      <c r="AF460" s="284">
        <v>0</v>
      </c>
      <c r="AG460" s="285"/>
      <c r="AH460" s="286">
        <f t="shared" si="145"/>
        <v>-230.625</v>
      </c>
      <c r="AI460" s="340">
        <f t="shared" si="148"/>
        <v>-1</v>
      </c>
      <c r="AJ460" s="283"/>
      <c r="AK460" s="283"/>
      <c r="AL460" s="284">
        <v>0</v>
      </c>
      <c r="AM460" s="288"/>
      <c r="AN460" s="286">
        <f t="shared" si="146"/>
        <v>0</v>
      </c>
      <c r="AO460" s="293">
        <f t="shared" si="147"/>
        <v>0</v>
      </c>
      <c r="AP460" s="250"/>
      <c r="AQ460" s="250"/>
      <c r="AR460" s="250"/>
      <c r="AS460" s="250"/>
      <c r="AT460" s="250"/>
      <c r="AU460" s="250"/>
      <c r="AV460" s="250"/>
      <c r="AW460" s="250"/>
      <c r="AX460" s="250"/>
      <c r="AY460" s="250"/>
      <c r="AZ460" s="250"/>
      <c r="BA460" s="250"/>
      <c r="BB460" s="250"/>
      <c r="BC460" s="250"/>
      <c r="BD460" s="250"/>
      <c r="BE460" s="250"/>
      <c r="BF460" s="250"/>
      <c r="BG460" s="250"/>
      <c r="BH460" s="250"/>
      <c r="BI460" s="250"/>
      <c r="BJ460" s="250"/>
    </row>
    <row r="461" spans="1:62" ht="15.75" customHeight="1">
      <c r="A461" t="s">
        <v>181</v>
      </c>
      <c r="B461" s="7"/>
      <c r="C461" s="519" t="s">
        <v>470</v>
      </c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339"/>
      <c r="V461" s="494" t="s">
        <v>181</v>
      </c>
      <c r="W461" s="290" t="s">
        <v>182</v>
      </c>
      <c r="X461" s="283"/>
      <c r="Y461" s="291"/>
      <c r="Z461" s="284">
        <v>0</v>
      </c>
      <c r="AA461" s="283"/>
      <c r="AB461" s="291"/>
      <c r="AC461" s="284">
        <v>0</v>
      </c>
      <c r="AD461" s="292"/>
      <c r="AE461" s="291"/>
      <c r="AF461" s="284">
        <v>0</v>
      </c>
      <c r="AG461" s="285"/>
      <c r="AH461" s="286">
        <v>0</v>
      </c>
      <c r="AI461" s="310">
        <v>0</v>
      </c>
      <c r="AJ461" s="283"/>
      <c r="AK461" s="283"/>
      <c r="AL461" s="284">
        <v>0</v>
      </c>
      <c r="AM461" s="288"/>
      <c r="AN461" s="286">
        <v>0</v>
      </c>
      <c r="AO461" s="293">
        <v>0</v>
      </c>
      <c r="AP461" s="250"/>
      <c r="AQ461" s="250"/>
      <c r="AR461" s="250"/>
      <c r="AS461" s="250"/>
      <c r="AT461" s="250"/>
      <c r="AU461" s="250"/>
      <c r="AV461" s="250"/>
      <c r="AW461" s="250"/>
      <c r="AX461" s="250"/>
      <c r="AY461" s="250"/>
      <c r="AZ461" s="250"/>
      <c r="BA461" s="250"/>
      <c r="BB461" s="250"/>
      <c r="BC461" s="250"/>
      <c r="BD461" s="250"/>
      <c r="BE461" s="250"/>
      <c r="BF461" s="250"/>
      <c r="BG461" s="250"/>
      <c r="BH461" s="250"/>
      <c r="BI461" s="250"/>
      <c r="BJ461" s="250"/>
    </row>
    <row r="462" spans="1:62" ht="15.75" hidden="1" customHeight="1">
      <c r="A462" t="s">
        <v>21</v>
      </c>
      <c r="B462" s="7"/>
      <c r="C462" s="519" t="s">
        <v>470</v>
      </c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339"/>
      <c r="V462" s="494" t="s">
        <v>21</v>
      </c>
      <c r="W462" s="290"/>
      <c r="X462" s="283"/>
      <c r="Y462" s="291"/>
      <c r="Z462" s="284">
        <f>IFERROR(SUMIF($C:$C,$V462,F:F),0)</f>
        <v>0</v>
      </c>
      <c r="AA462" s="283"/>
      <c r="AB462" s="283"/>
      <c r="AC462" s="284">
        <f>IFERROR(SUMIF($C:$C,$V462,I:I),0)</f>
        <v>0</v>
      </c>
      <c r="AD462" s="292"/>
      <c r="AE462" s="291"/>
      <c r="AF462" s="284">
        <f>IFERROR(SUMIF($C:$C,$V462,L:L),0)</f>
        <v>0</v>
      </c>
      <c r="AG462" s="285"/>
      <c r="AH462" s="286">
        <f t="shared" ref="AH462:AH464" si="149">AF462-AC462</f>
        <v>0</v>
      </c>
      <c r="AI462" s="287">
        <f t="shared" ref="AI462:AI464" si="150">IF(AC462=0,0,AH462/AC462)</f>
        <v>0</v>
      </c>
      <c r="AJ462" s="292"/>
      <c r="AK462" s="283"/>
      <c r="AL462" s="284">
        <f>IFERROR(SUMIF($C:$C,$V462,Q:Q),0)</f>
        <v>0</v>
      </c>
      <c r="AM462" s="288"/>
      <c r="AN462" s="286">
        <v>0</v>
      </c>
      <c r="AO462" s="293">
        <v>1</v>
      </c>
      <c r="AP462" s="250"/>
      <c r="AQ462" s="250"/>
      <c r="AR462" s="250"/>
      <c r="AS462" s="250"/>
      <c r="AT462" s="250"/>
      <c r="AU462" s="250"/>
      <c r="AV462" s="250"/>
      <c r="AW462" s="250"/>
      <c r="AX462" s="250"/>
      <c r="AY462" s="250"/>
      <c r="AZ462" s="250"/>
      <c r="BA462" s="250"/>
      <c r="BB462" s="250"/>
      <c r="BC462" s="250"/>
      <c r="BD462" s="250"/>
      <c r="BE462" s="250"/>
      <c r="BF462" s="250"/>
      <c r="BG462" s="250"/>
      <c r="BH462" s="250"/>
      <c r="BI462" s="250"/>
      <c r="BJ462" s="250"/>
    </row>
    <row r="463" spans="1:62" ht="15.75" hidden="1" customHeight="1">
      <c r="A463" t="s">
        <v>21</v>
      </c>
      <c r="B463" s="7"/>
      <c r="C463" s="519" t="s">
        <v>470</v>
      </c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339"/>
      <c r="V463" s="494" t="s">
        <v>21</v>
      </c>
      <c r="W463" s="290"/>
      <c r="X463" s="283"/>
      <c r="Y463" s="291"/>
      <c r="Z463" s="284">
        <f>IFERROR(SUMIF($C:$C,$V463,F:F),0)</f>
        <v>0</v>
      </c>
      <c r="AA463" s="283"/>
      <c r="AB463" s="283"/>
      <c r="AC463" s="284">
        <f>IFERROR(SUMIF($C:$C,$V463,I:I),0)</f>
        <v>0</v>
      </c>
      <c r="AD463" s="292"/>
      <c r="AE463" s="291"/>
      <c r="AF463" s="284">
        <f>IFERROR(SUMIF($C:$C,$V463,L:L),0)</f>
        <v>0</v>
      </c>
      <c r="AG463" s="285"/>
      <c r="AH463" s="286">
        <f t="shared" si="149"/>
        <v>0</v>
      </c>
      <c r="AI463" s="287">
        <f t="shared" si="150"/>
        <v>0</v>
      </c>
      <c r="AJ463" s="292"/>
      <c r="AK463" s="283"/>
      <c r="AL463" s="284">
        <f>IFERROR(SUMIF($C:$C,$V463,Q:Q),0)</f>
        <v>0</v>
      </c>
      <c r="AM463" s="288"/>
      <c r="AN463" s="286">
        <v>0</v>
      </c>
      <c r="AO463" s="293">
        <v>2</v>
      </c>
      <c r="AP463" s="250"/>
      <c r="AQ463" s="250"/>
      <c r="AR463" s="250"/>
      <c r="AS463" s="250"/>
      <c r="AT463" s="250"/>
      <c r="AU463" s="250"/>
      <c r="AV463" s="250"/>
      <c r="AW463" s="250"/>
      <c r="AX463" s="250"/>
      <c r="AY463" s="250"/>
      <c r="AZ463" s="250"/>
      <c r="BA463" s="250"/>
      <c r="BB463" s="250"/>
      <c r="BC463" s="250"/>
      <c r="BD463" s="250"/>
      <c r="BE463" s="250"/>
      <c r="BF463" s="250"/>
      <c r="BG463" s="250"/>
      <c r="BH463" s="250"/>
      <c r="BI463" s="250"/>
      <c r="BJ463" s="250"/>
    </row>
    <row r="464" spans="1:62" ht="15.75" hidden="1" customHeight="1">
      <c r="A464" t="s">
        <v>21</v>
      </c>
      <c r="B464" s="7"/>
      <c r="C464" s="519" t="s">
        <v>470</v>
      </c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494" t="s">
        <v>21</v>
      </c>
      <c r="W464" s="290"/>
      <c r="X464" s="283"/>
      <c r="Y464" s="291"/>
      <c r="Z464" s="284">
        <f>IFERROR(SUMIF($C:$C,$V464,F:F),0)</f>
        <v>0</v>
      </c>
      <c r="AA464" s="283"/>
      <c r="AB464" s="283"/>
      <c r="AC464" s="284">
        <f>IFERROR(SUMIF($C:$C,$V464,I:I),0)</f>
        <v>0</v>
      </c>
      <c r="AD464" s="292"/>
      <c r="AE464" s="291"/>
      <c r="AF464" s="284">
        <f>IFERROR(SUMIF($C:$C,$V464,L:L),0)</f>
        <v>0</v>
      </c>
      <c r="AG464" s="285"/>
      <c r="AH464" s="286">
        <f t="shared" si="149"/>
        <v>0</v>
      </c>
      <c r="AI464" s="287">
        <f t="shared" si="150"/>
        <v>0</v>
      </c>
      <c r="AJ464" s="292"/>
      <c r="AK464" s="283"/>
      <c r="AL464" s="284">
        <f>IFERROR(SUMIF($C:$C,$V464,Q:Q),0)</f>
        <v>0</v>
      </c>
      <c r="AM464" s="288"/>
      <c r="AN464" s="286">
        <v>0</v>
      </c>
      <c r="AO464" s="293">
        <v>3</v>
      </c>
      <c r="AP464" s="250"/>
      <c r="AQ464" s="250"/>
      <c r="AR464" s="250"/>
      <c r="AS464" s="250"/>
      <c r="AT464" s="250"/>
      <c r="AU464" s="250"/>
      <c r="AV464" s="250"/>
      <c r="AW464" s="250"/>
      <c r="AX464" s="250"/>
      <c r="AY464" s="250"/>
      <c r="AZ464" s="250"/>
      <c r="BA464" s="250"/>
      <c r="BB464" s="250"/>
      <c r="BC464" s="250"/>
      <c r="BD464" s="250"/>
      <c r="BE464" s="250"/>
      <c r="BF464" s="250"/>
      <c r="BG464" s="250"/>
      <c r="BH464" s="250"/>
      <c r="BI464" s="250"/>
      <c r="BJ464" s="250"/>
    </row>
    <row r="465" spans="1:62" ht="15.75" customHeight="1">
      <c r="A465" t="s">
        <v>183</v>
      </c>
      <c r="B465" s="7"/>
      <c r="C465" s="519" t="s">
        <v>470</v>
      </c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300" t="s">
        <v>183</v>
      </c>
      <c r="W465" s="301"/>
      <c r="X465" s="302">
        <f>Z465/+Z406</f>
        <v>7.3307531530701742E-2</v>
      </c>
      <c r="Y465" s="301"/>
      <c r="Z465" s="303">
        <f>SUM(Z452:Z464)</f>
        <v>48861.637958333333</v>
      </c>
      <c r="AA465" s="302">
        <f>AC465/+AC406</f>
        <v>7.3307531530701742E-2</v>
      </c>
      <c r="AB465" s="301"/>
      <c r="AC465" s="303">
        <f>SUM(AC452:AC464)</f>
        <v>48861.637958333333</v>
      </c>
      <c r="AD465" s="304">
        <f>AF465/AF406</f>
        <v>6.451396818013963E-2</v>
      </c>
      <c r="AE465" s="301"/>
      <c r="AF465" s="303">
        <f>SUM(AF452:AF464)</f>
        <v>50119.220000000008</v>
      </c>
      <c r="AG465" s="312"/>
      <c r="AH465" s="530">
        <f>SUM(AH452:AH464)</f>
        <v>1257.5820416666686</v>
      </c>
      <c r="AI465" s="531">
        <f>IF(AC465=0,0,AH465/AC465)</f>
        <v>2.5737615319794831E-2</v>
      </c>
      <c r="AJ465" s="304">
        <f>IF($AL$406=0,0,AL465/$AL$406)</f>
        <v>8.6298123482756284E-2</v>
      </c>
      <c r="AK465" s="302"/>
      <c r="AL465" s="303">
        <f>SUM(AL452:AL464)</f>
        <v>49358.209999999992</v>
      </c>
      <c r="AM465" s="313"/>
      <c r="AN465" s="306">
        <f>SUM(AN452:AN464)</f>
        <v>761.00999999999931</v>
      </c>
      <c r="AO465" s="336">
        <f>IF(AL465=0,0,AN465/AL465)</f>
        <v>1.5418103695413578E-2</v>
      </c>
      <c r="AP465" s="250"/>
      <c r="AQ465" s="250"/>
      <c r="AR465" s="250"/>
      <c r="AS465" s="250"/>
      <c r="AT465" s="250"/>
      <c r="AU465" s="250"/>
      <c r="AV465" s="250"/>
      <c r="AW465" s="250"/>
      <c r="AX465" s="250"/>
      <c r="AY465" s="250"/>
      <c r="AZ465" s="250"/>
      <c r="BA465" s="250"/>
      <c r="BB465" s="250"/>
      <c r="BC465" s="250"/>
      <c r="BD465" s="250"/>
      <c r="BE465" s="250"/>
      <c r="BF465" s="250"/>
      <c r="BG465" s="250"/>
      <c r="BH465" s="250"/>
      <c r="BI465" s="250"/>
      <c r="BJ465" s="250"/>
    </row>
    <row r="466" spans="1:62" ht="15.75" customHeight="1">
      <c r="A466" t="s">
        <v>472</v>
      </c>
      <c r="B466" s="7"/>
      <c r="C466" s="519" t="s">
        <v>470</v>
      </c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494"/>
      <c r="W466" s="283"/>
      <c r="X466" s="283"/>
      <c r="Y466" s="283"/>
      <c r="Z466" s="342"/>
      <c r="AA466" s="283"/>
      <c r="AB466" s="283"/>
      <c r="AC466" s="342"/>
      <c r="AD466" s="292"/>
      <c r="AE466" s="283"/>
      <c r="AF466" s="342"/>
      <c r="AG466" s="292"/>
      <c r="AH466" s="286">
        <f t="shared" ref="AH466:AH480" si="151">AF466-AC466</f>
        <v>0</v>
      </c>
      <c r="AI466" s="287"/>
      <c r="AJ466" s="292"/>
      <c r="AK466" s="283"/>
      <c r="AL466" s="342"/>
      <c r="AM466" s="343"/>
      <c r="AN466" s="286">
        <f t="shared" ref="AN466:AN482" si="152">AF466-AL466</f>
        <v>0</v>
      </c>
      <c r="AO466" s="344">
        <f>IF(AL466=0,0,AN466/AL466)</f>
        <v>0</v>
      </c>
      <c r="AP466" s="250"/>
      <c r="AQ466" s="250"/>
      <c r="AR466" s="250"/>
      <c r="AS466" s="250"/>
      <c r="AT466" s="250"/>
      <c r="AU466" s="250"/>
      <c r="AV466" s="250"/>
      <c r="AW466" s="250"/>
      <c r="AX466" s="250"/>
      <c r="AY466" s="250"/>
      <c r="AZ466" s="250"/>
      <c r="BA466" s="250"/>
      <c r="BB466" s="250"/>
      <c r="BC466" s="250"/>
      <c r="BD466" s="250"/>
      <c r="BE466" s="250"/>
      <c r="BF466" s="250"/>
      <c r="BG466" s="250"/>
      <c r="BH466" s="250"/>
      <c r="BI466" s="250"/>
      <c r="BJ466" s="250"/>
    </row>
    <row r="467" spans="1:62" ht="15.75" customHeight="1">
      <c r="A467" t="s">
        <v>66</v>
      </c>
      <c r="B467" s="7"/>
      <c r="C467" s="519" t="s">
        <v>470</v>
      </c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300" t="s">
        <v>66</v>
      </c>
      <c r="W467" s="301"/>
      <c r="X467" s="302">
        <f>Z467/+Z406</f>
        <v>0.89226442866383426</v>
      </c>
      <c r="Y467" s="301"/>
      <c r="Z467" s="303">
        <f>Z418+Z432+Z451+Z465</f>
        <v>594720.63192050671</v>
      </c>
      <c r="AA467" s="302">
        <f>AC467/+AC406</f>
        <v>0.89226442866383426</v>
      </c>
      <c r="AB467" s="301"/>
      <c r="AC467" s="303">
        <f>AC418+AC432+AC451+AC465</f>
        <v>594720.63192050671</v>
      </c>
      <c r="AD467" s="304">
        <f>AF467/AF406</f>
        <v>0.76644418998588382</v>
      </c>
      <c r="AE467" s="301"/>
      <c r="AF467" s="303">
        <f>AF418+AF432+AF451+AF465</f>
        <v>595430.51</v>
      </c>
      <c r="AG467" s="312"/>
      <c r="AH467" s="306">
        <f t="shared" si="151"/>
        <v>709.87807949329726</v>
      </c>
      <c r="AI467" s="302">
        <f>AH467/AC467</f>
        <v>1.1936328443842908E-3</v>
      </c>
      <c r="AJ467" s="304">
        <f>IF($AL$406=0,0,AL467/$AL$406)</f>
        <v>0.90472297944655922</v>
      </c>
      <c r="AK467" s="302"/>
      <c r="AL467" s="303">
        <f>AL418+AL432+AL451+AL465</f>
        <v>517456.29000000004</v>
      </c>
      <c r="AM467" s="313"/>
      <c r="AN467" s="306">
        <f t="shared" si="152"/>
        <v>77974.219999999972</v>
      </c>
      <c r="AO467" s="281">
        <f>IF(AL467=0,0,AN467/AL467)</f>
        <v>0.15068754889422634</v>
      </c>
      <c r="AP467" s="250"/>
      <c r="AQ467" s="250"/>
      <c r="AR467" s="250"/>
      <c r="AS467" s="250"/>
      <c r="AT467" s="250"/>
      <c r="AU467" s="250"/>
      <c r="AV467" s="250"/>
      <c r="AW467" s="250"/>
      <c r="AX467" s="250"/>
      <c r="AY467" s="250"/>
      <c r="AZ467" s="250"/>
      <c r="BA467" s="250"/>
      <c r="BB467" s="250"/>
      <c r="BC467" s="250"/>
      <c r="BD467" s="250"/>
      <c r="BE467" s="250"/>
      <c r="BF467" s="250"/>
      <c r="BG467" s="250"/>
      <c r="BH467" s="250"/>
      <c r="BI467" s="250"/>
      <c r="BJ467" s="250"/>
    </row>
    <row r="468" spans="1:62" ht="15.75" customHeight="1">
      <c r="A468" t="s">
        <v>184</v>
      </c>
      <c r="B468" s="7"/>
      <c r="C468" s="519" t="s">
        <v>470</v>
      </c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494" t="s">
        <v>184</v>
      </c>
      <c r="W468" s="338"/>
      <c r="X468" s="338"/>
      <c r="Y468" s="283"/>
      <c r="Z468" s="317">
        <v>26232.22</v>
      </c>
      <c r="AA468" s="345"/>
      <c r="AB468" s="346"/>
      <c r="AC468" s="317">
        <v>26232.22</v>
      </c>
      <c r="AD468" s="347"/>
      <c r="AE468" s="346"/>
      <c r="AF468" s="284">
        <v>22048.36</v>
      </c>
      <c r="AG468" s="348"/>
      <c r="AH468" s="286">
        <f t="shared" si="151"/>
        <v>-4183.8600000000006</v>
      </c>
      <c r="AI468" s="340">
        <f t="shared" ref="AI468:AI475" si="153">IF(AH468=0,0,AH468/AC468)</f>
        <v>-0.15949317289958687</v>
      </c>
      <c r="AJ468" s="347"/>
      <c r="AK468" s="345"/>
      <c r="AL468" s="349">
        <v>26221.98</v>
      </c>
      <c r="AM468" s="350"/>
      <c r="AN468" s="286">
        <f t="shared" si="152"/>
        <v>-4173.619999999999</v>
      </c>
      <c r="AO468" s="293">
        <f>IF(AL468=0,0,AN468/AL468)</f>
        <v>-0.15916494482872762</v>
      </c>
      <c r="AP468" s="250"/>
      <c r="AQ468" s="250"/>
      <c r="AR468" s="250"/>
      <c r="AS468" s="250"/>
      <c r="AT468" s="250"/>
      <c r="AU468" s="250"/>
      <c r="AV468" s="250"/>
      <c r="AW468" s="250"/>
      <c r="AX468" s="250"/>
      <c r="AY468" s="250"/>
      <c r="AZ468" s="250"/>
      <c r="BA468" s="250"/>
      <c r="BB468" s="250"/>
      <c r="BC468" s="250"/>
      <c r="BD468" s="250"/>
      <c r="BE468" s="250"/>
      <c r="BF468" s="250"/>
      <c r="BG468" s="250"/>
      <c r="BH468" s="250"/>
      <c r="BI468" s="250"/>
      <c r="BJ468" s="250"/>
    </row>
    <row r="469" spans="1:62" ht="18">
      <c r="A469" t="s">
        <v>70</v>
      </c>
      <c r="B469" s="7"/>
      <c r="C469" s="519" t="s">
        <v>470</v>
      </c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494" t="s">
        <v>70</v>
      </c>
      <c r="W469" s="283"/>
      <c r="X469" s="283"/>
      <c r="Y469" s="283"/>
      <c r="Z469" s="284">
        <f t="shared" ref="Z469:Z475" si="154">+SUMIF($C:$C,$V469,F:F)</f>
        <v>85775.868325301184</v>
      </c>
      <c r="AA469" s="337"/>
      <c r="AB469" s="286"/>
      <c r="AC469" s="284">
        <f t="shared" ref="AC469:AC475" si="155">+SUMIF($C:$C,$V469,I:I)</f>
        <v>85775.868325301184</v>
      </c>
      <c r="AD469" s="354"/>
      <c r="AE469" s="532"/>
      <c r="AF469" s="284">
        <f t="shared" ref="AF469:AF475" si="156">+SUMIF($C:$C,$V469,L:L)</f>
        <v>101582.07</v>
      </c>
      <c r="AG469" s="352"/>
      <c r="AH469" s="286">
        <f t="shared" si="151"/>
        <v>15806.201674698823</v>
      </c>
      <c r="AI469" s="310">
        <f>IF(AC469=0,0,AH469/AC469)</f>
        <v>0.18427329251572835</v>
      </c>
      <c r="AJ469" s="351"/>
      <c r="AK469" s="337"/>
      <c r="AL469" s="353">
        <f t="shared" ref="AL469:AL475" si="157">+SUMIF($C:$C,$V469,Q:Q)</f>
        <v>94670.15</v>
      </c>
      <c r="AM469" s="354"/>
      <c r="AN469" s="286">
        <f t="shared" si="152"/>
        <v>6911.9200000000128</v>
      </c>
      <c r="AO469" s="293">
        <f>IF(AL469=0,0,AN469/AL469)</f>
        <v>7.3010552956766339E-2</v>
      </c>
      <c r="AP469" s="250"/>
      <c r="AQ469" s="250"/>
      <c r="AR469" s="250"/>
      <c r="AS469" s="250"/>
      <c r="AT469" s="250"/>
      <c r="AU469" s="250"/>
      <c r="AV469" s="250"/>
      <c r="AW469" s="250"/>
      <c r="AX469" s="250"/>
      <c r="AY469" s="250"/>
      <c r="AZ469" s="250"/>
      <c r="BA469" s="250"/>
      <c r="BB469" s="250"/>
      <c r="BC469" s="250"/>
      <c r="BD469" s="250"/>
      <c r="BE469" s="250"/>
      <c r="BF469" s="250"/>
      <c r="BG469" s="250"/>
      <c r="BH469" s="250"/>
      <c r="BI469" s="250"/>
      <c r="BJ469" s="250"/>
    </row>
    <row r="470" spans="1:62" ht="15.75" customHeight="1">
      <c r="A470" t="s">
        <v>200</v>
      </c>
      <c r="B470" s="7"/>
      <c r="C470" s="519" t="s">
        <v>470</v>
      </c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494" t="s">
        <v>200</v>
      </c>
      <c r="W470" s="283"/>
      <c r="X470" s="283"/>
      <c r="Y470" s="283"/>
      <c r="Z470" s="284">
        <f t="shared" si="154"/>
        <v>0</v>
      </c>
      <c r="AA470" s="337"/>
      <c r="AB470" s="338"/>
      <c r="AC470" s="284">
        <f t="shared" si="155"/>
        <v>0</v>
      </c>
      <c r="AD470" s="351"/>
      <c r="AF470" s="284">
        <f t="shared" si="156"/>
        <v>0</v>
      </c>
      <c r="AG470" s="352"/>
      <c r="AH470" s="286">
        <f t="shared" si="151"/>
        <v>0</v>
      </c>
      <c r="AI470" s="310">
        <f t="shared" si="153"/>
        <v>0</v>
      </c>
      <c r="AJ470" s="351"/>
      <c r="AK470" s="337"/>
      <c r="AL470" s="353">
        <f t="shared" si="157"/>
        <v>0</v>
      </c>
      <c r="AM470" s="354"/>
      <c r="AN470" s="286">
        <f t="shared" si="152"/>
        <v>0</v>
      </c>
      <c r="AO470" s="293">
        <f t="shared" ref="AO470:AO479" si="158">IF(AL470=0,0,AN470/AL470)</f>
        <v>0</v>
      </c>
      <c r="AP470" s="250"/>
      <c r="AQ470" s="250"/>
      <c r="AR470" s="250"/>
      <c r="AS470" s="250"/>
      <c r="AT470" s="250"/>
      <c r="AU470" s="250"/>
      <c r="AV470" s="250"/>
      <c r="AW470" s="250"/>
      <c r="AX470" s="250"/>
      <c r="AY470" s="250"/>
      <c r="AZ470" s="250"/>
      <c r="BA470" s="250"/>
      <c r="BB470" s="250"/>
      <c r="BC470" s="250"/>
      <c r="BD470" s="250"/>
      <c r="BE470" s="250"/>
      <c r="BF470" s="250"/>
      <c r="BG470" s="250"/>
      <c r="BH470" s="250"/>
      <c r="BI470" s="250"/>
      <c r="BJ470" s="250"/>
    </row>
    <row r="471" spans="1:62" ht="15.75" customHeight="1">
      <c r="A471" t="s">
        <v>197</v>
      </c>
      <c r="B471" s="7"/>
      <c r="C471" s="519" t="s">
        <v>470</v>
      </c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494" t="s">
        <v>197</v>
      </c>
      <c r="W471" s="283"/>
      <c r="X471" s="283"/>
      <c r="Y471" s="283"/>
      <c r="Z471" s="284">
        <f t="shared" si="154"/>
        <v>0</v>
      </c>
      <c r="AA471" s="337"/>
      <c r="AB471" s="338"/>
      <c r="AC471" s="284">
        <f t="shared" si="155"/>
        <v>0</v>
      </c>
      <c r="AD471" s="351"/>
      <c r="AE471" s="338"/>
      <c r="AF471" s="284">
        <f t="shared" si="156"/>
        <v>0</v>
      </c>
      <c r="AG471" s="352"/>
      <c r="AH471" s="286">
        <f t="shared" si="151"/>
        <v>0</v>
      </c>
      <c r="AI471" s="310">
        <f t="shared" si="153"/>
        <v>0</v>
      </c>
      <c r="AJ471" s="351"/>
      <c r="AK471" s="337"/>
      <c r="AL471" s="353">
        <f t="shared" si="157"/>
        <v>0</v>
      </c>
      <c r="AM471" s="354"/>
      <c r="AN471" s="286">
        <f t="shared" si="152"/>
        <v>0</v>
      </c>
      <c r="AO471" s="293">
        <f t="shared" si="158"/>
        <v>0</v>
      </c>
      <c r="AP471" s="250"/>
      <c r="AQ471" s="250"/>
      <c r="AR471" s="250"/>
      <c r="AS471" s="250"/>
      <c r="AT471" s="250"/>
      <c r="AU471" s="250"/>
      <c r="AV471" s="250"/>
      <c r="AW471" s="250"/>
      <c r="AX471" s="250"/>
      <c r="AY471" s="250"/>
      <c r="AZ471" s="250"/>
      <c r="BA471" s="250"/>
      <c r="BB471" s="250"/>
      <c r="BC471" s="250"/>
      <c r="BD471" s="250"/>
      <c r="BE471" s="250"/>
      <c r="BF471" s="250"/>
      <c r="BG471" s="250"/>
      <c r="BH471" s="250"/>
      <c r="BI471" s="250"/>
      <c r="BJ471" s="250"/>
    </row>
    <row r="472" spans="1:62" ht="15.75" customHeight="1">
      <c r="A472" t="s">
        <v>69</v>
      </c>
      <c r="B472" s="7"/>
      <c r="C472" s="519" t="s">
        <v>470</v>
      </c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494" t="s">
        <v>69</v>
      </c>
      <c r="W472" s="283"/>
      <c r="X472" s="283"/>
      <c r="Y472" s="283"/>
      <c r="Z472" s="284">
        <f t="shared" si="154"/>
        <v>0</v>
      </c>
      <c r="AA472" s="337"/>
      <c r="AB472" s="338"/>
      <c r="AC472" s="284">
        <f t="shared" si="155"/>
        <v>0</v>
      </c>
      <c r="AD472" s="351"/>
      <c r="AE472" s="338"/>
      <c r="AF472" s="284">
        <f t="shared" si="156"/>
        <v>0</v>
      </c>
      <c r="AG472" s="352"/>
      <c r="AH472" s="286">
        <f t="shared" si="151"/>
        <v>0</v>
      </c>
      <c r="AI472" s="310">
        <f t="shared" si="153"/>
        <v>0</v>
      </c>
      <c r="AJ472" s="351"/>
      <c r="AK472" s="337"/>
      <c r="AL472" s="353">
        <f t="shared" si="157"/>
        <v>0</v>
      </c>
      <c r="AM472" s="354"/>
      <c r="AN472" s="286">
        <f t="shared" si="152"/>
        <v>0</v>
      </c>
      <c r="AO472" s="293">
        <f t="shared" si="158"/>
        <v>0</v>
      </c>
      <c r="AP472" s="250"/>
      <c r="AQ472" s="250"/>
      <c r="AR472" s="250"/>
      <c r="AS472" s="250"/>
      <c r="AT472" s="250"/>
      <c r="AU472" s="250"/>
      <c r="AV472" s="250"/>
      <c r="AW472" s="250"/>
      <c r="AX472" s="250"/>
      <c r="AY472" s="250"/>
      <c r="AZ472" s="250"/>
      <c r="BA472" s="250"/>
      <c r="BB472" s="250"/>
      <c r="BC472" s="250"/>
      <c r="BD472" s="250"/>
      <c r="BE472" s="250"/>
      <c r="BF472" s="250"/>
      <c r="BG472" s="250"/>
      <c r="BH472" s="250"/>
      <c r="BI472" s="250"/>
      <c r="BJ472" s="250"/>
    </row>
    <row r="473" spans="1:62" ht="15.75" customHeight="1">
      <c r="A473" t="s">
        <v>215</v>
      </c>
      <c r="B473" s="7"/>
      <c r="C473" s="519" t="s">
        <v>470</v>
      </c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494" t="s">
        <v>215</v>
      </c>
      <c r="W473" s="283"/>
      <c r="X473" s="283"/>
      <c r="Y473" s="283"/>
      <c r="Z473" s="284">
        <f t="shared" si="154"/>
        <v>0</v>
      </c>
      <c r="AA473" s="337"/>
      <c r="AB473" s="338"/>
      <c r="AC473" s="284">
        <f t="shared" si="155"/>
        <v>0</v>
      </c>
      <c r="AD473" s="351"/>
      <c r="AE473" s="338"/>
      <c r="AF473" s="284">
        <f t="shared" si="156"/>
        <v>0</v>
      </c>
      <c r="AG473" s="352"/>
      <c r="AH473" s="286">
        <f t="shared" si="151"/>
        <v>0</v>
      </c>
      <c r="AI473" s="310">
        <f t="shared" si="153"/>
        <v>0</v>
      </c>
      <c r="AJ473" s="351"/>
      <c r="AK473" s="337"/>
      <c r="AL473" s="353">
        <f t="shared" si="157"/>
        <v>0</v>
      </c>
      <c r="AM473" s="354"/>
      <c r="AN473" s="286">
        <f t="shared" si="152"/>
        <v>0</v>
      </c>
      <c r="AO473" s="293">
        <f t="shared" si="158"/>
        <v>0</v>
      </c>
      <c r="AP473" s="250"/>
      <c r="AQ473" s="250"/>
      <c r="AR473" s="250"/>
      <c r="AS473" s="250"/>
      <c r="AT473" s="250"/>
      <c r="AU473" s="250"/>
      <c r="AV473" s="250"/>
      <c r="AW473" s="250"/>
      <c r="AX473" s="250"/>
      <c r="AY473" s="250"/>
      <c r="AZ473" s="250"/>
      <c r="BA473" s="250"/>
      <c r="BB473" s="250"/>
      <c r="BC473" s="250"/>
      <c r="BD473" s="250"/>
      <c r="BE473" s="250"/>
      <c r="BF473" s="250"/>
      <c r="BG473" s="250"/>
      <c r="BH473" s="250"/>
      <c r="BI473" s="250"/>
      <c r="BJ473" s="250"/>
    </row>
    <row r="474" spans="1:62" ht="15.75" customHeight="1">
      <c r="A474" t="s">
        <v>82</v>
      </c>
      <c r="B474" s="7"/>
      <c r="C474" s="519" t="s">
        <v>470</v>
      </c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494" t="s">
        <v>82</v>
      </c>
      <c r="W474" s="283"/>
      <c r="X474" s="283"/>
      <c r="Y474" s="283"/>
      <c r="Z474" s="284">
        <f t="shared" si="154"/>
        <v>0</v>
      </c>
      <c r="AA474" s="337"/>
      <c r="AB474" s="338"/>
      <c r="AC474" s="284">
        <f t="shared" si="155"/>
        <v>0</v>
      </c>
      <c r="AD474" s="351"/>
      <c r="AE474" s="338"/>
      <c r="AF474" s="284">
        <f t="shared" si="156"/>
        <v>0</v>
      </c>
      <c r="AG474" s="352"/>
      <c r="AH474" s="286">
        <f t="shared" si="151"/>
        <v>0</v>
      </c>
      <c r="AI474" s="310">
        <f t="shared" si="153"/>
        <v>0</v>
      </c>
      <c r="AJ474" s="351"/>
      <c r="AK474" s="337"/>
      <c r="AL474" s="353">
        <f t="shared" si="157"/>
        <v>0</v>
      </c>
      <c r="AM474" s="354"/>
      <c r="AN474" s="286">
        <f t="shared" si="152"/>
        <v>0</v>
      </c>
      <c r="AO474" s="293">
        <f t="shared" si="158"/>
        <v>0</v>
      </c>
      <c r="AP474" s="250"/>
      <c r="AQ474" s="250"/>
      <c r="AR474" s="250"/>
      <c r="AS474" s="250"/>
      <c r="AT474" s="250"/>
      <c r="AU474" s="250"/>
      <c r="AV474" s="250"/>
      <c r="AW474" s="250"/>
      <c r="AX474" s="250"/>
      <c r="AY474" s="250"/>
      <c r="AZ474" s="250"/>
      <c r="BA474" s="250"/>
      <c r="BB474" s="250"/>
      <c r="BC474" s="250"/>
      <c r="BD474" s="250"/>
      <c r="BE474" s="250"/>
      <c r="BF474" s="250"/>
      <c r="BG474" s="250"/>
      <c r="BH474" s="250"/>
      <c r="BI474" s="250"/>
      <c r="BJ474" s="250"/>
    </row>
    <row r="475" spans="1:62" ht="15.75" customHeight="1">
      <c r="A475" t="s">
        <v>83</v>
      </c>
      <c r="B475" s="7"/>
      <c r="C475" s="519" t="s">
        <v>470</v>
      </c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494" t="s">
        <v>83</v>
      </c>
      <c r="W475" s="283"/>
      <c r="X475" s="283"/>
      <c r="Y475" s="283"/>
      <c r="Z475" s="284">
        <f t="shared" si="154"/>
        <v>0</v>
      </c>
      <c r="AA475" s="337"/>
      <c r="AB475" s="338"/>
      <c r="AC475" s="284">
        <f t="shared" si="155"/>
        <v>0</v>
      </c>
      <c r="AD475" s="351"/>
      <c r="AE475" s="338"/>
      <c r="AF475" s="284">
        <f t="shared" si="156"/>
        <v>0</v>
      </c>
      <c r="AG475" s="352"/>
      <c r="AH475" s="286">
        <f t="shared" si="151"/>
        <v>0</v>
      </c>
      <c r="AI475" s="310">
        <f t="shared" si="153"/>
        <v>0</v>
      </c>
      <c r="AJ475" s="351"/>
      <c r="AK475" s="337"/>
      <c r="AL475" s="353">
        <f t="shared" si="157"/>
        <v>0</v>
      </c>
      <c r="AM475" s="354"/>
      <c r="AN475" s="286">
        <f t="shared" si="152"/>
        <v>0</v>
      </c>
      <c r="AO475" s="293">
        <f t="shared" si="158"/>
        <v>0</v>
      </c>
      <c r="AP475" s="250"/>
      <c r="AQ475" s="250"/>
      <c r="AR475" s="250"/>
      <c r="AS475" s="250"/>
      <c r="AT475" s="250"/>
      <c r="AU475" s="250"/>
      <c r="AV475" s="250"/>
      <c r="AW475" s="250"/>
      <c r="AX475" s="250"/>
      <c r="AY475" s="250"/>
      <c r="AZ475" s="250"/>
      <c r="BA475" s="250"/>
      <c r="BB475" s="250"/>
      <c r="BC475" s="250"/>
      <c r="BD475" s="250"/>
      <c r="BE475" s="250"/>
      <c r="BF475" s="250"/>
      <c r="BG475" s="250"/>
      <c r="BH475" s="250"/>
      <c r="BI475" s="250"/>
      <c r="BJ475" s="250"/>
    </row>
    <row r="476" spans="1:62" ht="15.75" hidden="1" customHeight="1">
      <c r="A476" t="s">
        <v>21</v>
      </c>
      <c r="B476" s="7"/>
      <c r="C476" s="519" t="s">
        <v>470</v>
      </c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494" t="s">
        <v>21</v>
      </c>
      <c r="W476" s="283"/>
      <c r="X476" s="283"/>
      <c r="Y476" s="283"/>
      <c r="Z476" s="284">
        <f>IFERROR(SUMIF($C:$C,$V476,F:F),0)</f>
        <v>0</v>
      </c>
      <c r="AA476" s="283"/>
      <c r="AB476" s="283"/>
      <c r="AC476" s="284">
        <f>IFERROR(SUMIF($C:$C,$V476,I:I),0)</f>
        <v>0</v>
      </c>
      <c r="AD476" s="292"/>
      <c r="AE476" s="291"/>
      <c r="AF476" s="284">
        <f>IFERROR(SUMIF($C:$C,$V476,L:L),0)</f>
        <v>0</v>
      </c>
      <c r="AG476" s="285"/>
      <c r="AH476" s="286">
        <f t="shared" si="151"/>
        <v>0</v>
      </c>
      <c r="AI476" s="287">
        <f t="shared" ref="AI476:AI478" si="159">IF(AC476=0,0,AH476/AC476)</f>
        <v>0</v>
      </c>
      <c r="AJ476" s="292"/>
      <c r="AK476" s="283"/>
      <c r="AL476" s="284">
        <f>IFERROR(SUMIF($C:$C,$V476,Q:Q),0)</f>
        <v>0</v>
      </c>
      <c r="AM476" s="354"/>
      <c r="AN476" s="286">
        <f t="shared" si="152"/>
        <v>0</v>
      </c>
      <c r="AO476" s="293">
        <f t="shared" si="158"/>
        <v>0</v>
      </c>
      <c r="AP476" s="250"/>
      <c r="AQ476" s="250"/>
      <c r="AR476" s="250"/>
      <c r="AS476" s="250"/>
      <c r="AT476" s="250"/>
      <c r="AU476" s="250"/>
      <c r="AV476" s="250"/>
      <c r="AW476" s="250"/>
      <c r="AX476" s="250"/>
      <c r="AY476" s="250"/>
      <c r="AZ476" s="250"/>
      <c r="BA476" s="250"/>
      <c r="BB476" s="250"/>
      <c r="BC476" s="250"/>
      <c r="BD476" s="250"/>
      <c r="BE476" s="250"/>
      <c r="BF476" s="250"/>
      <c r="BG476" s="250"/>
      <c r="BH476" s="250"/>
      <c r="BI476" s="250"/>
      <c r="BJ476" s="250"/>
    </row>
    <row r="477" spans="1:62" ht="15.75" hidden="1" customHeight="1">
      <c r="A477" t="s">
        <v>21</v>
      </c>
      <c r="B477" s="7"/>
      <c r="C477" s="519" t="s">
        <v>470</v>
      </c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494" t="s">
        <v>21</v>
      </c>
      <c r="W477" s="283"/>
      <c r="X477" s="283"/>
      <c r="Y477" s="283"/>
      <c r="Z477" s="284">
        <f>IFERROR(SUMIF($C:$C,$V477,F:F),0)</f>
        <v>0</v>
      </c>
      <c r="AA477" s="283"/>
      <c r="AB477" s="283"/>
      <c r="AC477" s="284">
        <f>IFERROR(SUMIF($C:$C,$V477,I:I),0)</f>
        <v>0</v>
      </c>
      <c r="AD477" s="292"/>
      <c r="AE477" s="291"/>
      <c r="AF477" s="284">
        <f>IFERROR(SUMIF($C:$C,$V477,L:L),0)</f>
        <v>0</v>
      </c>
      <c r="AG477" s="285"/>
      <c r="AH477" s="286">
        <f t="shared" si="151"/>
        <v>0</v>
      </c>
      <c r="AI477" s="287">
        <f t="shared" si="159"/>
        <v>0</v>
      </c>
      <c r="AJ477" s="292"/>
      <c r="AK477" s="283"/>
      <c r="AL477" s="284">
        <f>IFERROR(SUMIF($C:$C,$V477,Q:Q),0)</f>
        <v>0</v>
      </c>
      <c r="AM477" s="354"/>
      <c r="AN477" s="286">
        <f t="shared" si="152"/>
        <v>0</v>
      </c>
      <c r="AO477" s="293">
        <f t="shared" si="158"/>
        <v>0</v>
      </c>
      <c r="AP477" s="250"/>
      <c r="AQ477" s="250"/>
      <c r="AR477" s="250"/>
      <c r="AS477" s="250"/>
      <c r="AT477" s="250"/>
      <c r="AU477" s="250"/>
      <c r="AV477" s="250"/>
      <c r="AW477" s="250"/>
      <c r="AX477" s="250"/>
      <c r="AY477" s="250"/>
      <c r="AZ477" s="250"/>
      <c r="BA477" s="250"/>
      <c r="BB477" s="250"/>
      <c r="BC477" s="250"/>
      <c r="BD477" s="250"/>
      <c r="BE477" s="250"/>
      <c r="BF477" s="250"/>
      <c r="BG477" s="250"/>
      <c r="BH477" s="250"/>
      <c r="BI477" s="250"/>
      <c r="BJ477" s="250"/>
    </row>
    <row r="478" spans="1:62" ht="15.75" hidden="1" customHeight="1">
      <c r="A478" t="s">
        <v>21</v>
      </c>
      <c r="B478" s="7"/>
      <c r="C478" s="519" t="s">
        <v>470</v>
      </c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494" t="s">
        <v>21</v>
      </c>
      <c r="W478" s="283"/>
      <c r="X478" s="283"/>
      <c r="Y478" s="283"/>
      <c r="Z478" s="284">
        <f>IFERROR(SUMIF($C:$C,$V478,F:F),0)</f>
        <v>0</v>
      </c>
      <c r="AA478" s="283"/>
      <c r="AB478" s="283"/>
      <c r="AC478" s="284">
        <f>IFERROR(SUMIF($C:$C,$V478,I:I),0)</f>
        <v>0</v>
      </c>
      <c r="AD478" s="292"/>
      <c r="AE478" s="291"/>
      <c r="AF478" s="284">
        <f>IFERROR(SUMIF($C:$C,$V478,L:L),0)</f>
        <v>0</v>
      </c>
      <c r="AG478" s="285"/>
      <c r="AH478" s="286">
        <f t="shared" si="151"/>
        <v>0</v>
      </c>
      <c r="AI478" s="287">
        <f t="shared" si="159"/>
        <v>0</v>
      </c>
      <c r="AJ478" s="292"/>
      <c r="AK478" s="283"/>
      <c r="AL478" s="284">
        <f>IFERROR(SUMIF($C:$C,$V478,Q:Q),0)</f>
        <v>0</v>
      </c>
      <c r="AM478" s="354"/>
      <c r="AN478" s="286">
        <f t="shared" si="152"/>
        <v>0</v>
      </c>
      <c r="AO478" s="293">
        <f t="shared" si="158"/>
        <v>0</v>
      </c>
      <c r="AP478" s="250"/>
      <c r="AQ478" s="250"/>
      <c r="AR478" s="250"/>
      <c r="AS478" s="250"/>
      <c r="AT478" s="250"/>
      <c r="AU478" s="250"/>
      <c r="AV478" s="250"/>
      <c r="AW478" s="250"/>
      <c r="AX478" s="250"/>
      <c r="AY478" s="250"/>
      <c r="AZ478" s="250"/>
      <c r="BA478" s="250"/>
      <c r="BB478" s="250"/>
      <c r="BC478" s="250"/>
      <c r="BD478" s="250"/>
      <c r="BE478" s="250"/>
      <c r="BF478" s="250"/>
      <c r="BG478" s="250"/>
      <c r="BH478" s="250"/>
      <c r="BI478" s="250"/>
      <c r="BJ478" s="250"/>
    </row>
    <row r="479" spans="1:62" ht="15.75" customHeight="1">
      <c r="A479" t="s">
        <v>71</v>
      </c>
      <c r="B479" s="7"/>
      <c r="C479" s="519" t="s">
        <v>470</v>
      </c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106" t="s">
        <v>71</v>
      </c>
      <c r="W479" s="283"/>
      <c r="X479" s="283"/>
      <c r="Y479" s="283"/>
      <c r="Z479" s="284">
        <f>+SUMIF($C:$C,$V479,F:F)</f>
        <v>44624.348158290006</v>
      </c>
      <c r="AA479" s="337"/>
      <c r="AB479" s="338"/>
      <c r="AC479" s="284">
        <f>+SUMIF($C:$C,$V479,I:I)</f>
        <v>44624.348158290006</v>
      </c>
      <c r="AD479" s="533">
        <f>AF479/399</f>
        <v>106.31578947368421</v>
      </c>
      <c r="AE479" s="534">
        <f>(AF479/399)/(J13+J15+J96)</f>
        <v>0.96650717703349276</v>
      </c>
      <c r="AF479" s="284">
        <f>+SUMIF($C:$C,$V479,L:L)</f>
        <v>42420</v>
      </c>
      <c r="AG479" s="352"/>
      <c r="AH479" s="286">
        <f t="shared" si="151"/>
        <v>-2204.3481582900058</v>
      </c>
      <c r="AI479" s="310">
        <f>IF(AH479=0,0,AH479/AC479)</f>
        <v>-4.9397879168359284E-2</v>
      </c>
      <c r="AJ479" s="351"/>
      <c r="AK479" s="337"/>
      <c r="AL479" s="353">
        <f>+SUMIF($C:$C,$V479,Q:Q)</f>
        <v>34298.99</v>
      </c>
      <c r="AM479" s="354"/>
      <c r="AN479" s="286">
        <f t="shared" si="152"/>
        <v>8121.010000000002</v>
      </c>
      <c r="AO479" s="293">
        <f t="shared" si="158"/>
        <v>0.2367711119190391</v>
      </c>
      <c r="AP479" s="250"/>
      <c r="AQ479" s="250"/>
      <c r="AR479" s="250"/>
      <c r="AS479" s="250"/>
      <c r="AT479" s="250"/>
      <c r="AU479" s="250"/>
      <c r="AV479" s="250"/>
      <c r="AW479" s="250"/>
      <c r="AX479" s="250"/>
      <c r="AY479" s="250"/>
      <c r="AZ479" s="250"/>
      <c r="BA479" s="250"/>
      <c r="BB479" s="250"/>
      <c r="BC479" s="250"/>
      <c r="BD479" s="250"/>
      <c r="BE479" s="250"/>
      <c r="BF479" s="250"/>
      <c r="BG479" s="250"/>
      <c r="BH479" s="250"/>
      <c r="BI479" s="250"/>
      <c r="BJ479" s="250"/>
    </row>
    <row r="480" spans="1:62" ht="15.75" customHeight="1">
      <c r="A480" t="s">
        <v>185</v>
      </c>
      <c r="B480" s="7"/>
      <c r="C480" s="519" t="s">
        <v>470</v>
      </c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300" t="s">
        <v>185</v>
      </c>
      <c r="W480" s="301"/>
      <c r="X480" s="302">
        <f>Z480/+Z406</f>
        <v>0.23499697832567626</v>
      </c>
      <c r="Y480" s="334"/>
      <c r="Z480" s="303">
        <f>SUM(Z468:Z479)</f>
        <v>156632.43648359118</v>
      </c>
      <c r="AA480" s="302">
        <f>AC480/+AC406</f>
        <v>0.23499697832567626</v>
      </c>
      <c r="AB480" s="334"/>
      <c r="AC480" s="303">
        <f>SUM(AC468:AC479)</f>
        <v>156632.43648359118</v>
      </c>
      <c r="AD480" s="302">
        <f>AF480/+AF406</f>
        <v>0.21374179720511416</v>
      </c>
      <c r="AE480" s="334"/>
      <c r="AF480" s="303">
        <f>SUM(AF468:AF479)</f>
        <v>166050.43</v>
      </c>
      <c r="AG480" s="312"/>
      <c r="AH480" s="306">
        <f t="shared" si="151"/>
        <v>9417.9935164088092</v>
      </c>
      <c r="AI480" s="302">
        <f>AH480/AC480</f>
        <v>6.0127989628734647E-2</v>
      </c>
      <c r="AJ480" s="355"/>
      <c r="AK480" s="356"/>
      <c r="AL480" s="303">
        <f>SUM(AL468:AL479)</f>
        <v>155191.12</v>
      </c>
      <c r="AM480" s="357"/>
      <c r="AN480" s="306">
        <f t="shared" si="152"/>
        <v>10859.309999999998</v>
      </c>
      <c r="AO480" s="336">
        <f>IF(AL480=0,0,AN480/AL480)</f>
        <v>6.9973784582519918E-2</v>
      </c>
      <c r="AP480" s="250"/>
      <c r="AQ480" s="250"/>
      <c r="AR480" s="250"/>
      <c r="AS480" s="250"/>
      <c r="AT480" s="250"/>
      <c r="AU480" s="250"/>
      <c r="AV480" s="250"/>
      <c r="AW480" s="250"/>
      <c r="AX480" s="250"/>
      <c r="AY480" s="250"/>
      <c r="AZ480" s="250"/>
      <c r="BA480" s="250"/>
      <c r="BB480" s="250"/>
      <c r="BC480" s="250"/>
      <c r="BD480" s="250"/>
      <c r="BE480" s="250"/>
      <c r="BF480" s="250"/>
      <c r="BG480" s="250"/>
      <c r="BH480" s="250"/>
      <c r="BI480" s="250"/>
      <c r="BJ480" s="250"/>
    </row>
    <row r="481" spans="1:62" ht="15.75" customHeight="1" thickBot="1">
      <c r="A481" t="s">
        <v>472</v>
      </c>
      <c r="B481" s="7"/>
      <c r="C481" s="519" t="s">
        <v>470</v>
      </c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359"/>
      <c r="W481" s="360"/>
      <c r="X481" s="360"/>
      <c r="Y481" s="361"/>
      <c r="Z481" s="362"/>
      <c r="AA481" s="360"/>
      <c r="AB481" s="363"/>
      <c r="AC481" s="362"/>
      <c r="AD481" s="360"/>
      <c r="AE481" s="363"/>
      <c r="AF481" s="364"/>
      <c r="AG481" s="365"/>
      <c r="AH481" s="366"/>
      <c r="AI481" s="367"/>
      <c r="AJ481" s="368"/>
      <c r="AK481" s="369"/>
      <c r="AL481" s="364"/>
      <c r="AM481" s="370"/>
      <c r="AN481" s="366">
        <f t="shared" si="152"/>
        <v>0</v>
      </c>
      <c r="AO481" s="371">
        <f t="shared" ref="AO481" si="160">IF(AL481=0,0,AN481/AL481)</f>
        <v>0</v>
      </c>
      <c r="AP481" s="250"/>
      <c r="AQ481" s="250"/>
      <c r="AR481" s="250"/>
      <c r="AS481" s="250"/>
      <c r="AT481" s="250"/>
      <c r="AU481" s="250"/>
      <c r="AV481" s="250"/>
      <c r="AW481" s="250"/>
      <c r="AX481" s="250"/>
      <c r="AY481" s="250"/>
      <c r="AZ481" s="250"/>
      <c r="BA481" s="250"/>
      <c r="BB481" s="250"/>
      <c r="BC481" s="250"/>
      <c r="BD481" s="250"/>
      <c r="BE481" s="250"/>
      <c r="BF481" s="250"/>
      <c r="BG481" s="250"/>
      <c r="BH481" s="250"/>
      <c r="BI481" s="250"/>
      <c r="BJ481" s="250"/>
    </row>
    <row r="482" spans="1:62" ht="15.75" customHeight="1" thickTop="1" thickBot="1">
      <c r="A482" t="s">
        <v>186</v>
      </c>
      <c r="B482" s="7"/>
      <c r="C482" s="519" t="s">
        <v>470</v>
      </c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372" t="s">
        <v>186</v>
      </c>
      <c r="W482" s="373"/>
      <c r="X482" s="374" t="s">
        <v>187</v>
      </c>
      <c r="Y482" s="375">
        <f>Z482/Z405</f>
        <v>4.317478493800108E-2</v>
      </c>
      <c r="Z482" s="376">
        <f>Z406-Z467+Z480</f>
        <v>228441.38123925062</v>
      </c>
      <c r="AA482" s="374" t="s">
        <v>187</v>
      </c>
      <c r="AB482" s="375">
        <f>AC482/AC405</f>
        <v>4.317478493800108E-2</v>
      </c>
      <c r="AC482" s="376">
        <f>AC406-AC467+AC480</f>
        <v>228441.38123925062</v>
      </c>
      <c r="AD482" s="374" t="s">
        <v>187</v>
      </c>
      <c r="AE482" s="375">
        <f>AF482/AF405</f>
        <v>5.7026190206597702E-2</v>
      </c>
      <c r="AF482" s="377">
        <f>AF406-AF467+AF480</f>
        <v>347493.84999999969</v>
      </c>
      <c r="AG482" s="378"/>
      <c r="AH482" s="378">
        <f>AF482-AC482</f>
        <v>119052.46876074906</v>
      </c>
      <c r="AI482" s="379">
        <f>AH482/AC482</f>
        <v>0.52115106341465933</v>
      </c>
      <c r="AJ482" s="380" t="s">
        <v>187</v>
      </c>
      <c r="AK482" s="375">
        <f>IF($AL$405=0,0,AL482/$AL$405)</f>
        <v>3.9925160776674636E-2</v>
      </c>
      <c r="AL482" s="377">
        <f>AL406-AL467+AL480</f>
        <v>209684.81000000006</v>
      </c>
      <c r="AM482" s="381"/>
      <c r="AN482" s="377">
        <f t="shared" si="152"/>
        <v>137809.03999999963</v>
      </c>
      <c r="AO482" s="382">
        <f>IF(AL482=0,0,AN482/AL482)</f>
        <v>0.6572199483596336</v>
      </c>
      <c r="AP482" s="250"/>
      <c r="AQ482" s="250"/>
      <c r="AR482" s="250"/>
      <c r="AS482" s="250"/>
      <c r="AT482" s="250"/>
      <c r="AU482" s="250"/>
      <c r="AV482" s="250"/>
      <c r="AW482" s="250"/>
      <c r="AX482" s="250"/>
      <c r="AY482" s="250"/>
      <c r="AZ482" s="250"/>
      <c r="BA482" s="250"/>
      <c r="BB482" s="250"/>
      <c r="BC482" s="250"/>
      <c r="BD482" s="250"/>
      <c r="BE482" s="250"/>
      <c r="BF482" s="250"/>
      <c r="BG482" s="250"/>
      <c r="BH482" s="250"/>
      <c r="BI482" s="250"/>
      <c r="BJ482" s="250"/>
    </row>
    <row r="483" spans="1:62" ht="15.75" customHeight="1" thickTop="1">
      <c r="A483" t="s">
        <v>472</v>
      </c>
      <c r="B483" s="7"/>
      <c r="C483" s="519" t="s">
        <v>470</v>
      </c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83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0"/>
      <c r="AQ483" s="250"/>
      <c r="AR483" s="250"/>
      <c r="AS483" s="250"/>
      <c r="AT483" s="250"/>
      <c r="AU483" s="250"/>
      <c r="AV483" s="250"/>
      <c r="AW483" s="250"/>
      <c r="AX483" s="250"/>
      <c r="AY483" s="250"/>
      <c r="AZ483" s="250"/>
      <c r="BA483" s="250"/>
      <c r="BB483" s="250"/>
      <c r="BC483" s="250"/>
      <c r="BD483" s="250"/>
      <c r="BE483" s="250"/>
      <c r="BF483" s="250"/>
      <c r="BG483" s="250"/>
      <c r="BH483" s="250"/>
      <c r="BI483" s="250"/>
      <c r="BJ483" s="250"/>
    </row>
    <row r="484" spans="1:62" ht="35.25" customHeight="1">
      <c r="A484" t="s">
        <v>227</v>
      </c>
      <c r="B484" s="7"/>
      <c r="C484" s="519" t="s">
        <v>470</v>
      </c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59"/>
      <c r="AK484" s="2"/>
      <c r="AL484" s="1"/>
      <c r="AM484" s="6"/>
      <c r="AN484" s="6"/>
      <c r="AO484" s="5" t="str">
        <f>$S$1</f>
        <v>Réalisé, Août 2022</v>
      </c>
      <c r="AP484" s="250"/>
      <c r="AQ484" s="250"/>
      <c r="AR484" s="250"/>
      <c r="AS484" s="250"/>
      <c r="AT484" s="250"/>
      <c r="AU484" s="250"/>
      <c r="AV484" s="250"/>
      <c r="AW484" s="250"/>
      <c r="AX484" s="250"/>
      <c r="AY484" s="250"/>
      <c r="AZ484" s="250"/>
      <c r="BA484" s="250"/>
      <c r="BB484" s="250"/>
      <c r="BC484" s="250"/>
      <c r="BD484" s="250"/>
      <c r="BE484" s="250"/>
      <c r="BF484" s="250"/>
      <c r="BG484" s="250"/>
      <c r="BH484" s="250"/>
      <c r="BI484" s="250"/>
      <c r="BJ484" s="250"/>
    </row>
    <row r="485" spans="1:62" ht="15.75" customHeight="1">
      <c r="A485" t="s">
        <v>472</v>
      </c>
      <c r="B485" s="7"/>
      <c r="C485" s="519" t="s">
        <v>470</v>
      </c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83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0"/>
      <c r="AQ485" s="250"/>
      <c r="AR485" s="250"/>
      <c r="AS485" s="250"/>
      <c r="AT485" s="250"/>
      <c r="AU485" s="250"/>
      <c r="AV485" s="250"/>
      <c r="AW485" s="250"/>
      <c r="AX485" s="250"/>
      <c r="AY485" s="250"/>
      <c r="AZ485" s="250"/>
      <c r="BA485" s="250"/>
      <c r="BB485" s="250"/>
      <c r="BC485" s="250"/>
      <c r="BD485" s="250"/>
      <c r="BE485" s="250"/>
      <c r="BF485" s="250"/>
      <c r="BG485" s="250"/>
      <c r="BH485" s="250"/>
      <c r="BI485" s="250"/>
      <c r="BJ485" s="250"/>
    </row>
    <row r="486" spans="1:62" ht="15.75" customHeight="1">
      <c r="A486" t="s">
        <v>472</v>
      </c>
      <c r="B486" s="7"/>
      <c r="C486" s="519" t="s">
        <v>470</v>
      </c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83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0"/>
      <c r="AQ486" s="250"/>
      <c r="AR486" s="250"/>
      <c r="AS486" s="250"/>
      <c r="AT486" s="250"/>
      <c r="AU486" s="250"/>
      <c r="AV486" s="250"/>
      <c r="AW486" s="250"/>
      <c r="AX486" s="250"/>
      <c r="AY486" s="250"/>
      <c r="AZ486" s="250"/>
      <c r="BA486" s="250"/>
      <c r="BB486" s="250"/>
      <c r="BC486" s="250"/>
      <c r="BD486" s="250"/>
      <c r="BE486" s="250"/>
      <c r="BF486" s="250"/>
      <c r="BG486" s="250"/>
      <c r="BH486" s="250"/>
      <c r="BI486" s="250"/>
      <c r="BJ486" s="250"/>
    </row>
    <row r="487" spans="1:62" ht="15.75" customHeight="1" thickBot="1">
      <c r="A487" t="s">
        <v>472</v>
      </c>
      <c r="B487" s="7"/>
      <c r="C487" s="519" t="s">
        <v>470</v>
      </c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83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0"/>
      <c r="AQ487" s="250"/>
      <c r="AR487" s="250"/>
      <c r="AS487" s="250"/>
      <c r="AT487" s="250"/>
      <c r="AU487" s="250"/>
      <c r="AV487" s="250"/>
      <c r="AW487" s="250"/>
      <c r="AX487" s="250"/>
      <c r="AY487" s="250"/>
      <c r="AZ487" s="250"/>
      <c r="BA487" s="250"/>
      <c r="BB487" s="250"/>
      <c r="BC487" s="250"/>
      <c r="BD487" s="250"/>
      <c r="BE487" s="250"/>
      <c r="BF487" s="250"/>
      <c r="BG487" s="250"/>
      <c r="BH487" s="250"/>
      <c r="BI487" s="250"/>
      <c r="BJ487" s="250"/>
    </row>
    <row r="488" spans="1:62" ht="15.75" customHeight="1" thickTop="1" thickBot="1">
      <c r="A488" t="s">
        <v>186</v>
      </c>
      <c r="B488" s="7"/>
      <c r="C488" s="519" t="s">
        <v>470</v>
      </c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384" t="s">
        <v>186</v>
      </c>
      <c r="W488" s="385"/>
      <c r="X488" s="386" t="s">
        <v>187</v>
      </c>
      <c r="Y488" s="387">
        <f>Z488/Z405</f>
        <v>4.317478493800108E-2</v>
      </c>
      <c r="Z488" s="388">
        <f>Z482</f>
        <v>228441.38123925062</v>
      </c>
      <c r="AA488" s="386" t="s">
        <v>187</v>
      </c>
      <c r="AB488" s="387">
        <f>AC488/AC405</f>
        <v>4.317478493800108E-2</v>
      </c>
      <c r="AC488" s="388">
        <f>AC482</f>
        <v>228441.38123925062</v>
      </c>
      <c r="AD488" s="386" t="s">
        <v>187</v>
      </c>
      <c r="AE488" s="387">
        <f>AF488/AF405</f>
        <v>5.7026190206597702E-2</v>
      </c>
      <c r="AF488" s="388">
        <f>AF482</f>
        <v>347493.84999999969</v>
      </c>
      <c r="AG488" s="389"/>
      <c r="AH488" s="378">
        <f>AF488-AC488</f>
        <v>119052.46876074906</v>
      </c>
      <c r="AI488" s="379">
        <f>AH488/AC488</f>
        <v>0.52115106341465933</v>
      </c>
      <c r="AJ488" s="386" t="s">
        <v>187</v>
      </c>
      <c r="AK488" s="387">
        <f>IF($AL$405=0,0,AL488/$AL$405)</f>
        <v>3.9925160776674636E-2</v>
      </c>
      <c r="AL488" s="390">
        <f>AL482</f>
        <v>209684.81000000006</v>
      </c>
      <c r="AM488" s="391"/>
      <c r="AN488" s="392">
        <f>AF488-AL488</f>
        <v>137809.03999999963</v>
      </c>
      <c r="AO488" s="393">
        <f>IF(AL488=0,0,AN488/AL488)</f>
        <v>0.6572199483596336</v>
      </c>
      <c r="AP488" s="250"/>
      <c r="AQ488" s="250"/>
      <c r="AR488" s="250"/>
      <c r="AS488" s="250"/>
      <c r="AT488" s="250"/>
      <c r="AU488" s="250"/>
      <c r="AV488" s="250"/>
      <c r="AW488" s="250"/>
      <c r="AX488" s="250"/>
      <c r="AY488" s="250"/>
      <c r="AZ488" s="250"/>
      <c r="BA488" s="250"/>
      <c r="BB488" s="250"/>
      <c r="BC488" s="250"/>
      <c r="BD488" s="250"/>
      <c r="BE488" s="250"/>
      <c r="BF488" s="250"/>
      <c r="BG488" s="250"/>
      <c r="BH488" s="250"/>
      <c r="BI488" s="250"/>
      <c r="BJ488" s="250"/>
    </row>
    <row r="489" spans="1:62" ht="15.75" customHeight="1" thickTop="1">
      <c r="A489" t="s">
        <v>472</v>
      </c>
      <c r="B489" s="7"/>
      <c r="C489" s="519" t="s">
        <v>470</v>
      </c>
      <c r="D489" s="250"/>
      <c r="E489" s="250"/>
      <c r="F489" s="314"/>
      <c r="G489" s="250"/>
      <c r="H489" s="250"/>
      <c r="I489" s="314"/>
      <c r="J489" s="250"/>
      <c r="K489" s="250"/>
      <c r="L489" s="250"/>
      <c r="M489" s="314"/>
      <c r="N489" s="250"/>
      <c r="O489" s="250"/>
      <c r="P489" s="250"/>
      <c r="Q489" s="314"/>
      <c r="R489" s="314"/>
      <c r="S489" s="314"/>
      <c r="T489" s="339"/>
      <c r="U489" s="339"/>
      <c r="V489" s="535"/>
      <c r="W489" s="250"/>
      <c r="X489" s="250"/>
      <c r="Y489" s="250"/>
      <c r="Z489" s="395"/>
      <c r="AA489" s="250"/>
      <c r="AB489" s="250"/>
      <c r="AC489" s="396"/>
      <c r="AD489" s="250"/>
      <c r="AE489" s="250"/>
      <c r="AF489" s="396"/>
      <c r="AG489" s="250"/>
      <c r="AH489" s="250"/>
      <c r="AI489" s="396"/>
      <c r="AJ489" s="250"/>
      <c r="AK489" s="250"/>
      <c r="AL489" s="397"/>
      <c r="AM489" s="398"/>
      <c r="AN489" s="250"/>
      <c r="AO489" s="399"/>
      <c r="AP489" s="250"/>
      <c r="AQ489" s="250"/>
      <c r="AR489" s="250"/>
      <c r="AS489" s="250"/>
      <c r="AT489" s="250"/>
      <c r="AU489" s="250"/>
      <c r="AV489" s="250"/>
      <c r="AW489" s="250"/>
      <c r="AX489" s="250"/>
      <c r="AY489" s="250"/>
      <c r="AZ489" s="250"/>
      <c r="BA489" s="250"/>
      <c r="BB489" s="250"/>
      <c r="BC489" s="250"/>
      <c r="BD489" s="250"/>
      <c r="BE489" s="250"/>
      <c r="BF489" s="250"/>
      <c r="BG489" s="250"/>
      <c r="BH489" s="250"/>
      <c r="BI489" s="250"/>
      <c r="BJ489" s="250"/>
    </row>
    <row r="490" spans="1:62" ht="15.75" customHeight="1">
      <c r="A490" t="s">
        <v>189</v>
      </c>
      <c r="B490" s="7"/>
      <c r="C490" s="519" t="s">
        <v>470</v>
      </c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494" t="s">
        <v>189</v>
      </c>
      <c r="W490" s="290"/>
      <c r="X490" s="283"/>
      <c r="Y490" s="291"/>
      <c r="Z490" s="284">
        <v>7468.25</v>
      </c>
      <c r="AA490" s="283"/>
      <c r="AB490" s="291"/>
      <c r="AC490" s="284">
        <v>7468.25</v>
      </c>
      <c r="AD490" s="283"/>
      <c r="AE490" s="291"/>
      <c r="AF490" s="284">
        <v>4314.5</v>
      </c>
      <c r="AG490" s="283"/>
      <c r="AH490" s="286">
        <f t="shared" ref="AH490:AH496" si="161">AF490-AC490</f>
        <v>-3153.75</v>
      </c>
      <c r="AI490" s="310">
        <f>IF(AC490=0,0,AH490/AC490)</f>
        <v>-0.42228768453118198</v>
      </c>
      <c r="AJ490" s="283"/>
      <c r="AK490" s="283"/>
      <c r="AL490" s="284">
        <v>4314.5</v>
      </c>
      <c r="AM490" s="288"/>
      <c r="AN490" s="286">
        <f t="shared" ref="AN490:AN496" si="162">AF490-AL490</f>
        <v>0</v>
      </c>
      <c r="AO490" s="293">
        <f>IF(AL490=0,0,AN490/AL490)</f>
        <v>0</v>
      </c>
      <c r="AP490" s="250"/>
      <c r="AQ490" s="250"/>
      <c r="AR490" s="250"/>
      <c r="AS490" s="250"/>
      <c r="AT490" s="250"/>
      <c r="AU490" s="250"/>
      <c r="AV490" s="250"/>
      <c r="AW490" s="250"/>
      <c r="AX490" s="250"/>
      <c r="AY490" s="250"/>
      <c r="AZ490" s="250"/>
      <c r="BA490" s="250"/>
      <c r="BB490" s="250"/>
      <c r="BC490" s="250"/>
      <c r="BD490" s="250"/>
      <c r="BE490" s="250"/>
      <c r="BF490" s="250"/>
      <c r="BG490" s="250"/>
      <c r="BH490" s="250"/>
      <c r="BI490" s="250"/>
      <c r="BJ490" s="250"/>
    </row>
    <row r="491" spans="1:62" ht="15.75" customHeight="1">
      <c r="A491" t="s">
        <v>190</v>
      </c>
      <c r="B491" s="7"/>
      <c r="C491" s="519" t="s">
        <v>470</v>
      </c>
      <c r="D491" s="250"/>
      <c r="E491" s="250"/>
      <c r="F491" s="314"/>
      <c r="G491" s="250"/>
      <c r="H491" s="250"/>
      <c r="I491" s="314"/>
      <c r="J491" s="250"/>
      <c r="K491" s="250"/>
      <c r="L491" s="250"/>
      <c r="M491" s="314"/>
      <c r="N491" s="250"/>
      <c r="O491" s="250"/>
      <c r="P491" s="250"/>
      <c r="Q491" s="314"/>
      <c r="R491" s="314"/>
      <c r="S491" s="314"/>
      <c r="T491" s="250"/>
      <c r="U491" s="250"/>
      <c r="V491" s="494" t="s">
        <v>190</v>
      </c>
      <c r="W491" s="11"/>
      <c r="X491" s="11"/>
      <c r="Y491" s="11"/>
      <c r="Z491" s="284">
        <v>0</v>
      </c>
      <c r="AA491" s="11"/>
      <c r="AB491" s="11"/>
      <c r="AC491" s="284">
        <v>0</v>
      </c>
      <c r="AD491" s="11"/>
      <c r="AE491" s="14"/>
      <c r="AF491" s="284">
        <v>0</v>
      </c>
      <c r="AG491" s="11"/>
      <c r="AH491" s="286">
        <f t="shared" si="161"/>
        <v>0</v>
      </c>
      <c r="AI491" s="310">
        <f t="shared" ref="AI491:AI496" si="163">IF(AC491=0,0,AH491/AC491)</f>
        <v>0</v>
      </c>
      <c r="AJ491" s="11"/>
      <c r="AK491" s="11"/>
      <c r="AL491" s="284">
        <v>179.62</v>
      </c>
      <c r="AM491" s="400"/>
      <c r="AN491" s="286">
        <f t="shared" si="162"/>
        <v>-179.62</v>
      </c>
      <c r="AO491" s="293">
        <f t="shared" ref="AO491:AO496" si="164">IF(AL491=0,0,AN491/AL491)</f>
        <v>-1</v>
      </c>
      <c r="AP491" s="250"/>
      <c r="AQ491" s="250"/>
      <c r="AR491" s="250"/>
      <c r="AS491" s="250"/>
      <c r="AT491" s="250"/>
      <c r="AU491" s="250"/>
      <c r="AV491" s="250"/>
      <c r="AW491" s="250"/>
      <c r="AX491" s="250"/>
      <c r="AY491" s="250"/>
      <c r="AZ491" s="250"/>
      <c r="BA491" s="250"/>
      <c r="BB491" s="250"/>
      <c r="BC491" s="250"/>
      <c r="BD491" s="250"/>
      <c r="BE491" s="250"/>
      <c r="BF491" s="250"/>
      <c r="BG491" s="250"/>
      <c r="BH491" s="250"/>
      <c r="BI491" s="250"/>
      <c r="BJ491" s="250"/>
    </row>
    <row r="492" spans="1:62" ht="15.75" customHeight="1">
      <c r="A492" t="s">
        <v>191</v>
      </c>
      <c r="B492" s="7"/>
      <c r="C492" s="519" t="s">
        <v>470</v>
      </c>
      <c r="D492" s="250"/>
      <c r="E492" s="250"/>
      <c r="F492" s="314"/>
      <c r="G492" s="250"/>
      <c r="H492" s="250"/>
      <c r="I492" s="314"/>
      <c r="J492" s="250"/>
      <c r="K492" s="250"/>
      <c r="L492" s="250"/>
      <c r="M492" s="314"/>
      <c r="N492" s="250"/>
      <c r="O492" s="250"/>
      <c r="P492" s="250"/>
      <c r="Q492" s="314"/>
      <c r="R492" s="314"/>
      <c r="S492" s="314"/>
      <c r="T492" s="250"/>
      <c r="U492" s="250"/>
      <c r="V492" s="494" t="s">
        <v>191</v>
      </c>
      <c r="W492" s="14"/>
      <c r="X492" s="14"/>
      <c r="Y492" s="14"/>
      <c r="Z492" s="284">
        <v>423.53</v>
      </c>
      <c r="AA492" s="11"/>
      <c r="AB492" s="11"/>
      <c r="AC492" s="284">
        <v>423.53</v>
      </c>
      <c r="AD492" s="11"/>
      <c r="AE492" s="14"/>
      <c r="AF492" s="284">
        <v>426.79</v>
      </c>
      <c r="AG492" s="11"/>
      <c r="AH492" s="286">
        <f t="shared" si="161"/>
        <v>3.2600000000000477</v>
      </c>
      <c r="AI492" s="310">
        <f t="shared" si="163"/>
        <v>7.697211531650764E-3</v>
      </c>
      <c r="AJ492" s="11"/>
      <c r="AK492" s="11"/>
      <c r="AL492" s="284">
        <v>570.58999999999992</v>
      </c>
      <c r="AM492" s="400"/>
      <c r="AN492" s="286">
        <f t="shared" si="162"/>
        <v>-143.7999999999999</v>
      </c>
      <c r="AO492" s="293">
        <f t="shared" si="164"/>
        <v>-0.25201983911389952</v>
      </c>
      <c r="AP492" s="250"/>
      <c r="AQ492" s="250"/>
      <c r="AR492" s="250"/>
      <c r="AS492" s="250"/>
      <c r="AT492" s="250"/>
      <c r="AU492" s="250"/>
      <c r="AV492" s="250"/>
      <c r="AW492" s="250"/>
      <c r="AX492" s="250"/>
      <c r="AY492" s="250"/>
      <c r="AZ492" s="250"/>
      <c r="BA492" s="250"/>
      <c r="BB492" s="250"/>
      <c r="BC492" s="250"/>
      <c r="BD492" s="250"/>
      <c r="BE492" s="250"/>
      <c r="BF492" s="250"/>
      <c r="BG492" s="250"/>
      <c r="BH492" s="250"/>
      <c r="BI492" s="250"/>
      <c r="BJ492" s="250"/>
    </row>
    <row r="493" spans="1:62" ht="15.75" customHeight="1" thickBot="1">
      <c r="A493" t="s">
        <v>192</v>
      </c>
      <c r="B493" s="7"/>
      <c r="C493" s="519" t="s">
        <v>470</v>
      </c>
      <c r="D493" s="250"/>
      <c r="E493" s="250"/>
      <c r="F493" s="314"/>
      <c r="G493" s="250"/>
      <c r="H493" s="250"/>
      <c r="I493" s="314"/>
      <c r="J493" s="250"/>
      <c r="K493" s="250"/>
      <c r="L493" s="250"/>
      <c r="M493" s="314"/>
      <c r="N493" s="250"/>
      <c r="O493" s="250"/>
      <c r="P493" s="250"/>
      <c r="Q493" s="314"/>
      <c r="R493" s="314"/>
      <c r="S493" s="314"/>
      <c r="T493" s="250"/>
      <c r="U493" s="250"/>
      <c r="V493" s="494" t="s">
        <v>192</v>
      </c>
      <c r="W493" s="14"/>
      <c r="X493" s="14"/>
      <c r="Y493" s="14"/>
      <c r="Z493" s="284">
        <v>0</v>
      </c>
      <c r="AA493" s="11"/>
      <c r="AB493" s="11"/>
      <c r="AC493" s="284">
        <v>0</v>
      </c>
      <c r="AD493" s="11"/>
      <c r="AE493" s="14"/>
      <c r="AF493" s="284">
        <v>0</v>
      </c>
      <c r="AG493" s="11"/>
      <c r="AH493" s="286">
        <f t="shared" si="161"/>
        <v>0</v>
      </c>
      <c r="AI493" s="310">
        <f t="shared" si="163"/>
        <v>0</v>
      </c>
      <c r="AJ493" s="11"/>
      <c r="AK493" s="11"/>
      <c r="AL493" s="284">
        <v>0</v>
      </c>
      <c r="AM493" s="400"/>
      <c r="AN493" s="286">
        <f t="shared" si="162"/>
        <v>0</v>
      </c>
      <c r="AO493" s="293">
        <f t="shared" si="164"/>
        <v>0</v>
      </c>
      <c r="AP493" s="250"/>
      <c r="AQ493" s="250"/>
      <c r="AR493" s="250"/>
      <c r="AS493" s="250"/>
      <c r="AT493" s="250"/>
      <c r="AU493" s="250"/>
      <c r="AV493" s="250"/>
      <c r="AW493" s="250"/>
      <c r="AX493" s="250"/>
      <c r="AY493" s="250"/>
      <c r="AZ493" s="250"/>
      <c r="BA493" s="250"/>
      <c r="BB493" s="250"/>
      <c r="BC493" s="250"/>
      <c r="BD493" s="250"/>
      <c r="BE493" s="250"/>
      <c r="BF493" s="250"/>
      <c r="BG493" s="250"/>
      <c r="BH493" s="250"/>
      <c r="BI493" s="250"/>
      <c r="BJ493" s="250"/>
    </row>
    <row r="494" spans="1:62" ht="15.75" hidden="1" customHeight="1">
      <c r="A494" t="s">
        <v>21</v>
      </c>
      <c r="B494" s="7"/>
      <c r="C494" s="519" t="s">
        <v>470</v>
      </c>
      <c r="D494" s="250"/>
      <c r="E494" s="250"/>
      <c r="F494" s="314"/>
      <c r="G494" s="250"/>
      <c r="H494" s="250"/>
      <c r="I494" s="314"/>
      <c r="J494" s="250"/>
      <c r="K494" s="250"/>
      <c r="L494" s="250"/>
      <c r="M494" s="314"/>
      <c r="N494" s="250"/>
      <c r="O494" s="250"/>
      <c r="P494" s="250"/>
      <c r="Q494" s="314"/>
      <c r="R494" s="314"/>
      <c r="S494" s="314"/>
      <c r="T494" s="250"/>
      <c r="U494" s="250"/>
      <c r="V494" s="494" t="s">
        <v>21</v>
      </c>
      <c r="W494" s="14"/>
      <c r="X494" s="14"/>
      <c r="Y494" s="14"/>
      <c r="Z494" s="284">
        <f>IFERROR(SUMIF($C:$C,$V494,F:F),0)</f>
        <v>0</v>
      </c>
      <c r="AA494" s="283"/>
      <c r="AB494" s="283"/>
      <c r="AC494" s="284">
        <f>IFERROR(SUMIF($C:$C,$V494,I:I),0)</f>
        <v>0</v>
      </c>
      <c r="AD494" s="292"/>
      <c r="AE494" s="291"/>
      <c r="AF494" s="284">
        <f>IFERROR(SUMIF($C:$C,$V494,L:L),0)</f>
        <v>0</v>
      </c>
      <c r="AG494" s="285"/>
      <c r="AH494" s="286">
        <f t="shared" si="161"/>
        <v>0</v>
      </c>
      <c r="AI494" s="287">
        <f t="shared" si="163"/>
        <v>0</v>
      </c>
      <c r="AJ494" s="292"/>
      <c r="AK494" s="283"/>
      <c r="AL494" s="284">
        <f>IFERROR(SUMIF($C:$C,$V494,Q:Q),0)</f>
        <v>0</v>
      </c>
      <c r="AM494" s="400"/>
      <c r="AN494" s="286">
        <f t="shared" si="162"/>
        <v>0</v>
      </c>
      <c r="AO494" s="293">
        <f t="shared" si="164"/>
        <v>0</v>
      </c>
      <c r="AP494" s="250"/>
      <c r="AQ494" s="250"/>
      <c r="AR494" s="250"/>
      <c r="AS494" s="250"/>
      <c r="AT494" s="250"/>
      <c r="AU494" s="250"/>
      <c r="AV494" s="250"/>
      <c r="AW494" s="250"/>
      <c r="AX494" s="250"/>
      <c r="AY494" s="250"/>
      <c r="AZ494" s="250"/>
      <c r="BA494" s="250"/>
      <c r="BB494" s="250"/>
      <c r="BC494" s="250"/>
      <c r="BD494" s="250"/>
      <c r="BE494" s="250"/>
      <c r="BF494" s="250"/>
      <c r="BG494" s="250"/>
      <c r="BH494" s="250"/>
      <c r="BI494" s="250"/>
      <c r="BJ494" s="250"/>
    </row>
    <row r="495" spans="1:62" ht="15.75" hidden="1" customHeight="1">
      <c r="A495" t="s">
        <v>21</v>
      </c>
      <c r="B495" s="7"/>
      <c r="C495" s="519" t="s">
        <v>470</v>
      </c>
      <c r="D495" s="250"/>
      <c r="E495" s="250"/>
      <c r="F495" s="314"/>
      <c r="G495" s="250"/>
      <c r="H495" s="250"/>
      <c r="I495" s="314"/>
      <c r="J495" s="250"/>
      <c r="K495" s="250"/>
      <c r="L495" s="250"/>
      <c r="M495" s="314"/>
      <c r="N495" s="250"/>
      <c r="O495" s="250"/>
      <c r="P495" s="250"/>
      <c r="Q495" s="314"/>
      <c r="R495" s="314"/>
      <c r="S495" s="314"/>
      <c r="T495" s="250"/>
      <c r="U495" s="250"/>
      <c r="V495" s="494" t="s">
        <v>21</v>
      </c>
      <c r="W495" s="14"/>
      <c r="X495" s="14"/>
      <c r="Y495" s="14"/>
      <c r="Z495" s="284">
        <f>IFERROR(SUMIF($C:$C,$V495,F:F),0)</f>
        <v>0</v>
      </c>
      <c r="AA495" s="283"/>
      <c r="AB495" s="283"/>
      <c r="AC495" s="284">
        <f>IFERROR(SUMIF($C:$C,$V495,I:I),0)</f>
        <v>0</v>
      </c>
      <c r="AD495" s="292"/>
      <c r="AE495" s="291"/>
      <c r="AF495" s="284">
        <f>IFERROR(SUMIF($C:$C,$V495,L:L),0)</f>
        <v>0</v>
      </c>
      <c r="AG495" s="285"/>
      <c r="AH495" s="286">
        <f t="shared" si="161"/>
        <v>0</v>
      </c>
      <c r="AI495" s="287">
        <f t="shared" si="163"/>
        <v>0</v>
      </c>
      <c r="AJ495" s="292"/>
      <c r="AK495" s="283"/>
      <c r="AL495" s="284">
        <f>IFERROR(SUMIF($C:$C,$V495,Q:Q),0)</f>
        <v>0</v>
      </c>
      <c r="AM495" s="400"/>
      <c r="AN495" s="286">
        <f t="shared" si="162"/>
        <v>0</v>
      </c>
      <c r="AO495" s="293">
        <f t="shared" si="164"/>
        <v>0</v>
      </c>
      <c r="AP495" s="250"/>
      <c r="AQ495" s="250"/>
      <c r="AR495" s="250"/>
      <c r="AS495" s="250"/>
      <c r="AT495" s="250"/>
      <c r="AU495" s="250"/>
      <c r="AV495" s="250"/>
      <c r="AW495" s="250"/>
      <c r="AX495" s="250"/>
      <c r="AY495" s="250"/>
      <c r="AZ495" s="250"/>
      <c r="BA495" s="250"/>
      <c r="BB495" s="250"/>
      <c r="BC495" s="250"/>
      <c r="BD495" s="250"/>
      <c r="BE495" s="250"/>
      <c r="BF495" s="250"/>
      <c r="BG495" s="250"/>
      <c r="BH495" s="250"/>
      <c r="BI495" s="250"/>
      <c r="BJ495" s="250"/>
    </row>
    <row r="496" spans="1:62" ht="15.75" hidden="1" customHeight="1" thickBot="1">
      <c r="A496" t="s">
        <v>21</v>
      </c>
      <c r="B496" s="7"/>
      <c r="C496" s="519" t="s">
        <v>470</v>
      </c>
      <c r="D496" s="250"/>
      <c r="E496" s="250"/>
      <c r="F496" s="314"/>
      <c r="G496" s="250"/>
      <c r="H496" s="250"/>
      <c r="I496" s="314"/>
      <c r="J496" s="250"/>
      <c r="K496" s="250"/>
      <c r="L496" s="250"/>
      <c r="M496" s="314"/>
      <c r="N496" s="250"/>
      <c r="O496" s="250"/>
      <c r="P496" s="250"/>
      <c r="Q496" s="314"/>
      <c r="R496" s="314"/>
      <c r="S496" s="314"/>
      <c r="T496" s="250"/>
      <c r="U496" s="250"/>
      <c r="V496" s="494" t="s">
        <v>21</v>
      </c>
      <c r="W496" s="14"/>
      <c r="X496" s="250"/>
      <c r="Y496" s="14"/>
      <c r="Z496" s="284">
        <f>IFERROR(SUMIF($C:$C,$V496,F:F),0)</f>
        <v>0</v>
      </c>
      <c r="AA496" s="283"/>
      <c r="AB496" s="283"/>
      <c r="AC496" s="284">
        <f>IFERROR(SUMIF($C:$C,$V496,I:I),0)</f>
        <v>0</v>
      </c>
      <c r="AD496" s="292"/>
      <c r="AE496" s="291"/>
      <c r="AF496" s="284">
        <f>IFERROR(SUMIF($C:$C,$V496,L:L),0)</f>
        <v>0</v>
      </c>
      <c r="AG496" s="285"/>
      <c r="AH496" s="286">
        <f t="shared" si="161"/>
        <v>0</v>
      </c>
      <c r="AI496" s="287">
        <f t="shared" si="163"/>
        <v>0</v>
      </c>
      <c r="AJ496" s="292"/>
      <c r="AK496" s="283"/>
      <c r="AL496" s="284">
        <f>IFERROR(SUMIF($C:$C,$V496,Q:Q),0)</f>
        <v>0</v>
      </c>
      <c r="AM496" s="400"/>
      <c r="AN496" s="286">
        <f t="shared" si="162"/>
        <v>0</v>
      </c>
      <c r="AO496" s="293">
        <f t="shared" si="164"/>
        <v>0</v>
      </c>
      <c r="AP496" s="250"/>
      <c r="AQ496" s="250"/>
      <c r="AR496" s="250"/>
      <c r="AS496" s="250"/>
      <c r="AT496" s="250"/>
      <c r="AU496" s="250"/>
      <c r="AV496" s="250"/>
      <c r="AW496" s="250"/>
      <c r="AX496" s="250"/>
      <c r="AY496" s="250"/>
      <c r="AZ496" s="250"/>
      <c r="BA496" s="250"/>
      <c r="BB496" s="250"/>
      <c r="BC496" s="250"/>
      <c r="BD496" s="250"/>
      <c r="BE496" s="250"/>
      <c r="BF496" s="250"/>
      <c r="BG496" s="250"/>
      <c r="BH496" s="250"/>
      <c r="BI496" s="250"/>
      <c r="BJ496" s="250"/>
    </row>
    <row r="497" spans="1:62" ht="15.75" customHeight="1" thickTop="1" thickBot="1">
      <c r="A497" t="s">
        <v>194</v>
      </c>
      <c r="B497" s="7"/>
      <c r="C497" s="519" t="s">
        <v>470</v>
      </c>
      <c r="D497" s="250"/>
      <c r="E497" s="250"/>
      <c r="F497" s="314"/>
      <c r="G497" s="250"/>
      <c r="H497" s="250"/>
      <c r="I497" s="314"/>
      <c r="J497" s="250"/>
      <c r="K497" s="250"/>
      <c r="L497" s="250"/>
      <c r="M497" s="314"/>
      <c r="N497" s="250"/>
      <c r="O497" s="250"/>
      <c r="P497" s="250"/>
      <c r="Q497" s="314"/>
      <c r="R497" s="314"/>
      <c r="S497" s="314"/>
      <c r="T497" s="250"/>
      <c r="U497" s="250"/>
      <c r="V497" s="372" t="s">
        <v>194</v>
      </c>
      <c r="W497" s="373"/>
      <c r="X497" s="374" t="s">
        <v>187</v>
      </c>
      <c r="Y497" s="375">
        <f>Z497/Z405</f>
        <v>4.1683260493394568E-2</v>
      </c>
      <c r="Z497" s="376">
        <f>Z488-Z490-Z491-Z492-Z496</f>
        <v>220549.60123925062</v>
      </c>
      <c r="AA497" s="374" t="s">
        <v>187</v>
      </c>
      <c r="AB497" s="375">
        <f>AC497/AC405</f>
        <v>4.1683260493394568E-2</v>
      </c>
      <c r="AC497" s="376">
        <f>AC488-AC490-AC491-AC492-AC496</f>
        <v>220549.60123925062</v>
      </c>
      <c r="AD497" s="374" t="s">
        <v>187</v>
      </c>
      <c r="AE497" s="375">
        <f>AF497/AF405</f>
        <v>5.6248111097097958E-2</v>
      </c>
      <c r="AF497" s="377">
        <f>AF488-AF490-AF491-AF492-AF496</f>
        <v>342752.55999999971</v>
      </c>
      <c r="AG497" s="378"/>
      <c r="AH497" s="378">
        <f>AF497-AC497</f>
        <v>122202.95876074908</v>
      </c>
      <c r="AI497" s="379">
        <f>AH497/AC497</f>
        <v>0.55408378919798718</v>
      </c>
      <c r="AJ497" s="380" t="s">
        <v>187</v>
      </c>
      <c r="AK497" s="375">
        <f>IF($AL$405=0,0,AL497/$AL$405)</f>
        <v>3.8960811661270273E-2</v>
      </c>
      <c r="AL497" s="377">
        <f>AL488-AL490-AL491-AL492-AL496</f>
        <v>204620.10000000006</v>
      </c>
      <c r="AM497" s="381"/>
      <c r="AN497" s="377">
        <f>AF497-AL497</f>
        <v>138132.45999999964</v>
      </c>
      <c r="AO497" s="401">
        <f>IF(AL497=0,0,AN497/AL497)</f>
        <v>0.67506789411206225</v>
      </c>
      <c r="AP497" s="250"/>
      <c r="AQ497" s="250"/>
      <c r="AR497" s="250"/>
      <c r="AS497" s="250"/>
      <c r="AT497" s="250"/>
      <c r="AU497" s="250"/>
      <c r="AV497" s="250"/>
      <c r="AW497" s="250"/>
      <c r="AX497" s="250"/>
      <c r="AY497" s="250"/>
      <c r="AZ497" s="250"/>
      <c r="BA497" s="250"/>
      <c r="BB497" s="250"/>
      <c r="BC497" s="250"/>
      <c r="BD497" s="250"/>
      <c r="BE497" s="250"/>
      <c r="BF497" s="250"/>
      <c r="BG497" s="250"/>
      <c r="BH497" s="250"/>
      <c r="BI497" s="250"/>
      <c r="BJ497" s="250"/>
    </row>
    <row r="498" spans="1:62" ht="15.75" customHeight="1" thickTop="1">
      <c r="A498" t="s">
        <v>472</v>
      </c>
      <c r="B498" s="7"/>
      <c r="C498" s="250"/>
      <c r="D498" s="250"/>
      <c r="E498" s="250"/>
      <c r="F498" s="314"/>
      <c r="G498" s="250"/>
      <c r="H498" s="250"/>
      <c r="I498" s="314"/>
      <c r="J498" s="250"/>
      <c r="K498" s="250"/>
      <c r="L498" s="250"/>
      <c r="M498" s="314"/>
      <c r="N498" s="250"/>
      <c r="O498" s="250"/>
      <c r="P498" s="250"/>
      <c r="Q498" s="314"/>
      <c r="R498" s="314"/>
      <c r="S498" s="314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402"/>
      <c r="AF498" s="403"/>
      <c r="AG498" s="250"/>
      <c r="AH498" s="250"/>
      <c r="AI498" s="250"/>
      <c r="AJ498" s="250"/>
      <c r="AK498" s="250"/>
      <c r="AL498" s="250"/>
      <c r="AM498" s="250"/>
      <c r="AN498" s="250"/>
      <c r="AO498" s="250"/>
      <c r="AP498" s="250"/>
      <c r="AQ498" s="250"/>
      <c r="AR498" s="250"/>
      <c r="AS498" s="250"/>
      <c r="AT498" s="250"/>
      <c r="AU498" s="250"/>
      <c r="AV498" s="250"/>
      <c r="AW498" s="250"/>
      <c r="AX498" s="250"/>
      <c r="AY498" s="250"/>
      <c r="AZ498" s="250"/>
      <c r="BA498" s="250"/>
      <c r="BB498" s="250"/>
      <c r="BC498" s="250"/>
      <c r="BD498" s="250"/>
      <c r="BE498" s="250"/>
      <c r="BF498" s="250"/>
      <c r="BG498" s="250"/>
      <c r="BH498" s="250"/>
      <c r="BI498" s="250"/>
      <c r="BJ498" s="250"/>
    </row>
    <row r="499" spans="1:62" ht="15.75" customHeight="1" thickBot="1">
      <c r="B499" s="7"/>
      <c r="T499" s="250"/>
      <c r="U499" s="250"/>
      <c r="V499" s="250"/>
      <c r="W499" s="250"/>
      <c r="X499" s="250"/>
      <c r="Y499" s="250"/>
      <c r="Z499" s="314">
        <f>Z497</f>
        <v>220549.60123925062</v>
      </c>
      <c r="AA499" s="250"/>
      <c r="AB499" s="250"/>
      <c r="AC499" s="314">
        <f>Z499</f>
        <v>220549.60123925062</v>
      </c>
      <c r="AD499" s="250"/>
      <c r="AE499" s="250"/>
      <c r="AF499" s="536">
        <f>AF497</f>
        <v>342752.55999999971</v>
      </c>
      <c r="AG499" s="250"/>
      <c r="AH499" s="250"/>
      <c r="AI499" s="250"/>
      <c r="AJ499" s="250"/>
      <c r="AK499" s="250"/>
      <c r="AL499" s="250">
        <v>204620</v>
      </c>
      <c r="AM499" s="250"/>
      <c r="AN499" s="250"/>
      <c r="AO499" s="250"/>
      <c r="AP499" s="250"/>
      <c r="AQ499" s="250"/>
      <c r="AR499" s="250"/>
      <c r="AS499" s="250"/>
      <c r="AT499" s="250"/>
      <c r="AU499" s="250"/>
      <c r="AV499" s="250"/>
      <c r="AW499" s="250"/>
      <c r="AX499" s="250"/>
      <c r="AY499" s="250"/>
      <c r="AZ499" s="250"/>
      <c r="BA499" s="250"/>
      <c r="BB499" s="250"/>
      <c r="BC499" s="250"/>
      <c r="BD499" s="250"/>
      <c r="BE499" s="250"/>
      <c r="BF499" s="250"/>
      <c r="BG499" s="250"/>
      <c r="BH499" s="250"/>
      <c r="BI499" s="250"/>
      <c r="BJ499" s="250"/>
    </row>
    <row r="500" spans="1:62" ht="15.75" customHeight="1" thickBot="1">
      <c r="B500" s="7"/>
      <c r="C500" s="250"/>
      <c r="D500" s="537" t="s">
        <v>473</v>
      </c>
      <c r="E500" s="538"/>
      <c r="F500" s="539"/>
      <c r="G500" s="540"/>
      <c r="H500" s="283"/>
      <c r="I500" s="286"/>
      <c r="J500" s="541" t="s">
        <v>474</v>
      </c>
      <c r="K500" s="542"/>
      <c r="O500" s="541" t="s">
        <v>475</v>
      </c>
      <c r="P500" s="250"/>
      <c r="Q500" s="314"/>
      <c r="R500" s="314"/>
      <c r="S500" s="314"/>
      <c r="W500" s="250"/>
      <c r="X500" s="250"/>
      <c r="Y500" s="250"/>
      <c r="Z500" s="314">
        <f>Z497-Z499</f>
        <v>0</v>
      </c>
      <c r="AA500" s="250"/>
      <c r="AB500" s="250"/>
      <c r="AC500" s="314">
        <f>AC497-AC499</f>
        <v>0</v>
      </c>
      <c r="AD500" s="250"/>
      <c r="AE500" s="250"/>
      <c r="AF500" s="543">
        <f>AF497-AF499</f>
        <v>0</v>
      </c>
      <c r="AG500" s="250"/>
      <c r="AH500" s="250"/>
      <c r="AI500" s="250"/>
      <c r="AJ500" s="250"/>
      <c r="AK500" s="250"/>
      <c r="AL500" s="404">
        <f>AL497-AL499</f>
        <v>0.10000000006402843</v>
      </c>
      <c r="AM500" s="250"/>
      <c r="AN500" s="250"/>
      <c r="AO500" s="250"/>
      <c r="AP500" s="250"/>
      <c r="AQ500" s="250"/>
      <c r="AR500" s="250"/>
      <c r="AS500" s="250"/>
      <c r="AT500" s="250"/>
      <c r="AU500" s="250"/>
      <c r="AV500" s="250"/>
      <c r="AW500" s="250"/>
      <c r="AX500" s="250"/>
      <c r="AY500" s="250"/>
      <c r="AZ500" s="250"/>
      <c r="BA500" s="250"/>
      <c r="BB500" s="250"/>
      <c r="BC500" s="250"/>
      <c r="BD500" s="250"/>
      <c r="BE500" s="250"/>
      <c r="BF500" s="250"/>
      <c r="BG500" s="250"/>
      <c r="BH500" s="250"/>
      <c r="BI500" s="250"/>
      <c r="BJ500" s="250"/>
    </row>
    <row r="501" spans="1:62" ht="15.75" customHeight="1">
      <c r="B501" s="7"/>
      <c r="C501" s="283"/>
      <c r="D501" s="283" t="s">
        <v>476</v>
      </c>
      <c r="E501" s="283"/>
      <c r="F501" s="286"/>
      <c r="G501" s="283"/>
      <c r="H501" s="283"/>
      <c r="I501" s="286"/>
      <c r="J501" s="283"/>
      <c r="K501" s="283"/>
      <c r="L501" s="283"/>
      <c r="M501" s="283"/>
      <c r="N501" s="283"/>
      <c r="O501" s="283"/>
      <c r="P501" s="283"/>
      <c r="Q501" s="286"/>
      <c r="R501" s="286"/>
      <c r="W501" s="250"/>
      <c r="X501" s="250"/>
      <c r="Y501" s="250"/>
      <c r="AM501" s="250"/>
      <c r="AN501" s="250"/>
      <c r="AO501" s="250"/>
      <c r="AP501" s="250"/>
      <c r="AQ501" s="250"/>
      <c r="AR501" s="250"/>
      <c r="AS501" s="250"/>
      <c r="AT501" s="250"/>
      <c r="AU501" s="250"/>
      <c r="AV501" s="250"/>
      <c r="AW501" s="250"/>
      <c r="AX501" s="250"/>
      <c r="AY501" s="250"/>
      <c r="AZ501" s="250"/>
      <c r="BA501" s="250"/>
      <c r="BB501" s="250"/>
      <c r="BC501" s="250"/>
      <c r="BD501" s="250"/>
      <c r="BE501" s="250"/>
      <c r="BF501" s="250"/>
      <c r="BG501" s="250"/>
      <c r="BH501" s="250"/>
      <c r="BI501" s="250"/>
      <c r="BJ501" s="250"/>
    </row>
    <row r="502" spans="1:62" ht="15.75" customHeight="1">
      <c r="B502" s="7"/>
      <c r="C502" s="283"/>
      <c r="D502" s="542">
        <v>4423</v>
      </c>
      <c r="E502" s="283" t="e">
        <v>#N/A</v>
      </c>
      <c r="F502" s="286"/>
      <c r="G502" s="283"/>
      <c r="H502" s="283"/>
      <c r="I502" s="286"/>
      <c r="J502" s="544" t="e">
        <v>#N/A</v>
      </c>
      <c r="K502" s="283"/>
      <c r="L502" s="283"/>
      <c r="M502" s="283"/>
      <c r="N502" s="283"/>
      <c r="O502" s="544" t="e">
        <v>#N/A</v>
      </c>
      <c r="P502" s="283"/>
      <c r="Q502" s="286"/>
      <c r="R502" s="286"/>
      <c r="W502" s="250"/>
      <c r="X502" s="250"/>
      <c r="Y502" s="250"/>
      <c r="Z502" s="250"/>
      <c r="AA502" s="250"/>
      <c r="AB502" s="250"/>
      <c r="AC502" s="250"/>
      <c r="AD502" s="250"/>
      <c r="AE502" s="545"/>
      <c r="AF502" s="309"/>
      <c r="AG502" s="250"/>
      <c r="AH502" s="250"/>
      <c r="AI502" s="250"/>
      <c r="AJ502" s="250"/>
      <c r="AK502" s="250"/>
      <c r="AL502" s="250"/>
      <c r="AM502" s="250"/>
      <c r="AN502" s="250"/>
      <c r="AO502" s="250"/>
      <c r="AP502" s="250"/>
      <c r="AQ502" s="250"/>
      <c r="AR502" s="250"/>
      <c r="AS502" s="250"/>
      <c r="AT502" s="250"/>
      <c r="AU502" s="250"/>
      <c r="AV502" s="250"/>
      <c r="AW502" s="250"/>
      <c r="AX502" s="250"/>
      <c r="AY502" s="250"/>
      <c r="AZ502" s="250"/>
      <c r="BA502" s="250"/>
      <c r="BB502" s="250"/>
      <c r="BC502" s="250"/>
      <c r="BD502" s="250"/>
      <c r="BE502" s="250"/>
      <c r="BF502" s="250"/>
      <c r="BG502" s="250"/>
      <c r="BH502" s="250"/>
      <c r="BI502" s="250"/>
      <c r="BJ502" s="250"/>
    </row>
    <row r="503" spans="1:62" ht="15.75" customHeight="1">
      <c r="B503" s="7"/>
      <c r="C503" s="283"/>
      <c r="D503" s="542">
        <v>5423</v>
      </c>
      <c r="E503" s="283" t="e">
        <v>#N/A</v>
      </c>
      <c r="F503" s="286"/>
      <c r="G503" s="283"/>
      <c r="H503" s="283"/>
      <c r="I503" s="286"/>
      <c r="J503" s="544" t="e">
        <v>#N/A</v>
      </c>
      <c r="K503" s="546" t="e">
        <f>-J503/J502</f>
        <v>#N/A</v>
      </c>
      <c r="L503" s="283"/>
      <c r="M503" s="283"/>
      <c r="N503" s="283"/>
      <c r="O503" s="544" t="e">
        <v>#N/A</v>
      </c>
      <c r="P503" s="546" t="e">
        <f>-O503/O502</f>
        <v>#N/A</v>
      </c>
      <c r="Q503" s="286"/>
      <c r="R503" s="286"/>
      <c r="W503" s="250"/>
      <c r="X503" s="250"/>
      <c r="Y503" s="250"/>
      <c r="Z503" s="250"/>
      <c r="AA503" s="250"/>
      <c r="AB503" s="250"/>
      <c r="AC503" s="250"/>
      <c r="AD503" s="250"/>
      <c r="AE503" s="250"/>
      <c r="AF503" s="309"/>
      <c r="AG503" s="250"/>
      <c r="AH503" s="250"/>
      <c r="AI503" s="250"/>
      <c r="AJ503" s="250"/>
      <c r="AK503" s="250"/>
      <c r="AL503" s="250"/>
      <c r="AM503" s="250"/>
      <c r="AN503" s="250"/>
      <c r="AO503" s="250"/>
      <c r="AP503" s="250"/>
      <c r="AQ503" s="250"/>
      <c r="AR503" s="250"/>
      <c r="AS503" s="250"/>
      <c r="AT503" s="250"/>
      <c r="AU503" s="250"/>
      <c r="AV503" s="250"/>
      <c r="AW503" s="250"/>
      <c r="AX503" s="250"/>
      <c r="AY503" s="250"/>
      <c r="AZ503" s="250"/>
      <c r="BA503" s="250"/>
      <c r="BB503" s="250"/>
      <c r="BC503" s="250"/>
      <c r="BD503" s="250"/>
      <c r="BE503" s="250"/>
      <c r="BF503" s="250"/>
      <c r="BG503" s="250"/>
      <c r="BH503" s="250"/>
      <c r="BI503" s="250"/>
      <c r="BJ503" s="250"/>
    </row>
    <row r="504" spans="1:62" ht="15.75" customHeight="1" thickBot="1">
      <c r="B504" s="7"/>
      <c r="C504" s="283"/>
      <c r="D504" s="542"/>
      <c r="E504" s="283" t="s">
        <v>477</v>
      </c>
      <c r="F504" s="286"/>
      <c r="G504" s="283"/>
      <c r="H504" s="283"/>
      <c r="I504" s="286"/>
      <c r="J504" s="547" t="e">
        <f>SUM(J502:J503)</f>
        <v>#N/A</v>
      </c>
      <c r="K504" s="548" t="e">
        <f>+J504/J502</f>
        <v>#N/A</v>
      </c>
      <c r="L504" s="283"/>
      <c r="M504" s="283"/>
      <c r="N504" s="283"/>
      <c r="O504" s="547" t="e">
        <f>SUM(O502:O503)</f>
        <v>#N/A</v>
      </c>
      <c r="P504" s="548" t="e">
        <f>+O504/O502</f>
        <v>#N/A</v>
      </c>
      <c r="Q504" s="286"/>
      <c r="R504" s="286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  <c r="AH504" s="250"/>
      <c r="AI504" s="250"/>
      <c r="AJ504" s="250"/>
      <c r="AK504" s="250"/>
      <c r="AL504" s="250"/>
      <c r="AM504" s="250"/>
      <c r="AN504" s="250"/>
      <c r="AO504" s="250"/>
      <c r="AP504" s="250"/>
      <c r="AQ504" s="250"/>
      <c r="AR504" s="250"/>
      <c r="AS504" s="250"/>
      <c r="AT504" s="250"/>
      <c r="AU504" s="250"/>
      <c r="AV504" s="250"/>
      <c r="AW504" s="250"/>
      <c r="AX504" s="250"/>
      <c r="AY504" s="250"/>
      <c r="AZ504" s="250"/>
      <c r="BA504" s="250"/>
      <c r="BB504" s="250"/>
      <c r="BC504" s="250"/>
      <c r="BD504" s="250"/>
      <c r="BE504" s="250"/>
      <c r="BF504" s="250"/>
      <c r="BG504" s="250"/>
      <c r="BH504" s="250"/>
      <c r="BI504" s="250"/>
      <c r="BJ504" s="250"/>
    </row>
    <row r="505" spans="1:62" ht="15.75" customHeight="1" thickTop="1">
      <c r="B505" s="7"/>
      <c r="C505" s="283"/>
      <c r="D505" s="542"/>
      <c r="E505" s="283"/>
      <c r="F505" s="286"/>
      <c r="G505" s="283"/>
      <c r="H505" s="283"/>
      <c r="I505" s="286"/>
      <c r="J505" s="542"/>
      <c r="K505" s="283"/>
      <c r="L505" s="283"/>
      <c r="M505" s="283"/>
      <c r="N505" s="283"/>
      <c r="O505" s="542"/>
      <c r="P505" s="283"/>
      <c r="Q505" s="286"/>
      <c r="R505" s="286"/>
      <c r="W505" s="250"/>
      <c r="X505" s="250"/>
      <c r="Y505" s="250"/>
      <c r="Z505" s="250"/>
      <c r="AA505" s="250"/>
      <c r="AB505" s="250"/>
      <c r="AC505" s="250"/>
      <c r="AD505" s="250"/>
      <c r="AE505" s="250"/>
      <c r="AF505" s="549"/>
      <c r="AG505" s="250"/>
      <c r="AH505" s="250"/>
      <c r="AI505" s="250"/>
      <c r="AJ505" s="250"/>
      <c r="AK505" s="250"/>
      <c r="AL505" s="250"/>
      <c r="AM505" s="250"/>
      <c r="AN505" s="250"/>
      <c r="AO505" s="250"/>
      <c r="AP505" s="250"/>
      <c r="AQ505" s="250"/>
      <c r="AR505" s="250"/>
      <c r="AS505" s="250"/>
      <c r="AT505" s="250"/>
      <c r="AU505" s="250"/>
      <c r="AV505" s="250"/>
      <c r="AW505" s="250"/>
      <c r="AX505" s="250"/>
      <c r="AY505" s="250"/>
      <c r="AZ505" s="250"/>
      <c r="BA505" s="250"/>
      <c r="BB505" s="250"/>
      <c r="BC505" s="250"/>
      <c r="BD505" s="250"/>
      <c r="BE505" s="250"/>
      <c r="BF505" s="250"/>
      <c r="BG505" s="250"/>
      <c r="BH505" s="250"/>
      <c r="BI505" s="250"/>
      <c r="BJ505" s="250"/>
    </row>
    <row r="506" spans="1:62" ht="15.75" customHeight="1" thickBot="1">
      <c r="B506" s="7"/>
      <c r="C506" s="283"/>
      <c r="D506" s="542">
        <v>4425</v>
      </c>
      <c r="E506" s="550" t="e">
        <v>#N/A</v>
      </c>
      <c r="F506" s="286"/>
      <c r="G506" s="283"/>
      <c r="H506" s="283"/>
      <c r="I506" s="286"/>
      <c r="J506" s="551" t="e">
        <v>#N/A</v>
      </c>
      <c r="K506" s="283"/>
      <c r="L506" s="283"/>
      <c r="M506" s="283"/>
      <c r="N506" s="283"/>
      <c r="O506" s="551" t="e">
        <v>#N/A</v>
      </c>
      <c r="P506" s="283"/>
      <c r="Q506" s="286"/>
      <c r="R506" s="286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314"/>
      <c r="AG506" s="250"/>
      <c r="AH506" s="250"/>
      <c r="AI506" s="250"/>
      <c r="AJ506" s="250"/>
      <c r="AK506" s="250"/>
      <c r="AL506" s="250"/>
      <c r="AM506" s="250"/>
      <c r="AN506" s="250"/>
      <c r="AO506" s="250"/>
      <c r="AP506" s="250"/>
      <c r="AQ506" s="250"/>
      <c r="AR506" s="250"/>
      <c r="AS506" s="250"/>
      <c r="AT506" s="250"/>
      <c r="AU506" s="250"/>
      <c r="AV506" s="250"/>
      <c r="AW506" s="250"/>
      <c r="AX506" s="250"/>
      <c r="AY506" s="250"/>
      <c r="AZ506" s="250"/>
      <c r="BA506" s="250"/>
      <c r="BB506" s="250"/>
      <c r="BC506" s="250"/>
      <c r="BD506" s="250"/>
      <c r="BE506" s="250"/>
      <c r="BF506" s="250"/>
      <c r="BG506" s="250"/>
      <c r="BH506" s="250"/>
      <c r="BI506" s="250"/>
      <c r="BJ506" s="250"/>
    </row>
    <row r="507" spans="1:62" ht="15.75" customHeight="1" thickTop="1">
      <c r="B507" s="7"/>
      <c r="C507" s="283"/>
      <c r="D507" s="542"/>
      <c r="E507" s="283"/>
      <c r="F507" s="286"/>
      <c r="G507" s="283"/>
      <c r="H507" s="283"/>
      <c r="I507" s="286"/>
      <c r="J507" s="283"/>
      <c r="K507" s="283"/>
      <c r="L507" s="283"/>
      <c r="M507" s="283"/>
      <c r="N507" s="283"/>
      <c r="O507" s="283"/>
      <c r="P507" s="283"/>
      <c r="Q507" s="286"/>
      <c r="R507" s="286"/>
      <c r="W507" s="250"/>
      <c r="X507" s="250"/>
      <c r="Y507" s="250"/>
      <c r="Z507" s="250"/>
      <c r="AA507" s="250"/>
      <c r="AB507" s="250"/>
      <c r="AC507" s="250"/>
      <c r="AD507" s="250"/>
      <c r="AE507" s="250"/>
      <c r="AF507" s="314"/>
      <c r="AG507" s="250"/>
      <c r="AH507" s="250"/>
      <c r="AI507" s="250"/>
      <c r="AJ507" s="250"/>
      <c r="AK507" s="250"/>
      <c r="AL507" s="250"/>
      <c r="AM507" s="250"/>
      <c r="AN507" s="250"/>
      <c r="AO507" s="250"/>
      <c r="AP507" s="250"/>
      <c r="AQ507" s="250"/>
      <c r="AR507" s="250"/>
      <c r="AS507" s="250"/>
      <c r="AT507" s="250"/>
      <c r="AU507" s="250"/>
      <c r="AV507" s="250"/>
      <c r="AW507" s="250"/>
      <c r="AX507" s="250"/>
      <c r="AY507" s="250"/>
      <c r="AZ507" s="250"/>
      <c r="BA507" s="250"/>
      <c r="BB507" s="250"/>
      <c r="BC507" s="250"/>
      <c r="BD507" s="250"/>
      <c r="BE507" s="250"/>
      <c r="BF507" s="250"/>
      <c r="BG507" s="250"/>
      <c r="BH507" s="250"/>
      <c r="BI507" s="250"/>
      <c r="BJ507" s="250"/>
    </row>
    <row r="508" spans="1:62" ht="15.75" customHeight="1">
      <c r="B508" s="7"/>
      <c r="C508" s="283"/>
      <c r="D508" s="542"/>
      <c r="E508" s="283"/>
      <c r="F508" s="286"/>
      <c r="G508" s="283"/>
      <c r="H508" s="283"/>
      <c r="I508" s="286"/>
      <c r="J508" s="283"/>
      <c r="K508" s="283"/>
      <c r="L508" s="283"/>
      <c r="M508" s="283"/>
      <c r="N508" s="283"/>
      <c r="O508" s="283"/>
      <c r="P508" s="283"/>
      <c r="Q508" s="286"/>
      <c r="R508" s="286"/>
      <c r="W508" s="250"/>
      <c r="X508" s="250"/>
      <c r="Y508" s="250"/>
      <c r="Z508" s="250"/>
      <c r="AA508" s="250"/>
      <c r="AB508" s="250"/>
      <c r="AC508" s="250"/>
      <c r="AD508" s="250"/>
      <c r="AE508" s="250"/>
      <c r="AF508" s="250"/>
      <c r="AG508" s="250"/>
      <c r="AH508" s="250"/>
      <c r="AI508" s="250"/>
      <c r="AJ508" s="250"/>
      <c r="AK508" s="250"/>
      <c r="AL508" s="250"/>
      <c r="AM508" s="250"/>
      <c r="AN508" s="250"/>
      <c r="AO508" s="250"/>
      <c r="AP508" s="250"/>
      <c r="AQ508" s="250"/>
      <c r="AR508" s="250"/>
      <c r="AS508" s="250"/>
      <c r="AT508" s="250"/>
      <c r="AU508" s="250"/>
      <c r="AV508" s="250"/>
      <c r="AW508" s="250"/>
      <c r="AX508" s="250"/>
      <c r="AY508" s="250"/>
      <c r="AZ508" s="250"/>
      <c r="BA508" s="250"/>
      <c r="BB508" s="250"/>
      <c r="BC508" s="250"/>
      <c r="BD508" s="250"/>
      <c r="BE508" s="250"/>
      <c r="BF508" s="250"/>
      <c r="BG508" s="250"/>
      <c r="BH508" s="250"/>
      <c r="BI508" s="250"/>
      <c r="BJ508" s="250"/>
    </row>
    <row r="509" spans="1:62" ht="15.75" customHeight="1">
      <c r="B509" s="7"/>
      <c r="C509" s="283"/>
      <c r="D509" s="542">
        <v>4727</v>
      </c>
      <c r="E509" s="283" t="e">
        <v>#N/A</v>
      </c>
      <c r="F509" s="286"/>
      <c r="G509" s="283"/>
      <c r="H509" s="283"/>
      <c r="I509" s="286"/>
      <c r="J509" s="544" t="e">
        <v>#N/A</v>
      </c>
      <c r="K509" s="283"/>
      <c r="L509" s="283"/>
      <c r="M509" s="283"/>
      <c r="N509" s="283"/>
      <c r="O509" s="544" t="e">
        <v>#N/A</v>
      </c>
      <c r="P509" s="283"/>
      <c r="Q509" s="286"/>
      <c r="R509" s="286"/>
      <c r="W509" s="339"/>
      <c r="X509" s="339"/>
      <c r="Y509" s="250"/>
      <c r="Z509" s="250"/>
      <c r="AA509" s="250"/>
      <c r="AB509" s="250"/>
      <c r="AC509" s="250"/>
      <c r="AD509" s="250"/>
      <c r="AE509" s="250"/>
      <c r="AF509" s="250"/>
      <c r="AG509" s="250"/>
      <c r="AH509" s="250"/>
      <c r="AI509" s="250"/>
      <c r="AJ509" s="250"/>
      <c r="AK509" s="250"/>
      <c r="AL509" s="250"/>
      <c r="AM509" s="250"/>
      <c r="AN509" s="250"/>
      <c r="AO509" s="250"/>
      <c r="AP509" s="250"/>
      <c r="AQ509" s="250"/>
      <c r="AR509" s="250"/>
      <c r="AS509" s="250"/>
      <c r="AT509" s="250"/>
      <c r="AU509" s="250"/>
      <c r="AV509" s="250"/>
      <c r="AW509" s="250"/>
      <c r="AX509" s="250"/>
      <c r="AY509" s="250"/>
      <c r="AZ509" s="250"/>
      <c r="BA509" s="250"/>
      <c r="BB509" s="250"/>
      <c r="BC509" s="250"/>
      <c r="BD509" s="250"/>
      <c r="BE509" s="250"/>
      <c r="BF509" s="250"/>
      <c r="BG509" s="250"/>
      <c r="BH509" s="250"/>
      <c r="BI509" s="250"/>
      <c r="BJ509" s="250"/>
    </row>
    <row r="510" spans="1:62" ht="15.75" customHeight="1">
      <c r="B510" s="7"/>
      <c r="C510" s="283"/>
      <c r="D510" s="542">
        <v>5727</v>
      </c>
      <c r="E510" s="283" t="e">
        <v>#N/A</v>
      </c>
      <c r="F510" s="286"/>
      <c r="G510" s="283"/>
      <c r="H510" s="283"/>
      <c r="I510" s="286"/>
      <c r="J510" s="544" t="e">
        <v>#N/A</v>
      </c>
      <c r="K510" s="546" t="e">
        <f>-J510/J509</f>
        <v>#N/A</v>
      </c>
      <c r="L510" s="283"/>
      <c r="M510" s="283"/>
      <c r="N510" s="283"/>
      <c r="O510" s="544" t="e">
        <v>#N/A</v>
      </c>
      <c r="P510" s="546" t="e">
        <f>-O510/O509</f>
        <v>#N/A</v>
      </c>
      <c r="Q510" s="286"/>
      <c r="R510" s="286"/>
      <c r="W510" s="339"/>
      <c r="X510" s="339"/>
      <c r="Y510" s="250"/>
      <c r="Z510" s="250"/>
      <c r="AA510" s="250"/>
      <c r="AB510" s="250"/>
      <c r="AC510" s="250"/>
      <c r="AD510" s="250"/>
      <c r="AE510" s="250"/>
      <c r="AF510" s="250"/>
      <c r="AG510" s="250"/>
      <c r="AH510" s="250"/>
      <c r="AI510" s="250"/>
      <c r="AJ510" s="250"/>
      <c r="AK510" s="250"/>
      <c r="AL510" s="250"/>
      <c r="AM510" s="250"/>
      <c r="AN510" s="250"/>
      <c r="AO510" s="250"/>
      <c r="AP510" s="250"/>
      <c r="AQ510" s="250"/>
      <c r="AR510" s="250"/>
      <c r="AS510" s="250"/>
      <c r="AT510" s="250"/>
      <c r="AU510" s="250"/>
      <c r="AV510" s="250"/>
      <c r="AW510" s="250"/>
      <c r="AX510" s="250"/>
      <c r="AY510" s="250"/>
      <c r="AZ510" s="250"/>
      <c r="BA510" s="250"/>
      <c r="BB510" s="250"/>
      <c r="BC510" s="250"/>
      <c r="BD510" s="250"/>
      <c r="BE510" s="250"/>
      <c r="BF510" s="250"/>
      <c r="BG510" s="250"/>
      <c r="BH510" s="250"/>
      <c r="BI510" s="250"/>
      <c r="BJ510" s="250"/>
    </row>
    <row r="511" spans="1:62" ht="15.75" customHeight="1" thickBot="1">
      <c r="B511" s="7"/>
      <c r="C511" s="283"/>
      <c r="D511" s="283"/>
      <c r="E511" s="283" t="s">
        <v>478</v>
      </c>
      <c r="F511" s="286"/>
      <c r="G511" s="283"/>
      <c r="H511" s="283"/>
      <c r="I511" s="286"/>
      <c r="J511" s="547" t="e">
        <f>SUM(J509:J510)</f>
        <v>#N/A</v>
      </c>
      <c r="K511" s="548" t="e">
        <f>+J511/J509</f>
        <v>#N/A</v>
      </c>
      <c r="L511" s="283"/>
      <c r="M511" s="283"/>
      <c r="N511" s="283"/>
      <c r="O511" s="547" t="e">
        <f>SUM(O509:O510)</f>
        <v>#N/A</v>
      </c>
      <c r="P511" s="548" t="e">
        <f>+O511/O509</f>
        <v>#N/A</v>
      </c>
      <c r="Q511" s="286"/>
      <c r="R511" s="286"/>
      <c r="W511" s="339"/>
      <c r="X511" s="339"/>
      <c r="Y511" s="250"/>
      <c r="Z511" s="250"/>
      <c r="AA511" s="250"/>
      <c r="AB511" s="250"/>
      <c r="AC511" s="250"/>
      <c r="AD511" s="250"/>
      <c r="AE511" s="250"/>
      <c r="AF511" s="250"/>
      <c r="AG511" s="250"/>
      <c r="AH511" s="250"/>
      <c r="AI511" s="250"/>
      <c r="AJ511" s="250"/>
      <c r="AK511" s="250"/>
      <c r="AL511" s="250"/>
      <c r="AM511" s="250"/>
      <c r="AN511" s="250"/>
      <c r="AO511" s="250"/>
      <c r="AP511" s="250"/>
      <c r="AQ511" s="250"/>
      <c r="AR511" s="250"/>
      <c r="AS511" s="250"/>
      <c r="AT511" s="250"/>
      <c r="AU511" s="250"/>
      <c r="AV511" s="250"/>
      <c r="AW511" s="250"/>
      <c r="AX511" s="250"/>
      <c r="AY511" s="250"/>
      <c r="AZ511" s="250"/>
      <c r="BA511" s="250"/>
      <c r="BB511" s="250"/>
      <c r="BC511" s="250"/>
      <c r="BD511" s="250"/>
      <c r="BE511" s="250"/>
      <c r="BF511" s="250"/>
      <c r="BG511" s="250"/>
      <c r="BH511" s="250"/>
      <c r="BI511" s="250"/>
      <c r="BJ511" s="250"/>
    </row>
    <row r="512" spans="1:62" ht="15.75" customHeight="1" thickTop="1">
      <c r="B512" s="7"/>
      <c r="C512" s="283"/>
      <c r="D512" s="542"/>
      <c r="E512" s="283"/>
      <c r="F512" s="286"/>
      <c r="G512" s="283"/>
      <c r="H512" s="283"/>
      <c r="I512" s="286"/>
      <c r="J512" s="542"/>
      <c r="K512" s="283"/>
      <c r="L512" s="283"/>
      <c r="M512" s="283"/>
      <c r="N512" s="283"/>
      <c r="O512" s="542"/>
      <c r="P512" s="283"/>
      <c r="Q512" s="286"/>
      <c r="R512" s="286"/>
      <c r="W512" s="339"/>
      <c r="X512" s="339"/>
      <c r="Y512" s="250"/>
      <c r="Z512" s="250"/>
      <c r="AA512" s="250"/>
      <c r="AB512" s="250"/>
      <c r="AC512" s="250"/>
      <c r="AD512" s="250"/>
      <c r="AE512" s="250"/>
      <c r="AF512" s="250"/>
      <c r="AG512" s="250"/>
      <c r="AH512" s="250"/>
      <c r="AI512" s="250"/>
      <c r="AJ512" s="250"/>
      <c r="AK512" s="250"/>
      <c r="AL512" s="250"/>
      <c r="AM512" s="250"/>
      <c r="AN512" s="250"/>
      <c r="AO512" s="250"/>
      <c r="AP512" s="250"/>
      <c r="AQ512" s="250"/>
      <c r="AR512" s="250"/>
      <c r="AS512" s="250"/>
      <c r="AT512" s="250"/>
      <c r="AU512" s="250"/>
      <c r="AV512" s="250"/>
      <c r="AW512" s="250"/>
      <c r="AX512" s="250"/>
      <c r="AY512" s="250"/>
      <c r="AZ512" s="250"/>
      <c r="BA512" s="250"/>
      <c r="BB512" s="250"/>
      <c r="BC512" s="250"/>
      <c r="BD512" s="250"/>
      <c r="BE512" s="250"/>
      <c r="BF512" s="250"/>
      <c r="BG512" s="250"/>
      <c r="BH512" s="250"/>
      <c r="BI512" s="250"/>
      <c r="BJ512" s="250"/>
    </row>
    <row r="513" spans="2:62" ht="15.75" customHeight="1" thickBot="1">
      <c r="B513" s="7"/>
      <c r="C513" s="283"/>
      <c r="D513" s="542">
        <v>4729</v>
      </c>
      <c r="E513" s="550" t="e">
        <v>#N/A</v>
      </c>
      <c r="F513" s="286"/>
      <c r="G513" s="283"/>
      <c r="H513" s="283"/>
      <c r="I513" s="286"/>
      <c r="J513" s="551" t="e">
        <v>#N/A</v>
      </c>
      <c r="K513" s="283"/>
      <c r="L513" s="283"/>
      <c r="M513" s="283"/>
      <c r="N513" s="283"/>
      <c r="O513" s="551" t="e">
        <v>#N/A</v>
      </c>
      <c r="P513" s="283"/>
      <c r="Q513" s="286"/>
      <c r="R513" s="286"/>
      <c r="W513" s="339"/>
      <c r="X513" s="339"/>
      <c r="Y513" s="250"/>
      <c r="Z513" s="250"/>
      <c r="AA513" s="250"/>
      <c r="AB513" s="250"/>
      <c r="AC513" s="250"/>
      <c r="AD513" s="250"/>
      <c r="AE513" s="250"/>
      <c r="AF513" s="250"/>
      <c r="AG513" s="250"/>
      <c r="AH513" s="250"/>
      <c r="AI513" s="250"/>
      <c r="AJ513" s="250"/>
      <c r="AK513" s="250"/>
      <c r="AL513" s="250"/>
      <c r="AM513" s="250"/>
      <c r="AN513" s="250"/>
      <c r="AO513" s="250"/>
      <c r="AP513" s="250"/>
      <c r="AQ513" s="250"/>
      <c r="AR513" s="250"/>
      <c r="AS513" s="250"/>
      <c r="AT513" s="250"/>
      <c r="AU513" s="250"/>
      <c r="AV513" s="250"/>
      <c r="AW513" s="250"/>
      <c r="AX513" s="250"/>
      <c r="AY513" s="250"/>
      <c r="AZ513" s="250"/>
      <c r="BA513" s="250"/>
      <c r="BB513" s="250"/>
      <c r="BC513" s="250"/>
      <c r="BD513" s="250"/>
      <c r="BE513" s="250"/>
      <c r="BF513" s="250"/>
      <c r="BG513" s="250"/>
      <c r="BH513" s="250"/>
      <c r="BI513" s="250"/>
      <c r="BJ513" s="250"/>
    </row>
    <row r="514" spans="2:62" ht="15.75" customHeight="1" thickTop="1">
      <c r="B514" s="7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6"/>
      <c r="R514" s="286"/>
      <c r="W514" s="339"/>
      <c r="X514" s="339"/>
      <c r="Y514" s="250"/>
      <c r="Z514" s="250"/>
      <c r="AA514" s="250"/>
      <c r="AB514" s="250"/>
      <c r="AC514" s="250"/>
      <c r="AD514" s="250"/>
      <c r="AE514" s="250"/>
      <c r="AF514" s="250"/>
      <c r="AG514" s="250"/>
      <c r="AH514" s="250"/>
      <c r="AI514" s="250"/>
      <c r="AJ514" s="250"/>
      <c r="AK514" s="250"/>
      <c r="AL514" s="250"/>
      <c r="AM514" s="250"/>
      <c r="AN514" s="250"/>
      <c r="AO514" s="250"/>
      <c r="AP514" s="250"/>
      <c r="AQ514" s="250"/>
      <c r="AR514" s="250"/>
      <c r="AS514" s="250"/>
      <c r="AT514" s="250"/>
      <c r="AU514" s="250"/>
      <c r="AV514" s="250"/>
      <c r="AW514" s="250"/>
      <c r="AX514" s="250"/>
      <c r="AY514" s="250"/>
      <c r="AZ514" s="250"/>
      <c r="BA514" s="250"/>
      <c r="BB514" s="250"/>
      <c r="BC514" s="250"/>
      <c r="BD514" s="250"/>
      <c r="BE514" s="250"/>
      <c r="BF514" s="250"/>
      <c r="BG514" s="250"/>
      <c r="BH514" s="250"/>
      <c r="BI514" s="250"/>
      <c r="BJ514" s="250"/>
    </row>
    <row r="515" spans="2:62" ht="15.75" customHeight="1">
      <c r="B515" s="7"/>
      <c r="D515" s="283" t="s">
        <v>479</v>
      </c>
      <c r="E515" s="283"/>
      <c r="F515" s="286"/>
      <c r="G515" s="283"/>
      <c r="H515" s="283"/>
      <c r="I515" s="286"/>
      <c r="J515" s="283"/>
      <c r="K515" s="283"/>
      <c r="L515" s="283"/>
      <c r="M515" s="283"/>
      <c r="N515" s="283"/>
      <c r="O515" s="283"/>
      <c r="P515" s="283"/>
      <c r="W515" s="339"/>
      <c r="X515" s="339"/>
      <c r="Y515" s="250"/>
      <c r="Z515" s="250"/>
      <c r="AA515" s="250"/>
      <c r="AB515" s="250"/>
      <c r="AC515" s="250"/>
      <c r="AD515" s="250"/>
      <c r="AE515" s="250"/>
      <c r="AF515" s="250"/>
      <c r="AG515" s="250"/>
      <c r="AH515" s="250"/>
      <c r="AI515" s="250"/>
      <c r="AJ515" s="250"/>
      <c r="AK515" s="250"/>
      <c r="AL515" s="250"/>
      <c r="AM515" s="250"/>
      <c r="AN515" s="250"/>
      <c r="AO515" s="250"/>
      <c r="AP515" s="250"/>
      <c r="AQ515" s="250"/>
      <c r="AR515" s="250"/>
      <c r="AS515" s="250"/>
      <c r="AT515" s="250"/>
      <c r="AU515" s="250"/>
      <c r="AV515" s="250"/>
      <c r="AW515" s="250"/>
      <c r="AX515" s="250"/>
      <c r="AY515" s="250"/>
      <c r="AZ515" s="250"/>
      <c r="BA515" s="250"/>
      <c r="BB515" s="250"/>
      <c r="BC515" s="250"/>
      <c r="BD515" s="250"/>
      <c r="BE515" s="250"/>
      <c r="BF515" s="250"/>
      <c r="BG515" s="250"/>
      <c r="BH515" s="250"/>
      <c r="BI515" s="250"/>
      <c r="BJ515" s="250"/>
    </row>
    <row r="516" spans="2:62" ht="15.75" customHeight="1">
      <c r="B516" s="7"/>
      <c r="D516" s="542"/>
      <c r="E516" s="283" t="s">
        <v>480</v>
      </c>
      <c r="F516" s="286"/>
      <c r="G516" s="283"/>
      <c r="H516" s="283"/>
      <c r="I516" s="286"/>
      <c r="J516" s="544" t="e">
        <f>+J502</f>
        <v>#N/A</v>
      </c>
      <c r="K516" s="283"/>
      <c r="L516" s="283"/>
      <c r="M516" s="283"/>
      <c r="N516" s="283"/>
      <c r="O516" s="544" t="e">
        <f>+O502</f>
        <v>#N/A</v>
      </c>
      <c r="P516" s="283"/>
      <c r="W516" s="339"/>
      <c r="X516" s="339"/>
      <c r="Y516" s="250"/>
      <c r="Z516" s="250"/>
      <c r="AA516" s="250"/>
      <c r="AB516" s="250"/>
      <c r="AC516" s="250"/>
      <c r="AD516" s="250"/>
      <c r="AE516" s="250"/>
      <c r="AF516" s="250"/>
      <c r="AG516" s="250"/>
      <c r="AH516" s="250"/>
      <c r="AI516" s="250"/>
      <c r="AJ516" s="250"/>
      <c r="AK516" s="250"/>
      <c r="AL516" s="250"/>
      <c r="AM516" s="250"/>
      <c r="AN516" s="250"/>
      <c r="AO516" s="250"/>
      <c r="AP516" s="250"/>
      <c r="AQ516" s="250"/>
      <c r="AR516" s="250"/>
      <c r="AS516" s="250"/>
      <c r="AT516" s="250"/>
      <c r="AU516" s="250"/>
      <c r="AV516" s="250"/>
      <c r="AW516" s="250"/>
      <c r="AX516" s="250"/>
      <c r="AY516" s="250"/>
      <c r="AZ516" s="250"/>
      <c r="BA516" s="250"/>
      <c r="BB516" s="250"/>
      <c r="BC516" s="250"/>
      <c r="BD516" s="250"/>
      <c r="BE516" s="250"/>
      <c r="BF516" s="250"/>
      <c r="BG516" s="250"/>
      <c r="BH516" s="250"/>
      <c r="BI516" s="250"/>
      <c r="BJ516" s="250"/>
    </row>
    <row r="517" spans="2:62" ht="15.75" customHeight="1">
      <c r="B517" s="7"/>
      <c r="D517" s="542"/>
      <c r="E517" s="283" t="s">
        <v>481</v>
      </c>
      <c r="F517" s="286"/>
      <c r="G517" s="283"/>
      <c r="H517" s="283"/>
      <c r="I517" s="286"/>
      <c r="J517" s="544" t="e">
        <f>+J503</f>
        <v>#N/A</v>
      </c>
      <c r="K517" s="546" t="e">
        <f>-J517/J516</f>
        <v>#N/A</v>
      </c>
      <c r="L517" s="283"/>
      <c r="M517" s="283"/>
      <c r="N517" s="283"/>
      <c r="O517" s="544" t="e">
        <f>+O503</f>
        <v>#N/A</v>
      </c>
      <c r="P517" s="546" t="e">
        <f>-O517/O516</f>
        <v>#N/A</v>
      </c>
      <c r="W517" s="339"/>
      <c r="X517" s="339"/>
      <c r="Y517" s="250"/>
      <c r="Z517" s="250"/>
      <c r="AA517" s="250"/>
      <c r="AB517" s="250"/>
      <c r="AC517" s="250"/>
      <c r="AD517" s="250"/>
      <c r="AE517" s="250"/>
      <c r="AF517" s="250"/>
      <c r="AG517" s="250"/>
      <c r="AH517" s="250"/>
      <c r="AI517" s="250"/>
      <c r="AJ517" s="250"/>
      <c r="AK517" s="250"/>
      <c r="AL517" s="250"/>
      <c r="AM517" s="250"/>
      <c r="AN517" s="250"/>
      <c r="AO517" s="250"/>
      <c r="AP517" s="250"/>
      <c r="AQ517" s="250"/>
      <c r="AR517" s="250"/>
      <c r="AS517" s="250"/>
      <c r="AT517" s="250"/>
      <c r="AU517" s="250"/>
      <c r="AV517" s="250"/>
      <c r="AW517" s="250"/>
      <c r="AX517" s="250"/>
      <c r="AY517" s="250"/>
      <c r="AZ517" s="250"/>
      <c r="BA517" s="250"/>
      <c r="BB517" s="250"/>
      <c r="BC517" s="250"/>
      <c r="BD517" s="250"/>
      <c r="BE517" s="250"/>
      <c r="BF517" s="250"/>
      <c r="BG517" s="250"/>
      <c r="BH517" s="250"/>
      <c r="BI517" s="250"/>
      <c r="BJ517" s="250"/>
    </row>
    <row r="518" spans="2:62" ht="15.75" customHeight="1" thickBot="1">
      <c r="B518" s="7"/>
      <c r="D518" s="542"/>
      <c r="E518" s="283"/>
      <c r="F518" s="286"/>
      <c r="G518" s="283"/>
      <c r="H518" s="283"/>
      <c r="I518" s="286"/>
      <c r="J518" s="547" t="e">
        <f>SUM(J516:J517)</f>
        <v>#N/A</v>
      </c>
      <c r="K518" s="548" t="e">
        <f>+J518/J516</f>
        <v>#N/A</v>
      </c>
      <c r="L518" s="283"/>
      <c r="M518" s="283"/>
      <c r="N518" s="283"/>
      <c r="O518" s="547" t="e">
        <f>SUM(O516:O517)</f>
        <v>#N/A</v>
      </c>
      <c r="P518" s="548" t="e">
        <f>+O518/O516</f>
        <v>#N/A</v>
      </c>
      <c r="W518" s="339"/>
      <c r="X518" s="339"/>
      <c r="Y518" s="250"/>
      <c r="Z518" s="250"/>
      <c r="AA518" s="250"/>
      <c r="AB518" s="250"/>
      <c r="AC518" s="250"/>
      <c r="AD518" s="250"/>
      <c r="AE518" s="250"/>
      <c r="AF518" s="250"/>
      <c r="AG518" s="250"/>
      <c r="AH518" s="250"/>
      <c r="AI518" s="250"/>
      <c r="AJ518" s="250"/>
      <c r="AK518" s="250"/>
      <c r="AL518" s="250"/>
      <c r="AM518" s="250"/>
      <c r="AN518" s="250"/>
      <c r="AO518" s="250"/>
      <c r="AP518" s="250"/>
      <c r="AQ518" s="250"/>
      <c r="AR518" s="250"/>
      <c r="AS518" s="250"/>
      <c r="AT518" s="250"/>
      <c r="AU518" s="250"/>
      <c r="AV518" s="250"/>
      <c r="AW518" s="250"/>
      <c r="AX518" s="250"/>
      <c r="AY518" s="250"/>
      <c r="AZ518" s="250"/>
      <c r="BA518" s="250"/>
      <c r="BB518" s="250"/>
      <c r="BC518" s="250"/>
      <c r="BD518" s="250"/>
      <c r="BE518" s="250"/>
      <c r="BF518" s="250"/>
      <c r="BG518" s="250"/>
      <c r="BH518" s="250"/>
      <c r="BI518" s="250"/>
      <c r="BJ518" s="250"/>
    </row>
    <row r="519" spans="2:62" ht="15.75" customHeight="1" thickTop="1">
      <c r="B519" s="7"/>
      <c r="D519" s="542"/>
      <c r="E519" s="283"/>
      <c r="F519" s="286"/>
      <c r="G519" s="283"/>
      <c r="H519" s="283"/>
      <c r="I519" s="552"/>
      <c r="J519" s="283"/>
      <c r="K519" s="283"/>
      <c r="L519" s="283"/>
      <c r="M519" s="283"/>
      <c r="N519" s="552"/>
      <c r="O519" s="283"/>
      <c r="P519" s="283"/>
      <c r="W519" s="339"/>
      <c r="X519" s="339"/>
      <c r="Y519" s="250"/>
      <c r="Z519" s="250"/>
      <c r="AA519" s="250"/>
      <c r="AB519" s="250"/>
      <c r="AC519" s="250"/>
      <c r="AD519" s="250"/>
      <c r="AE519" s="250"/>
      <c r="AF519" s="250"/>
      <c r="AG519" s="250"/>
      <c r="AH519" s="250"/>
      <c r="AI519" s="250"/>
      <c r="AJ519" s="250"/>
      <c r="AK519" s="250"/>
      <c r="AL519" s="250"/>
      <c r="AM519" s="250"/>
      <c r="AN519" s="250"/>
      <c r="AO519" s="250"/>
      <c r="AP519" s="250"/>
      <c r="AQ519" s="250"/>
      <c r="AR519" s="250"/>
      <c r="AS519" s="250"/>
      <c r="AT519" s="250"/>
      <c r="AU519" s="250"/>
      <c r="AV519" s="250"/>
      <c r="AW519" s="250"/>
      <c r="AX519" s="250"/>
      <c r="AY519" s="250"/>
      <c r="AZ519" s="250"/>
      <c r="BA519" s="250"/>
      <c r="BB519" s="250"/>
      <c r="BC519" s="250"/>
      <c r="BD519" s="250"/>
      <c r="BE519" s="250"/>
      <c r="BF519" s="250"/>
      <c r="BG519" s="250"/>
      <c r="BH519" s="250"/>
      <c r="BI519" s="250"/>
      <c r="BJ519" s="250"/>
    </row>
    <row r="520" spans="2:62" ht="15.75" customHeight="1" thickBot="1">
      <c r="B520" s="7"/>
      <c r="D520" s="542"/>
      <c r="E520" s="283" t="s">
        <v>482</v>
      </c>
      <c r="F520" s="286"/>
      <c r="G520" s="283"/>
      <c r="H520" s="283"/>
      <c r="I520" s="286"/>
      <c r="J520" s="553" t="e">
        <f>+J506+J513</f>
        <v>#N/A</v>
      </c>
      <c r="K520" s="283"/>
      <c r="L520" s="283"/>
      <c r="M520" s="283"/>
      <c r="N520" s="283"/>
      <c r="O520" s="553" t="e">
        <f>+O506+O513</f>
        <v>#N/A</v>
      </c>
      <c r="P520" s="283"/>
      <c r="W520" s="339"/>
      <c r="X520" s="339"/>
      <c r="Y520" s="250"/>
      <c r="Z520" s="250"/>
      <c r="AA520" s="250"/>
      <c r="AB520" s="250"/>
      <c r="AC520" s="250"/>
      <c r="AD520" s="250"/>
      <c r="AE520" s="250"/>
      <c r="AF520" s="250"/>
      <c r="AG520" s="250"/>
      <c r="AH520" s="250"/>
      <c r="AI520" s="250"/>
      <c r="AJ520" s="250"/>
      <c r="AK520" s="250"/>
      <c r="AL520" s="250"/>
      <c r="AM520" s="250"/>
      <c r="AN520" s="250"/>
      <c r="AO520" s="250"/>
      <c r="AP520" s="250"/>
      <c r="AQ520" s="250"/>
      <c r="AR520" s="250"/>
      <c r="AS520" s="250"/>
      <c r="AT520" s="250"/>
      <c r="AU520" s="250"/>
      <c r="AV520" s="250"/>
      <c r="AW520" s="250"/>
      <c r="AX520" s="250"/>
      <c r="AY520" s="250"/>
      <c r="AZ520" s="250"/>
      <c r="BA520" s="250"/>
      <c r="BB520" s="250"/>
      <c r="BC520" s="250"/>
      <c r="BD520" s="250"/>
      <c r="BE520" s="250"/>
      <c r="BF520" s="250"/>
      <c r="BG520" s="250"/>
      <c r="BH520" s="250"/>
      <c r="BI520" s="250"/>
      <c r="BJ520" s="250"/>
    </row>
    <row r="521" spans="2:62" ht="15.75" customHeight="1" thickTop="1">
      <c r="B521" s="7"/>
      <c r="D521" s="542"/>
      <c r="E521" s="283"/>
      <c r="F521" s="286"/>
      <c r="G521" s="283"/>
      <c r="H521" s="283"/>
      <c r="I521" s="286"/>
      <c r="J521" s="542"/>
      <c r="K521" s="283"/>
      <c r="L521" s="283"/>
      <c r="M521" s="283"/>
      <c r="N521" s="283"/>
      <c r="O521" s="542"/>
      <c r="P521" s="283"/>
      <c r="W521" s="339"/>
      <c r="X521" s="339"/>
      <c r="Y521" s="250"/>
      <c r="Z521" s="250"/>
      <c r="AA521" s="250"/>
      <c r="AB521" s="250"/>
      <c r="AC521" s="250"/>
      <c r="AD521" s="250"/>
      <c r="AE521" s="250"/>
      <c r="AF521" s="250"/>
      <c r="AG521" s="250"/>
      <c r="AH521" s="250"/>
      <c r="AI521" s="250"/>
      <c r="AJ521" s="250"/>
      <c r="AK521" s="250"/>
      <c r="AL521" s="250"/>
      <c r="AM521" s="250"/>
      <c r="AN521" s="250"/>
      <c r="AO521" s="250"/>
      <c r="AP521" s="250"/>
      <c r="AQ521" s="250"/>
      <c r="AR521" s="250"/>
      <c r="AS521" s="250"/>
      <c r="AT521" s="250"/>
      <c r="AU521" s="250"/>
      <c r="AV521" s="250"/>
      <c r="AW521" s="250"/>
      <c r="AX521" s="250"/>
      <c r="AY521" s="250"/>
      <c r="AZ521" s="250"/>
      <c r="BA521" s="250"/>
      <c r="BB521" s="250"/>
      <c r="BC521" s="250"/>
      <c r="BD521" s="250"/>
      <c r="BE521" s="250"/>
      <c r="BF521" s="250"/>
      <c r="BG521" s="250"/>
      <c r="BH521" s="250"/>
      <c r="BI521" s="250"/>
      <c r="BJ521" s="250"/>
    </row>
    <row r="522" spans="2:62" ht="15.75" customHeight="1" thickBot="1">
      <c r="B522" s="7"/>
      <c r="D522" s="542"/>
      <c r="E522" s="550"/>
      <c r="F522" s="286"/>
      <c r="G522" s="283"/>
      <c r="H522" s="283"/>
      <c r="I522" s="286"/>
      <c r="J522" s="250"/>
      <c r="K522" s="283"/>
      <c r="L522" s="283"/>
      <c r="M522" s="283"/>
      <c r="N522" s="283"/>
      <c r="O522" s="250"/>
      <c r="P522" s="283"/>
      <c r="W522" s="339"/>
      <c r="X522" s="339"/>
      <c r="Y522" s="250"/>
      <c r="Z522" s="250"/>
      <c r="AA522" s="250"/>
      <c r="AB522" s="250"/>
      <c r="AC522" s="250"/>
      <c r="AD522" s="250"/>
      <c r="AE522" s="250"/>
      <c r="AF522" s="250"/>
      <c r="AG522" s="250"/>
      <c r="AH522" s="250"/>
      <c r="AI522" s="250"/>
      <c r="AJ522" s="250"/>
      <c r="AK522" s="250"/>
      <c r="AL522" s="250"/>
      <c r="AM522" s="250"/>
      <c r="AN522" s="250"/>
      <c r="AO522" s="250"/>
      <c r="AP522" s="250"/>
      <c r="AQ522" s="250"/>
      <c r="AR522" s="250"/>
      <c r="AS522" s="250"/>
      <c r="AT522" s="250"/>
      <c r="AU522" s="250"/>
      <c r="AV522" s="250"/>
      <c r="AW522" s="250"/>
      <c r="AX522" s="250"/>
      <c r="AY522" s="250"/>
      <c r="AZ522" s="250"/>
      <c r="BA522" s="250"/>
      <c r="BB522" s="250"/>
      <c r="BC522" s="250"/>
      <c r="BD522" s="250"/>
      <c r="BE522" s="250"/>
      <c r="BF522" s="250"/>
      <c r="BG522" s="250"/>
      <c r="BH522" s="250"/>
      <c r="BI522" s="250"/>
      <c r="BJ522" s="250"/>
    </row>
    <row r="523" spans="2:62" ht="15.75" customHeight="1" thickBot="1">
      <c r="B523" s="7"/>
      <c r="D523" s="537" t="s">
        <v>483</v>
      </c>
      <c r="E523" s="538"/>
      <c r="F523" s="539"/>
      <c r="G523" s="540"/>
      <c r="J523" s="541" t="s">
        <v>474</v>
      </c>
      <c r="O523" s="541" t="s">
        <v>475</v>
      </c>
      <c r="W523" s="339"/>
      <c r="X523" s="339"/>
      <c r="Y523" s="250"/>
      <c r="Z523" s="250"/>
      <c r="AA523" s="250"/>
      <c r="AB523" s="250"/>
      <c r="AC523" s="250"/>
      <c r="AD523" s="250"/>
      <c r="AE523" s="250"/>
      <c r="AF523" s="250"/>
      <c r="AG523" s="250"/>
      <c r="AH523" s="250"/>
      <c r="AI523" s="250"/>
      <c r="AJ523" s="250"/>
      <c r="AK523" s="250"/>
      <c r="AL523" s="250"/>
      <c r="AM523" s="250"/>
      <c r="AN523" s="250"/>
      <c r="AO523" s="250"/>
      <c r="AP523" s="250"/>
      <c r="AQ523" s="250"/>
      <c r="AR523" s="250"/>
      <c r="AS523" s="250"/>
      <c r="AT523" s="250"/>
      <c r="AU523" s="250"/>
      <c r="AV523" s="250"/>
      <c r="AW523" s="250"/>
      <c r="AX523" s="250"/>
      <c r="AY523" s="250"/>
      <c r="AZ523" s="250"/>
      <c r="BA523" s="250"/>
      <c r="BB523" s="250"/>
      <c r="BC523" s="250"/>
      <c r="BD523" s="250"/>
      <c r="BE523" s="250"/>
      <c r="BF523" s="250"/>
      <c r="BG523" s="250"/>
      <c r="BH523" s="250"/>
      <c r="BI523" s="250"/>
      <c r="BJ523" s="250"/>
    </row>
    <row r="524" spans="2:62" ht="15.75" customHeight="1">
      <c r="B524" s="7"/>
      <c r="C524" s="283"/>
      <c r="D524" s="283" t="s">
        <v>476</v>
      </c>
      <c r="E524" s="283"/>
      <c r="F524" s="286"/>
      <c r="G524" s="283"/>
      <c r="H524" s="283"/>
      <c r="I524" s="286"/>
      <c r="J524" s="283"/>
      <c r="K524" s="283"/>
      <c r="L524" s="283"/>
      <c r="M524" s="283"/>
      <c r="N524" s="283"/>
      <c r="O524" s="283"/>
      <c r="P524" s="283"/>
      <c r="W524" s="339"/>
      <c r="X524" s="339"/>
      <c r="Y524" s="250"/>
      <c r="Z524" s="250"/>
      <c r="AA524" s="250"/>
      <c r="AB524" s="250"/>
      <c r="AC524" s="250"/>
      <c r="AD524" s="250"/>
      <c r="AE524" s="250"/>
      <c r="AF524" s="250"/>
      <c r="AG524" s="250"/>
      <c r="AH524" s="250"/>
      <c r="AI524" s="250"/>
      <c r="AJ524" s="250"/>
      <c r="AK524" s="250"/>
      <c r="AL524" s="250"/>
      <c r="AM524" s="250"/>
      <c r="AN524" s="250"/>
      <c r="AO524" s="250"/>
      <c r="AP524" s="250"/>
      <c r="AQ524" s="250"/>
      <c r="AR524" s="250"/>
      <c r="AS524" s="250"/>
      <c r="AT524" s="250"/>
      <c r="AU524" s="250"/>
      <c r="AV524" s="250"/>
      <c r="AW524" s="250"/>
      <c r="AX524" s="250"/>
      <c r="AY524" s="250"/>
      <c r="AZ524" s="250"/>
      <c r="BA524" s="250"/>
      <c r="BB524" s="250"/>
      <c r="BC524" s="250"/>
      <c r="BD524" s="250"/>
      <c r="BE524" s="250"/>
      <c r="BF524" s="250"/>
      <c r="BG524" s="250"/>
      <c r="BH524" s="250"/>
      <c r="BI524" s="250"/>
      <c r="BJ524" s="250"/>
    </row>
    <row r="525" spans="2:62" ht="15.75" customHeight="1">
      <c r="B525" s="7"/>
      <c r="C525" s="283"/>
      <c r="D525" s="542">
        <v>4405</v>
      </c>
      <c r="E525" s="283" t="s">
        <v>505</v>
      </c>
      <c r="F525" s="286"/>
      <c r="G525" s="283"/>
      <c r="H525" s="283"/>
      <c r="I525" s="286"/>
      <c r="J525" s="544">
        <v>50385.62</v>
      </c>
      <c r="K525" s="283"/>
      <c r="L525" s="283"/>
      <c r="M525" s="283"/>
      <c r="N525" s="283"/>
      <c r="O525" s="544">
        <v>376770.49</v>
      </c>
      <c r="P525" s="283"/>
      <c r="W525" s="339"/>
      <c r="X525" s="339"/>
      <c r="Y525" s="250"/>
      <c r="Z525" s="250"/>
      <c r="AA525" s="250"/>
      <c r="AB525" s="250"/>
      <c r="AC525" s="250"/>
      <c r="AD525" s="250"/>
      <c r="AE525" s="250"/>
      <c r="AF525" s="250"/>
      <c r="AG525" s="250"/>
      <c r="AH525" s="250"/>
      <c r="AI525" s="250"/>
      <c r="AJ525" s="250"/>
      <c r="AK525" s="250"/>
      <c r="AL525" s="250"/>
      <c r="AM525" s="250"/>
      <c r="AN525" s="250"/>
      <c r="AO525" s="250"/>
      <c r="AP525" s="250"/>
      <c r="AQ525" s="250"/>
      <c r="AR525" s="250"/>
      <c r="AS525" s="250"/>
      <c r="AT525" s="250"/>
      <c r="AU525" s="250"/>
      <c r="AV525" s="250"/>
      <c r="AW525" s="250"/>
      <c r="AX525" s="250"/>
      <c r="AY525" s="250"/>
      <c r="AZ525" s="250"/>
      <c r="BA525" s="250"/>
      <c r="BB525" s="250"/>
      <c r="BC525" s="250"/>
      <c r="BD525" s="250"/>
      <c r="BE525" s="250"/>
      <c r="BF525" s="250"/>
      <c r="BG525" s="250"/>
      <c r="BH525" s="250"/>
      <c r="BI525" s="250"/>
      <c r="BJ525" s="250"/>
    </row>
    <row r="526" spans="2:62" ht="15.75" customHeight="1">
      <c r="B526" s="7"/>
      <c r="C526" s="283"/>
      <c r="D526" s="542">
        <v>5405</v>
      </c>
      <c r="E526" s="283" t="s">
        <v>506</v>
      </c>
      <c r="F526" s="286"/>
      <c r="G526" s="283"/>
      <c r="H526" s="283"/>
      <c r="I526" s="286"/>
      <c r="J526" s="544">
        <v>-12824.36</v>
      </c>
      <c r="K526" s="546">
        <f>-J526/J525</f>
        <v>0.25452420750206112</v>
      </c>
      <c r="L526" s="283"/>
      <c r="M526" s="283"/>
      <c r="N526" s="283"/>
      <c r="O526" s="544">
        <v>-104187</v>
      </c>
      <c r="P526" s="546">
        <f>-O526/O525</f>
        <v>0.27652643390409903</v>
      </c>
      <c r="W526" s="339"/>
      <c r="X526" s="339"/>
      <c r="Y526" s="250"/>
      <c r="Z526" s="250"/>
      <c r="AA526" s="250"/>
      <c r="AB526" s="250"/>
      <c r="AC526" s="250"/>
      <c r="AD526" s="250"/>
      <c r="AE526" s="250"/>
      <c r="AF526" s="250"/>
      <c r="AG526" s="250"/>
      <c r="AH526" s="250"/>
      <c r="AI526" s="250"/>
      <c r="AJ526" s="250"/>
      <c r="AK526" s="250"/>
      <c r="AL526" s="250"/>
      <c r="AM526" s="250"/>
      <c r="AN526" s="250"/>
      <c r="AO526" s="250"/>
      <c r="AP526" s="250"/>
      <c r="AQ526" s="250"/>
      <c r="AR526" s="250"/>
      <c r="AS526" s="250"/>
      <c r="AT526" s="250"/>
      <c r="AU526" s="250"/>
      <c r="AV526" s="250"/>
      <c r="AW526" s="250"/>
      <c r="AX526" s="250"/>
      <c r="AY526" s="250"/>
      <c r="AZ526" s="250"/>
      <c r="BA526" s="250"/>
      <c r="BB526" s="250"/>
      <c r="BC526" s="250"/>
      <c r="BD526" s="250"/>
      <c r="BE526" s="250"/>
      <c r="BF526" s="250"/>
      <c r="BG526" s="250"/>
      <c r="BH526" s="250"/>
      <c r="BI526" s="250"/>
      <c r="BJ526" s="250"/>
    </row>
    <row r="527" spans="2:62" ht="15.75" customHeight="1" thickBot="1">
      <c r="B527" s="7"/>
      <c r="C527" s="283"/>
      <c r="D527" s="542"/>
      <c r="E527" s="283" t="s">
        <v>484</v>
      </c>
      <c r="F527" s="286"/>
      <c r="G527" s="283"/>
      <c r="H527" s="283"/>
      <c r="I527" s="286"/>
      <c r="J527" s="547">
        <f>SUM(J525:J526)</f>
        <v>37561.26</v>
      </c>
      <c r="K527" s="548">
        <f>+J527/J525</f>
        <v>0.74547579249793894</v>
      </c>
      <c r="L527" s="283"/>
      <c r="M527" s="283"/>
      <c r="N527" s="283"/>
      <c r="O527" s="547">
        <f>SUM(O525:O526)</f>
        <v>272583.49</v>
      </c>
      <c r="P527" s="548">
        <f>+O527/O525</f>
        <v>0.72347356609590097</v>
      </c>
      <c r="W527" s="339"/>
      <c r="X527" s="339"/>
      <c r="Y527" s="250"/>
      <c r="Z527" s="250"/>
      <c r="AA527" s="250"/>
      <c r="AB527" s="250"/>
      <c r="AC527" s="250"/>
      <c r="AD527" s="250"/>
      <c r="AE527" s="250"/>
      <c r="AF527" s="250"/>
      <c r="AG527" s="250"/>
      <c r="AH527" s="250"/>
      <c r="AI527" s="250"/>
      <c r="AJ527" s="250"/>
      <c r="AK527" s="250"/>
      <c r="AL527" s="250"/>
      <c r="AM527" s="250"/>
      <c r="AN527" s="250"/>
      <c r="AO527" s="250"/>
      <c r="AP527" s="250"/>
      <c r="AQ527" s="250"/>
      <c r="AR527" s="250"/>
      <c r="AS527" s="250"/>
      <c r="AT527" s="250"/>
      <c r="AU527" s="250"/>
      <c r="AV527" s="250"/>
      <c r="AW527" s="250"/>
      <c r="AX527" s="250"/>
      <c r="AY527" s="250"/>
      <c r="AZ527" s="250"/>
      <c r="BA527" s="250"/>
      <c r="BB527" s="250"/>
      <c r="BC527" s="250"/>
      <c r="BD527" s="250"/>
      <c r="BE527" s="250"/>
      <c r="BF527" s="250"/>
      <c r="BG527" s="250"/>
      <c r="BH527" s="250"/>
      <c r="BI527" s="250"/>
      <c r="BJ527" s="250"/>
    </row>
    <row r="528" spans="2:62" ht="15.75" customHeight="1" thickTop="1">
      <c r="B528" s="7"/>
      <c r="C528" s="283"/>
      <c r="D528" s="542"/>
      <c r="E528" s="283"/>
      <c r="F528" s="286"/>
      <c r="G528" s="283"/>
      <c r="H528" s="283"/>
      <c r="I528" s="286"/>
      <c r="J528" s="542"/>
      <c r="K528" s="283"/>
      <c r="L528" s="283"/>
      <c r="M528" s="283"/>
      <c r="N528" s="283"/>
      <c r="O528" s="542"/>
      <c r="P528" s="283"/>
      <c r="W528" s="339"/>
      <c r="X528" s="339"/>
      <c r="Y528" s="250"/>
      <c r="Z528" s="250"/>
      <c r="AA528" s="250"/>
      <c r="AB528" s="250"/>
      <c r="AC528" s="250"/>
      <c r="AD528" s="250"/>
      <c r="AE528" s="250"/>
      <c r="AF528" s="250"/>
      <c r="AG528" s="250"/>
      <c r="AH528" s="250"/>
      <c r="AI528" s="250"/>
      <c r="AJ528" s="250"/>
      <c r="AK528" s="250"/>
      <c r="AL528" s="250"/>
      <c r="AM528" s="250"/>
      <c r="AN528" s="250"/>
      <c r="AO528" s="250"/>
      <c r="AP528" s="250"/>
      <c r="AQ528" s="250"/>
      <c r="AR528" s="250"/>
      <c r="AS528" s="250"/>
      <c r="AT528" s="250"/>
      <c r="AU528" s="250"/>
      <c r="AV528" s="250"/>
      <c r="AW528" s="250"/>
      <c r="AX528" s="250"/>
      <c r="AY528" s="250"/>
      <c r="AZ528" s="250"/>
      <c r="BA528" s="250"/>
      <c r="BB528" s="250"/>
      <c r="BC528" s="250"/>
      <c r="BD528" s="250"/>
      <c r="BE528" s="250"/>
      <c r="BF528" s="250"/>
      <c r="BG528" s="250"/>
      <c r="BH528" s="250"/>
      <c r="BI528" s="250"/>
      <c r="BJ528" s="250"/>
    </row>
    <row r="529" spans="2:62" ht="15.75" customHeight="1">
      <c r="B529" s="7"/>
      <c r="C529" s="283"/>
      <c r="D529" s="542"/>
      <c r="E529" s="283"/>
      <c r="F529" s="286"/>
      <c r="G529" s="283"/>
      <c r="H529" s="283"/>
      <c r="I529" s="286"/>
      <c r="J529" s="283"/>
      <c r="K529" s="283"/>
      <c r="L529" s="283"/>
      <c r="M529" s="283"/>
      <c r="N529" s="283"/>
      <c r="O529" s="283"/>
      <c r="P529" s="283"/>
      <c r="W529" s="339"/>
      <c r="X529" s="339"/>
      <c r="Y529" s="250"/>
      <c r="Z529" s="250"/>
      <c r="AA529" s="250"/>
      <c r="AB529" s="250"/>
      <c r="AC529" s="250"/>
      <c r="AD529" s="250"/>
      <c r="AE529" s="250"/>
      <c r="AF529" s="250"/>
      <c r="AG529" s="250"/>
      <c r="AH529" s="250"/>
      <c r="AI529" s="250"/>
      <c r="AJ529" s="250"/>
      <c r="AK529" s="250"/>
      <c r="AL529" s="250"/>
      <c r="AM529" s="250"/>
      <c r="AN529" s="250"/>
      <c r="AO529" s="250"/>
      <c r="AP529" s="250"/>
      <c r="AQ529" s="250"/>
      <c r="AR529" s="250"/>
      <c r="AS529" s="250"/>
      <c r="AT529" s="250"/>
      <c r="AU529" s="250"/>
      <c r="AV529" s="250"/>
      <c r="AW529" s="250"/>
      <c r="AX529" s="250"/>
      <c r="AY529" s="250"/>
      <c r="AZ529" s="250"/>
      <c r="BA529" s="250"/>
      <c r="BB529" s="250"/>
      <c r="BC529" s="250"/>
      <c r="BD529" s="250"/>
      <c r="BE529" s="250"/>
      <c r="BF529" s="250"/>
      <c r="BG529" s="250"/>
      <c r="BH529" s="250"/>
      <c r="BI529" s="250"/>
      <c r="BJ529" s="250"/>
    </row>
    <row r="530" spans="2:62" ht="15.75" customHeight="1">
      <c r="B530" s="7"/>
      <c r="C530" s="283"/>
      <c r="D530" s="542">
        <v>4705</v>
      </c>
      <c r="E530" s="283" t="s">
        <v>507</v>
      </c>
      <c r="F530" s="286"/>
      <c r="G530" s="283"/>
      <c r="H530" s="283"/>
      <c r="I530" s="286"/>
      <c r="J530" s="544">
        <v>44690.37</v>
      </c>
      <c r="K530" s="283"/>
      <c r="L530" s="283"/>
      <c r="M530" s="283"/>
      <c r="N530" s="283"/>
      <c r="O530" s="544">
        <v>351528.77</v>
      </c>
      <c r="P530" s="283"/>
      <c r="W530" s="339"/>
      <c r="X530" s="339"/>
      <c r="Y530" s="250"/>
      <c r="Z530" s="250"/>
      <c r="AA530" s="250"/>
      <c r="AB530" s="250"/>
      <c r="AC530" s="250"/>
      <c r="AD530" s="250"/>
      <c r="AE530" s="250"/>
      <c r="AF530" s="250"/>
      <c r="AG530" s="250"/>
      <c r="AH530" s="250"/>
      <c r="AI530" s="250"/>
      <c r="AJ530" s="250"/>
      <c r="AK530" s="250"/>
      <c r="AL530" s="250"/>
      <c r="AM530" s="250"/>
      <c r="AN530" s="250"/>
      <c r="AO530" s="250"/>
      <c r="AP530" s="250"/>
      <c r="AQ530" s="250"/>
      <c r="AR530" s="250"/>
      <c r="AS530" s="250"/>
      <c r="AT530" s="250"/>
      <c r="AU530" s="250"/>
      <c r="AV530" s="250"/>
      <c r="AW530" s="250"/>
      <c r="AX530" s="250"/>
      <c r="AY530" s="250"/>
      <c r="AZ530" s="250"/>
      <c r="BA530" s="250"/>
      <c r="BB530" s="250"/>
      <c r="BC530" s="250"/>
      <c r="BD530" s="250"/>
      <c r="BE530" s="250"/>
      <c r="BF530" s="250"/>
      <c r="BG530" s="250"/>
      <c r="BH530" s="250"/>
      <c r="BI530" s="250"/>
      <c r="BJ530" s="250"/>
    </row>
    <row r="531" spans="2:62" ht="15.75" customHeight="1">
      <c r="B531" s="7"/>
      <c r="C531" s="283"/>
      <c r="D531" s="542">
        <v>5705</v>
      </c>
      <c r="E531" s="283" t="s">
        <v>508</v>
      </c>
      <c r="F531" s="286"/>
      <c r="G531" s="283"/>
      <c r="H531" s="283"/>
      <c r="I531" s="286"/>
      <c r="J531" s="544">
        <v>-30898.52</v>
      </c>
      <c r="K531" s="546">
        <f>-J531/J530</f>
        <v>0.69139100884597726</v>
      </c>
      <c r="L531" s="283"/>
      <c r="M531" s="283"/>
      <c r="N531" s="283"/>
      <c r="O531" s="544">
        <v>-239317.12</v>
      </c>
      <c r="P531" s="546">
        <f>-O531/O530</f>
        <v>0.68078956951375558</v>
      </c>
      <c r="W531" s="339"/>
      <c r="X531" s="339"/>
      <c r="Y531" s="250"/>
      <c r="Z531" s="250"/>
      <c r="AA531" s="250"/>
      <c r="AB531" s="250"/>
      <c r="AC531" s="250"/>
      <c r="AD531" s="250"/>
      <c r="AE531" s="250"/>
      <c r="AF531" s="250"/>
      <c r="AG531" s="250"/>
      <c r="AH531" s="250"/>
      <c r="AI531" s="250"/>
      <c r="AJ531" s="250"/>
      <c r="AK531" s="250"/>
      <c r="AL531" s="250"/>
      <c r="AM531" s="250"/>
      <c r="AN531" s="250"/>
      <c r="AO531" s="250"/>
      <c r="AP531" s="250"/>
      <c r="AQ531" s="250"/>
      <c r="AR531" s="250"/>
      <c r="AS531" s="250"/>
      <c r="AT531" s="250"/>
      <c r="AU531" s="250"/>
      <c r="AV531" s="250"/>
      <c r="AW531" s="250"/>
      <c r="AX531" s="250"/>
      <c r="AY531" s="250"/>
      <c r="AZ531" s="250"/>
      <c r="BA531" s="250"/>
      <c r="BB531" s="250"/>
      <c r="BC531" s="250"/>
      <c r="BD531" s="250"/>
      <c r="BE531" s="250"/>
      <c r="BF531" s="250"/>
      <c r="BG531" s="250"/>
      <c r="BH531" s="250"/>
      <c r="BI531" s="250"/>
      <c r="BJ531" s="250"/>
    </row>
    <row r="532" spans="2:62" ht="15.75" customHeight="1" thickBot="1">
      <c r="B532" s="7"/>
      <c r="C532" s="283"/>
      <c r="D532" s="283"/>
      <c r="E532" s="283" t="s">
        <v>485</v>
      </c>
      <c r="F532" s="286"/>
      <c r="G532" s="283"/>
      <c r="H532" s="283"/>
      <c r="I532" s="286"/>
      <c r="J532" s="547">
        <f>SUM(J530:J531)</f>
        <v>13791.850000000002</v>
      </c>
      <c r="K532" s="548">
        <f>+J532/J530</f>
        <v>0.30860899115402268</v>
      </c>
      <c r="L532" s="283"/>
      <c r="M532" s="283"/>
      <c r="N532" s="283"/>
      <c r="O532" s="547">
        <f>SUM(O530:O531)</f>
        <v>112211.65000000002</v>
      </c>
      <c r="P532" s="548">
        <f>+O532/O530</f>
        <v>0.31921043048624448</v>
      </c>
      <c r="W532" s="339"/>
      <c r="X532" s="339"/>
      <c r="Y532" s="250"/>
      <c r="Z532" s="250"/>
      <c r="AA532" s="250"/>
      <c r="AB532" s="250"/>
      <c r="AC532" s="250"/>
      <c r="AD532" s="250"/>
      <c r="AE532" s="250"/>
      <c r="AF532" s="250"/>
      <c r="AG532" s="250"/>
      <c r="AH532" s="250"/>
      <c r="AI532" s="250"/>
      <c r="AJ532" s="250"/>
      <c r="AK532" s="250"/>
      <c r="AL532" s="250"/>
      <c r="AM532" s="250"/>
      <c r="AN532" s="250"/>
      <c r="AO532" s="250"/>
      <c r="AP532" s="250"/>
      <c r="AQ532" s="250"/>
      <c r="AR532" s="250"/>
      <c r="AS532" s="250"/>
      <c r="AT532" s="250"/>
      <c r="AU532" s="250"/>
      <c r="AV532" s="250"/>
      <c r="AW532" s="250"/>
      <c r="AX532" s="250"/>
      <c r="AY532" s="250"/>
      <c r="AZ532" s="250"/>
      <c r="BA532" s="250"/>
      <c r="BB532" s="250"/>
      <c r="BC532" s="250"/>
      <c r="BD532" s="250"/>
      <c r="BE532" s="250"/>
      <c r="BF532" s="250"/>
      <c r="BG532" s="250"/>
      <c r="BH532" s="250"/>
      <c r="BI532" s="250"/>
      <c r="BJ532" s="250"/>
    </row>
    <row r="533" spans="2:62" ht="15.75" customHeight="1" thickTop="1">
      <c r="B533" s="7"/>
      <c r="C533" s="283"/>
      <c r="D533" s="542"/>
      <c r="E533" s="283"/>
      <c r="F533" s="286"/>
      <c r="G533" s="283"/>
      <c r="H533" s="283"/>
      <c r="I533" s="286"/>
      <c r="J533" s="542"/>
      <c r="K533" s="283"/>
      <c r="L533" s="283"/>
      <c r="M533" s="283"/>
      <c r="N533" s="283"/>
      <c r="O533" s="542"/>
      <c r="P533" s="283"/>
      <c r="W533" s="339"/>
      <c r="X533" s="339"/>
      <c r="Y533" s="250"/>
      <c r="Z533" s="250"/>
      <c r="AA533" s="250"/>
      <c r="AB533" s="250"/>
      <c r="AC533" s="250"/>
      <c r="AD533" s="250"/>
      <c r="AE533" s="250"/>
      <c r="AF533" s="250"/>
      <c r="AG533" s="250"/>
      <c r="AH533" s="250"/>
      <c r="AI533" s="250"/>
      <c r="AJ533" s="250"/>
      <c r="AK533" s="250"/>
      <c r="AL533" s="250"/>
      <c r="AM533" s="250"/>
      <c r="AN533" s="250"/>
      <c r="AO533" s="250"/>
      <c r="AP533" s="250"/>
      <c r="AQ533" s="250"/>
      <c r="AR533" s="250"/>
      <c r="AS533" s="250"/>
      <c r="AT533" s="250"/>
      <c r="AU533" s="250"/>
      <c r="AV533" s="250"/>
      <c r="AW533" s="250"/>
      <c r="AX533" s="250"/>
      <c r="AY533" s="250"/>
      <c r="AZ533" s="250"/>
      <c r="BA533" s="250"/>
      <c r="BB533" s="250"/>
      <c r="BC533" s="250"/>
      <c r="BD533" s="250"/>
      <c r="BE533" s="250"/>
      <c r="BF533" s="250"/>
      <c r="BG533" s="250"/>
      <c r="BH533" s="250"/>
      <c r="BI533" s="250"/>
      <c r="BJ533" s="250"/>
    </row>
    <row r="534" spans="2:62" ht="15.75" customHeight="1">
      <c r="B534" s="7"/>
      <c r="D534" s="283" t="s">
        <v>479</v>
      </c>
      <c r="E534" s="283"/>
      <c r="F534" s="286"/>
      <c r="G534" s="283"/>
      <c r="H534" s="283"/>
      <c r="I534" s="286"/>
      <c r="J534" s="283"/>
      <c r="K534" s="283"/>
      <c r="L534" s="283"/>
      <c r="M534" s="283"/>
      <c r="N534" s="283"/>
      <c r="O534" s="283"/>
      <c r="P534" s="283"/>
      <c r="W534" s="339"/>
      <c r="X534" s="339"/>
      <c r="Y534" s="250"/>
      <c r="Z534" s="250"/>
      <c r="AA534" s="250"/>
      <c r="AB534" s="250"/>
      <c r="AC534" s="250"/>
      <c r="AD534" s="250"/>
      <c r="AE534" s="250"/>
      <c r="AF534" s="250"/>
      <c r="AG534" s="250"/>
      <c r="AH534" s="250"/>
      <c r="AI534" s="250"/>
      <c r="AJ534" s="250"/>
      <c r="AK534" s="250"/>
      <c r="AL534" s="250"/>
      <c r="AM534" s="250"/>
      <c r="AN534" s="250"/>
      <c r="AO534" s="250"/>
      <c r="AP534" s="250"/>
      <c r="AQ534" s="250"/>
      <c r="AR534" s="250"/>
      <c r="AS534" s="250"/>
      <c r="AT534" s="250"/>
      <c r="AU534" s="250"/>
      <c r="AV534" s="250"/>
      <c r="AW534" s="250"/>
      <c r="AX534" s="250"/>
      <c r="AY534" s="250"/>
      <c r="AZ534" s="250"/>
      <c r="BA534" s="250"/>
      <c r="BB534" s="250"/>
      <c r="BC534" s="250"/>
      <c r="BD534" s="250"/>
      <c r="BE534" s="250"/>
      <c r="BF534" s="250"/>
      <c r="BG534" s="250"/>
      <c r="BH534" s="250"/>
      <c r="BI534" s="250"/>
      <c r="BJ534" s="250"/>
    </row>
    <row r="535" spans="2:62" ht="15.75" customHeight="1">
      <c r="B535" s="7"/>
      <c r="D535" s="542"/>
      <c r="E535" s="283" t="s">
        <v>486</v>
      </c>
      <c r="F535" s="286"/>
      <c r="G535" s="283"/>
      <c r="H535" s="283"/>
      <c r="I535" s="286"/>
      <c r="J535" s="544">
        <f>+J525</f>
        <v>50385.62</v>
      </c>
      <c r="K535" s="283"/>
      <c r="L535" s="283"/>
      <c r="M535" s="283"/>
      <c r="N535" s="283"/>
      <c r="O535" s="544">
        <f>+O525</f>
        <v>376770.49</v>
      </c>
      <c r="P535" s="283"/>
      <c r="W535" s="339"/>
      <c r="X535" s="339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  <c r="AI535" s="250"/>
      <c r="AJ535" s="250"/>
      <c r="AK535" s="250"/>
      <c r="AL535" s="250"/>
      <c r="AM535" s="250"/>
      <c r="AN535" s="250"/>
      <c r="AO535" s="250"/>
      <c r="AP535" s="250"/>
      <c r="AQ535" s="250"/>
      <c r="AR535" s="250"/>
      <c r="AS535" s="250"/>
      <c r="AT535" s="250"/>
      <c r="AU535" s="250"/>
      <c r="AV535" s="250"/>
      <c r="AW535" s="250"/>
      <c r="AX535" s="250"/>
      <c r="AY535" s="250"/>
      <c r="AZ535" s="250"/>
      <c r="BA535" s="250"/>
      <c r="BB535" s="250"/>
      <c r="BC535" s="250"/>
      <c r="BD535" s="250"/>
      <c r="BE535" s="250"/>
      <c r="BF535" s="250"/>
      <c r="BG535" s="250"/>
      <c r="BH535" s="250"/>
      <c r="BI535" s="250"/>
      <c r="BJ535" s="250"/>
    </row>
    <row r="536" spans="2:62" ht="15.75" customHeight="1">
      <c r="B536" s="7"/>
      <c r="D536" s="542"/>
      <c r="E536" s="283" t="s">
        <v>487</v>
      </c>
      <c r="F536" s="286"/>
      <c r="G536" s="283"/>
      <c r="H536" s="283"/>
      <c r="I536" s="286"/>
      <c r="J536" s="544">
        <f>+J526</f>
        <v>-12824.36</v>
      </c>
      <c r="K536" s="546">
        <f>-J536/J535</f>
        <v>0.25452420750206112</v>
      </c>
      <c r="L536" s="283"/>
      <c r="M536" s="283"/>
      <c r="N536" s="283"/>
      <c r="O536" s="544">
        <f>+O526</f>
        <v>-104187</v>
      </c>
      <c r="P536" s="546">
        <f>-O536/O535</f>
        <v>0.27652643390409903</v>
      </c>
      <c r="W536" s="339"/>
      <c r="X536" s="339"/>
      <c r="Y536" s="250"/>
      <c r="Z536" s="250"/>
      <c r="AA536" s="250"/>
      <c r="AB536" s="250"/>
      <c r="AC536" s="250"/>
      <c r="AD536" s="250"/>
      <c r="AE536" s="250"/>
      <c r="AF536" s="250"/>
      <c r="AG536" s="250"/>
      <c r="AH536" s="250"/>
      <c r="AI536" s="250"/>
      <c r="AJ536" s="250"/>
      <c r="AK536" s="250"/>
      <c r="AL536" s="250"/>
      <c r="AM536" s="250"/>
      <c r="AN536" s="250"/>
      <c r="AO536" s="250"/>
      <c r="AP536" s="250"/>
      <c r="AQ536" s="250"/>
      <c r="AR536" s="250"/>
      <c r="AS536" s="250"/>
      <c r="AT536" s="250"/>
      <c r="AU536" s="250"/>
      <c r="AV536" s="250"/>
      <c r="AW536" s="250"/>
      <c r="AX536" s="250"/>
      <c r="AY536" s="250"/>
      <c r="AZ536" s="250"/>
      <c r="BA536" s="250"/>
      <c r="BB536" s="250"/>
      <c r="BC536" s="250"/>
      <c r="BD536" s="250"/>
      <c r="BE536" s="250"/>
      <c r="BF536" s="250"/>
      <c r="BG536" s="250"/>
      <c r="BH536" s="250"/>
      <c r="BI536" s="250"/>
      <c r="BJ536" s="250"/>
    </row>
    <row r="537" spans="2:62" ht="15.75" customHeight="1" thickBot="1">
      <c r="B537" s="7"/>
      <c r="D537" s="542"/>
      <c r="E537" s="283"/>
      <c r="F537" s="286"/>
      <c r="G537" s="283"/>
      <c r="H537" s="283"/>
      <c r="I537" s="286"/>
      <c r="J537" s="547">
        <f>SUM(J535:J536)</f>
        <v>37561.26</v>
      </c>
      <c r="K537" s="548">
        <f>+J537/J535</f>
        <v>0.74547579249793894</v>
      </c>
      <c r="L537" s="283"/>
      <c r="M537" s="283"/>
      <c r="N537" s="283"/>
      <c r="O537" s="547">
        <f>SUM(O535:O536)</f>
        <v>272583.49</v>
      </c>
      <c r="P537" s="548">
        <f>+O537/O535</f>
        <v>0.72347356609590097</v>
      </c>
      <c r="W537" s="339"/>
      <c r="X537" s="339"/>
      <c r="Y537" s="250"/>
      <c r="Z537" s="250"/>
      <c r="AA537" s="250"/>
      <c r="AB537" s="250"/>
      <c r="AC537" s="250"/>
      <c r="AD537" s="250"/>
      <c r="AE537" s="250"/>
      <c r="AF537" s="250"/>
      <c r="AG537" s="250"/>
      <c r="AH537" s="250"/>
      <c r="AI537" s="250"/>
      <c r="AJ537" s="250"/>
      <c r="AK537" s="250"/>
      <c r="AL537" s="250"/>
      <c r="AM537" s="250"/>
      <c r="AN537" s="250"/>
      <c r="AO537" s="250"/>
      <c r="AP537" s="250"/>
      <c r="AQ537" s="250"/>
      <c r="AR537" s="250"/>
      <c r="AS537" s="250"/>
      <c r="AT537" s="250"/>
      <c r="AU537" s="250"/>
      <c r="AV537" s="250"/>
      <c r="AW537" s="250"/>
      <c r="AX537" s="250"/>
      <c r="AY537" s="250"/>
      <c r="AZ537" s="250"/>
      <c r="BA537" s="250"/>
      <c r="BB537" s="250"/>
      <c r="BC537" s="250"/>
      <c r="BD537" s="250"/>
      <c r="BE537" s="250"/>
      <c r="BF537" s="250"/>
      <c r="BG537" s="250"/>
      <c r="BH537" s="250"/>
      <c r="BI537" s="250"/>
      <c r="BJ537" s="250"/>
    </row>
    <row r="538" spans="2:62" ht="15.75" customHeight="1" thickTop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7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5 K178:L178 K181:L181 K184:L186 K183 K188:L189 H312:L315 L182 K306:K307 K311 K191:L195 L190 J101:K103 H135:H136 J135:K136 H155:H156 J155:K156 H172:I172 H175:I175 H178:I178 H181:I182 H188:I189 H191:I195 H364:H375 J364:K375 H284:L284 J18:J24 J49:L54 L173 L6:L14 J31:K48 J111:K120 J122:K133 H105:H133 L125:L129 O122:P133 Q125:Q129 H225:H228 J225:K228 H281:H283 J294:K302 L319:L324 J317:K347 H317:H347 J253:K274 H253:H274 H197:H218 J197:K218 J25:L26 H184:I186 I173 J28:L30 J27 L27 J177:J178 J180:J195 L176 I176:J176 L179 I179:J179 L275:L283">
    <cfRule type="expression" dxfId="711" priority="331" stopIfTrue="1">
      <formula>"esterreur(reference)"</formula>
    </cfRule>
  </conditionalFormatting>
  <conditionalFormatting sqref="M95:M96">
    <cfRule type="expression" dxfId="710" priority="332" stopIfTrue="1">
      <formula>"esterreur(reference)"</formula>
    </cfRule>
  </conditionalFormatting>
  <conditionalFormatting sqref="H275:H280 J275:K280">
    <cfRule type="expression" dxfId="709" priority="333" stopIfTrue="1">
      <formula>"esterreur(reference)"</formula>
    </cfRule>
  </conditionalFormatting>
  <conditionalFormatting sqref="H219:H224 J219:K224">
    <cfRule type="expression" dxfId="708" priority="334" stopIfTrue="1">
      <formula>"esterreur(reference)"</formula>
    </cfRule>
  </conditionalFormatting>
  <conditionalFormatting sqref="H141:H147 J141:K147">
    <cfRule type="expression" dxfId="707" priority="335" stopIfTrue="1">
      <formula>"esterreur(reference)"</formula>
    </cfRule>
  </conditionalFormatting>
  <conditionalFormatting sqref="H137:H139 J137:K139">
    <cfRule type="expression" dxfId="706" priority="336" stopIfTrue="1">
      <formula>"esterreur(reference)"</formula>
    </cfRule>
  </conditionalFormatting>
  <conditionalFormatting sqref="H140 J140:K140">
    <cfRule type="expression" dxfId="705" priority="337" stopIfTrue="1">
      <formula>"esterreur(reference)"</formula>
    </cfRule>
  </conditionalFormatting>
  <conditionalFormatting sqref="L82">
    <cfRule type="expression" dxfId="704" priority="311" stopIfTrue="1">
      <formula>"esterreur(reference)"</formula>
    </cfRule>
  </conditionalFormatting>
  <conditionalFormatting sqref="M311">
    <cfRule type="expression" dxfId="703" priority="338" stopIfTrue="1">
      <formula>"esterreur(reference)"</formula>
    </cfRule>
  </conditionalFormatting>
  <conditionalFormatting sqref="R311">
    <cfRule type="expression" dxfId="702" priority="339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701" priority="340" operator="greaterThan">
      <formula>0</formula>
    </cfRule>
  </conditionalFormatting>
  <conditionalFormatting sqref="AH468:AI475 AH479:AI479">
    <cfRule type="cellIs" dxfId="700" priority="341" operator="lessThan">
      <formula>0</formula>
    </cfRule>
  </conditionalFormatting>
  <conditionalFormatting sqref="AH491:AH493">
    <cfRule type="cellIs" dxfId="699" priority="342" operator="greaterThan">
      <formula>0</formula>
    </cfRule>
  </conditionalFormatting>
  <conditionalFormatting sqref="J281:K283">
    <cfRule type="expression" dxfId="698" priority="343" stopIfTrue="1">
      <formula>"esterreur(reference)"</formula>
    </cfRule>
  </conditionalFormatting>
  <conditionalFormatting sqref="K356 J356:J357 H356:I356 L355:L356 H358:L358">
    <cfRule type="expression" dxfId="697" priority="344" stopIfTrue="1">
      <formula>"esterreur(reference)"</formula>
    </cfRule>
  </conditionalFormatting>
  <conditionalFormatting sqref="H396">
    <cfRule type="expression" dxfId="696" priority="345" stopIfTrue="1">
      <formula>"esterreur(reference)"</formula>
    </cfRule>
  </conditionalFormatting>
  <conditionalFormatting sqref="I376:L376 H377:H392 J377:K392">
    <cfRule type="expression" dxfId="695" priority="346" stopIfTrue="1">
      <formula>"esterreur(reference)"</formula>
    </cfRule>
  </conditionalFormatting>
  <conditionalFormatting sqref="H397:L398 I396:L396 H395:L395 H393:H394 J393:K393">
    <cfRule type="expression" dxfId="694" priority="347" stopIfTrue="1">
      <formula>"esterreur(reference)"</formula>
    </cfRule>
  </conditionalFormatting>
  <conditionalFormatting sqref="H360:L362 H359 K359">
    <cfRule type="expression" dxfId="693" priority="348" stopIfTrue="1">
      <formula>"esterreur(reference)"</formula>
    </cfRule>
  </conditionalFormatting>
  <conditionalFormatting sqref="K394">
    <cfRule type="expression" dxfId="692" priority="349" stopIfTrue="1">
      <formula>"esterreur(reference)"</formula>
    </cfRule>
  </conditionalFormatting>
  <conditionalFormatting sqref="H316:L316">
    <cfRule type="expression" dxfId="691" priority="350" stopIfTrue="1">
      <formula>"esterreur(reference)"</formula>
    </cfRule>
  </conditionalFormatting>
  <conditionalFormatting sqref="H196:L196">
    <cfRule type="expression" dxfId="690" priority="351" stopIfTrue="1">
      <formula>"esterreur(reference)"</formula>
    </cfRule>
  </conditionalFormatting>
  <conditionalFormatting sqref="J55:K56 J71:K71">
    <cfRule type="expression" dxfId="689" priority="352" stopIfTrue="1">
      <formula>"esterreur(reference)"</formula>
    </cfRule>
  </conditionalFormatting>
  <conditionalFormatting sqref="J61:K70">
    <cfRule type="expression" dxfId="688" priority="353" stopIfTrue="1">
      <formula>"esterreur(reference)"</formula>
    </cfRule>
  </conditionalFormatting>
  <conditionalFormatting sqref="J57:K59">
    <cfRule type="expression" dxfId="687" priority="354" stopIfTrue="1">
      <formula>"esterreur(reference)"</formula>
    </cfRule>
  </conditionalFormatting>
  <conditionalFormatting sqref="J60:K60">
    <cfRule type="expression" dxfId="686" priority="355" stopIfTrue="1">
      <formula>"esterreur(reference)"</formula>
    </cfRule>
  </conditionalFormatting>
  <conditionalFormatting sqref="L19 L21:L23">
    <cfRule type="expression" dxfId="685" priority="329" stopIfTrue="1">
      <formula>"esterreur(reference)"</formula>
    </cfRule>
  </conditionalFormatting>
  <conditionalFormatting sqref="K98">
    <cfRule type="expression" dxfId="684" priority="356" stopIfTrue="1">
      <formula>"esterreur(reference)"</formula>
    </cfRule>
  </conditionalFormatting>
  <conditionalFormatting sqref="L331:L347">
    <cfRule type="expression" dxfId="683" priority="230" stopIfTrue="1">
      <formula>"esterreur(reference)"</formula>
    </cfRule>
  </conditionalFormatting>
  <conditionalFormatting sqref="L16:L17">
    <cfRule type="expression" dxfId="682" priority="330" stopIfTrue="1">
      <formula>"esterreur(reference)"</formula>
    </cfRule>
  </conditionalFormatting>
  <conditionalFormatting sqref="L20">
    <cfRule type="expression" dxfId="681" priority="328" stopIfTrue="1">
      <formula>"esterreur(reference)"</formula>
    </cfRule>
  </conditionalFormatting>
  <conditionalFormatting sqref="L325">
    <cfRule type="expression" dxfId="680" priority="234" stopIfTrue="1">
      <formula>"esterreur(reference)"</formula>
    </cfRule>
  </conditionalFormatting>
  <conditionalFormatting sqref="L326">
    <cfRule type="expression" dxfId="679" priority="233" stopIfTrue="1">
      <formula>"esterreur(reference)"</formula>
    </cfRule>
  </conditionalFormatting>
  <conditionalFormatting sqref="L327">
    <cfRule type="expression" dxfId="678" priority="232" stopIfTrue="1">
      <formula>"esterreur(reference)"</formula>
    </cfRule>
  </conditionalFormatting>
  <conditionalFormatting sqref="L328">
    <cfRule type="expression" dxfId="677" priority="231" stopIfTrue="1">
      <formula>"esterreur(reference)"</formula>
    </cfRule>
  </conditionalFormatting>
  <conditionalFormatting sqref="L42">
    <cfRule type="expression" dxfId="676" priority="327" stopIfTrue="1">
      <formula>"esterreur(reference)"</formula>
    </cfRule>
  </conditionalFormatting>
  <conditionalFormatting sqref="L43">
    <cfRule type="expression" dxfId="675" priority="326" stopIfTrue="1">
      <formula>"esterreur(reference)"</formula>
    </cfRule>
  </conditionalFormatting>
  <conditionalFormatting sqref="L44">
    <cfRule type="expression" dxfId="674" priority="325" stopIfTrue="1">
      <formula>"esterreur(reference)"</formula>
    </cfRule>
  </conditionalFormatting>
  <conditionalFormatting sqref="L45:L48">
    <cfRule type="expression" dxfId="673" priority="324" stopIfTrue="1">
      <formula>"esterreur(reference)"</formula>
    </cfRule>
  </conditionalFormatting>
  <conditionalFormatting sqref="L55">
    <cfRule type="expression" dxfId="672" priority="323" stopIfTrue="1">
      <formula>"esterreur(reference)"</formula>
    </cfRule>
  </conditionalFormatting>
  <conditionalFormatting sqref="L56">
    <cfRule type="expression" dxfId="671" priority="322" stopIfTrue="1">
      <formula>"esterreur(reference)"</formula>
    </cfRule>
  </conditionalFormatting>
  <conditionalFormatting sqref="L271">
    <cfRule type="expression" dxfId="670" priority="240" stopIfTrue="1">
      <formula>"esterreur(reference)"</formula>
    </cfRule>
  </conditionalFormatting>
  <conditionalFormatting sqref="L58">
    <cfRule type="expression" dxfId="669" priority="321" stopIfTrue="1">
      <formula>"esterreur(reference)"</formula>
    </cfRule>
  </conditionalFormatting>
  <conditionalFormatting sqref="L61">
    <cfRule type="expression" dxfId="668" priority="320" stopIfTrue="1">
      <formula>"esterreur(reference)"</formula>
    </cfRule>
  </conditionalFormatting>
  <conditionalFormatting sqref="L274">
    <cfRule type="expression" dxfId="667" priority="238" stopIfTrue="1">
      <formula>"esterreur(reference)"</formula>
    </cfRule>
  </conditionalFormatting>
  <conditionalFormatting sqref="L63">
    <cfRule type="expression" dxfId="666" priority="319" stopIfTrue="1">
      <formula>"esterreur(reference)"</formula>
    </cfRule>
  </conditionalFormatting>
  <conditionalFormatting sqref="L62">
    <cfRule type="expression" dxfId="665" priority="318" stopIfTrue="1">
      <formula>"esterreur(reference)"</formula>
    </cfRule>
  </conditionalFormatting>
  <conditionalFormatting sqref="L64">
    <cfRule type="expression" dxfId="664" priority="317" stopIfTrue="1">
      <formula>"esterreur(reference)"</formula>
    </cfRule>
  </conditionalFormatting>
  <conditionalFormatting sqref="L65">
    <cfRule type="expression" dxfId="663" priority="316" stopIfTrue="1">
      <formula>"esterreur(reference)"</formula>
    </cfRule>
  </conditionalFormatting>
  <conditionalFormatting sqref="L66:L69">
    <cfRule type="expression" dxfId="662" priority="315" stopIfTrue="1">
      <formula>"esterreur(reference)"</formula>
    </cfRule>
  </conditionalFormatting>
  <conditionalFormatting sqref="L70">
    <cfRule type="expression" dxfId="661" priority="314" stopIfTrue="1">
      <formula>"esterreur(reference)"</formula>
    </cfRule>
  </conditionalFormatting>
  <conditionalFormatting sqref="L76:L77">
    <cfRule type="expression" dxfId="660" priority="313" stopIfTrue="1">
      <formula>"esterreur(reference)"</formula>
    </cfRule>
  </conditionalFormatting>
  <conditionalFormatting sqref="L78:L81">
    <cfRule type="expression" dxfId="659" priority="312" stopIfTrue="1">
      <formula>"esterreur(reference)"</formula>
    </cfRule>
  </conditionalFormatting>
  <conditionalFormatting sqref="L57">
    <cfRule type="expression" dxfId="658" priority="310" stopIfTrue="1">
      <formula>"esterreur(reference)"</formula>
    </cfRule>
  </conditionalFormatting>
  <conditionalFormatting sqref="L94:L95">
    <cfRule type="expression" dxfId="657" priority="309" stopIfTrue="1">
      <formula>"esterreur(reference)"</formula>
    </cfRule>
  </conditionalFormatting>
  <conditionalFormatting sqref="L98">
    <cfRule type="expression" dxfId="656" priority="308" stopIfTrue="1">
      <formula>"esterreur(reference)"</formula>
    </cfRule>
  </conditionalFormatting>
  <conditionalFormatting sqref="L99">
    <cfRule type="expression" dxfId="655" priority="307" stopIfTrue="1">
      <formula>"esterreur(reference)"</formula>
    </cfRule>
  </conditionalFormatting>
  <conditionalFormatting sqref="L101">
    <cfRule type="expression" dxfId="654" priority="306" stopIfTrue="1">
      <formula>"esterreur(reference)"</formula>
    </cfRule>
  </conditionalFormatting>
  <conditionalFormatting sqref="L102">
    <cfRule type="expression" dxfId="653" priority="305" stopIfTrue="1">
      <formula>"esterreur(reference)"</formula>
    </cfRule>
  </conditionalFormatting>
  <conditionalFormatting sqref="L103">
    <cfRule type="expression" dxfId="652" priority="304" stopIfTrue="1">
      <formula>"esterreur(reference)"</formula>
    </cfRule>
  </conditionalFormatting>
  <conditionalFormatting sqref="L111">
    <cfRule type="expression" dxfId="651" priority="303" stopIfTrue="1">
      <formula>"esterreur(reference)"</formula>
    </cfRule>
  </conditionalFormatting>
  <conditionalFormatting sqref="L112">
    <cfRule type="expression" dxfId="650" priority="302" stopIfTrue="1">
      <formula>"esterreur(reference)"</formula>
    </cfRule>
  </conditionalFormatting>
  <conditionalFormatting sqref="L207">
    <cfRule type="expression" dxfId="649" priority="263" stopIfTrue="1">
      <formula>"esterreur(reference)"</formula>
    </cfRule>
  </conditionalFormatting>
  <conditionalFormatting sqref="L114">
    <cfRule type="expression" dxfId="648" priority="301" stopIfTrue="1">
      <formula>"esterreur(reference)"</formula>
    </cfRule>
  </conditionalFormatting>
  <conditionalFormatting sqref="L227">
    <cfRule type="expression" dxfId="647" priority="259" stopIfTrue="1">
      <formula>"esterreur(reference)"</formula>
    </cfRule>
  </conditionalFormatting>
  <conditionalFormatting sqref="L116:L119">
    <cfRule type="expression" dxfId="646" priority="300" stopIfTrue="1">
      <formula>"esterreur(reference)"</formula>
    </cfRule>
  </conditionalFormatting>
  <conditionalFormatting sqref="L120">
    <cfRule type="expression" dxfId="645" priority="299" stopIfTrue="1">
      <formula>"esterreur(reference)"</formula>
    </cfRule>
  </conditionalFormatting>
  <conditionalFormatting sqref="L130">
    <cfRule type="expression" dxfId="644" priority="296" stopIfTrue="1">
      <formula>"esterreur(reference)"</formula>
    </cfRule>
  </conditionalFormatting>
  <conditionalFormatting sqref="L124">
    <cfRule type="expression" dxfId="643" priority="298" stopIfTrue="1">
      <formula>"esterreur(reference)"</formula>
    </cfRule>
  </conditionalFormatting>
  <conditionalFormatting sqref="L123">
    <cfRule type="expression" dxfId="642" priority="297" stopIfTrue="1">
      <formula>"esterreur(reference)"</formula>
    </cfRule>
  </conditionalFormatting>
  <conditionalFormatting sqref="L138">
    <cfRule type="expression" dxfId="641" priority="290" stopIfTrue="1">
      <formula>"esterreur(reference)"</formula>
    </cfRule>
  </conditionalFormatting>
  <conditionalFormatting sqref="L131">
    <cfRule type="expression" dxfId="640" priority="295" stopIfTrue="1">
      <formula>"esterreur(reference)"</formula>
    </cfRule>
  </conditionalFormatting>
  <conditionalFormatting sqref="L132">
    <cfRule type="expression" dxfId="639" priority="294" stopIfTrue="1">
      <formula>"esterreur(reference)"</formula>
    </cfRule>
  </conditionalFormatting>
  <conditionalFormatting sqref="L133">
    <cfRule type="expression" dxfId="638" priority="293" stopIfTrue="1">
      <formula>"esterreur(reference)"</formula>
    </cfRule>
  </conditionalFormatting>
  <conditionalFormatting sqref="L139">
    <cfRule type="expression" dxfId="637" priority="289" stopIfTrue="1">
      <formula>"esterreur(reference)"</formula>
    </cfRule>
  </conditionalFormatting>
  <conditionalFormatting sqref="L136">
    <cfRule type="expression" dxfId="636" priority="292" stopIfTrue="1">
      <formula>"esterreur(reference)"</formula>
    </cfRule>
  </conditionalFormatting>
  <conditionalFormatting sqref="L137">
    <cfRule type="expression" dxfId="635" priority="291" stopIfTrue="1">
      <formula>"esterreur(reference)"</formula>
    </cfRule>
  </conditionalFormatting>
  <conditionalFormatting sqref="L140">
    <cfRule type="expression" dxfId="634" priority="288" stopIfTrue="1">
      <formula>"esterreur(reference)"</formula>
    </cfRule>
  </conditionalFormatting>
  <conditionalFormatting sqref="L141">
    <cfRule type="expression" dxfId="633" priority="287" stopIfTrue="1">
      <formula>"esterreur(reference)"</formula>
    </cfRule>
  </conditionalFormatting>
  <conditionalFormatting sqref="L142">
    <cfRule type="expression" dxfId="632" priority="286" stopIfTrue="1">
      <formula>"esterreur(reference)"</formula>
    </cfRule>
  </conditionalFormatting>
  <conditionalFormatting sqref="L143">
    <cfRule type="expression" dxfId="631" priority="285" stopIfTrue="1">
      <formula>"esterreur(reference)"</formula>
    </cfRule>
  </conditionalFormatting>
  <conditionalFormatting sqref="L144">
    <cfRule type="expression" dxfId="630" priority="284" stopIfTrue="1">
      <formula>"esterreur(reference)"</formula>
    </cfRule>
  </conditionalFormatting>
  <conditionalFormatting sqref="L145">
    <cfRule type="expression" dxfId="629" priority="283" stopIfTrue="1">
      <formula>"esterreur(reference)"</formula>
    </cfRule>
  </conditionalFormatting>
  <conditionalFormatting sqref="L146">
    <cfRule type="expression" dxfId="628" priority="282" stopIfTrue="1">
      <formula>"esterreur(reference)"</formula>
    </cfRule>
  </conditionalFormatting>
  <conditionalFormatting sqref="L147:L148">
    <cfRule type="expression" dxfId="627" priority="281" stopIfTrue="1">
      <formula>"esterreur(reference)"</formula>
    </cfRule>
  </conditionalFormatting>
  <conditionalFormatting sqref="L155">
    <cfRule type="expression" dxfId="626" priority="280" stopIfTrue="1">
      <formula>"esterreur(reference)"</formula>
    </cfRule>
  </conditionalFormatting>
  <conditionalFormatting sqref="L157">
    <cfRule type="expression" dxfId="625" priority="278" stopIfTrue="1">
      <formula>"esterreur(reference)"</formula>
    </cfRule>
  </conditionalFormatting>
  <conditionalFormatting sqref="L156">
    <cfRule type="expression" dxfId="624" priority="279" stopIfTrue="1">
      <formula>"esterreur(reference)"</formula>
    </cfRule>
  </conditionalFormatting>
  <conditionalFormatting sqref="L115">
    <cfRule type="expression" dxfId="623" priority="277" stopIfTrue="1">
      <formula>"esterreur(reference)"</formula>
    </cfRule>
  </conditionalFormatting>
  <conditionalFormatting sqref="L113">
    <cfRule type="expression" dxfId="622" priority="276" stopIfTrue="1">
      <formula>"esterreur(reference)"</formula>
    </cfRule>
  </conditionalFormatting>
  <conditionalFormatting sqref="L171">
    <cfRule type="expression" dxfId="621" priority="275" stopIfTrue="1">
      <formula>"esterreur(reference)"</formula>
    </cfRule>
  </conditionalFormatting>
  <conditionalFormatting sqref="L174">
    <cfRule type="expression" dxfId="620" priority="274" stopIfTrue="1">
      <formula>"esterreur(reference)"</formula>
    </cfRule>
  </conditionalFormatting>
  <conditionalFormatting sqref="L177">
    <cfRule type="expression" dxfId="619" priority="273" stopIfTrue="1">
      <formula>"esterreur(reference)"</formula>
    </cfRule>
  </conditionalFormatting>
  <conditionalFormatting sqref="L187">
    <cfRule type="expression" dxfId="618" priority="272" stopIfTrue="1">
      <formula>"esterreur(reference)"</formula>
    </cfRule>
  </conditionalFormatting>
  <conditionalFormatting sqref="L197">
    <cfRule type="expression" dxfId="617" priority="271" stopIfTrue="1">
      <formula>"esterreur(reference)"</formula>
    </cfRule>
  </conditionalFormatting>
  <conditionalFormatting sqref="L199">
    <cfRule type="expression" dxfId="616" priority="270" stopIfTrue="1">
      <formula>"esterreur(reference)"</formula>
    </cfRule>
  </conditionalFormatting>
  <conditionalFormatting sqref="L198">
    <cfRule type="expression" dxfId="615" priority="269" stopIfTrue="1">
      <formula>"esterreur(reference)"</formula>
    </cfRule>
  </conditionalFormatting>
  <conditionalFormatting sqref="L200">
    <cfRule type="expression" dxfId="614" priority="268" stopIfTrue="1">
      <formula>"esterreur(reference)"</formula>
    </cfRule>
  </conditionalFormatting>
  <conditionalFormatting sqref="L201">
    <cfRule type="expression" dxfId="613" priority="267" stopIfTrue="1">
      <formula>"esterreur(reference)"</formula>
    </cfRule>
  </conditionalFormatting>
  <conditionalFormatting sqref="L202:L204">
    <cfRule type="expression" dxfId="612" priority="266" stopIfTrue="1">
      <formula>"esterreur(reference)"</formula>
    </cfRule>
  </conditionalFormatting>
  <conditionalFormatting sqref="L206">
    <cfRule type="expression" dxfId="611" priority="264" stopIfTrue="1">
      <formula>"esterreur(reference)"</formula>
    </cfRule>
  </conditionalFormatting>
  <conditionalFormatting sqref="L205">
    <cfRule type="expression" dxfId="610" priority="265" stopIfTrue="1">
      <formula>"esterreur(reference)"</formula>
    </cfRule>
  </conditionalFormatting>
  <conditionalFormatting sqref="L208">
    <cfRule type="expression" dxfId="609" priority="262" stopIfTrue="1">
      <formula>"esterreur(reference)"</formula>
    </cfRule>
  </conditionalFormatting>
  <conditionalFormatting sqref="L211:L224">
    <cfRule type="expression" dxfId="608" priority="261" stopIfTrue="1">
      <formula>"esterreur(reference)"</formula>
    </cfRule>
  </conditionalFormatting>
  <conditionalFormatting sqref="L225:L226">
    <cfRule type="expression" dxfId="607" priority="260" stopIfTrue="1">
      <formula>"esterreur(reference)"</formula>
    </cfRule>
  </conditionalFormatting>
  <conditionalFormatting sqref="L180">
    <cfRule type="expression" dxfId="606" priority="258" stopIfTrue="1">
      <formula>"esterreur(reference)"</formula>
    </cfRule>
  </conditionalFormatting>
  <conditionalFormatting sqref="L243">
    <cfRule type="expression" dxfId="605" priority="257" stopIfTrue="1">
      <formula>"esterreur(reference)"</formula>
    </cfRule>
  </conditionalFormatting>
  <conditionalFormatting sqref="L246">
    <cfRule type="expression" dxfId="604" priority="256" stopIfTrue="1">
      <formula>"esterreur(reference)"</formula>
    </cfRule>
  </conditionalFormatting>
  <conditionalFormatting sqref="L253">
    <cfRule type="expression" dxfId="603" priority="255" stopIfTrue="1">
      <formula>"esterreur(reference)"</formula>
    </cfRule>
  </conditionalFormatting>
  <conditionalFormatting sqref="L254">
    <cfRule type="expression" dxfId="602" priority="254" stopIfTrue="1">
      <formula>"esterreur(reference)"</formula>
    </cfRule>
  </conditionalFormatting>
  <conditionalFormatting sqref="L255">
    <cfRule type="expression" dxfId="601" priority="253" stopIfTrue="1">
      <formula>"esterreur(reference)"</formula>
    </cfRule>
  </conditionalFormatting>
  <conditionalFormatting sqref="L256">
    <cfRule type="expression" dxfId="600" priority="252" stopIfTrue="1">
      <formula>"esterreur(reference)"</formula>
    </cfRule>
  </conditionalFormatting>
  <conditionalFormatting sqref="L257">
    <cfRule type="expression" dxfId="599" priority="251" stopIfTrue="1">
      <formula>"esterreur(reference)"</formula>
    </cfRule>
  </conditionalFormatting>
  <conditionalFormatting sqref="L258">
    <cfRule type="expression" dxfId="598" priority="250" stopIfTrue="1">
      <formula>"esterreur(reference)"</formula>
    </cfRule>
  </conditionalFormatting>
  <conditionalFormatting sqref="L259">
    <cfRule type="expression" dxfId="597" priority="249" stopIfTrue="1">
      <formula>"esterreur(reference)"</formula>
    </cfRule>
  </conditionalFormatting>
  <conditionalFormatting sqref="L260">
    <cfRule type="expression" dxfId="596" priority="248" stopIfTrue="1">
      <formula>"esterreur(reference)"</formula>
    </cfRule>
  </conditionalFormatting>
  <conditionalFormatting sqref="L261">
    <cfRule type="expression" dxfId="595" priority="247" stopIfTrue="1">
      <formula>"esterreur(reference)"</formula>
    </cfRule>
  </conditionalFormatting>
  <conditionalFormatting sqref="L262">
    <cfRule type="expression" dxfId="594" priority="246" stopIfTrue="1">
      <formula>"esterreur(reference)"</formula>
    </cfRule>
  </conditionalFormatting>
  <conditionalFormatting sqref="L263:L264">
    <cfRule type="expression" dxfId="593" priority="245" stopIfTrue="1">
      <formula>"esterreur(reference)"</formula>
    </cfRule>
  </conditionalFormatting>
  <conditionalFormatting sqref="L268">
    <cfRule type="expression" dxfId="592" priority="243" stopIfTrue="1">
      <formula>"esterreur(reference)"</formula>
    </cfRule>
  </conditionalFormatting>
  <conditionalFormatting sqref="L267">
    <cfRule type="expression" dxfId="591" priority="244" stopIfTrue="1">
      <formula>"esterreur(reference)"</formula>
    </cfRule>
  </conditionalFormatting>
  <conditionalFormatting sqref="L269">
    <cfRule type="expression" dxfId="590" priority="242" stopIfTrue="1">
      <formula>"esterreur(reference)"</formula>
    </cfRule>
  </conditionalFormatting>
  <conditionalFormatting sqref="L270">
    <cfRule type="expression" dxfId="589" priority="241" stopIfTrue="1">
      <formula>"esterreur(reference)"</formula>
    </cfRule>
  </conditionalFormatting>
  <conditionalFormatting sqref="L272:L273">
    <cfRule type="expression" dxfId="588" priority="239" stopIfTrue="1">
      <formula>"esterreur(reference)"</formula>
    </cfRule>
  </conditionalFormatting>
  <conditionalFormatting sqref="L311">
    <cfRule type="expression" dxfId="587" priority="237" stopIfTrue="1">
      <formula>"esterreur(reference)"</formula>
    </cfRule>
  </conditionalFormatting>
  <conditionalFormatting sqref="L317">
    <cfRule type="expression" dxfId="586" priority="236" stopIfTrue="1">
      <formula>"esterreur(reference)"</formula>
    </cfRule>
  </conditionalFormatting>
  <conditionalFormatting sqref="L318">
    <cfRule type="expression" dxfId="585" priority="235" stopIfTrue="1">
      <formula>"esterreur(reference)"</formula>
    </cfRule>
  </conditionalFormatting>
  <conditionalFormatting sqref="K5">
    <cfRule type="expression" dxfId="584" priority="229" stopIfTrue="1">
      <formula>"esterreur(reference)"</formula>
    </cfRule>
  </conditionalFormatting>
  <conditionalFormatting sqref="L5">
    <cfRule type="expression" dxfId="583" priority="228" stopIfTrue="1">
      <formula>"esterreur(reference)"</formula>
    </cfRule>
  </conditionalFormatting>
  <conditionalFormatting sqref="K182">
    <cfRule type="expression" dxfId="582" priority="227" stopIfTrue="1">
      <formula>"esterreur(reference)"</formula>
    </cfRule>
  </conditionalFormatting>
  <conditionalFormatting sqref="L93">
    <cfRule type="expression" dxfId="581" priority="226" stopIfTrue="1">
      <formula>"esterreur(reference)"</formula>
    </cfRule>
  </conditionalFormatting>
  <conditionalFormatting sqref="K171">
    <cfRule type="expression" dxfId="580" priority="225" stopIfTrue="1">
      <formula>"esterreur(reference)"</formula>
    </cfRule>
  </conditionalFormatting>
  <conditionalFormatting sqref="K174">
    <cfRule type="expression" dxfId="579" priority="224" stopIfTrue="1">
      <formula>"esterreur(reference)"</formula>
    </cfRule>
  </conditionalFormatting>
  <conditionalFormatting sqref="K177">
    <cfRule type="expression" dxfId="578" priority="223" stopIfTrue="1">
      <formula>"esterreur(reference)"</formula>
    </cfRule>
  </conditionalFormatting>
  <conditionalFormatting sqref="K180">
    <cfRule type="expression" dxfId="577" priority="222" stopIfTrue="1">
      <formula>"esterreur(reference)"</formula>
    </cfRule>
  </conditionalFormatting>
  <conditionalFormatting sqref="K240">
    <cfRule type="expression" dxfId="576" priority="221" stopIfTrue="1">
      <formula>"esterreur(reference)"</formula>
    </cfRule>
  </conditionalFormatting>
  <conditionalFormatting sqref="K243">
    <cfRule type="expression" dxfId="575" priority="220" stopIfTrue="1">
      <formula>"esterreur(reference)"</formula>
    </cfRule>
  </conditionalFormatting>
  <conditionalFormatting sqref="K246">
    <cfRule type="expression" dxfId="574" priority="219" stopIfTrue="1">
      <formula>"esterreur(reference)"</formula>
    </cfRule>
  </conditionalFormatting>
  <conditionalFormatting sqref="J306:J307">
    <cfRule type="expression" dxfId="573" priority="218" stopIfTrue="1">
      <formula>"esterreur(reference)"</formula>
    </cfRule>
  </conditionalFormatting>
  <conditionalFormatting sqref="K187">
    <cfRule type="expression" dxfId="572" priority="217" stopIfTrue="1">
      <formula>"esterreur(reference)"</formula>
    </cfRule>
  </conditionalFormatting>
  <conditionalFormatting sqref="K190">
    <cfRule type="expression" dxfId="571" priority="216" stopIfTrue="1">
      <formula>"esterreur(reference)"</formula>
    </cfRule>
  </conditionalFormatting>
  <conditionalFormatting sqref="J311">
    <cfRule type="expression" dxfId="570" priority="215" stopIfTrue="1">
      <formula>"esterreur(reference)"</formula>
    </cfRule>
  </conditionalFormatting>
  <conditionalFormatting sqref="L364:L375">
    <cfRule type="expression" dxfId="569" priority="214" stopIfTrue="1">
      <formula>"esterreur(reference)"</formula>
    </cfRule>
  </conditionalFormatting>
  <conditionalFormatting sqref="L377:L393">
    <cfRule type="expression" dxfId="568" priority="213" stopIfTrue="1">
      <formula>"esterreur(reference)"</formula>
    </cfRule>
  </conditionalFormatting>
  <conditionalFormatting sqref="K93">
    <cfRule type="expression" dxfId="567" priority="212" stopIfTrue="1">
      <formula>"esterreur(reference)"</formula>
    </cfRule>
  </conditionalFormatting>
  <conditionalFormatting sqref="L240">
    <cfRule type="expression" dxfId="566" priority="211" stopIfTrue="1">
      <formula>"esterreur(reference)"</formula>
    </cfRule>
  </conditionalFormatting>
  <conditionalFormatting sqref="K239">
    <cfRule type="expression" dxfId="565" priority="210" stopIfTrue="1">
      <formula>"esterreur(reference)"</formula>
    </cfRule>
  </conditionalFormatting>
  <conditionalFormatting sqref="L239">
    <cfRule type="expression" dxfId="564" priority="209" stopIfTrue="1">
      <formula>"esterreur(reference)"</formula>
    </cfRule>
  </conditionalFormatting>
  <conditionalFormatting sqref="F183">
    <cfRule type="expression" dxfId="563" priority="208" stopIfTrue="1">
      <formula>"esterreur(reference)"</formula>
    </cfRule>
  </conditionalFormatting>
  <conditionalFormatting sqref="J359">
    <cfRule type="expression" dxfId="562" priority="207" stopIfTrue="1">
      <formula>"esterreur(reference)"</formula>
    </cfRule>
  </conditionalFormatting>
  <conditionalFormatting sqref="L359">
    <cfRule type="expression" dxfId="561" priority="206" stopIfTrue="1">
      <formula>"esterreur(reference)"</formula>
    </cfRule>
  </conditionalFormatting>
  <conditionalFormatting sqref="S185">
    <cfRule type="expression" dxfId="560" priority="205" stopIfTrue="1">
      <formula>"esterreur(reference)"</formula>
    </cfRule>
  </conditionalFormatting>
  <conditionalFormatting sqref="K286">
    <cfRule type="expression" dxfId="559" priority="204" stopIfTrue="1">
      <formula>"esterreur(reference)"</formula>
    </cfRule>
  </conditionalFormatting>
  <conditionalFormatting sqref="AO408:AO413">
    <cfRule type="cellIs" dxfId="558" priority="203" operator="greaterThan">
      <formula>0</formula>
    </cfRule>
  </conditionalFormatting>
  <conditionalFormatting sqref="L71">
    <cfRule type="expression" dxfId="557" priority="202" stopIfTrue="1">
      <formula>"esterreur(reference)"</formula>
    </cfRule>
  </conditionalFormatting>
  <conditionalFormatting sqref="L210">
    <cfRule type="expression" dxfId="556" priority="199" stopIfTrue="1">
      <formula>"esterreur(reference)"</formula>
    </cfRule>
  </conditionalFormatting>
  <conditionalFormatting sqref="L122">
    <cfRule type="expression" dxfId="555" priority="201" stopIfTrue="1">
      <formula>"esterreur(reference)"</formula>
    </cfRule>
  </conditionalFormatting>
  <conditionalFormatting sqref="L266">
    <cfRule type="expression" dxfId="554" priority="198" stopIfTrue="1">
      <formula>"esterreur(reference)"</formula>
    </cfRule>
  </conditionalFormatting>
  <conditionalFormatting sqref="L135">
    <cfRule type="expression" dxfId="553" priority="200" stopIfTrue="1">
      <formula>"esterreur(reference)"</formula>
    </cfRule>
  </conditionalFormatting>
  <conditionalFormatting sqref="L330">
    <cfRule type="expression" dxfId="552" priority="197" stopIfTrue="1">
      <formula>"esterreur(reference)"</formula>
    </cfRule>
  </conditionalFormatting>
  <conditionalFormatting sqref="L75">
    <cfRule type="expression" dxfId="551" priority="196" stopIfTrue="1">
      <formula>"esterreur(reference)"</formula>
    </cfRule>
  </conditionalFormatting>
  <conditionalFormatting sqref="L60">
    <cfRule type="expression" dxfId="550" priority="194" stopIfTrue="1">
      <formula>"esterreur(reference)"</formula>
    </cfRule>
  </conditionalFormatting>
  <conditionalFormatting sqref="L59">
    <cfRule type="expression" dxfId="549" priority="195" stopIfTrue="1">
      <formula>"esterreur(reference)"</formula>
    </cfRule>
  </conditionalFormatting>
  <conditionalFormatting sqref="O25:Q26 Q18 O83:Q85 O41:Q41 O72:Q72 Q24 O13:O14 O16 O18:O24 O49:Q54 Q6:Q14 O31:P40 O42:P48 O28:Q30 O27 Q27">
    <cfRule type="expression" dxfId="548" priority="189" stopIfTrue="1">
      <formula>"esterreur(reference)"</formula>
    </cfRule>
  </conditionalFormatting>
  <conditionalFormatting sqref="P5">
    <cfRule type="expression" dxfId="547" priority="166" stopIfTrue="1">
      <formula>"esterreur(reference)"</formula>
    </cfRule>
  </conditionalFormatting>
  <conditionalFormatting sqref="Q32">
    <cfRule type="expression" dxfId="546" priority="184" stopIfTrue="1">
      <formula>"esterreur(reference)"</formula>
    </cfRule>
  </conditionalFormatting>
  <conditionalFormatting sqref="Q35">
    <cfRule type="expression" dxfId="545" priority="183" stopIfTrue="1">
      <formula>"esterreur(reference)"</formula>
    </cfRule>
  </conditionalFormatting>
  <conditionalFormatting sqref="O55:P56 O71:P71">
    <cfRule type="expression" dxfId="544" priority="190" stopIfTrue="1">
      <formula>"esterreur(reference)"</formula>
    </cfRule>
  </conditionalFormatting>
  <conditionalFormatting sqref="O61:P70">
    <cfRule type="expression" dxfId="543" priority="191" stopIfTrue="1">
      <formula>"esterreur(reference)"</formula>
    </cfRule>
  </conditionalFormatting>
  <conditionalFormatting sqref="O57:P59">
    <cfRule type="expression" dxfId="542" priority="192" stopIfTrue="1">
      <formula>"esterreur(reference)"</formula>
    </cfRule>
  </conditionalFormatting>
  <conditionalFormatting sqref="O60:P60">
    <cfRule type="expression" dxfId="541" priority="193" stopIfTrue="1">
      <formula>"esterreur(reference)"</formula>
    </cfRule>
  </conditionalFormatting>
  <conditionalFormatting sqref="Q19 Q21:Q23">
    <cfRule type="expression" dxfId="540" priority="187" stopIfTrue="1">
      <formula>"esterreur(reference)"</formula>
    </cfRule>
  </conditionalFormatting>
  <conditionalFormatting sqref="Q16:Q17">
    <cfRule type="expression" dxfId="539" priority="188" stopIfTrue="1">
      <formula>"esterreur(reference)"</formula>
    </cfRule>
  </conditionalFormatting>
  <conditionalFormatting sqref="Q20">
    <cfRule type="expression" dxfId="538" priority="186" stopIfTrue="1">
      <formula>"esterreur(reference)"</formula>
    </cfRule>
  </conditionalFormatting>
  <conditionalFormatting sqref="Q31 Q33:Q34">
    <cfRule type="expression" dxfId="537" priority="185" stopIfTrue="1">
      <formula>"esterreur(reference)"</formula>
    </cfRule>
  </conditionalFormatting>
  <conditionalFormatting sqref="Q42">
    <cfRule type="expression" dxfId="536" priority="182" stopIfTrue="1">
      <formula>"esterreur(reference)"</formula>
    </cfRule>
  </conditionalFormatting>
  <conditionalFormatting sqref="Q43">
    <cfRule type="expression" dxfId="535" priority="181" stopIfTrue="1">
      <formula>"esterreur(reference)"</formula>
    </cfRule>
  </conditionalFormatting>
  <conditionalFormatting sqref="Q44">
    <cfRule type="expression" dxfId="534" priority="180" stopIfTrue="1">
      <formula>"esterreur(reference)"</formula>
    </cfRule>
  </conditionalFormatting>
  <conditionalFormatting sqref="Q45:Q48">
    <cfRule type="expression" dxfId="533" priority="179" stopIfTrue="1">
      <formula>"esterreur(reference)"</formula>
    </cfRule>
  </conditionalFormatting>
  <conditionalFormatting sqref="Q55">
    <cfRule type="expression" dxfId="532" priority="178" stopIfTrue="1">
      <formula>"esterreur(reference)"</formula>
    </cfRule>
  </conditionalFormatting>
  <conditionalFormatting sqref="Q56">
    <cfRule type="expression" dxfId="531" priority="177" stopIfTrue="1">
      <formula>"esterreur(reference)"</formula>
    </cfRule>
  </conditionalFormatting>
  <conditionalFormatting sqref="Q58">
    <cfRule type="expression" dxfId="530" priority="176" stopIfTrue="1">
      <formula>"esterreur(reference)"</formula>
    </cfRule>
  </conditionalFormatting>
  <conditionalFormatting sqref="Q61">
    <cfRule type="expression" dxfId="529" priority="175" stopIfTrue="1">
      <formula>"esterreur(reference)"</formula>
    </cfRule>
  </conditionalFormatting>
  <conditionalFormatting sqref="Q63">
    <cfRule type="expression" dxfId="528" priority="174" stopIfTrue="1">
      <formula>"esterreur(reference)"</formula>
    </cfRule>
  </conditionalFormatting>
  <conditionalFormatting sqref="Q62">
    <cfRule type="expression" dxfId="527" priority="173" stopIfTrue="1">
      <formula>"esterreur(reference)"</formula>
    </cfRule>
  </conditionalFormatting>
  <conditionalFormatting sqref="Q64">
    <cfRule type="expression" dxfId="526" priority="172" stopIfTrue="1">
      <formula>"esterreur(reference)"</formula>
    </cfRule>
  </conditionalFormatting>
  <conditionalFormatting sqref="Q65">
    <cfRule type="expression" dxfId="525" priority="171" stopIfTrue="1">
      <formula>"esterreur(reference)"</formula>
    </cfRule>
  </conditionalFormatting>
  <conditionalFormatting sqref="Q66:Q69">
    <cfRule type="expression" dxfId="524" priority="170" stopIfTrue="1">
      <formula>"esterreur(reference)"</formula>
    </cfRule>
  </conditionalFormatting>
  <conditionalFormatting sqref="Q70">
    <cfRule type="expression" dxfId="523" priority="169" stopIfTrue="1">
      <formula>"esterreur(reference)"</formula>
    </cfRule>
  </conditionalFormatting>
  <conditionalFormatting sqref="Q75:Q82">
    <cfRule type="expression" dxfId="522" priority="168" stopIfTrue="1">
      <formula>"esterreur(reference)"</formula>
    </cfRule>
  </conditionalFormatting>
  <conditionalFormatting sqref="Q57">
    <cfRule type="expression" dxfId="521" priority="167" stopIfTrue="1">
      <formula>"esterreur(reference)"</formula>
    </cfRule>
  </conditionalFormatting>
  <conditionalFormatting sqref="Q5">
    <cfRule type="expression" dxfId="520" priority="165" stopIfTrue="1">
      <formula>"esterreur(reference)"</formula>
    </cfRule>
  </conditionalFormatting>
  <conditionalFormatting sqref="Q71">
    <cfRule type="expression" dxfId="519" priority="164" stopIfTrue="1">
      <formula>"esterreur(reference)"</formula>
    </cfRule>
  </conditionalFormatting>
  <conditionalFormatting sqref="Q60">
    <cfRule type="expression" dxfId="518" priority="162" stopIfTrue="1">
      <formula>"esterreur(reference)"</formula>
    </cfRule>
  </conditionalFormatting>
  <conditionalFormatting sqref="P98">
    <cfRule type="expression" dxfId="517" priority="161" stopIfTrue="1">
      <formula>"esterreur(reference)"</formula>
    </cfRule>
  </conditionalFormatting>
  <conditionalFormatting sqref="Q59">
    <cfRule type="expression" dxfId="516" priority="163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515" priority="157" stopIfTrue="1">
      <formula>"esterreur(reference)"</formula>
    </cfRule>
  </conditionalFormatting>
  <conditionalFormatting sqref="O141:P147">
    <cfRule type="expression" dxfId="514" priority="158" stopIfTrue="1">
      <formula>"esterreur(reference)"</formula>
    </cfRule>
  </conditionalFormatting>
  <conditionalFormatting sqref="O137:P139">
    <cfRule type="expression" dxfId="513" priority="159" stopIfTrue="1">
      <formula>"esterreur(reference)"</formula>
    </cfRule>
  </conditionalFormatting>
  <conditionalFormatting sqref="O140:P140">
    <cfRule type="expression" dxfId="512" priority="160" stopIfTrue="1">
      <formula>"esterreur(reference)"</formula>
    </cfRule>
  </conditionalFormatting>
  <conditionalFormatting sqref="Q94:Q95">
    <cfRule type="expression" dxfId="511" priority="156" stopIfTrue="1">
      <formula>"esterreur(reference)"</formula>
    </cfRule>
  </conditionalFormatting>
  <conditionalFormatting sqref="Q98">
    <cfRule type="expression" dxfId="510" priority="155" stopIfTrue="1">
      <formula>"esterreur(reference)"</formula>
    </cfRule>
  </conditionalFormatting>
  <conditionalFormatting sqref="Q99">
    <cfRule type="expression" dxfId="509" priority="154" stopIfTrue="1">
      <formula>"esterreur(reference)"</formula>
    </cfRule>
  </conditionalFormatting>
  <conditionalFormatting sqref="Q101">
    <cfRule type="expression" dxfId="508" priority="153" stopIfTrue="1">
      <formula>"esterreur(reference)"</formula>
    </cfRule>
  </conditionalFormatting>
  <conditionalFormatting sqref="Q102">
    <cfRule type="expression" dxfId="507" priority="152" stopIfTrue="1">
      <formula>"esterreur(reference)"</formula>
    </cfRule>
  </conditionalFormatting>
  <conditionalFormatting sqref="Q103">
    <cfRule type="expression" dxfId="506" priority="151" stopIfTrue="1">
      <formula>"esterreur(reference)"</formula>
    </cfRule>
  </conditionalFormatting>
  <conditionalFormatting sqref="Q111">
    <cfRule type="expression" dxfId="505" priority="150" stopIfTrue="1">
      <formula>"esterreur(reference)"</formula>
    </cfRule>
  </conditionalFormatting>
  <conditionalFormatting sqref="Q112">
    <cfRule type="expression" dxfId="504" priority="149" stopIfTrue="1">
      <formula>"esterreur(reference)"</formula>
    </cfRule>
  </conditionalFormatting>
  <conditionalFormatting sqref="Q114">
    <cfRule type="expression" dxfId="503" priority="148" stopIfTrue="1">
      <formula>"esterreur(reference)"</formula>
    </cfRule>
  </conditionalFormatting>
  <conditionalFormatting sqref="Q116:Q119">
    <cfRule type="expression" dxfId="502" priority="147" stopIfTrue="1">
      <formula>"esterreur(reference)"</formula>
    </cfRule>
  </conditionalFormatting>
  <conditionalFormatting sqref="Q120">
    <cfRule type="expression" dxfId="501" priority="146" stopIfTrue="1">
      <formula>"esterreur(reference)"</formula>
    </cfRule>
  </conditionalFormatting>
  <conditionalFormatting sqref="Q130">
    <cfRule type="expression" dxfId="500" priority="143" stopIfTrue="1">
      <formula>"esterreur(reference)"</formula>
    </cfRule>
  </conditionalFormatting>
  <conditionalFormatting sqref="Q124">
    <cfRule type="expression" dxfId="499" priority="145" stopIfTrue="1">
      <formula>"esterreur(reference)"</formula>
    </cfRule>
  </conditionalFormatting>
  <conditionalFormatting sqref="Q123">
    <cfRule type="expression" dxfId="498" priority="144" stopIfTrue="1">
      <formula>"esterreur(reference)"</formula>
    </cfRule>
  </conditionalFormatting>
  <conditionalFormatting sqref="Q139">
    <cfRule type="expression" dxfId="497" priority="136" stopIfTrue="1">
      <formula>"esterreur(reference)"</formula>
    </cfRule>
  </conditionalFormatting>
  <conditionalFormatting sqref="Q131">
    <cfRule type="expression" dxfId="496" priority="142" stopIfTrue="1">
      <formula>"esterreur(reference)"</formula>
    </cfRule>
  </conditionalFormatting>
  <conditionalFormatting sqref="Q132">
    <cfRule type="expression" dxfId="495" priority="141" stopIfTrue="1">
      <formula>"esterreur(reference)"</formula>
    </cfRule>
  </conditionalFormatting>
  <conditionalFormatting sqref="Q133">
    <cfRule type="expression" dxfId="494" priority="140" stopIfTrue="1">
      <formula>"esterreur(reference)"</formula>
    </cfRule>
  </conditionalFormatting>
  <conditionalFormatting sqref="Q141">
    <cfRule type="expression" dxfId="493" priority="134" stopIfTrue="1">
      <formula>"esterreur(reference)"</formula>
    </cfRule>
  </conditionalFormatting>
  <conditionalFormatting sqref="Q136">
    <cfRule type="expression" dxfId="492" priority="139" stopIfTrue="1">
      <formula>"esterreur(reference)"</formula>
    </cfRule>
  </conditionalFormatting>
  <conditionalFormatting sqref="Q137">
    <cfRule type="expression" dxfId="491" priority="138" stopIfTrue="1">
      <formula>"esterreur(reference)"</formula>
    </cfRule>
  </conditionalFormatting>
  <conditionalFormatting sqref="Q138">
    <cfRule type="expression" dxfId="490" priority="137" stopIfTrue="1">
      <formula>"esterreur(reference)"</formula>
    </cfRule>
  </conditionalFormatting>
  <conditionalFormatting sqref="Q143">
    <cfRule type="expression" dxfId="489" priority="132" stopIfTrue="1">
      <formula>"esterreur(reference)"</formula>
    </cfRule>
  </conditionalFormatting>
  <conditionalFormatting sqref="Q140">
    <cfRule type="expression" dxfId="488" priority="135" stopIfTrue="1">
      <formula>"esterreur(reference)"</formula>
    </cfRule>
  </conditionalFormatting>
  <conditionalFormatting sqref="Q142">
    <cfRule type="expression" dxfId="487" priority="133" stopIfTrue="1">
      <formula>"esterreur(reference)"</formula>
    </cfRule>
  </conditionalFormatting>
  <conditionalFormatting sqref="Q144">
    <cfRule type="expression" dxfId="486" priority="131" stopIfTrue="1">
      <formula>"esterreur(reference)"</formula>
    </cfRule>
  </conditionalFormatting>
  <conditionalFormatting sqref="Q145">
    <cfRule type="expression" dxfId="485" priority="130" stopIfTrue="1">
      <formula>"esterreur(reference)"</formula>
    </cfRule>
  </conditionalFormatting>
  <conditionalFormatting sqref="Q146">
    <cfRule type="expression" dxfId="484" priority="129" stopIfTrue="1">
      <formula>"esterreur(reference)"</formula>
    </cfRule>
  </conditionalFormatting>
  <conditionalFormatting sqref="Q147">
    <cfRule type="expression" dxfId="483" priority="128" stopIfTrue="1">
      <formula>"esterreur(reference)"</formula>
    </cfRule>
  </conditionalFormatting>
  <conditionalFormatting sqref="Q113">
    <cfRule type="expression" dxfId="482" priority="125" stopIfTrue="1">
      <formula>"esterreur(reference)"</formula>
    </cfRule>
  </conditionalFormatting>
  <conditionalFormatting sqref="Q155:Q161">
    <cfRule type="expression" dxfId="481" priority="127" stopIfTrue="1">
      <formula>"esterreur(reference)"</formula>
    </cfRule>
  </conditionalFormatting>
  <conditionalFormatting sqref="Q93">
    <cfRule type="expression" dxfId="480" priority="124" stopIfTrue="1">
      <formula>"esterreur(reference)"</formula>
    </cfRule>
  </conditionalFormatting>
  <conditionalFormatting sqref="Q115">
    <cfRule type="expression" dxfId="479" priority="126" stopIfTrue="1">
      <formula>"esterreur(reference)"</formula>
    </cfRule>
  </conditionalFormatting>
  <conditionalFormatting sqref="P93">
    <cfRule type="expression" dxfId="478" priority="123" stopIfTrue="1">
      <formula>"esterreur(reference)"</formula>
    </cfRule>
  </conditionalFormatting>
  <conditionalFormatting sqref="Q122">
    <cfRule type="expression" dxfId="477" priority="122" stopIfTrue="1">
      <formula>"esterreur(reference)"</formula>
    </cfRule>
  </conditionalFormatting>
  <conditionalFormatting sqref="Q135">
    <cfRule type="expression" dxfId="476" priority="121" stopIfTrue="1">
      <formula>"esterreur(reference)"</formula>
    </cfRule>
  </conditionalFormatting>
  <conditionalFormatting sqref="O231:Q231 O232:P232 P172:Q172 P175:Q175 P178:Q178 P181:Q181 P184:Q186 P183 P188:Q189 Q182 P191:Q195 Q190 Q173 O225:P228 O197:P218 Q176 Q179 O171:O195">
    <cfRule type="expression" dxfId="475" priority="118" stopIfTrue="1">
      <formula>"esterreur(reference)"</formula>
    </cfRule>
  </conditionalFormatting>
  <conditionalFormatting sqref="O219:P224">
    <cfRule type="expression" dxfId="474" priority="119" stopIfTrue="1">
      <formula>"esterreur(reference)"</formula>
    </cfRule>
  </conditionalFormatting>
  <conditionalFormatting sqref="O196:Q196">
    <cfRule type="expression" dxfId="473" priority="120" stopIfTrue="1">
      <formula>"esterreur(reference)"</formula>
    </cfRule>
  </conditionalFormatting>
  <conditionalFormatting sqref="Q207">
    <cfRule type="expression" dxfId="472" priority="104" stopIfTrue="1">
      <formula>"esterreur(reference)"</formula>
    </cfRule>
  </conditionalFormatting>
  <conditionalFormatting sqref="Q227">
    <cfRule type="expression" dxfId="471" priority="100" stopIfTrue="1">
      <formula>"esterreur(reference)"</formula>
    </cfRule>
  </conditionalFormatting>
  <conditionalFormatting sqref="Q171">
    <cfRule type="expression" dxfId="470" priority="117" stopIfTrue="1">
      <formula>"esterreur(reference)"</formula>
    </cfRule>
  </conditionalFormatting>
  <conditionalFormatting sqref="Q174">
    <cfRule type="expression" dxfId="469" priority="116" stopIfTrue="1">
      <formula>"esterreur(reference)"</formula>
    </cfRule>
  </conditionalFormatting>
  <conditionalFormatting sqref="Q177">
    <cfRule type="expression" dxfId="468" priority="115" stopIfTrue="1">
      <formula>"esterreur(reference)"</formula>
    </cfRule>
  </conditionalFormatting>
  <conditionalFormatting sqref="Q183">
    <cfRule type="expression" dxfId="467" priority="114" stopIfTrue="1">
      <formula>"esterreur(reference)"</formula>
    </cfRule>
  </conditionalFormatting>
  <conditionalFormatting sqref="Q187">
    <cfRule type="expression" dxfId="466" priority="113" stopIfTrue="1">
      <formula>"esterreur(reference)"</formula>
    </cfRule>
  </conditionalFormatting>
  <conditionalFormatting sqref="Q197">
    <cfRule type="expression" dxfId="465" priority="112" stopIfTrue="1">
      <formula>"esterreur(reference)"</formula>
    </cfRule>
  </conditionalFormatting>
  <conditionalFormatting sqref="Q199">
    <cfRule type="expression" dxfId="464" priority="111" stopIfTrue="1">
      <formula>"esterreur(reference)"</formula>
    </cfRule>
  </conditionalFormatting>
  <conditionalFormatting sqref="Q198">
    <cfRule type="expression" dxfId="463" priority="110" stopIfTrue="1">
      <formula>"esterreur(reference)"</formula>
    </cfRule>
  </conditionalFormatting>
  <conditionalFormatting sqref="Q200">
    <cfRule type="expression" dxfId="462" priority="109" stopIfTrue="1">
      <formula>"esterreur(reference)"</formula>
    </cfRule>
  </conditionalFormatting>
  <conditionalFormatting sqref="Q201">
    <cfRule type="expression" dxfId="461" priority="108" stopIfTrue="1">
      <formula>"esterreur(reference)"</formula>
    </cfRule>
  </conditionalFormatting>
  <conditionalFormatting sqref="Q202:Q204">
    <cfRule type="expression" dxfId="460" priority="107" stopIfTrue="1">
      <formula>"esterreur(reference)"</formula>
    </cfRule>
  </conditionalFormatting>
  <conditionalFormatting sqref="Q206">
    <cfRule type="expression" dxfId="459" priority="105" stopIfTrue="1">
      <formula>"esterreur(reference)"</formula>
    </cfRule>
  </conditionalFormatting>
  <conditionalFormatting sqref="Q205">
    <cfRule type="expression" dxfId="458" priority="106" stopIfTrue="1">
      <formula>"esterreur(reference)"</formula>
    </cfRule>
  </conditionalFormatting>
  <conditionalFormatting sqref="Q208">
    <cfRule type="expression" dxfId="457" priority="103" stopIfTrue="1">
      <formula>"esterreur(reference)"</formula>
    </cfRule>
  </conditionalFormatting>
  <conditionalFormatting sqref="Q211:Q224">
    <cfRule type="expression" dxfId="456" priority="102" stopIfTrue="1">
      <formula>"esterreur(reference)"</formula>
    </cfRule>
  </conditionalFormatting>
  <conditionalFormatting sqref="Q225:Q226">
    <cfRule type="expression" dxfId="455" priority="101" stopIfTrue="1">
      <formula>"esterreur(reference)"</formula>
    </cfRule>
  </conditionalFormatting>
  <conditionalFormatting sqref="Q180">
    <cfRule type="expression" dxfId="454" priority="99" stopIfTrue="1">
      <formula>"esterreur(reference)"</formula>
    </cfRule>
  </conditionalFormatting>
  <conditionalFormatting sqref="P182">
    <cfRule type="expression" dxfId="453" priority="98" stopIfTrue="1">
      <formula>"esterreur(reference)"</formula>
    </cfRule>
  </conditionalFormatting>
  <conditionalFormatting sqref="P171">
    <cfRule type="expression" dxfId="452" priority="97" stopIfTrue="1">
      <formula>"esterreur(reference)"</formula>
    </cfRule>
  </conditionalFormatting>
  <conditionalFormatting sqref="P174">
    <cfRule type="expression" dxfId="451" priority="96" stopIfTrue="1">
      <formula>"esterreur(reference)"</formula>
    </cfRule>
  </conditionalFormatting>
  <conditionalFormatting sqref="P177">
    <cfRule type="expression" dxfId="450" priority="95" stopIfTrue="1">
      <formula>"esterreur(reference)"</formula>
    </cfRule>
  </conditionalFormatting>
  <conditionalFormatting sqref="P180">
    <cfRule type="expression" dxfId="449" priority="94" stopIfTrue="1">
      <formula>"esterreur(reference)"</formula>
    </cfRule>
  </conditionalFormatting>
  <conditionalFormatting sqref="P187">
    <cfRule type="expression" dxfId="448" priority="93" stopIfTrue="1">
      <formula>"esterreur(reference)"</formula>
    </cfRule>
  </conditionalFormatting>
  <conditionalFormatting sqref="P190">
    <cfRule type="expression" dxfId="447" priority="92" stopIfTrue="1">
      <formula>"esterreur(reference)"</formula>
    </cfRule>
  </conditionalFormatting>
  <conditionalFormatting sqref="Q210">
    <cfRule type="expression" dxfId="446" priority="91" stopIfTrue="1">
      <formula>"esterreur(reference)"</formula>
    </cfRule>
  </conditionalFormatting>
  <conditionalFormatting sqref="O287:Q287 O288:P288 O242:Q242 O251:Q252 O284:Q284 Q275:Q283 O253:P274">
    <cfRule type="expression" dxfId="445" priority="88" stopIfTrue="1">
      <formula>"esterreur(reference)"</formula>
    </cfRule>
  </conditionalFormatting>
  <conditionalFormatting sqref="O275:P280">
    <cfRule type="expression" dxfId="444" priority="89" stopIfTrue="1">
      <formula>"esterreur(reference)"</formula>
    </cfRule>
  </conditionalFormatting>
  <conditionalFormatting sqref="O281:P283">
    <cfRule type="expression" dxfId="443" priority="90" stopIfTrue="1">
      <formula>"esterreur(reference)"</formula>
    </cfRule>
  </conditionalFormatting>
  <conditionalFormatting sqref="Q271">
    <cfRule type="expression" dxfId="442" priority="70" stopIfTrue="1">
      <formula>"esterreur(reference)"</formula>
    </cfRule>
  </conditionalFormatting>
  <conditionalFormatting sqref="Q274">
    <cfRule type="expression" dxfId="441" priority="68" stopIfTrue="1">
      <formula>"esterreur(reference)"</formula>
    </cfRule>
  </conditionalFormatting>
  <conditionalFormatting sqref="Q243">
    <cfRule type="expression" dxfId="440" priority="87" stopIfTrue="1">
      <formula>"esterreur(reference)"</formula>
    </cfRule>
  </conditionalFormatting>
  <conditionalFormatting sqref="Q246">
    <cfRule type="expression" dxfId="439" priority="86" stopIfTrue="1">
      <formula>"esterreur(reference)"</formula>
    </cfRule>
  </conditionalFormatting>
  <conditionalFormatting sqref="Q253">
    <cfRule type="expression" dxfId="438" priority="85" stopIfTrue="1">
      <formula>"esterreur(reference)"</formula>
    </cfRule>
  </conditionalFormatting>
  <conditionalFormatting sqref="Q254">
    <cfRule type="expression" dxfId="437" priority="84" stopIfTrue="1">
      <formula>"esterreur(reference)"</formula>
    </cfRule>
  </conditionalFormatting>
  <conditionalFormatting sqref="Q255">
    <cfRule type="expression" dxfId="436" priority="83" stopIfTrue="1">
      <formula>"esterreur(reference)"</formula>
    </cfRule>
  </conditionalFormatting>
  <conditionalFormatting sqref="Q256">
    <cfRule type="expression" dxfId="435" priority="82" stopIfTrue="1">
      <formula>"esterreur(reference)"</formula>
    </cfRule>
  </conditionalFormatting>
  <conditionalFormatting sqref="Q257">
    <cfRule type="expression" dxfId="434" priority="81" stopIfTrue="1">
      <formula>"esterreur(reference)"</formula>
    </cfRule>
  </conditionalFormatting>
  <conditionalFormatting sqref="Q258">
    <cfRule type="expression" dxfId="433" priority="80" stopIfTrue="1">
      <formula>"esterreur(reference)"</formula>
    </cfRule>
  </conditionalFormatting>
  <conditionalFormatting sqref="Q259">
    <cfRule type="expression" dxfId="432" priority="79" stopIfTrue="1">
      <formula>"esterreur(reference)"</formula>
    </cfRule>
  </conditionalFormatting>
  <conditionalFormatting sqref="Q260">
    <cfRule type="expression" dxfId="431" priority="78" stopIfTrue="1">
      <formula>"esterreur(reference)"</formula>
    </cfRule>
  </conditionalFormatting>
  <conditionalFormatting sqref="Q261">
    <cfRule type="expression" dxfId="430" priority="77" stopIfTrue="1">
      <formula>"esterreur(reference)"</formula>
    </cfRule>
  </conditionalFormatting>
  <conditionalFormatting sqref="Q262">
    <cfRule type="expression" dxfId="429" priority="76" stopIfTrue="1">
      <formula>"esterreur(reference)"</formula>
    </cfRule>
  </conditionalFormatting>
  <conditionalFormatting sqref="Q263:Q264">
    <cfRule type="expression" dxfId="428" priority="75" stopIfTrue="1">
      <formula>"esterreur(reference)"</formula>
    </cfRule>
  </conditionalFormatting>
  <conditionalFormatting sqref="Q268">
    <cfRule type="expression" dxfId="427" priority="73" stopIfTrue="1">
      <formula>"esterreur(reference)"</formula>
    </cfRule>
  </conditionalFormatting>
  <conditionalFormatting sqref="Q267">
    <cfRule type="expression" dxfId="426" priority="74" stopIfTrue="1">
      <formula>"esterreur(reference)"</formula>
    </cfRule>
  </conditionalFormatting>
  <conditionalFormatting sqref="Q269">
    <cfRule type="expression" dxfId="425" priority="72" stopIfTrue="1">
      <formula>"esterreur(reference)"</formula>
    </cfRule>
  </conditionalFormatting>
  <conditionalFormatting sqref="Q270">
    <cfRule type="expression" dxfId="424" priority="71" stopIfTrue="1">
      <formula>"esterreur(reference)"</formula>
    </cfRule>
  </conditionalFormatting>
  <conditionalFormatting sqref="Q272:Q273">
    <cfRule type="expression" dxfId="423" priority="69" stopIfTrue="1">
      <formula>"esterreur(reference)"</formula>
    </cfRule>
  </conditionalFormatting>
  <conditionalFormatting sqref="P240">
    <cfRule type="expression" dxfId="422" priority="67" stopIfTrue="1">
      <formula>"esterreur(reference)"</formula>
    </cfRule>
  </conditionalFormatting>
  <conditionalFormatting sqref="P243">
    <cfRule type="expression" dxfId="421" priority="66" stopIfTrue="1">
      <formula>"esterreur(reference)"</formula>
    </cfRule>
  </conditionalFormatting>
  <conditionalFormatting sqref="P246">
    <cfRule type="expression" dxfId="420" priority="65" stopIfTrue="1">
      <formula>"esterreur(reference)"</formula>
    </cfRule>
  </conditionalFormatting>
  <conditionalFormatting sqref="Q240">
    <cfRule type="expression" dxfId="419" priority="64" stopIfTrue="1">
      <formula>"esterreur(reference)"</formula>
    </cfRule>
  </conditionalFormatting>
  <conditionalFormatting sqref="P286">
    <cfRule type="expression" dxfId="418" priority="63" stopIfTrue="1">
      <formula>"esterreur(reference)"</formula>
    </cfRule>
  </conditionalFormatting>
  <conditionalFormatting sqref="Q266">
    <cfRule type="expression" dxfId="417" priority="6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16" priority="60" stopIfTrue="1">
      <formula>"esterreur(reference)"</formula>
    </cfRule>
  </conditionalFormatting>
  <conditionalFormatting sqref="O316:Q316">
    <cfRule type="expression" dxfId="415" priority="61" stopIfTrue="1">
      <formula>"esterreur(reference)"</formula>
    </cfRule>
  </conditionalFormatting>
  <conditionalFormatting sqref="Q331:Q347">
    <cfRule type="expression" dxfId="414" priority="52" stopIfTrue="1">
      <formula>"esterreur(reference)"</formula>
    </cfRule>
  </conditionalFormatting>
  <conditionalFormatting sqref="Q325">
    <cfRule type="expression" dxfId="413" priority="56" stopIfTrue="1">
      <formula>"esterreur(reference)"</formula>
    </cfRule>
  </conditionalFormatting>
  <conditionalFormatting sqref="Q326">
    <cfRule type="expression" dxfId="412" priority="55" stopIfTrue="1">
      <formula>"esterreur(reference)"</formula>
    </cfRule>
  </conditionalFormatting>
  <conditionalFormatting sqref="Q327">
    <cfRule type="expression" dxfId="411" priority="54" stopIfTrue="1">
      <formula>"esterreur(reference)"</formula>
    </cfRule>
  </conditionalFormatting>
  <conditionalFormatting sqref="Q328">
    <cfRule type="expression" dxfId="410" priority="53" stopIfTrue="1">
      <formula>"esterreur(reference)"</formula>
    </cfRule>
  </conditionalFormatting>
  <conditionalFormatting sqref="Q311">
    <cfRule type="expression" dxfId="409" priority="59" stopIfTrue="1">
      <formula>"esterreur(reference)"</formula>
    </cfRule>
  </conditionalFormatting>
  <conditionalFormatting sqref="Q317">
    <cfRule type="expression" dxfId="408" priority="58" stopIfTrue="1">
      <formula>"esterreur(reference)"</formula>
    </cfRule>
  </conditionalFormatting>
  <conditionalFormatting sqref="Q318">
    <cfRule type="expression" dxfId="407" priority="57" stopIfTrue="1">
      <formula>"esterreur(reference)"</formula>
    </cfRule>
  </conditionalFormatting>
  <conditionalFormatting sqref="O306:O307">
    <cfRule type="expression" dxfId="406" priority="51" stopIfTrue="1">
      <formula>"esterreur(reference)"</formula>
    </cfRule>
  </conditionalFormatting>
  <conditionalFormatting sqref="O311">
    <cfRule type="expression" dxfId="405" priority="50" stopIfTrue="1">
      <formula>"esterreur(reference)"</formula>
    </cfRule>
  </conditionalFormatting>
  <conditionalFormatting sqref="Q330">
    <cfRule type="expression" dxfId="404" priority="49" stopIfTrue="1">
      <formula>"esterreur(reference)"</formula>
    </cfRule>
  </conditionalFormatting>
  <conditionalFormatting sqref="O363:Q363 O364:P375">
    <cfRule type="expression" dxfId="403" priority="43" stopIfTrue="1">
      <formula>"esterreur(reference)"</formula>
    </cfRule>
  </conditionalFormatting>
  <conditionalFormatting sqref="O358:Q358">
    <cfRule type="expression" dxfId="402" priority="44" stopIfTrue="1">
      <formula>"esterreur(reference)"</formula>
    </cfRule>
  </conditionalFormatting>
  <conditionalFormatting sqref="O376:Q376 O377:P392">
    <cfRule type="expression" dxfId="401" priority="45" stopIfTrue="1">
      <formula>"esterreur(reference)"</formula>
    </cfRule>
  </conditionalFormatting>
  <conditionalFormatting sqref="O395:Q398 O393:P393">
    <cfRule type="expression" dxfId="400" priority="46" stopIfTrue="1">
      <formula>"esterreur(reference)"</formula>
    </cfRule>
  </conditionalFormatting>
  <conditionalFormatting sqref="O360:Q362 P359">
    <cfRule type="expression" dxfId="399" priority="47" stopIfTrue="1">
      <formula>"esterreur(reference)"</formula>
    </cfRule>
  </conditionalFormatting>
  <conditionalFormatting sqref="P394">
    <cfRule type="expression" dxfId="398" priority="48" stopIfTrue="1">
      <formula>"esterreur(reference)"</formula>
    </cfRule>
  </conditionalFormatting>
  <conditionalFormatting sqref="Q364:Q375">
    <cfRule type="expression" dxfId="397" priority="42" stopIfTrue="1">
      <formula>"esterreur(reference)"</formula>
    </cfRule>
  </conditionalFormatting>
  <conditionalFormatting sqref="Q377:Q393">
    <cfRule type="expression" dxfId="396" priority="41" stopIfTrue="1">
      <formula>"esterreur(reference)"</formula>
    </cfRule>
  </conditionalFormatting>
  <conditionalFormatting sqref="O359">
    <cfRule type="expression" dxfId="395" priority="40" stopIfTrue="1">
      <formula>"esterreur(reference)"</formula>
    </cfRule>
  </conditionalFormatting>
  <conditionalFormatting sqref="Q359">
    <cfRule type="expression" dxfId="394" priority="39" stopIfTrue="1">
      <formula>"esterreur(reference)"</formula>
    </cfRule>
  </conditionalFormatting>
  <conditionalFormatting sqref="Q36:Q40">
    <cfRule type="expression" dxfId="393" priority="38" stopIfTrue="1">
      <formula>"esterreur(reference)"</formula>
    </cfRule>
  </conditionalFormatting>
  <conditionalFormatting sqref="Q149:Q151">
    <cfRule type="expression" dxfId="392" priority="31" stopIfTrue="1">
      <formula>"esterreur(reference)"</formula>
    </cfRule>
  </conditionalFormatting>
  <conditionalFormatting sqref="H148 J148:K148">
    <cfRule type="expression" dxfId="391" priority="37" stopIfTrue="1">
      <formula>"esterreur(reference)"</formula>
    </cfRule>
  </conditionalFormatting>
  <conditionalFormatting sqref="O148:P148">
    <cfRule type="expression" dxfId="390" priority="36" stopIfTrue="1">
      <formula>"esterreur(reference)"</formula>
    </cfRule>
  </conditionalFormatting>
  <conditionalFormatting sqref="Q148">
    <cfRule type="expression" dxfId="389" priority="35" stopIfTrue="1">
      <formula>"esterreur(reference)"</formula>
    </cfRule>
  </conditionalFormatting>
  <conditionalFormatting sqref="H149:H151 J149:K151">
    <cfRule type="expression" dxfId="388" priority="34" stopIfTrue="1">
      <formula>"esterreur(reference)"</formula>
    </cfRule>
  </conditionalFormatting>
  <conditionalFormatting sqref="L149:L151">
    <cfRule type="expression" dxfId="387" priority="33" stopIfTrue="1">
      <formula>"esterreur(reference)"</formula>
    </cfRule>
  </conditionalFormatting>
  <conditionalFormatting sqref="O149:P151">
    <cfRule type="expression" dxfId="386" priority="32" stopIfTrue="1">
      <formula>"esterreur(reference)"</formula>
    </cfRule>
  </conditionalFormatting>
  <conditionalFormatting sqref="L159:L161">
    <cfRule type="expression" dxfId="385" priority="30" stopIfTrue="1">
      <formula>"esterreur(reference)"</formula>
    </cfRule>
  </conditionalFormatting>
  <conditionalFormatting sqref="AG414:AI417">
    <cfRule type="cellIs" dxfId="384" priority="29" operator="greaterThan">
      <formula>0</formula>
    </cfRule>
  </conditionalFormatting>
  <conditionalFormatting sqref="AO414:AO417">
    <cfRule type="cellIs" dxfId="383" priority="28" operator="greaterThan">
      <formula>0</formula>
    </cfRule>
  </conditionalFormatting>
  <conditionalFormatting sqref="G111:G112">
    <cfRule type="expression" dxfId="382" priority="27" stopIfTrue="1">
      <formula>"esterreur(reference)"</formula>
    </cfRule>
  </conditionalFormatting>
  <conditionalFormatting sqref="AH424:AH426">
    <cfRule type="cellIs" dxfId="381" priority="26" operator="greaterThan">
      <formula>0</formula>
    </cfRule>
  </conditionalFormatting>
  <conditionalFormatting sqref="AI431">
    <cfRule type="cellIs" dxfId="380" priority="25" operator="greaterThan">
      <formula>0</formula>
    </cfRule>
  </conditionalFormatting>
  <conditionalFormatting sqref="AH431">
    <cfRule type="cellIs" dxfId="379" priority="24" operator="greaterThan">
      <formula>0</formula>
    </cfRule>
  </conditionalFormatting>
  <conditionalFormatting sqref="AI448:AI450">
    <cfRule type="cellIs" dxfId="378" priority="23" operator="greaterThan">
      <formula>0</formula>
    </cfRule>
  </conditionalFormatting>
  <conditionalFormatting sqref="AH448:AH450">
    <cfRule type="cellIs" dxfId="377" priority="22" operator="greaterThan">
      <formula>0</formula>
    </cfRule>
  </conditionalFormatting>
  <conditionalFormatting sqref="AI462:AI464">
    <cfRule type="cellIs" dxfId="376" priority="21" operator="greaterThan">
      <formula>0</formula>
    </cfRule>
  </conditionalFormatting>
  <conditionalFormatting sqref="AH462:AH464">
    <cfRule type="cellIs" dxfId="375" priority="20" operator="greaterThan">
      <formula>0</formula>
    </cfRule>
  </conditionalFormatting>
  <conditionalFormatting sqref="AI476:AI478">
    <cfRule type="cellIs" dxfId="374" priority="19" operator="greaterThan">
      <formula>0</formula>
    </cfRule>
  </conditionalFormatting>
  <conditionalFormatting sqref="AH476:AH478">
    <cfRule type="cellIs" dxfId="373" priority="18" operator="greaterThan">
      <formula>0</formula>
    </cfRule>
  </conditionalFormatting>
  <conditionalFormatting sqref="AI494:AI496">
    <cfRule type="cellIs" dxfId="372" priority="17" operator="greaterThan">
      <formula>0</formula>
    </cfRule>
  </conditionalFormatting>
  <conditionalFormatting sqref="AH494:AH496">
    <cfRule type="cellIs" dxfId="371" priority="16" operator="greaterThan">
      <formula>0</formula>
    </cfRule>
  </conditionalFormatting>
  <conditionalFormatting sqref="H83:H85 H72 H25:H26 H28:H54">
    <cfRule type="expression" dxfId="370" priority="11" stopIfTrue="1">
      <formula>"esterreur(reference)"</formula>
    </cfRule>
  </conditionalFormatting>
  <conditionalFormatting sqref="H55:H56 H71">
    <cfRule type="expression" dxfId="369" priority="12" stopIfTrue="1">
      <formula>"esterreur(reference)"</formula>
    </cfRule>
  </conditionalFormatting>
  <conditionalFormatting sqref="H61:H70">
    <cfRule type="expression" dxfId="368" priority="13" stopIfTrue="1">
      <formula>"esterreur(reference)"</formula>
    </cfRule>
  </conditionalFormatting>
  <conditionalFormatting sqref="H57:H59">
    <cfRule type="expression" dxfId="367" priority="14" stopIfTrue="1">
      <formula>"esterreur(reference)"</formula>
    </cfRule>
  </conditionalFormatting>
  <conditionalFormatting sqref="H60">
    <cfRule type="expression" dxfId="366" priority="15" stopIfTrue="1">
      <formula>"esterreur(reference)"</formula>
    </cfRule>
  </conditionalFormatting>
  <conditionalFormatting sqref="G31:G32">
    <cfRule type="expression" dxfId="365" priority="10" stopIfTrue="1">
      <formula>"esterreur(reference)"</formula>
    </cfRule>
  </conditionalFormatting>
  <conditionalFormatting sqref="I83:I85 I13:I14 I24:I30 I20 I16:I18">
    <cfRule type="expression" dxfId="364" priority="9" stopIfTrue="1">
      <formula>"esterreur(reference)"</formula>
    </cfRule>
  </conditionalFormatting>
  <conditionalFormatting sqref="F83:F85">
    <cfRule type="expression" dxfId="363" priority="8" stopIfTrue="1">
      <formula>"esterreur(reference)"</formula>
    </cfRule>
  </conditionalFormatting>
  <conditionalFormatting sqref="F5">
    <cfRule type="expression" dxfId="362" priority="7" stopIfTrue="1">
      <formula>"esterreur(reference)"</formula>
    </cfRule>
  </conditionalFormatting>
  <conditionalFormatting sqref="G171:G180">
    <cfRule type="expression" dxfId="361" priority="6" stopIfTrue="1">
      <formula>"esterreur(reference)"</formula>
    </cfRule>
  </conditionalFormatting>
  <conditionalFormatting sqref="D171:D180">
    <cfRule type="expression" dxfId="360" priority="5" stopIfTrue="1">
      <formula>"esterreur(reference)"</formula>
    </cfRule>
  </conditionalFormatting>
  <conditionalFormatting sqref="E185">
    <cfRule type="expression" dxfId="359" priority="4" stopIfTrue="1">
      <formula>"esterreur(reference)"</formula>
    </cfRule>
  </conditionalFormatting>
  <conditionalFormatting sqref="F100">
    <cfRule type="expression" dxfId="358" priority="3" stopIfTrue="1">
      <formula>"esterreur(reference)"</formula>
    </cfRule>
  </conditionalFormatting>
  <conditionalFormatting sqref="L158">
    <cfRule type="expression" dxfId="357" priority="2" stopIfTrue="1">
      <formula>"esterreur(reference)"</formula>
    </cfRule>
  </conditionalFormatting>
  <conditionalFormatting sqref="D111:D112">
    <cfRule type="expression" dxfId="356" priority="1" stopIfTrue="1">
      <formula>"esterreur(reference)"</formula>
    </cfRule>
  </conditionalFormatting>
  <printOptions horizontalCentered="1"/>
  <pageMargins left="0.15748031496062992" right="0.15748031496062992" top="0.47244094488188981" bottom="0.55118110236220474" header="0.31496062992125984" footer="0.31496062992125984"/>
  <pageSetup scale="42" fitToHeight="0" orientation="landscape" r:id="rId1"/>
  <headerFooter>
    <oddFooter>&amp;L&amp;9&amp;F&amp;C&amp;9&amp;P de &amp;N&amp;R&amp;9Imprimé le &amp;D  @ &amp;T</oddFooter>
  </headerFooter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8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01A9-3772-4121-BAFC-C2E656D34021}">
  <sheetPr>
    <tabColor rgb="FF92D050"/>
  </sheetPr>
  <dimension ref="A1:BJ692"/>
  <sheetViews>
    <sheetView zoomScale="70" zoomScaleNormal="70" workbookViewId="0">
      <pane xSplit="3" topLeftCell="D1" activePane="topRight" state="frozen"/>
      <selection activeCell="C1" sqref="C1"/>
      <selection pane="topRight" activeCell="J36" sqref="J36"/>
    </sheetView>
  </sheetViews>
  <sheetFormatPr baseColWidth="10" defaultColWidth="12.625" defaultRowHeight="15" customHeight="1"/>
  <cols>
    <col min="1" max="1" width="37.5" hidden="1" customWidth="1"/>
    <col min="2" max="2" width="21.875" hidden="1" customWidth="1"/>
    <col min="3" max="3" width="36.375" bestFit="1" customWidth="1"/>
    <col min="4" max="4" width="17.875" bestFit="1" customWidth="1"/>
    <col min="5" max="5" width="14.625" bestFit="1" customWidth="1"/>
    <col min="6" max="6" width="14" bestFit="1" customWidth="1"/>
    <col min="7" max="7" width="17.75" hidden="1" customWidth="1"/>
    <col min="8" max="8" width="15.125" hidden="1" customWidth="1"/>
    <col min="9" max="9" width="14" hidden="1" customWidth="1"/>
    <col min="10" max="10" width="17.375" customWidth="1"/>
    <col min="11" max="11" width="15.5" customWidth="1"/>
    <col min="12" max="12" width="14.875" bestFit="1" customWidth="1"/>
    <col min="13" max="13" width="13.5" bestFit="1" customWidth="1"/>
    <col min="14" max="14" width="14" bestFit="1" customWidth="1"/>
    <col min="15" max="15" width="15.5" customWidth="1"/>
    <col min="16" max="16" width="14.625" bestFit="1" customWidth="1"/>
    <col min="17" max="17" width="14" bestFit="1" customWidth="1"/>
    <col min="18" max="18" width="11.5" bestFit="1" customWidth="1"/>
    <col min="19" max="19" width="16.375" customWidth="1"/>
    <col min="20" max="20" width="4.625" customWidth="1"/>
    <col min="21" max="21" width="31.75" customWidth="1"/>
    <col min="22" max="22" width="34" customWidth="1"/>
    <col min="23" max="23" width="12.25" customWidth="1"/>
    <col min="24" max="24" width="13.75" customWidth="1"/>
    <col min="25" max="25" width="15.125" customWidth="1"/>
    <col min="26" max="26" width="15" bestFit="1" customWidth="1"/>
    <col min="27" max="27" width="11.125" hidden="1" customWidth="1"/>
    <col min="28" max="28" width="9.375" hidden="1" customWidth="1"/>
    <col min="29" max="29" width="14.5" hidden="1" customWidth="1"/>
    <col min="30" max="30" width="13.5" bestFit="1" customWidth="1"/>
    <col min="31" max="31" width="14.25" customWidth="1"/>
    <col min="32" max="32" width="14.125" customWidth="1"/>
    <col min="33" max="33" width="9" bestFit="1" customWidth="1"/>
    <col min="34" max="34" width="13.5" customWidth="1"/>
    <col min="35" max="35" width="10.125" bestFit="1" customWidth="1"/>
    <col min="36" max="36" width="10.875" customWidth="1"/>
    <col min="37" max="37" width="11.375" bestFit="1" customWidth="1"/>
    <col min="38" max="38" width="12.75" bestFit="1" customWidth="1"/>
    <col min="39" max="39" width="9" bestFit="1" customWidth="1"/>
    <col min="40" max="40" width="11" customWidth="1"/>
    <col min="41" max="41" width="14.75" customWidth="1"/>
    <col min="42" max="42" width="11" customWidth="1"/>
    <col min="43" max="43" width="48.375" bestFit="1" customWidth="1"/>
    <col min="44" max="62" width="11" customWidth="1"/>
  </cols>
  <sheetData>
    <row r="1" spans="1:40" ht="36" thickBot="1">
      <c r="B1" s="1"/>
      <c r="C1" s="475" t="s">
        <v>227</v>
      </c>
      <c r="D1" s="2"/>
      <c r="E1" s="476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510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Top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217</v>
      </c>
      <c r="K2" s="9"/>
      <c r="L2" s="9" t="s">
        <v>214</v>
      </c>
      <c r="M2" s="11"/>
      <c r="N2" s="11"/>
      <c r="O2" s="9" t="s">
        <v>217</v>
      </c>
      <c r="P2" s="9"/>
      <c r="Q2" s="9" t="s">
        <v>214</v>
      </c>
      <c r="R2" s="11"/>
      <c r="S2" s="11"/>
      <c r="T2" s="11"/>
      <c r="U2" s="11"/>
      <c r="V2" s="477" t="s">
        <v>494</v>
      </c>
      <c r="W2" s="478"/>
    </row>
    <row r="3" spans="1:40" ht="21" thickTop="1">
      <c r="B3" s="12"/>
      <c r="C3" s="13"/>
      <c r="D3" s="564" t="s">
        <v>5</v>
      </c>
      <c r="E3" s="565"/>
      <c r="F3" s="566"/>
      <c r="G3" s="562" t="s">
        <v>6</v>
      </c>
      <c r="H3" s="565"/>
      <c r="I3" s="566"/>
      <c r="J3" s="562" t="s">
        <v>7</v>
      </c>
      <c r="K3" s="565"/>
      <c r="L3" s="566"/>
      <c r="M3" s="562" t="s">
        <v>8</v>
      </c>
      <c r="N3" s="566"/>
      <c r="O3" s="564" t="s">
        <v>9</v>
      </c>
      <c r="P3" s="565"/>
      <c r="Q3" s="566"/>
      <c r="R3" s="562" t="s">
        <v>10</v>
      </c>
      <c r="S3" s="563"/>
      <c r="T3" s="14"/>
      <c r="U3" s="14"/>
      <c r="V3" s="479" t="s">
        <v>222</v>
      </c>
      <c r="W3" s="480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79" t="s">
        <v>223</v>
      </c>
      <c r="W4" s="480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">
        <v>228</v>
      </c>
      <c r="B5" s="12" t="s">
        <v>0</v>
      </c>
      <c r="C5" s="21" t="s">
        <v>16</v>
      </c>
      <c r="D5" s="22"/>
      <c r="E5" s="22"/>
      <c r="F5" s="23">
        <v>2857426.0985577144</v>
      </c>
      <c r="G5" s="22"/>
      <c r="H5" s="22"/>
      <c r="I5" s="25">
        <v>2857426.0985577144</v>
      </c>
      <c r="J5" s="24"/>
      <c r="K5" s="26"/>
      <c r="L5" s="23">
        <v>2490545.3400000003</v>
      </c>
      <c r="M5" s="27"/>
      <c r="N5" s="28"/>
      <c r="O5" s="24"/>
      <c r="P5" s="26"/>
      <c r="Q5" s="23">
        <v>3613426.5799999991</v>
      </c>
      <c r="R5" s="27"/>
      <c r="S5" s="29"/>
      <c r="T5" s="14"/>
      <c r="U5" s="14"/>
      <c r="V5" s="479" t="s">
        <v>218</v>
      </c>
      <c r="W5" s="480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">
        <v>229</v>
      </c>
      <c r="B6" s="12" t="s">
        <v>0</v>
      </c>
      <c r="C6" s="481" t="s">
        <v>17</v>
      </c>
      <c r="D6" s="31">
        <v>14.573493975903615</v>
      </c>
      <c r="E6" s="31">
        <f>IF(D6=0,0,F6/D6)</f>
        <v>1450.6297619047618</v>
      </c>
      <c r="F6" s="31">
        <v>21140.744096385541</v>
      </c>
      <c r="G6" s="32">
        <v>14.573493975903615</v>
      </c>
      <c r="H6" s="31">
        <f>IF(G6=0,0,I6/G6)</f>
        <v>1450.6297619047618</v>
      </c>
      <c r="I6" s="31">
        <v>21140.744096385541</v>
      </c>
      <c r="J6" s="32">
        <v>16</v>
      </c>
      <c r="K6" s="31">
        <f>IF(J6=0,0,L6/J6)</f>
        <v>1902.3999999999987</v>
      </c>
      <c r="L6" s="33">
        <v>30438.39999999998</v>
      </c>
      <c r="M6" s="32">
        <f t="shared" ref="M6:M12" si="0">J6-G6</f>
        <v>1.4265060240963852</v>
      </c>
      <c r="N6" s="34">
        <f>L6-I6</f>
        <v>9297.655903614439</v>
      </c>
      <c r="O6" s="32">
        <v>35</v>
      </c>
      <c r="P6" s="31">
        <f>IF(O6=0,0,Q6/O6)</f>
        <v>1269.0222857142849</v>
      </c>
      <c r="Q6" s="33">
        <v>44415.77999999997</v>
      </c>
      <c r="R6" s="32">
        <f t="shared" ref="R6:R12" si="1">J6-O6</f>
        <v>-19</v>
      </c>
      <c r="S6" s="35">
        <f t="shared" ref="S6:S12" si="2">L6-Q6</f>
        <v>-13977.37999999999</v>
      </c>
      <c r="T6" s="14"/>
      <c r="U6" s="14"/>
      <c r="V6" s="479" t="s">
        <v>224</v>
      </c>
      <c r="W6" s="480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">
        <v>230</v>
      </c>
      <c r="B7" s="12" t="s">
        <v>0</v>
      </c>
      <c r="C7" s="481" t="s">
        <v>18</v>
      </c>
      <c r="D7" s="31">
        <v>50.313253012048193</v>
      </c>
      <c r="E7" s="31">
        <f t="shared" ref="E7:E12" si="3">IF(D7=0,0,F7/D7)</f>
        <v>2081.8275862068967</v>
      </c>
      <c r="F7" s="31">
        <v>104743.51807228917</v>
      </c>
      <c r="G7" s="32">
        <v>50.313253012048193</v>
      </c>
      <c r="H7" s="31">
        <f t="shared" ref="H7:H12" si="4">IF(G7=0,0,I7/G7)</f>
        <v>2081.8275862068967</v>
      </c>
      <c r="I7" s="31">
        <v>104743.51807228917</v>
      </c>
      <c r="J7" s="32">
        <v>33</v>
      </c>
      <c r="K7" s="31">
        <f t="shared" ref="K7:K12" si="5">IF(J7=0,0,L7/J7)</f>
        <v>2621.6851515151511</v>
      </c>
      <c r="L7" s="33">
        <v>86515.609999999986</v>
      </c>
      <c r="M7" s="32">
        <f t="shared" si="0"/>
        <v>-17.313253012048193</v>
      </c>
      <c r="N7" s="34">
        <f t="shared" ref="N7:N12" si="6">L7-I7</f>
        <v>-18227.908072289181</v>
      </c>
      <c r="O7" s="32">
        <v>49</v>
      </c>
      <c r="P7" s="31">
        <f t="shared" ref="P7:P12" si="7">IF(O7=0,0,Q7/O7)</f>
        <v>2305.1553061224463</v>
      </c>
      <c r="Q7" s="33">
        <v>112952.60999999987</v>
      </c>
      <c r="R7" s="32">
        <f t="shared" si="1"/>
        <v>-16</v>
      </c>
      <c r="S7" s="35">
        <f t="shared" si="2"/>
        <v>-26436.999999999884</v>
      </c>
      <c r="T7" s="14"/>
      <c r="U7" s="14"/>
      <c r="V7" s="479" t="s">
        <v>225</v>
      </c>
      <c r="W7" s="480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1" thickBot="1">
      <c r="A8" t="s">
        <v>231</v>
      </c>
      <c r="B8" s="12" t="s">
        <v>0</v>
      </c>
      <c r="C8" s="481" t="s">
        <v>19</v>
      </c>
      <c r="D8" s="31">
        <v>0</v>
      </c>
      <c r="E8" s="31">
        <f t="shared" si="3"/>
        <v>0</v>
      </c>
      <c r="F8" s="31">
        <v>0</v>
      </c>
      <c r="G8" s="32">
        <v>0</v>
      </c>
      <c r="H8" s="31">
        <f t="shared" si="4"/>
        <v>0</v>
      </c>
      <c r="I8" s="31">
        <v>0</v>
      </c>
      <c r="J8" s="32">
        <v>0</v>
      </c>
      <c r="K8" s="31">
        <f t="shared" si="5"/>
        <v>0</v>
      </c>
      <c r="L8" s="33">
        <v>0</v>
      </c>
      <c r="M8" s="32">
        <f t="shared" si="0"/>
        <v>0</v>
      </c>
      <c r="N8" s="34">
        <f t="shared" si="6"/>
        <v>0</v>
      </c>
      <c r="O8" s="32">
        <v>0</v>
      </c>
      <c r="P8" s="31">
        <f t="shared" si="7"/>
        <v>0</v>
      </c>
      <c r="Q8" s="33">
        <v>0</v>
      </c>
      <c r="R8" s="32">
        <f t="shared" si="1"/>
        <v>0</v>
      </c>
      <c r="S8" s="35">
        <f t="shared" si="2"/>
        <v>0</v>
      </c>
      <c r="T8" s="14"/>
      <c r="U8" s="14"/>
      <c r="V8" s="482"/>
      <c r="W8" s="483">
        <f t="shared" ref="W8" si="8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1" thickTop="1">
      <c r="A9" t="s">
        <v>232</v>
      </c>
      <c r="B9" s="12" t="s">
        <v>0</v>
      </c>
      <c r="C9" s="481" t="s">
        <v>20</v>
      </c>
      <c r="D9" s="31">
        <v>0</v>
      </c>
      <c r="E9" s="31">
        <f t="shared" si="3"/>
        <v>0</v>
      </c>
      <c r="F9" s="31">
        <v>0</v>
      </c>
      <c r="G9" s="32">
        <v>0</v>
      </c>
      <c r="H9" s="31">
        <f t="shared" si="4"/>
        <v>0</v>
      </c>
      <c r="I9" s="31">
        <v>0</v>
      </c>
      <c r="J9" s="32">
        <v>0</v>
      </c>
      <c r="K9" s="31">
        <f t="shared" si="5"/>
        <v>0</v>
      </c>
      <c r="L9" s="33">
        <v>0</v>
      </c>
      <c r="M9" s="32">
        <f t="shared" si="0"/>
        <v>0</v>
      </c>
      <c r="N9" s="34">
        <f t="shared" si="6"/>
        <v>0</v>
      </c>
      <c r="O9" s="32">
        <v>0</v>
      </c>
      <c r="P9" s="31">
        <f t="shared" si="7"/>
        <v>0</v>
      </c>
      <c r="Q9" s="33">
        <v>0</v>
      </c>
      <c r="R9" s="32">
        <f t="shared" si="1"/>
        <v>0</v>
      </c>
      <c r="S9" s="35">
        <f t="shared" si="2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>
      <c r="A10" t="s">
        <v>233</v>
      </c>
      <c r="B10" s="12" t="s">
        <v>0</v>
      </c>
      <c r="C10" s="481" t="s">
        <v>21</v>
      </c>
      <c r="D10" s="31">
        <v>0</v>
      </c>
      <c r="E10" s="31">
        <f t="shared" si="3"/>
        <v>0</v>
      </c>
      <c r="F10" s="31">
        <v>0</v>
      </c>
      <c r="G10" s="32">
        <v>0</v>
      </c>
      <c r="H10" s="31">
        <f t="shared" si="4"/>
        <v>0</v>
      </c>
      <c r="I10" s="31">
        <v>0</v>
      </c>
      <c r="J10" s="32">
        <v>0</v>
      </c>
      <c r="K10" s="31">
        <f t="shared" si="5"/>
        <v>0</v>
      </c>
      <c r="L10" s="33">
        <v>0</v>
      </c>
      <c r="M10" s="32">
        <f t="shared" si="0"/>
        <v>0</v>
      </c>
      <c r="N10" s="34">
        <f t="shared" si="6"/>
        <v>0</v>
      </c>
      <c r="O10" s="32">
        <v>0</v>
      </c>
      <c r="P10" s="31">
        <f t="shared" si="7"/>
        <v>0</v>
      </c>
      <c r="Q10" s="33">
        <v>0</v>
      </c>
      <c r="R10" s="32">
        <f t="shared" si="1"/>
        <v>0</v>
      </c>
      <c r="S10" s="35">
        <f t="shared" si="2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>
      <c r="A11" t="s">
        <v>233</v>
      </c>
      <c r="B11" s="12" t="s">
        <v>0</v>
      </c>
      <c r="C11" s="481" t="s">
        <v>21</v>
      </c>
      <c r="D11" s="31">
        <v>0</v>
      </c>
      <c r="E11" s="31">
        <f t="shared" si="3"/>
        <v>0</v>
      </c>
      <c r="F11" s="31">
        <v>0</v>
      </c>
      <c r="G11" s="32">
        <v>0</v>
      </c>
      <c r="H11" s="31">
        <f t="shared" si="4"/>
        <v>0</v>
      </c>
      <c r="I11" s="31">
        <v>0</v>
      </c>
      <c r="J11" s="32">
        <v>0</v>
      </c>
      <c r="K11" s="31">
        <f t="shared" si="5"/>
        <v>0</v>
      </c>
      <c r="L11" s="33">
        <v>0</v>
      </c>
      <c r="M11" s="32">
        <f t="shared" si="0"/>
        <v>0</v>
      </c>
      <c r="N11" s="34">
        <f t="shared" si="6"/>
        <v>0</v>
      </c>
      <c r="O11" s="32">
        <v>0</v>
      </c>
      <c r="P11" s="31">
        <f t="shared" si="7"/>
        <v>0</v>
      </c>
      <c r="Q11" s="33">
        <v>0</v>
      </c>
      <c r="R11" s="32">
        <f t="shared" si="1"/>
        <v>0</v>
      </c>
      <c r="S11" s="35">
        <f t="shared" si="2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>
      <c r="A12" t="s">
        <v>233</v>
      </c>
      <c r="B12" s="12" t="s">
        <v>0</v>
      </c>
      <c r="C12" s="481" t="s">
        <v>21</v>
      </c>
      <c r="D12" s="31">
        <v>0</v>
      </c>
      <c r="E12" s="31">
        <f t="shared" si="3"/>
        <v>0</v>
      </c>
      <c r="F12" s="31">
        <v>0</v>
      </c>
      <c r="G12" s="32">
        <v>0</v>
      </c>
      <c r="H12" s="31">
        <f t="shared" si="4"/>
        <v>0</v>
      </c>
      <c r="I12" s="31">
        <v>0</v>
      </c>
      <c r="J12" s="32">
        <v>0</v>
      </c>
      <c r="K12" s="31">
        <f t="shared" si="5"/>
        <v>0</v>
      </c>
      <c r="L12" s="33">
        <v>0</v>
      </c>
      <c r="M12" s="32">
        <f t="shared" si="0"/>
        <v>0</v>
      </c>
      <c r="N12" s="34">
        <f t="shared" si="6"/>
        <v>0</v>
      </c>
      <c r="O12" s="32">
        <v>0</v>
      </c>
      <c r="P12" s="31">
        <f t="shared" si="7"/>
        <v>0</v>
      </c>
      <c r="Q12" s="33">
        <v>0</v>
      </c>
      <c r="R12" s="32">
        <f t="shared" si="1"/>
        <v>0</v>
      </c>
      <c r="S12" s="35">
        <f t="shared" si="2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">
        <v>234</v>
      </c>
      <c r="B13" s="12" t="s">
        <v>0</v>
      </c>
      <c r="C13" s="36" t="s">
        <v>22</v>
      </c>
      <c r="D13" s="37">
        <f>+SUM(D6:D12)</f>
        <v>64.88674698795181</v>
      </c>
      <c r="E13" s="37">
        <f>IF(D13&lt;=0,0,F13/D13)</f>
        <v>1940.061229946524</v>
      </c>
      <c r="F13" s="38">
        <f>+SUM(F6:F12)</f>
        <v>125884.2621686747</v>
      </c>
      <c r="G13" s="39">
        <f>+SUM(G6:G12)</f>
        <v>64.88674698795181</v>
      </c>
      <c r="H13" s="37">
        <f>IF(G13&lt;=0,0,I13/G13)</f>
        <v>1940.061229946524</v>
      </c>
      <c r="I13" s="38">
        <f>+SUM(I6:I12)</f>
        <v>125884.2621686747</v>
      </c>
      <c r="J13" s="39">
        <f>+SUM(J6:J12)</f>
        <v>49</v>
      </c>
      <c r="K13" s="37">
        <f>IF(J13&lt;=0,0,L13/J13)</f>
        <v>2386.8165306122442</v>
      </c>
      <c r="L13" s="38">
        <f>+SUM(L6:L12)</f>
        <v>116954.00999999997</v>
      </c>
      <c r="M13" s="39">
        <f>+SUM(M6:M12)</f>
        <v>-15.886746987951808</v>
      </c>
      <c r="N13" s="38">
        <f>+SUM(N6:N12)</f>
        <v>-8930.2521686747423</v>
      </c>
      <c r="O13" s="39">
        <f>+SUM(O6:O12)</f>
        <v>84</v>
      </c>
      <c r="P13" s="37">
        <f>IF(O13&lt;=0,0,Q13/O13)</f>
        <v>1873.4332142857124</v>
      </c>
      <c r="Q13" s="38">
        <f>+SUM(Q6:Q12)</f>
        <v>157368.38999999984</v>
      </c>
      <c r="R13" s="39">
        <f>+SUM(R6:R12)</f>
        <v>-35</v>
      </c>
      <c r="S13" s="40">
        <f>+SUM(S6:S12)</f>
        <v>-40414.379999999874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">
        <v>0</v>
      </c>
      <c r="B14" s="12" t="s">
        <v>0</v>
      </c>
      <c r="C14" s="481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>
        <f>R13/O13</f>
        <v>-0.41666666666666669</v>
      </c>
      <c r="S14" s="45">
        <f>IF(Q13=0,0,(S13/Q13))</f>
        <v>-0.25681383662881674</v>
      </c>
      <c r="T14" s="14"/>
      <c r="U14" s="14"/>
      <c r="V14" s="12"/>
      <c r="W14" s="87"/>
      <c r="X14" s="87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">
        <v>235</v>
      </c>
      <c r="B15" s="12" t="s">
        <v>0</v>
      </c>
      <c r="C15" s="46" t="s">
        <v>23</v>
      </c>
      <c r="D15" s="26">
        <v>6.072289156626506</v>
      </c>
      <c r="E15" s="26">
        <f t="shared" ref="E15" si="9">IF(D15=0,0,F15/D15)</f>
        <v>1386.1016187312014</v>
      </c>
      <c r="F15" s="23">
        <v>8416.809829403921</v>
      </c>
      <c r="G15" s="47">
        <v>6.072289156626506</v>
      </c>
      <c r="H15" s="48">
        <f t="shared" ref="H15" si="10">IF(G15=0,0,I15/G15)</f>
        <v>1386.1016187312014</v>
      </c>
      <c r="I15" s="49">
        <v>8416.809829403921</v>
      </c>
      <c r="J15" s="50">
        <v>1</v>
      </c>
      <c r="K15" s="51">
        <f>IF(J15=0,0,L15/J15)</f>
        <v>239.68000000000029</v>
      </c>
      <c r="L15" s="51">
        <v>239.68000000000029</v>
      </c>
      <c r="M15" s="52">
        <f>J15-G15</f>
        <v>-5.072289156626506</v>
      </c>
      <c r="N15" s="49">
        <f>L15-I15</f>
        <v>-8177.1298294039207</v>
      </c>
      <c r="O15" s="50">
        <v>7</v>
      </c>
      <c r="P15" s="51">
        <f>IF(O15=0,0,Q15/O15)</f>
        <v>505.77714285714319</v>
      </c>
      <c r="Q15" s="51">
        <v>3540.4400000000023</v>
      </c>
      <c r="R15" s="52">
        <f>J15-O15</f>
        <v>-6</v>
      </c>
      <c r="S15" s="53">
        <f>L15-Q15</f>
        <v>-3300.760000000002</v>
      </c>
      <c r="T15" s="14"/>
      <c r="U15" s="14"/>
      <c r="V15" s="87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">
        <v>0</v>
      </c>
      <c r="B16" s="12" t="s">
        <v>0</v>
      </c>
      <c r="C16" s="481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">
        <v>236</v>
      </c>
      <c r="B17" s="12" t="s">
        <v>0</v>
      </c>
      <c r="C17" s="484" t="s">
        <v>24</v>
      </c>
      <c r="D17" s="31">
        <v>1.0922882427307206</v>
      </c>
      <c r="E17" s="31">
        <f t="shared" ref="E17" si="11">IF(D17=0,0,F17/D17)</f>
        <v>1938.8731623598239</v>
      </c>
      <c r="F17" s="31">
        <v>2117.8083593917672</v>
      </c>
      <c r="G17" s="32">
        <v>1.0922882427307206</v>
      </c>
      <c r="H17" s="31">
        <f t="shared" ref="H17" si="12">IF(G17=0,0,I17/G17)</f>
        <v>1938.8731623598239</v>
      </c>
      <c r="I17" s="31">
        <v>2117.8083593917672</v>
      </c>
      <c r="J17" s="52">
        <v>3</v>
      </c>
      <c r="K17" s="31">
        <f>IF(J17=0,0,L17/J17)</f>
        <v>1695.9099999999987</v>
      </c>
      <c r="L17" s="34">
        <v>5087.7299999999959</v>
      </c>
      <c r="M17" s="52">
        <f>J17-G17</f>
        <v>1.9077117572692794</v>
      </c>
      <c r="N17" s="34">
        <f>L17-I17</f>
        <v>2969.9216406082287</v>
      </c>
      <c r="O17" s="52">
        <v>0</v>
      </c>
      <c r="P17" s="31">
        <f>IF(O17=0,0,Q17/O17)</f>
        <v>0</v>
      </c>
      <c r="Q17" s="34">
        <v>0</v>
      </c>
      <c r="R17" s="32">
        <f>J17-O17</f>
        <v>3</v>
      </c>
      <c r="S17" s="35">
        <f>L17-Q17</f>
        <v>5087.7299999999959</v>
      </c>
      <c r="T17" s="14"/>
      <c r="U17" s="14"/>
      <c r="W17" s="12"/>
      <c r="X17" s="12"/>
      <c r="Y17" s="12"/>
      <c r="Z17" s="12"/>
      <c r="AA17" s="87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">
        <v>237</v>
      </c>
      <c r="B19" s="12" t="s">
        <v>0</v>
      </c>
      <c r="C19" s="46" t="s">
        <v>25</v>
      </c>
      <c r="D19" s="31">
        <v>0</v>
      </c>
      <c r="E19" s="31">
        <f t="shared" ref="E19" si="13">IF(D19=0,0,F19/D19)</f>
        <v>0</v>
      </c>
      <c r="F19" s="31">
        <v>4909.3560599999992</v>
      </c>
      <c r="G19" s="32">
        <v>0</v>
      </c>
      <c r="H19" s="31">
        <f t="shared" ref="H19" si="14">IF(G19=0,0,I19/G19)</f>
        <v>0</v>
      </c>
      <c r="I19" s="31">
        <v>4909.3560599999992</v>
      </c>
      <c r="J19" s="47"/>
      <c r="K19" s="31"/>
      <c r="L19" s="34">
        <v>13692.75</v>
      </c>
      <c r="M19" s="32"/>
      <c r="N19" s="34">
        <f>L19-I19</f>
        <v>8783.3939400000017</v>
      </c>
      <c r="O19" s="47"/>
      <c r="P19" s="31"/>
      <c r="Q19" s="34">
        <v>5452.6000000000058</v>
      </c>
      <c r="R19" s="32">
        <f>O19-K19</f>
        <v>0</v>
      </c>
      <c r="S19" s="35">
        <f>L19-Q19</f>
        <v>8240.1499999999942</v>
      </c>
      <c r="T19" s="14"/>
      <c r="W19" s="87"/>
      <c r="X19" s="485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W20" s="87"/>
      <c r="X20" s="485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">
        <v>238</v>
      </c>
      <c r="B21" s="12" t="s">
        <v>0</v>
      </c>
      <c r="C21" s="481" t="s">
        <v>26</v>
      </c>
      <c r="D21" s="31">
        <v>0</v>
      </c>
      <c r="E21" s="31">
        <f t="shared" ref="E21:E23" si="15">IF(D21=0,0,F21/D21)</f>
        <v>0</v>
      </c>
      <c r="F21" s="31">
        <v>2123.3613714363396</v>
      </c>
      <c r="G21" s="42">
        <v>0</v>
      </c>
      <c r="H21" s="31">
        <f t="shared" ref="H21:H23" si="16">IF(G21=0,0,I21/G21)</f>
        <v>0</v>
      </c>
      <c r="I21" s="31">
        <v>2123.3613714363396</v>
      </c>
      <c r="J21" s="32"/>
      <c r="K21" s="31">
        <f>IF(J13=0,0,L21/(J13+J15))</f>
        <v>211.38400000000001</v>
      </c>
      <c r="L21" s="34">
        <v>10569.2</v>
      </c>
      <c r="M21" s="32"/>
      <c r="N21" s="34">
        <f t="shared" ref="N21:N24" si="17">L21-I21</f>
        <v>8445.8386285636607</v>
      </c>
      <c r="O21" s="32"/>
      <c r="P21" s="31">
        <f>IF(O13=0,0,Q21/(O13+O15))</f>
        <v>17.566923076923075</v>
      </c>
      <c r="Q21" s="34">
        <v>1598.59</v>
      </c>
      <c r="R21" s="32">
        <f t="shared" ref="R21:R23" si="18">O21-K21</f>
        <v>-211.38400000000001</v>
      </c>
      <c r="S21" s="35">
        <f t="shared" ref="S21:S24" si="19">L21-Q21</f>
        <v>8970.61</v>
      </c>
      <c r="T21" s="14"/>
      <c r="U21" s="14"/>
      <c r="W21" s="12"/>
      <c r="X21" s="486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">
        <v>239</v>
      </c>
      <c r="B22" s="12" t="s">
        <v>0</v>
      </c>
      <c r="C22" s="481" t="s">
        <v>27</v>
      </c>
      <c r="D22" s="31">
        <v>0</v>
      </c>
      <c r="E22" s="31">
        <f t="shared" si="15"/>
        <v>0</v>
      </c>
      <c r="F22" s="31">
        <v>56786.344423545503</v>
      </c>
      <c r="G22" s="42">
        <v>0</v>
      </c>
      <c r="H22" s="31">
        <f t="shared" si="16"/>
        <v>0</v>
      </c>
      <c r="I22" s="31">
        <v>56786.344423545503</v>
      </c>
      <c r="J22" s="32"/>
      <c r="K22" s="31">
        <f>IF(J13=0,0,L22/(J13+J15))</f>
        <v>866.21759999999995</v>
      </c>
      <c r="L22" s="34">
        <v>43310.879999999997</v>
      </c>
      <c r="M22" s="32"/>
      <c r="N22" s="34">
        <f t="shared" si="17"/>
        <v>-13475.464423545505</v>
      </c>
      <c r="O22" s="32"/>
      <c r="P22" s="31">
        <f>IF(O13=0,0,Q22/(O13+O15))</f>
        <v>841.79263736263738</v>
      </c>
      <c r="Q22" s="34">
        <v>76603.13</v>
      </c>
      <c r="R22" s="32">
        <f t="shared" si="18"/>
        <v>-866.21759999999995</v>
      </c>
      <c r="S22" s="35">
        <f t="shared" si="19"/>
        <v>-33292.250000000007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">
        <v>240</v>
      </c>
      <c r="B23" s="12" t="s">
        <v>0</v>
      </c>
      <c r="C23" s="481" t="s">
        <v>28</v>
      </c>
      <c r="D23" s="31">
        <v>0</v>
      </c>
      <c r="E23" s="31">
        <f t="shared" si="15"/>
        <v>0</v>
      </c>
      <c r="F23" s="31">
        <v>1405.4749279097255</v>
      </c>
      <c r="G23" s="42">
        <v>0</v>
      </c>
      <c r="H23" s="31">
        <f t="shared" si="16"/>
        <v>0</v>
      </c>
      <c r="I23" s="31">
        <v>1405.4749279097255</v>
      </c>
      <c r="J23" s="32"/>
      <c r="K23" s="31">
        <f>IF(J13=0,0,L23/(J13+J15))</f>
        <v>32.4756</v>
      </c>
      <c r="L23" s="34">
        <v>1623.78</v>
      </c>
      <c r="M23" s="52"/>
      <c r="N23" s="34">
        <f t="shared" si="17"/>
        <v>218.30507209027451</v>
      </c>
      <c r="O23" s="32"/>
      <c r="P23" s="31">
        <f>IF(O13=0,0,Q23/(O13+O15))</f>
        <v>18.563296703296704</v>
      </c>
      <c r="Q23" s="34">
        <v>1689.26</v>
      </c>
      <c r="R23" s="32">
        <f t="shared" si="18"/>
        <v>-32.4756</v>
      </c>
      <c r="S23" s="35">
        <f t="shared" si="19"/>
        <v>-65.480000000000018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">
        <v>241</v>
      </c>
      <c r="B24" s="12" t="s">
        <v>0</v>
      </c>
      <c r="C24" s="36" t="s">
        <v>29</v>
      </c>
      <c r="D24" s="37">
        <f>+D15+D13</f>
        <v>70.95903614457832</v>
      </c>
      <c r="E24" s="37">
        <f>IF(D24&lt;=0,0,F24/D24)</f>
        <v>849.99999999999989</v>
      </c>
      <c r="F24" s="38">
        <f>F21+F22+F23</f>
        <v>60315.180722891564</v>
      </c>
      <c r="G24" s="39">
        <f>+G15+G13</f>
        <v>70.95903614457832</v>
      </c>
      <c r="H24" s="37">
        <f>IF(G24&lt;=0,0,I24/G24)</f>
        <v>849.99999999999989</v>
      </c>
      <c r="I24" s="38">
        <f>I21+I22+I23</f>
        <v>60315.180722891564</v>
      </c>
      <c r="J24" s="39">
        <f>+J15+J13</f>
        <v>50</v>
      </c>
      <c r="K24" s="37">
        <f>IF(J24&lt;=0,0,L24/J24)</f>
        <v>1110.0771999999999</v>
      </c>
      <c r="L24" s="38">
        <f>L21+L22+L23</f>
        <v>55503.86</v>
      </c>
      <c r="M24" s="59">
        <f>J24-G24</f>
        <v>-20.95903614457832</v>
      </c>
      <c r="N24" s="38">
        <f t="shared" si="17"/>
        <v>-4811.3207228915635</v>
      </c>
      <c r="O24" s="39">
        <f>+O15+O13</f>
        <v>91</v>
      </c>
      <c r="P24" s="37">
        <f>IF(O24&lt;=0,0,Q24/O24)</f>
        <v>877.92285714285708</v>
      </c>
      <c r="Q24" s="38">
        <f>Q21+Q22+Q23</f>
        <v>79890.98</v>
      </c>
      <c r="R24" s="57"/>
      <c r="S24" s="40">
        <f t="shared" si="19"/>
        <v>-24387.119999999995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">
        <v>0</v>
      </c>
      <c r="B25" s="12" t="s">
        <v>0</v>
      </c>
      <c r="C25" s="481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-7.9769647793917847E-2</v>
      </c>
      <c r="O25" s="42"/>
      <c r="P25" s="14"/>
      <c r="Q25" s="60"/>
      <c r="R25" s="61"/>
      <c r="S25" s="45">
        <f>IF(Q24=0,0,(S24/Q24))</f>
        <v>-0.30525498623248826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">
        <v>0</v>
      </c>
      <c r="B26" s="12" t="s">
        <v>0</v>
      </c>
      <c r="C26" s="481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">
        <v>242</v>
      </c>
      <c r="B27" s="12" t="s">
        <v>0</v>
      </c>
      <c r="C27" s="63" t="s">
        <v>30</v>
      </c>
      <c r="D27" s="64">
        <f>+D13+D15+D17</f>
        <v>72.051324387309037</v>
      </c>
      <c r="E27" s="65">
        <f>IF(D27&lt;=0,0,F27/D27)</f>
        <v>2798.6080596719603</v>
      </c>
      <c r="F27" s="66">
        <f>F13+F17+F24+F19+F15</f>
        <v>201643.41714036194</v>
      </c>
      <c r="G27" s="67">
        <f>+G13+G15+G17</f>
        <v>72.051324387309037</v>
      </c>
      <c r="H27" s="65">
        <f>IF(G27&lt;=0,0,I27/G27)</f>
        <v>2798.6080596719603</v>
      </c>
      <c r="I27" s="66">
        <f>I13+I17+I24+I19+I15</f>
        <v>201643.41714036194</v>
      </c>
      <c r="J27" s="67">
        <f>+J13+J15+J17</f>
        <v>53</v>
      </c>
      <c r="K27" s="65">
        <f>IF(J27&lt;=0,0,L27/J27)</f>
        <v>3612.7930188679238</v>
      </c>
      <c r="L27" s="66">
        <f>L13+L17+L24+L19+L15</f>
        <v>191478.02999999997</v>
      </c>
      <c r="M27" s="67">
        <f>J27-G27</f>
        <v>-19.051324387309037</v>
      </c>
      <c r="N27" s="66">
        <f>L27-I27</f>
        <v>-10165.387140361971</v>
      </c>
      <c r="O27" s="67">
        <f>+O13+O15+O17</f>
        <v>91</v>
      </c>
      <c r="P27" s="65">
        <f>IF(O27&lt;=0,0,Q27/O27)</f>
        <v>2706.0704395604375</v>
      </c>
      <c r="Q27" s="66">
        <f>Q13+Q17+Q24+Q19+Q15</f>
        <v>246252.40999999983</v>
      </c>
      <c r="R27" s="67">
        <f>J27-O27</f>
        <v>-38</v>
      </c>
      <c r="S27" s="69">
        <f>L27-Q27</f>
        <v>-54774.379999999859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-0.26441324360534163</v>
      </c>
      <c r="N28" s="75">
        <f>N27/I27</f>
        <v>-5.0412690305113937E-2</v>
      </c>
      <c r="O28" s="73"/>
      <c r="P28" s="71"/>
      <c r="Q28" s="72"/>
      <c r="R28" s="74">
        <f>R27/O27</f>
        <v>-0.4175824175824176</v>
      </c>
      <c r="S28" s="76">
        <f>IF(Q27=0,0,S27/Q27)</f>
        <v>-0.22243185356033632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">
        <v>0</v>
      </c>
      <c r="B29" s="12" t="s">
        <v>0</v>
      </c>
      <c r="C29" s="48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">
        <v>243</v>
      </c>
      <c r="B30" s="12" t="s">
        <v>0</v>
      </c>
      <c r="C30" s="487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">
        <v>244</v>
      </c>
      <c r="B31" s="12" t="s">
        <v>0</v>
      </c>
      <c r="C31" s="481" t="s">
        <v>32</v>
      </c>
      <c r="D31" s="468">
        <f>F31/(F15+F13+F17)</f>
        <v>0.32409988040794452</v>
      </c>
      <c r="E31" s="83">
        <f t="shared" ref="E31:E40" si="20">F31/D$24</f>
        <v>623.08262923917948</v>
      </c>
      <c r="F31" s="31">
        <v>44213.342809241833</v>
      </c>
      <c r="G31" s="149">
        <f>I31/(I15+I13)</f>
        <v>0.32921064702949188</v>
      </c>
      <c r="H31" s="83">
        <f t="shared" ref="H31:H40" si="21">I31/G$24</f>
        <v>623.08262923917948</v>
      </c>
      <c r="I31" s="31">
        <v>44213.342809241833</v>
      </c>
      <c r="J31" s="149">
        <f>L31/(L15+L13+L17)</f>
        <v>0.31406537477238988</v>
      </c>
      <c r="K31" s="83">
        <f t="shared" ref="K31:K40" si="22">IF(L31=0,0,L31/J$24)</f>
        <v>768.08720000000005</v>
      </c>
      <c r="L31" s="31">
        <v>38404.36</v>
      </c>
      <c r="M31" s="42"/>
      <c r="N31" s="60">
        <f t="shared" ref="N31:N53" si="23">L31-I31</f>
        <v>-5808.982809241832</v>
      </c>
      <c r="O31" s="42"/>
      <c r="P31" s="83">
        <f t="shared" ref="P31:P40" si="24">IF(Q31=0,0,Q31/O$24)</f>
        <v>631.62824175824176</v>
      </c>
      <c r="Q31" s="34">
        <v>57478.17</v>
      </c>
      <c r="R31" s="42"/>
      <c r="S31" s="86">
        <f t="shared" ref="S31:S53" si="25">L31-Q31</f>
        <v>-19073.809999999998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">
        <v>245</v>
      </c>
      <c r="B32" s="12" t="s">
        <v>0</v>
      </c>
      <c r="C32" s="88" t="s">
        <v>33</v>
      </c>
      <c r="D32" s="469">
        <f>F32/F24</f>
        <v>0.3</v>
      </c>
      <c r="E32" s="90">
        <f t="shared" si="20"/>
        <v>254.99999999999997</v>
      </c>
      <c r="F32" s="23">
        <v>18094.554216867469</v>
      </c>
      <c r="G32" s="93">
        <f>I32/I24</f>
        <v>0.3</v>
      </c>
      <c r="H32" s="92">
        <f t="shared" si="21"/>
        <v>254.99999999999997</v>
      </c>
      <c r="I32" s="23">
        <v>18094.554216867469</v>
      </c>
      <c r="J32" s="488">
        <f>L32/L24</f>
        <v>0.34749475081552883</v>
      </c>
      <c r="K32" s="90">
        <f t="shared" si="22"/>
        <v>385.74599999999998</v>
      </c>
      <c r="L32" s="23">
        <v>19287.3</v>
      </c>
      <c r="M32" s="24"/>
      <c r="N32" s="94">
        <f t="shared" si="23"/>
        <v>1192.7457831325301</v>
      </c>
      <c r="O32" s="24"/>
      <c r="P32" s="90">
        <f t="shared" si="24"/>
        <v>259.28208791208789</v>
      </c>
      <c r="Q32" s="23">
        <v>23594.67</v>
      </c>
      <c r="R32" s="24"/>
      <c r="S32" s="95">
        <f t="shared" si="25"/>
        <v>-4307.369999999999</v>
      </c>
      <c r="T32" s="14"/>
      <c r="U32" s="554">
        <f>(L32+L112)/(L104+L24+L19)</f>
        <v>0.23827681397403716</v>
      </c>
      <c r="V32" s="555" t="s">
        <v>488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">
        <v>246</v>
      </c>
      <c r="B33" s="12" t="s">
        <v>0</v>
      </c>
      <c r="C33" s="481" t="s">
        <v>34</v>
      </c>
      <c r="D33" s="82"/>
      <c r="E33" s="83">
        <f t="shared" si="20"/>
        <v>167.84930226439229</v>
      </c>
      <c r="F33" s="31">
        <v>11910.424706221263</v>
      </c>
      <c r="G33" s="84"/>
      <c r="H33" s="83">
        <f t="shared" si="21"/>
        <v>167.84930226439229</v>
      </c>
      <c r="I33" s="31">
        <v>11910.424706221263</v>
      </c>
      <c r="J33" s="42"/>
      <c r="K33" s="83">
        <f t="shared" si="22"/>
        <v>-22.500999999999998</v>
      </c>
      <c r="L33" s="31">
        <v>-1125.05</v>
      </c>
      <c r="M33" s="42"/>
      <c r="N33" s="60">
        <f t="shared" si="23"/>
        <v>-13035.474706221263</v>
      </c>
      <c r="O33" s="42"/>
      <c r="P33" s="83">
        <f t="shared" si="24"/>
        <v>109.96538461538462</v>
      </c>
      <c r="Q33" s="34">
        <v>10006.85</v>
      </c>
      <c r="R33" s="42"/>
      <c r="S33" s="86">
        <f t="shared" si="25"/>
        <v>-11131.9</v>
      </c>
      <c r="T33" s="14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">
        <v>247</v>
      </c>
      <c r="B34" s="12" t="s">
        <v>0</v>
      </c>
      <c r="C34" s="481" t="s">
        <v>35</v>
      </c>
      <c r="D34" s="82"/>
      <c r="E34" s="83">
        <f t="shared" si="20"/>
        <v>7.3548076275245782</v>
      </c>
      <c r="F34" s="31">
        <v>521.89006027793687</v>
      </c>
      <c r="G34" s="84"/>
      <c r="H34" s="83">
        <f t="shared" si="21"/>
        <v>7.3548076275245782</v>
      </c>
      <c r="I34" s="31">
        <v>521.89006027793687</v>
      </c>
      <c r="J34" s="42"/>
      <c r="K34" s="83">
        <f t="shared" si="22"/>
        <v>0.57999999999999996</v>
      </c>
      <c r="L34" s="31">
        <v>29</v>
      </c>
      <c r="M34" s="42"/>
      <c r="N34" s="60">
        <f t="shared" si="23"/>
        <v>-492.89006027793687</v>
      </c>
      <c r="O34" s="42"/>
      <c r="P34" s="83">
        <f t="shared" si="24"/>
        <v>18.107692307692307</v>
      </c>
      <c r="Q34" s="34">
        <v>1647.8</v>
      </c>
      <c r="R34" s="42"/>
      <c r="S34" s="86">
        <f t="shared" si="25"/>
        <v>-1618.8</v>
      </c>
      <c r="T34" s="14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">
        <v>248</v>
      </c>
      <c r="B35" s="12" t="s">
        <v>0</v>
      </c>
      <c r="C35" s="88" t="s">
        <v>36</v>
      </c>
      <c r="D35" s="89"/>
      <c r="E35" s="90">
        <f t="shared" si="20"/>
        <v>17.733118212476484</v>
      </c>
      <c r="F35" s="23">
        <v>1258.3249761951988</v>
      </c>
      <c r="G35" s="91"/>
      <c r="H35" s="92">
        <f t="shared" si="21"/>
        <v>17.733118212476484</v>
      </c>
      <c r="I35" s="23">
        <v>1258.3249761951988</v>
      </c>
      <c r="J35" s="24"/>
      <c r="K35" s="90">
        <f t="shared" si="22"/>
        <v>71.921800000000005</v>
      </c>
      <c r="L35" s="23">
        <v>3596.09</v>
      </c>
      <c r="M35" s="24"/>
      <c r="N35" s="94">
        <f t="shared" si="23"/>
        <v>2337.7650238048013</v>
      </c>
      <c r="O35" s="24"/>
      <c r="P35" s="90">
        <f t="shared" si="24"/>
        <v>10.889890109890111</v>
      </c>
      <c r="Q35" s="34">
        <v>990.98</v>
      </c>
      <c r="R35" s="24"/>
      <c r="S35" s="95">
        <f t="shared" si="25"/>
        <v>2605.11</v>
      </c>
      <c r="T35" s="14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">
        <v>249</v>
      </c>
      <c r="B36" s="12" t="s">
        <v>0</v>
      </c>
      <c r="C36" s="481" t="s">
        <v>37</v>
      </c>
      <c r="D36" s="82"/>
      <c r="E36" s="83">
        <f t="shared" si="20"/>
        <v>195.93765281173592</v>
      </c>
      <c r="F36" s="31">
        <v>13903.546987951806</v>
      </c>
      <c r="G36" s="84"/>
      <c r="H36" s="83">
        <f t="shared" si="21"/>
        <v>195.93765281173592</v>
      </c>
      <c r="I36" s="31">
        <v>13903.546987951806</v>
      </c>
      <c r="J36" s="42"/>
      <c r="K36" s="83">
        <f t="shared" si="22"/>
        <v>40.187400000000018</v>
      </c>
      <c r="L36" s="491">
        <v>2009.3700000000008</v>
      </c>
      <c r="M36" s="14"/>
      <c r="N36" s="60">
        <f t="shared" si="23"/>
        <v>-11894.176987951805</v>
      </c>
      <c r="O36" s="42"/>
      <c r="P36" s="83">
        <f t="shared" si="24"/>
        <v>59.356373626373632</v>
      </c>
      <c r="Q36" s="56">
        <v>5401.43</v>
      </c>
      <c r="R36" s="42"/>
      <c r="S36" s="86">
        <f t="shared" si="25"/>
        <v>-3392.0599999999995</v>
      </c>
      <c r="T36" s="14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">
        <v>250</v>
      </c>
      <c r="B37" s="12" t="s">
        <v>0</v>
      </c>
      <c r="C37" s="481" t="s">
        <v>38</v>
      </c>
      <c r="D37" s="82"/>
      <c r="E37" s="83">
        <f t="shared" si="20"/>
        <v>117.38963347813737</v>
      </c>
      <c r="F37" s="31">
        <v>8329.8552449739509</v>
      </c>
      <c r="G37" s="84"/>
      <c r="H37" s="83">
        <f t="shared" si="21"/>
        <v>117.38963347813737</v>
      </c>
      <c r="I37" s="31">
        <v>8329.8552449739509</v>
      </c>
      <c r="J37" s="42"/>
      <c r="K37" s="83">
        <f t="shared" si="22"/>
        <v>105.5194</v>
      </c>
      <c r="L37" s="492">
        <v>5275.97</v>
      </c>
      <c r="M37" s="14"/>
      <c r="N37" s="60">
        <f t="shared" si="23"/>
        <v>-3053.8852449739506</v>
      </c>
      <c r="O37" s="42"/>
      <c r="P37" s="83">
        <f t="shared" si="24"/>
        <v>143.12824175824176</v>
      </c>
      <c r="Q37" s="34">
        <v>13024.67</v>
      </c>
      <c r="R37" s="42"/>
      <c r="S37" s="86">
        <f t="shared" si="25"/>
        <v>-7748.7</v>
      </c>
      <c r="T37" s="14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">
        <v>233</v>
      </c>
      <c r="B38" s="12" t="s">
        <v>0</v>
      </c>
      <c r="C38" s="481" t="s">
        <v>21</v>
      </c>
      <c r="D38" s="82"/>
      <c r="E38" s="83">
        <f t="shared" si="20"/>
        <v>0</v>
      </c>
      <c r="F38" s="31">
        <v>0</v>
      </c>
      <c r="G38" s="84"/>
      <c r="H38" s="83">
        <f t="shared" si="21"/>
        <v>0</v>
      </c>
      <c r="I38" s="31">
        <v>0</v>
      </c>
      <c r="J38" s="42"/>
      <c r="K38" s="83">
        <f t="shared" si="22"/>
        <v>0</v>
      </c>
      <c r="L38" s="492"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">
        <v>233</v>
      </c>
      <c r="B39" s="12" t="s">
        <v>0</v>
      </c>
      <c r="C39" s="481" t="s">
        <v>21</v>
      </c>
      <c r="D39" s="82"/>
      <c r="E39" s="83">
        <f t="shared" si="20"/>
        <v>0</v>
      </c>
      <c r="F39" s="31">
        <v>0</v>
      </c>
      <c r="G39" s="84"/>
      <c r="H39" s="83">
        <f t="shared" si="21"/>
        <v>0</v>
      </c>
      <c r="I39" s="31">
        <v>0</v>
      </c>
      <c r="J39" s="42"/>
      <c r="K39" s="83">
        <f t="shared" si="22"/>
        <v>0</v>
      </c>
      <c r="L39" s="492"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">
        <v>233</v>
      </c>
      <c r="B40" s="12" t="s">
        <v>0</v>
      </c>
      <c r="C40" s="481" t="s">
        <v>21</v>
      </c>
      <c r="D40" s="82"/>
      <c r="E40" s="83">
        <f t="shared" si="20"/>
        <v>0</v>
      </c>
      <c r="F40" s="31">
        <v>0</v>
      </c>
      <c r="G40" s="84"/>
      <c r="H40" s="83">
        <f t="shared" si="21"/>
        <v>0</v>
      </c>
      <c r="I40" s="31">
        <v>0</v>
      </c>
      <c r="J40" s="42"/>
      <c r="K40" s="83">
        <f t="shared" si="22"/>
        <v>0</v>
      </c>
      <c r="L40" s="493"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">
        <v>251</v>
      </c>
      <c r="B41" s="12" t="s">
        <v>0</v>
      </c>
      <c r="C41" s="96" t="s">
        <v>39</v>
      </c>
      <c r="D41" s="97" t="s">
        <v>40</v>
      </c>
      <c r="E41" s="98">
        <f>F41/F$27</f>
        <v>0.48715668676330359</v>
      </c>
      <c r="F41" s="99">
        <f>SUM(F31:F40)</f>
        <v>98231.939001729465</v>
      </c>
      <c r="G41" s="100" t="s">
        <v>40</v>
      </c>
      <c r="H41" s="98">
        <f>I41/I$27</f>
        <v>0.48715668676330359</v>
      </c>
      <c r="I41" s="99">
        <f>SUM(I31:I40)</f>
        <v>98231.939001729465</v>
      </c>
      <c r="J41" s="100" t="s">
        <v>40</v>
      </c>
      <c r="K41" s="98">
        <f>L41/L$27</f>
        <v>0.35240095169142904</v>
      </c>
      <c r="L41" s="99">
        <f>SUM(L31:L40)</f>
        <v>67477.039999999994</v>
      </c>
      <c r="M41" s="101"/>
      <c r="N41" s="99">
        <f t="shared" si="23"/>
        <v>-30754.899001729471</v>
      </c>
      <c r="O41" s="100" t="s">
        <v>40</v>
      </c>
      <c r="P41" s="98">
        <f>Q41/Q$27</f>
        <v>0.45540496436156735</v>
      </c>
      <c r="Q41" s="102">
        <f>SUM(Q31:Q40)</f>
        <v>112144.56999999999</v>
      </c>
      <c r="R41" s="103"/>
      <c r="S41" s="104">
        <f t="shared" si="25"/>
        <v>-44667.53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">
        <v>252</v>
      </c>
      <c r="B42" s="12" t="s">
        <v>0</v>
      </c>
      <c r="C42" s="494" t="s">
        <v>42</v>
      </c>
      <c r="D42" s="14"/>
      <c r="E42" s="14"/>
      <c r="F42" s="31">
        <v>15886.260919540229</v>
      </c>
      <c r="G42" s="42"/>
      <c r="H42" s="14"/>
      <c r="I42" s="31">
        <v>15886.260919540229</v>
      </c>
      <c r="J42" s="42"/>
      <c r="K42" s="14"/>
      <c r="L42" s="34">
        <v>15311.7</v>
      </c>
      <c r="M42" s="42"/>
      <c r="N42" s="60">
        <f t="shared" si="23"/>
        <v>-574.5609195402285</v>
      </c>
      <c r="O42" s="42"/>
      <c r="P42" s="14"/>
      <c r="Q42" s="34">
        <v>13531.66</v>
      </c>
      <c r="R42" s="42"/>
      <c r="S42" s="86">
        <f t="shared" si="25"/>
        <v>1780.0400000000009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">
        <v>253</v>
      </c>
      <c r="B43" s="12" t="s">
        <v>0</v>
      </c>
      <c r="C43" s="106" t="s">
        <v>43</v>
      </c>
      <c r="D43" s="82"/>
      <c r="E43" s="14"/>
      <c r="F43" s="23">
        <v>9822.0277770344837</v>
      </c>
      <c r="G43" s="84"/>
      <c r="H43" s="14"/>
      <c r="I43" s="23">
        <v>9822.0277770344837</v>
      </c>
      <c r="J43" s="42"/>
      <c r="K43" s="14"/>
      <c r="L43" s="34">
        <v>7250.31</v>
      </c>
      <c r="M43" s="42"/>
      <c r="N43" s="60">
        <f t="shared" si="23"/>
        <v>-2571.7177770344833</v>
      </c>
      <c r="O43" s="42"/>
      <c r="P43" s="14"/>
      <c r="Q43" s="34">
        <v>9370.2000000000007</v>
      </c>
      <c r="R43" s="42"/>
      <c r="S43" s="86">
        <f t="shared" si="25"/>
        <v>-2119.8900000000003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">
        <v>254</v>
      </c>
      <c r="B44" s="12" t="s">
        <v>0</v>
      </c>
      <c r="C44" s="494" t="s">
        <v>44</v>
      </c>
      <c r="D44" s="107"/>
      <c r="E44" s="108"/>
      <c r="F44" s="31">
        <v>8921.4021694406129</v>
      </c>
      <c r="G44" s="109"/>
      <c r="H44" s="108"/>
      <c r="I44" s="31">
        <v>8921.4021694406129</v>
      </c>
      <c r="J44" s="110"/>
      <c r="K44" s="108"/>
      <c r="L44" s="111">
        <v>4701.9799999999996</v>
      </c>
      <c r="M44" s="110"/>
      <c r="N44" s="112">
        <f t="shared" si="23"/>
        <v>-4219.4221694406133</v>
      </c>
      <c r="O44" s="110"/>
      <c r="P44" s="108"/>
      <c r="Q44" s="111">
        <v>10113.58</v>
      </c>
      <c r="R44" s="110"/>
      <c r="S44" s="113">
        <f t="shared" si="25"/>
        <v>-5411.6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">
        <v>255</v>
      </c>
      <c r="B45" s="12" t="s">
        <v>0</v>
      </c>
      <c r="C45" s="494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f t="shared" si="23"/>
        <v>0</v>
      </c>
      <c r="O45" s="42"/>
      <c r="P45" s="14"/>
      <c r="Q45" s="34">
        <v>0</v>
      </c>
      <c r="R45" s="42"/>
      <c r="S45" s="86">
        <f t="shared" si="25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">
        <v>233</v>
      </c>
      <c r="B46" s="12" t="s">
        <v>0</v>
      </c>
      <c r="C46" s="494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f t="shared" si="23"/>
        <v>0</v>
      </c>
      <c r="O46" s="42"/>
      <c r="P46" s="14"/>
      <c r="Q46" s="34">
        <v>0</v>
      </c>
      <c r="R46" s="42"/>
      <c r="S46" s="86">
        <f t="shared" si="25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">
        <v>233</v>
      </c>
      <c r="B47" s="12" t="s">
        <v>0</v>
      </c>
      <c r="C47" s="494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f t="shared" si="23"/>
        <v>0</v>
      </c>
      <c r="O47" s="42"/>
      <c r="P47" s="14"/>
      <c r="Q47" s="34">
        <v>0</v>
      </c>
      <c r="R47" s="42"/>
      <c r="S47" s="86">
        <f t="shared" si="25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">
        <v>233</v>
      </c>
      <c r="B48" s="12" t="s">
        <v>0</v>
      </c>
      <c r="C48" s="494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f t="shared" si="23"/>
        <v>0</v>
      </c>
      <c r="O48" s="42"/>
      <c r="P48" s="14"/>
      <c r="Q48" s="34">
        <v>0</v>
      </c>
      <c r="R48" s="42"/>
      <c r="S48" s="86">
        <f t="shared" si="25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">
        <v>256</v>
      </c>
      <c r="B49" s="12" t="s">
        <v>0</v>
      </c>
      <c r="C49" s="106" t="s">
        <v>46</v>
      </c>
      <c r="D49" s="82"/>
      <c r="E49" s="14"/>
      <c r="F49" s="23">
        <v>11834.459293700969</v>
      </c>
      <c r="G49" s="84"/>
      <c r="H49" s="14"/>
      <c r="I49" s="23">
        <v>11834.459293700969</v>
      </c>
      <c r="J49" s="42"/>
      <c r="K49" s="14"/>
      <c r="L49" s="23">
        <v>16149.39</v>
      </c>
      <c r="M49" s="42"/>
      <c r="N49" s="60">
        <f t="shared" si="23"/>
        <v>4314.9307062990301</v>
      </c>
      <c r="O49" s="42"/>
      <c r="P49" s="14"/>
      <c r="Q49" s="23">
        <v>19957.87</v>
      </c>
      <c r="R49" s="42"/>
      <c r="S49" s="86">
        <f t="shared" si="25"/>
        <v>-3808.4799999999996</v>
      </c>
      <c r="T49" s="14"/>
      <c r="U49" s="14"/>
      <c r="V49" s="14"/>
      <c r="W49" s="14"/>
      <c r="X49" s="250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">
        <v>257</v>
      </c>
      <c r="B50" s="12" t="s">
        <v>0</v>
      </c>
      <c r="C50" s="494" t="s">
        <v>47</v>
      </c>
      <c r="D50" s="107"/>
      <c r="E50" s="108"/>
      <c r="F50" s="31">
        <v>10598.971397388712</v>
      </c>
      <c r="G50" s="109"/>
      <c r="H50" s="108"/>
      <c r="I50" s="31">
        <v>10598.971397388712</v>
      </c>
      <c r="J50" s="110"/>
      <c r="K50" s="108"/>
      <c r="L50" s="34">
        <v>15963.55</v>
      </c>
      <c r="M50" s="110"/>
      <c r="N50" s="112">
        <f t="shared" si="23"/>
        <v>5364.5786026112874</v>
      </c>
      <c r="O50" s="110"/>
      <c r="P50" s="108"/>
      <c r="Q50" s="34">
        <v>11643.89</v>
      </c>
      <c r="R50" s="110"/>
      <c r="S50" s="113">
        <f t="shared" si="25"/>
        <v>4319.66</v>
      </c>
      <c r="T50" s="14"/>
      <c r="U50" s="14"/>
      <c r="V50" s="14"/>
      <c r="W50" s="14"/>
      <c r="X50" s="250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">
        <v>258</v>
      </c>
      <c r="B51" s="12" t="s">
        <v>0</v>
      </c>
      <c r="C51" s="494" t="s">
        <v>48</v>
      </c>
      <c r="D51" s="82"/>
      <c r="E51" s="14"/>
      <c r="F51" s="31">
        <v>8416.8302273380959</v>
      </c>
      <c r="G51" s="84"/>
      <c r="H51" s="14"/>
      <c r="I51" s="31">
        <v>8416.8302273380959</v>
      </c>
      <c r="J51" s="42"/>
      <c r="K51" s="14"/>
      <c r="L51" s="34">
        <v>3861.07</v>
      </c>
      <c r="M51" s="42"/>
      <c r="N51" s="60">
        <f t="shared" si="23"/>
        <v>-4555.7602273380962</v>
      </c>
      <c r="O51" s="42"/>
      <c r="P51" s="14"/>
      <c r="Q51" s="34">
        <v>8344.7900000000009</v>
      </c>
      <c r="R51" s="42"/>
      <c r="S51" s="86">
        <f t="shared" si="25"/>
        <v>-4483.7200000000012</v>
      </c>
      <c r="T51" s="14"/>
      <c r="U51" s="14"/>
      <c r="V51" s="14"/>
      <c r="W51" s="14"/>
      <c r="X51" s="250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">
        <v>259</v>
      </c>
      <c r="B52" s="12" t="s">
        <v>0</v>
      </c>
      <c r="C52" s="494" t="s">
        <v>49</v>
      </c>
      <c r="D52" s="82"/>
      <c r="E52" s="14"/>
      <c r="F52" s="31">
        <v>3429.078981508113</v>
      </c>
      <c r="G52" s="84"/>
      <c r="H52" s="14"/>
      <c r="I52" s="31">
        <v>3429.078981508113</v>
      </c>
      <c r="J52" s="42"/>
      <c r="K52" s="14"/>
      <c r="L52" s="34">
        <v>3464</v>
      </c>
      <c r="M52" s="42"/>
      <c r="N52" s="60">
        <f t="shared" si="23"/>
        <v>34.921018491887025</v>
      </c>
      <c r="O52" s="42"/>
      <c r="P52" s="14"/>
      <c r="Q52" s="34">
        <v>1940.65</v>
      </c>
      <c r="R52" s="42"/>
      <c r="S52" s="86">
        <f t="shared" si="25"/>
        <v>1523.35</v>
      </c>
      <c r="T52" s="14"/>
      <c r="U52" s="14"/>
      <c r="V52" s="14"/>
      <c r="W52" s="14"/>
      <c r="X52" s="250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">
        <v>233</v>
      </c>
      <c r="B53" s="12" t="s">
        <v>0</v>
      </c>
      <c r="C53" s="481" t="s">
        <v>21</v>
      </c>
      <c r="D53" s="89"/>
      <c r="E53" s="114"/>
      <c r="F53" s="31">
        <v>0</v>
      </c>
      <c r="G53" s="91"/>
      <c r="H53" s="114"/>
      <c r="I53" s="31">
        <v>0</v>
      </c>
      <c r="J53" s="24"/>
      <c r="K53" s="114"/>
      <c r="L53" s="34">
        <v>0</v>
      </c>
      <c r="M53" s="24"/>
      <c r="N53" s="94">
        <f t="shared" si="23"/>
        <v>0</v>
      </c>
      <c r="O53" s="24"/>
      <c r="P53" s="114"/>
      <c r="Q53" s="34">
        <v>0</v>
      </c>
      <c r="R53" s="24"/>
      <c r="S53" s="95">
        <f t="shared" si="25"/>
        <v>0</v>
      </c>
      <c r="T53" s="14"/>
      <c r="U53" s="14"/>
      <c r="V53" s="14"/>
      <c r="W53" s="14"/>
      <c r="X53" s="250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">
        <v>260</v>
      </c>
      <c r="B54" s="12" t="s">
        <v>0</v>
      </c>
      <c r="C54" s="96" t="s">
        <v>50</v>
      </c>
      <c r="D54" s="97" t="s">
        <v>40</v>
      </c>
      <c r="E54" s="98">
        <f>F54/F$27</f>
        <v>0.34173707102962025</v>
      </c>
      <c r="F54" s="99">
        <f>+SUM(F42:F53)</f>
        <v>68909.030765951218</v>
      </c>
      <c r="G54" s="100" t="s">
        <v>40</v>
      </c>
      <c r="H54" s="98">
        <f>I54/I$27</f>
        <v>0.34173707102962025</v>
      </c>
      <c r="I54" s="99">
        <f>+SUM(I42:I53)</f>
        <v>68909.030765951218</v>
      </c>
      <c r="J54" s="100" t="s">
        <v>40</v>
      </c>
      <c r="K54" s="98">
        <f>L54/L$27</f>
        <v>0.34835328105266183</v>
      </c>
      <c r="L54" s="99">
        <f>+SUM(L42:L53)</f>
        <v>66702</v>
      </c>
      <c r="M54" s="103"/>
      <c r="N54" s="99">
        <f>+SUM(N42:N53)</f>
        <v>-2207.0307659512168</v>
      </c>
      <c r="O54" s="100" t="s">
        <v>40</v>
      </c>
      <c r="P54" s="98">
        <f>Q54/Q$27</f>
        <v>0.30417018050706607</v>
      </c>
      <c r="Q54" s="99">
        <f>+SUM(Q42:Q53)</f>
        <v>74902.639999999985</v>
      </c>
      <c r="R54" s="103"/>
      <c r="S54" s="104">
        <f>+SUM(S42:S53)</f>
        <v>-8200.6400000000012</v>
      </c>
      <c r="T54" s="83"/>
      <c r="U54" s="14"/>
      <c r="V54" s="12"/>
      <c r="W54" s="12"/>
      <c r="X54" s="250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">
        <v>261</v>
      </c>
      <c r="B55" s="12" t="s">
        <v>0</v>
      </c>
      <c r="C55" s="481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f t="shared" ref="N55:N71" si="26">L55-I55</f>
        <v>0</v>
      </c>
      <c r="O55" s="42"/>
      <c r="P55" s="14"/>
      <c r="Q55" s="34">
        <v>0</v>
      </c>
      <c r="R55" s="42"/>
      <c r="S55" s="86">
        <f t="shared" ref="S55:S71" si="27">L55-Q55</f>
        <v>0</v>
      </c>
      <c r="T55" s="83"/>
      <c r="U55" s="14"/>
      <c r="V55" s="12"/>
      <c r="W55" s="12"/>
      <c r="X55" s="250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">
        <v>262</v>
      </c>
      <c r="B56" s="12" t="s">
        <v>0</v>
      </c>
      <c r="C56" s="481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f t="shared" si="26"/>
        <v>0</v>
      </c>
      <c r="O56" s="42"/>
      <c r="P56" s="14"/>
      <c r="Q56" s="34">
        <v>0</v>
      </c>
      <c r="R56" s="42"/>
      <c r="S56" s="86">
        <f t="shared" si="27"/>
        <v>0</v>
      </c>
      <c r="T56" s="83"/>
      <c r="U56" s="14"/>
      <c r="V56" s="12"/>
      <c r="W56" s="12"/>
      <c r="X56" s="250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">
        <v>263</v>
      </c>
      <c r="B57" s="12" t="s">
        <v>0</v>
      </c>
      <c r="C57" s="88" t="s">
        <v>53</v>
      </c>
      <c r="D57" s="89"/>
      <c r="E57" s="114"/>
      <c r="F57" s="23">
        <v>7322.9400000000005</v>
      </c>
      <c r="G57" s="91"/>
      <c r="H57" s="114"/>
      <c r="I57" s="23">
        <v>7322.9400000000005</v>
      </c>
      <c r="J57" s="24"/>
      <c r="K57" s="114"/>
      <c r="L57" s="23">
        <v>10992.77</v>
      </c>
      <c r="M57" s="24"/>
      <c r="N57" s="94">
        <f t="shared" si="26"/>
        <v>3669.83</v>
      </c>
      <c r="O57" s="24"/>
      <c r="P57" s="114"/>
      <c r="Q57" s="23">
        <v>10906.6</v>
      </c>
      <c r="R57" s="24"/>
      <c r="S57" s="95">
        <f t="shared" si="27"/>
        <v>86.170000000000073</v>
      </c>
      <c r="T57" s="115"/>
      <c r="U57" s="14"/>
      <c r="V57" s="12"/>
      <c r="W57" s="12"/>
      <c r="X57" s="250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">
        <v>264</v>
      </c>
      <c r="B58" s="12" t="s">
        <v>0</v>
      </c>
      <c r="C58" s="481" t="s">
        <v>54</v>
      </c>
      <c r="D58" s="82"/>
      <c r="E58" s="14"/>
      <c r="F58" s="31">
        <v>6834.1988433333336</v>
      </c>
      <c r="G58" s="84"/>
      <c r="H58" s="14"/>
      <c r="I58" s="31">
        <v>6834.1988433333336</v>
      </c>
      <c r="J58" s="42"/>
      <c r="K58" s="14"/>
      <c r="L58" s="34">
        <v>9124.25</v>
      </c>
      <c r="M58" s="42"/>
      <c r="N58" s="60">
        <f t="shared" si="26"/>
        <v>2290.0511566666664</v>
      </c>
      <c r="O58" s="42"/>
      <c r="P58" s="14"/>
      <c r="Q58" s="34">
        <v>5095.99</v>
      </c>
      <c r="R58" s="42"/>
      <c r="S58" s="86">
        <f t="shared" si="27"/>
        <v>4028.26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">
        <v>265</v>
      </c>
      <c r="B59" s="12" t="s">
        <v>0</v>
      </c>
      <c r="C59" s="481" t="s">
        <v>55</v>
      </c>
      <c r="D59" s="82"/>
      <c r="E59" s="14"/>
      <c r="F59" s="31">
        <v>792.1418000000001</v>
      </c>
      <c r="G59" s="84"/>
      <c r="H59" s="14"/>
      <c r="I59" s="31">
        <v>792.1418000000001</v>
      </c>
      <c r="J59" s="42"/>
      <c r="K59" s="14"/>
      <c r="L59" s="34">
        <v>1275.21</v>
      </c>
      <c r="M59" s="42"/>
      <c r="N59" s="60">
        <f t="shared" si="26"/>
        <v>483.06819999999993</v>
      </c>
      <c r="O59" s="42"/>
      <c r="P59" s="14"/>
      <c r="Q59" s="34">
        <v>302.31</v>
      </c>
      <c r="R59" s="42"/>
      <c r="S59" s="86">
        <f t="shared" si="27"/>
        <v>972.90000000000009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">
        <v>266</v>
      </c>
      <c r="B60" s="12" t="s">
        <v>0</v>
      </c>
      <c r="C60" s="88" t="s">
        <v>56</v>
      </c>
      <c r="D60" s="89"/>
      <c r="E60" s="114"/>
      <c r="F60" s="23">
        <v>6468.4769777777783</v>
      </c>
      <c r="G60" s="91"/>
      <c r="H60" s="114"/>
      <c r="I60" s="23">
        <v>6468.4769777777783</v>
      </c>
      <c r="J60" s="24"/>
      <c r="K60" s="114"/>
      <c r="L60" s="23">
        <v>6733.83</v>
      </c>
      <c r="M60" s="24"/>
      <c r="N60" s="94">
        <f t="shared" si="26"/>
        <v>265.35302222222163</v>
      </c>
      <c r="O60" s="24"/>
      <c r="P60" s="114"/>
      <c r="Q60" s="23">
        <v>6195.91</v>
      </c>
      <c r="R60" s="24"/>
      <c r="S60" s="95">
        <f t="shared" si="27"/>
        <v>537.92000000000007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">
        <v>267</v>
      </c>
      <c r="B61" s="12" t="s">
        <v>0</v>
      </c>
      <c r="C61" s="481" t="s">
        <v>57</v>
      </c>
      <c r="D61" s="82"/>
      <c r="E61" s="14"/>
      <c r="F61" s="31">
        <v>81.641327736691551</v>
      </c>
      <c r="G61" s="84"/>
      <c r="H61" s="14"/>
      <c r="I61" s="31">
        <v>81.641327736691551</v>
      </c>
      <c r="J61" s="42"/>
      <c r="K61" s="14"/>
      <c r="L61" s="34">
        <v>137.58000000000001</v>
      </c>
      <c r="M61" s="42"/>
      <c r="N61" s="60">
        <f t="shared" si="26"/>
        <v>55.938672263308462</v>
      </c>
      <c r="O61" s="42"/>
      <c r="P61" s="14"/>
      <c r="Q61" s="34">
        <v>328.47</v>
      </c>
      <c r="R61" s="42"/>
      <c r="S61" s="86">
        <f t="shared" si="27"/>
        <v>-190.89000000000001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">
        <v>268</v>
      </c>
      <c r="B62" s="12" t="s">
        <v>0</v>
      </c>
      <c r="C62" s="481" t="s">
        <v>58</v>
      </c>
      <c r="D62" s="82"/>
      <c r="E62" s="14"/>
      <c r="F62" s="31">
        <v>43.382055389861925</v>
      </c>
      <c r="G62" s="84"/>
      <c r="H62" s="14"/>
      <c r="I62" s="31">
        <v>43.382055389861925</v>
      </c>
      <c r="J62" s="42"/>
      <c r="K62" s="14"/>
      <c r="L62" s="34">
        <v>0</v>
      </c>
      <c r="M62" s="42"/>
      <c r="N62" s="60">
        <f t="shared" si="26"/>
        <v>-43.382055389861925</v>
      </c>
      <c r="O62" s="42"/>
      <c r="P62" s="14"/>
      <c r="Q62" s="34">
        <v>0</v>
      </c>
      <c r="R62" s="42"/>
      <c r="S62" s="86">
        <f t="shared" si="27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">
        <v>269</v>
      </c>
      <c r="B63" s="12" t="s">
        <v>0</v>
      </c>
      <c r="C63" s="481" t="s">
        <v>59</v>
      </c>
      <c r="D63" s="82"/>
      <c r="E63" s="14"/>
      <c r="F63" s="31">
        <v>652.86432000000002</v>
      </c>
      <c r="G63" s="84"/>
      <c r="H63" s="14"/>
      <c r="I63" s="31">
        <v>652.86432000000002</v>
      </c>
      <c r="J63" s="42"/>
      <c r="K63" s="14"/>
      <c r="L63" s="33">
        <v>903.86</v>
      </c>
      <c r="M63" s="42"/>
      <c r="N63" s="60">
        <f t="shared" si="26"/>
        <v>250.99567999999999</v>
      </c>
      <c r="O63" s="42"/>
      <c r="P63" s="14"/>
      <c r="Q63" s="33">
        <v>247.99</v>
      </c>
      <c r="R63" s="42"/>
      <c r="S63" s="86">
        <f t="shared" si="27"/>
        <v>655.87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">
        <v>270</v>
      </c>
      <c r="B64" s="12" t="s">
        <v>0</v>
      </c>
      <c r="C64" s="481" t="s">
        <v>60</v>
      </c>
      <c r="D64" s="82"/>
      <c r="E64" s="14"/>
      <c r="F64" s="31">
        <v>301.4645266666667</v>
      </c>
      <c r="G64" s="84"/>
      <c r="H64" s="14"/>
      <c r="I64" s="31">
        <v>301.4645266666667</v>
      </c>
      <c r="J64" s="42"/>
      <c r="K64" s="14"/>
      <c r="L64" s="34">
        <v>252.48</v>
      </c>
      <c r="M64" s="42"/>
      <c r="N64" s="60">
        <f t="shared" si="26"/>
        <v>-48.98452666666671</v>
      </c>
      <c r="O64" s="42"/>
      <c r="P64" s="14"/>
      <c r="Q64" s="34">
        <v>538.55999999999995</v>
      </c>
      <c r="R64" s="42"/>
      <c r="S64" s="86">
        <f t="shared" si="27"/>
        <v>-286.07999999999993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">
        <v>271</v>
      </c>
      <c r="B65" s="12" t="s">
        <v>0</v>
      </c>
      <c r="C65" s="481" t="s">
        <v>61</v>
      </c>
      <c r="D65" s="82"/>
      <c r="E65" s="14"/>
      <c r="F65" s="31">
        <v>160.91707333333329</v>
      </c>
      <c r="G65" s="84"/>
      <c r="H65" s="14"/>
      <c r="I65" s="31">
        <v>160.91707333333329</v>
      </c>
      <c r="J65" s="42"/>
      <c r="K65" s="14"/>
      <c r="L65" s="34">
        <v>152.24</v>
      </c>
      <c r="M65" s="42"/>
      <c r="N65" s="60">
        <f t="shared" si="26"/>
        <v>-8.6770733333332828</v>
      </c>
      <c r="O65" s="42"/>
      <c r="P65" s="14"/>
      <c r="Q65" s="34">
        <v>158.11000000000001</v>
      </c>
      <c r="R65" s="42"/>
      <c r="S65" s="86">
        <f t="shared" si="27"/>
        <v>-5.8700000000000045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">
        <v>272</v>
      </c>
      <c r="B66" s="12" t="s">
        <v>0</v>
      </c>
      <c r="C66" s="481" t="s">
        <v>62</v>
      </c>
      <c r="D66" s="82"/>
      <c r="E66" s="14"/>
      <c r="F66" s="31">
        <v>776.23359333333315</v>
      </c>
      <c r="G66" s="84"/>
      <c r="H66" s="14"/>
      <c r="I66" s="31">
        <v>776.23359333333315</v>
      </c>
      <c r="J66" s="42"/>
      <c r="K66" s="14"/>
      <c r="L66" s="34">
        <v>151.58000000000001</v>
      </c>
      <c r="M66" s="42"/>
      <c r="N66" s="60">
        <f t="shared" si="26"/>
        <v>-624.65359333333311</v>
      </c>
      <c r="O66" s="42"/>
      <c r="P66" s="14"/>
      <c r="Q66" s="34">
        <v>1009.27</v>
      </c>
      <c r="R66" s="42"/>
      <c r="S66" s="86">
        <f t="shared" si="27"/>
        <v>-857.68999999999994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">
        <v>273</v>
      </c>
      <c r="B67" s="12" t="s">
        <v>0</v>
      </c>
      <c r="C67" s="481" t="s">
        <v>63</v>
      </c>
      <c r="D67" s="82"/>
      <c r="E67" s="14"/>
      <c r="F67" s="31">
        <v>1153.2562666666668</v>
      </c>
      <c r="G67" s="84"/>
      <c r="H67" s="14"/>
      <c r="I67" s="31">
        <v>1153.2562666666668</v>
      </c>
      <c r="J67" s="42"/>
      <c r="K67" s="14"/>
      <c r="L67" s="34">
        <v>1314.69</v>
      </c>
      <c r="M67" s="42"/>
      <c r="N67" s="60">
        <f t="shared" si="26"/>
        <v>161.43373333333329</v>
      </c>
      <c r="O67" s="42"/>
      <c r="P67" s="14"/>
      <c r="Q67" s="34">
        <v>743.39</v>
      </c>
      <c r="R67" s="42"/>
      <c r="S67" s="86">
        <f t="shared" si="27"/>
        <v>571.30000000000007</v>
      </c>
      <c r="T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">
        <v>274</v>
      </c>
      <c r="B68" s="12" t="s">
        <v>0</v>
      </c>
      <c r="C68" s="481" t="s">
        <v>64</v>
      </c>
      <c r="D68" s="82"/>
      <c r="E68" s="14"/>
      <c r="F68" s="31">
        <v>1527.3239863521153</v>
      </c>
      <c r="G68" s="84"/>
      <c r="H68" s="14"/>
      <c r="I68" s="31">
        <v>1527.3239863521153</v>
      </c>
      <c r="J68" s="42"/>
      <c r="K68" s="14"/>
      <c r="L68" s="34">
        <v>3481</v>
      </c>
      <c r="M68" s="42"/>
      <c r="N68" s="60">
        <f t="shared" si="26"/>
        <v>1953.6760136478847</v>
      </c>
      <c r="O68" s="42"/>
      <c r="P68" s="14"/>
      <c r="Q68" s="34">
        <f>AL447*W3</f>
        <v>2915.2845000000002</v>
      </c>
      <c r="R68" s="42"/>
      <c r="S68" s="86">
        <f t="shared" si="27"/>
        <v>565.71549999999979</v>
      </c>
      <c r="T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">
        <v>233</v>
      </c>
      <c r="B69" s="12" t="s">
        <v>0</v>
      </c>
      <c r="C69" s="481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f t="shared" si="26"/>
        <v>0</v>
      </c>
      <c r="O69" s="42"/>
      <c r="P69" s="14"/>
      <c r="Q69" s="34">
        <v>0</v>
      </c>
      <c r="R69" s="42"/>
      <c r="S69" s="86">
        <f t="shared" si="27"/>
        <v>0</v>
      </c>
      <c r="T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">
        <v>233</v>
      </c>
      <c r="B70" s="12" t="s">
        <v>0</v>
      </c>
      <c r="C70" s="481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f t="shared" si="26"/>
        <v>0</v>
      </c>
      <c r="O70" s="42"/>
      <c r="P70" s="14"/>
      <c r="Q70" s="34">
        <v>0</v>
      </c>
      <c r="R70" s="42"/>
      <c r="S70" s="86">
        <f t="shared" si="27"/>
        <v>0</v>
      </c>
      <c r="T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">
        <v>233</v>
      </c>
      <c r="B71" s="12" t="s">
        <v>0</v>
      </c>
      <c r="C71" s="481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f t="shared" si="26"/>
        <v>0</v>
      </c>
      <c r="O71" s="42"/>
      <c r="P71" s="14"/>
      <c r="Q71" s="34">
        <v>0</v>
      </c>
      <c r="R71" s="42"/>
      <c r="S71" s="86">
        <f t="shared" si="27"/>
        <v>0</v>
      </c>
      <c r="T71" s="14"/>
      <c r="X71" s="14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">
        <v>275</v>
      </c>
      <c r="B72" s="12" t="s">
        <v>0</v>
      </c>
      <c r="C72" s="96" t="s">
        <v>65</v>
      </c>
      <c r="D72" s="97" t="s">
        <v>40</v>
      </c>
      <c r="E72" s="98">
        <f>F72/F$27</f>
        <v>0.12951000900967427</v>
      </c>
      <c r="F72" s="99">
        <f>+SUM(F55:F71)</f>
        <v>26114.840770589784</v>
      </c>
      <c r="G72" s="100" t="s">
        <v>40</v>
      </c>
      <c r="H72" s="98">
        <f>I72/I$27</f>
        <v>0.12951000900967427</v>
      </c>
      <c r="I72" s="99">
        <f>+SUM(I55:I71)</f>
        <v>26114.840770589784</v>
      </c>
      <c r="J72" s="100" t="s">
        <v>40</v>
      </c>
      <c r="K72" s="98">
        <f>L72/L$27</f>
        <v>0.18027911609493794</v>
      </c>
      <c r="L72" s="99">
        <f>+SUM(L55:L71)</f>
        <v>34519.490000000005</v>
      </c>
      <c r="M72" s="103"/>
      <c r="N72" s="99">
        <f>+SUM(N55:N71)</f>
        <v>8404.6492294102172</v>
      </c>
      <c r="O72" s="100" t="s">
        <v>40</v>
      </c>
      <c r="P72" s="98">
        <f>Q72/Q$27</f>
        <v>0.11549890821373088</v>
      </c>
      <c r="Q72" s="99">
        <f>+SUM(Q55:Q71)</f>
        <v>28441.884500000004</v>
      </c>
      <c r="R72" s="103"/>
      <c r="S72" s="104">
        <f>+SUM(S55:S71)</f>
        <v>6077.6054999999997</v>
      </c>
      <c r="T72" s="14"/>
      <c r="X72" s="14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">
        <v>0</v>
      </c>
      <c r="B73" s="12" t="s">
        <v>0</v>
      </c>
      <c r="C73" s="88"/>
      <c r="D73" s="89"/>
      <c r="E73" s="114"/>
      <c r="F73" s="60"/>
      <c r="G73" s="91"/>
      <c r="H73" s="114"/>
      <c r="I73" s="60"/>
      <c r="J73" s="24"/>
      <c r="K73" s="114"/>
      <c r="L73" s="94"/>
      <c r="M73" s="24"/>
      <c r="N73" s="94"/>
      <c r="O73" s="24"/>
      <c r="P73" s="114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">
        <v>276</v>
      </c>
      <c r="B74" s="12" t="s">
        <v>0</v>
      </c>
      <c r="C74" s="96" t="s">
        <v>66</v>
      </c>
      <c r="D74" s="97" t="s">
        <v>40</v>
      </c>
      <c r="E74" s="98">
        <f>F74/F$27</f>
        <v>0.95840376680259809</v>
      </c>
      <c r="F74" s="99">
        <f>F41+F54+F72</f>
        <v>193255.81053827045</v>
      </c>
      <c r="G74" s="100" t="s">
        <v>40</v>
      </c>
      <c r="H74" s="98">
        <f>I74/I$27</f>
        <v>0.95840376680259809</v>
      </c>
      <c r="I74" s="99">
        <f>I41+I54+I72</f>
        <v>193255.81053827045</v>
      </c>
      <c r="J74" s="100" t="s">
        <v>40</v>
      </c>
      <c r="K74" s="98">
        <f>L74/L$27</f>
        <v>0.88103334883902862</v>
      </c>
      <c r="L74" s="99">
        <f>L41+L54+L72</f>
        <v>168698.52999999997</v>
      </c>
      <c r="M74" s="103"/>
      <c r="N74" s="116">
        <f>L74-I74</f>
        <v>-24557.280538270483</v>
      </c>
      <c r="O74" s="100" t="s">
        <v>40</v>
      </c>
      <c r="P74" s="98">
        <f>Q74/Q$27</f>
        <v>0.8750740530823643</v>
      </c>
      <c r="Q74" s="99">
        <f>Q41+Q54+Q72</f>
        <v>215489.09449999998</v>
      </c>
      <c r="R74" s="103"/>
      <c r="S74" s="117">
        <f>L74-Q74</f>
        <v>-46790.564500000008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">
        <v>277</v>
      </c>
      <c r="B75" s="12" t="s">
        <v>0</v>
      </c>
      <c r="C75" s="481" t="s">
        <v>200</v>
      </c>
      <c r="D75" s="82"/>
      <c r="E75" s="14"/>
      <c r="F75" s="31">
        <v>19143.900000000001</v>
      </c>
      <c r="G75" s="84"/>
      <c r="H75" s="14"/>
      <c r="I75" s="31">
        <v>19143.900000000001</v>
      </c>
      <c r="J75" s="42"/>
      <c r="K75" s="14"/>
      <c r="L75" s="33">
        <v>0</v>
      </c>
      <c r="M75" s="42"/>
      <c r="N75" s="60">
        <f>L75-I75</f>
        <v>-19143.900000000001</v>
      </c>
      <c r="O75" s="42"/>
      <c r="P75" s="14"/>
      <c r="Q75" s="33">
        <v>8500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">
        <v>278</v>
      </c>
      <c r="B76" s="12" t="s">
        <v>0</v>
      </c>
      <c r="C76" s="481" t="s">
        <v>197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f>L76-I76</f>
        <v>0</v>
      </c>
      <c r="O76" s="42"/>
      <c r="P76" s="14"/>
      <c r="Q76" s="33"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">
        <v>279</v>
      </c>
      <c r="B77" s="12" t="s">
        <v>0</v>
      </c>
      <c r="C77" s="481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f t="shared" ref="N77:N82" si="28">L77-I77</f>
        <v>0</v>
      </c>
      <c r="O77" s="42"/>
      <c r="P77" s="14"/>
      <c r="Q77" s="33">
        <v>0</v>
      </c>
      <c r="R77" s="42"/>
      <c r="S77" s="86">
        <f t="shared" ref="S77:S82" si="29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">
        <v>280</v>
      </c>
      <c r="B78" s="12" t="s">
        <v>0</v>
      </c>
      <c r="C78" s="481" t="s">
        <v>70</v>
      </c>
      <c r="D78" s="82"/>
      <c r="E78" s="556">
        <f>+F78/D24</f>
        <v>1061.3926100244494</v>
      </c>
      <c r="F78" s="31">
        <v>75315.39657831323</v>
      </c>
      <c r="G78" s="84"/>
      <c r="H78" s="14"/>
      <c r="I78" s="31">
        <v>75315.39657831323</v>
      </c>
      <c r="J78" s="42"/>
      <c r="K78" s="557">
        <f>+L78/J24</f>
        <v>1255.76</v>
      </c>
      <c r="L78" s="34">
        <v>62788</v>
      </c>
      <c r="M78" s="42"/>
      <c r="N78" s="60">
        <f t="shared" si="28"/>
        <v>-12527.39657831323</v>
      </c>
      <c r="O78" s="42"/>
      <c r="P78" s="14"/>
      <c r="Q78" s="33">
        <v>82259.7</v>
      </c>
      <c r="R78" s="42"/>
      <c r="S78" s="86">
        <f t="shared" si="29"/>
        <v>-19471.699999999997</v>
      </c>
      <c r="T78" s="14"/>
      <c r="U78" s="14" t="s">
        <v>503</v>
      </c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">
        <v>233</v>
      </c>
      <c r="B79" s="12" t="s">
        <v>0</v>
      </c>
      <c r="C79" s="481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f t="shared" si="28"/>
        <v>0</v>
      </c>
      <c r="O79" s="42"/>
      <c r="P79" s="14"/>
      <c r="Q79" s="33">
        <v>0</v>
      </c>
      <c r="R79" s="42"/>
      <c r="S79" s="86">
        <f t="shared" si="29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">
        <v>233</v>
      </c>
      <c r="B80" s="12" t="s">
        <v>0</v>
      </c>
      <c r="C80" s="481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f t="shared" si="28"/>
        <v>0</v>
      </c>
      <c r="O80" s="42"/>
      <c r="P80" s="14"/>
      <c r="Q80" s="33">
        <v>0</v>
      </c>
      <c r="R80" s="42"/>
      <c r="S80" s="86">
        <f t="shared" si="29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">
        <v>233</v>
      </c>
      <c r="B81" s="12" t="s">
        <v>0</v>
      </c>
      <c r="C81" s="481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f t="shared" si="28"/>
        <v>0</v>
      </c>
      <c r="O81" s="42"/>
      <c r="P81" s="14"/>
      <c r="Q81" s="33">
        <v>0</v>
      </c>
      <c r="R81" s="42"/>
      <c r="S81" s="86">
        <f t="shared" si="29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s="501" t="s">
        <v>281</v>
      </c>
      <c r="B82" s="502" t="s">
        <v>0</v>
      </c>
      <c r="C82" s="481" t="s">
        <v>71</v>
      </c>
      <c r="D82" s="82"/>
      <c r="E82" s="14"/>
      <c r="F82" s="31">
        <v>25873.630587482676</v>
      </c>
      <c r="G82" s="84"/>
      <c r="H82" s="14"/>
      <c r="I82" s="31">
        <v>25873.630587482676</v>
      </c>
      <c r="J82" s="160">
        <f>+L82/K82</f>
        <v>53</v>
      </c>
      <c r="K82" s="503">
        <f>+L82/J27</f>
        <v>359.50943396226415</v>
      </c>
      <c r="L82" s="33">
        <v>19054</v>
      </c>
      <c r="M82" s="42"/>
      <c r="N82" s="60">
        <f t="shared" si="28"/>
        <v>-6819.6305874826758</v>
      </c>
      <c r="O82" s="42"/>
      <c r="P82" s="14"/>
      <c r="Q82" s="33">
        <v>28303.699999999997</v>
      </c>
      <c r="R82" s="42"/>
      <c r="S82" s="86">
        <f t="shared" si="29"/>
        <v>-9249.6999999999971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">
        <v>282</v>
      </c>
      <c r="B83" s="12" t="s">
        <v>0</v>
      </c>
      <c r="C83" s="96" t="s">
        <v>72</v>
      </c>
      <c r="D83" s="97"/>
      <c r="E83" s="98"/>
      <c r="F83" s="99">
        <f>+SUM(F75:F82)</f>
        <v>120332.9271657959</v>
      </c>
      <c r="G83" s="100"/>
      <c r="H83" s="98"/>
      <c r="I83" s="99">
        <f>+SUM(I75:I82)</f>
        <v>120332.9271657959</v>
      </c>
      <c r="J83" s="100"/>
      <c r="K83" s="98"/>
      <c r="L83" s="99">
        <f>+SUM(L75:L82)</f>
        <v>81842</v>
      </c>
      <c r="M83" s="103"/>
      <c r="N83" s="99">
        <f>+SUM(N75:N82)</f>
        <v>-38490.927165795903</v>
      </c>
      <c r="O83" s="100"/>
      <c r="P83" s="98"/>
      <c r="Q83" s="99">
        <f>+SUM(Q75:Q82)</f>
        <v>119063.4</v>
      </c>
      <c r="R83" s="103"/>
      <c r="S83" s="104">
        <f>+SUM(S75:S82)</f>
        <v>-28721.399999999994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">
        <v>0</v>
      </c>
      <c r="B84" s="12" t="s">
        <v>0</v>
      </c>
      <c r="C84" s="504"/>
      <c r="D84" s="119"/>
      <c r="E84" s="120"/>
      <c r="F84" s="121"/>
      <c r="G84" s="122"/>
      <c r="H84" s="120"/>
      <c r="I84" s="121"/>
      <c r="J84" s="123"/>
      <c r="K84" s="124"/>
      <c r="L84" s="121"/>
      <c r="M84" s="123"/>
      <c r="N84" s="125"/>
      <c r="O84" s="123"/>
      <c r="P84" s="124"/>
      <c r="Q84" s="121"/>
      <c r="R84" s="123"/>
      <c r="S84" s="126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2.5" customHeight="1" thickBot="1">
      <c r="A85" t="s">
        <v>283</v>
      </c>
      <c r="B85" s="12" t="s">
        <v>0</v>
      </c>
      <c r="C85" s="127" t="s">
        <v>73</v>
      </c>
      <c r="D85" s="128"/>
      <c r="E85" s="129"/>
      <c r="F85" s="130">
        <f>F27-F74+F83</f>
        <v>128720.53376788739</v>
      </c>
      <c r="G85" s="131"/>
      <c r="H85" s="129"/>
      <c r="I85" s="130">
        <f>I27-I74+I83</f>
        <v>128720.53376788739</v>
      </c>
      <c r="J85" s="131"/>
      <c r="K85" s="128"/>
      <c r="L85" s="130">
        <f>L27-L74+L83</f>
        <v>104621.5</v>
      </c>
      <c r="M85" s="131"/>
      <c r="N85" s="130">
        <f>N27-N41-N54-N72+N83</f>
        <v>-24099.033767887402</v>
      </c>
      <c r="O85" s="131"/>
      <c r="P85" s="128"/>
      <c r="Q85" s="130">
        <f>Q27-Q74+Q83</f>
        <v>149826.71549999985</v>
      </c>
      <c r="R85" s="131"/>
      <c r="S85" s="132">
        <f>S27-S41-S54-S72+S83</f>
        <v>-36705.215499999853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3"/>
      <c r="C86" s="134"/>
      <c r="D86" s="134"/>
      <c r="E86" s="134"/>
      <c r="F86" s="134"/>
      <c r="G86" s="134"/>
      <c r="H86" s="134"/>
      <c r="I86" s="134"/>
      <c r="J86" s="505"/>
      <c r="K86" s="134"/>
      <c r="L86" s="135"/>
      <c r="M86" s="134"/>
      <c r="N86" s="134"/>
      <c r="O86" s="134"/>
      <c r="P86" s="134"/>
      <c r="Q86" s="134"/>
      <c r="R86" s="134"/>
      <c r="S86" s="134"/>
      <c r="T86" s="134"/>
      <c r="U86" s="134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</row>
    <row r="87" spans="1:40" ht="40.5" customHeight="1">
      <c r="B87" s="133"/>
      <c r="C87" s="134"/>
      <c r="D87" s="134"/>
      <c r="E87" s="134"/>
      <c r="F87" s="134"/>
      <c r="G87" s="134"/>
      <c r="H87" s="134"/>
      <c r="I87" s="135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475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Septembre 2022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64" t="s">
        <v>5</v>
      </c>
      <c r="E91" s="565"/>
      <c r="F91" s="566"/>
      <c r="G91" s="562" t="s">
        <v>75</v>
      </c>
      <c r="H91" s="565"/>
      <c r="I91" s="566"/>
      <c r="J91" s="562" t="s">
        <v>7</v>
      </c>
      <c r="K91" s="565"/>
      <c r="L91" s="566"/>
      <c r="M91" s="562" t="s">
        <v>8</v>
      </c>
      <c r="N91" s="566"/>
      <c r="O91" s="564" t="s">
        <v>9</v>
      </c>
      <c r="P91" s="565"/>
      <c r="Q91" s="566"/>
      <c r="R91" s="562" t="s">
        <v>10</v>
      </c>
      <c r="S91" s="56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481"/>
      <c r="D92" s="136" t="s">
        <v>11</v>
      </c>
      <c r="E92" s="81" t="s">
        <v>12</v>
      </c>
      <c r="F92" s="137" t="s">
        <v>13</v>
      </c>
      <c r="G92" s="138" t="s">
        <v>11</v>
      </c>
      <c r="H92" s="81" t="s">
        <v>12</v>
      </c>
      <c r="I92" s="137" t="s">
        <v>13</v>
      </c>
      <c r="J92" s="138" t="s">
        <v>11</v>
      </c>
      <c r="K92" s="81" t="s">
        <v>14</v>
      </c>
      <c r="L92" s="137" t="s">
        <v>13</v>
      </c>
      <c r="M92" s="138" t="s">
        <v>15</v>
      </c>
      <c r="N92" s="137" t="s">
        <v>13</v>
      </c>
      <c r="O92" s="81" t="s">
        <v>11</v>
      </c>
      <c r="P92" s="81" t="s">
        <v>14</v>
      </c>
      <c r="Q92" s="137" t="s">
        <v>13</v>
      </c>
      <c r="R92" s="138" t="s">
        <v>11</v>
      </c>
      <c r="S92" s="139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">
        <v>284</v>
      </c>
      <c r="B93" s="12" t="s">
        <v>74</v>
      </c>
      <c r="C93" s="88" t="s">
        <v>16</v>
      </c>
      <c r="D93" s="26"/>
      <c r="E93" s="26"/>
      <c r="F93" s="23">
        <v>1096969.0719588182</v>
      </c>
      <c r="G93" s="47"/>
      <c r="H93" s="26"/>
      <c r="I93" s="23">
        <v>1096969.0719588182</v>
      </c>
      <c r="J93" s="24"/>
      <c r="K93" s="26"/>
      <c r="L93" s="23">
        <v>1750102.0199999998</v>
      </c>
      <c r="M93" s="140"/>
      <c r="N93" s="141"/>
      <c r="O93" s="24"/>
      <c r="P93" s="26"/>
      <c r="Q93" s="23">
        <v>1490681.8699999999</v>
      </c>
      <c r="R93" s="140"/>
      <c r="S93" s="142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">
        <v>285</v>
      </c>
      <c r="B94" s="12" t="s">
        <v>74</v>
      </c>
      <c r="C94" s="481" t="s">
        <v>76</v>
      </c>
      <c r="D94" s="31">
        <v>33.48300970873786</v>
      </c>
      <c r="E94" s="31">
        <f>IF(D94=0,0,F94/D94)</f>
        <v>1300</v>
      </c>
      <c r="F94" s="31">
        <v>43527.912621359217</v>
      </c>
      <c r="G94" s="32">
        <v>33.48300970873786</v>
      </c>
      <c r="H94" s="31">
        <f>IF(G94=0,0,I94/G94)</f>
        <v>1300</v>
      </c>
      <c r="I94" s="31">
        <v>43527.912621359217</v>
      </c>
      <c r="J94" s="32">
        <v>34</v>
      </c>
      <c r="K94" s="31">
        <f t="shared" ref="K94:K95" si="30">IF(J94=0,0,L94/J94)</f>
        <v>1821.8273529411758</v>
      </c>
      <c r="L94" s="34">
        <v>61942.129999999976</v>
      </c>
      <c r="M94" s="32">
        <f>J94-G94</f>
        <v>0.51699029126213958</v>
      </c>
      <c r="N94" s="34">
        <f>L94-I94</f>
        <v>18414.217378640758</v>
      </c>
      <c r="O94" s="32">
        <v>35</v>
      </c>
      <c r="P94" s="31">
        <f t="shared" ref="P94:P95" si="31">IF(O94=0,0,Q94/O94)</f>
        <v>1430.5171428571439</v>
      </c>
      <c r="Q94" s="34">
        <v>50068.100000000035</v>
      </c>
      <c r="R94" s="32">
        <f t="shared" ref="R94:R95" si="32">J94-O94</f>
        <v>-1</v>
      </c>
      <c r="S94" s="35">
        <f t="shared" ref="S94:S95" si="33">L94-Q94</f>
        <v>11874.029999999941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">
        <v>286</v>
      </c>
      <c r="B95" s="12" t="s">
        <v>74</v>
      </c>
      <c r="C95" s="481" t="s">
        <v>77</v>
      </c>
      <c r="D95" s="31">
        <v>1.8810679611650485</v>
      </c>
      <c r="E95" s="26">
        <f t="shared" ref="E95:E104" si="34">IF(D95=0,0,F95/D95)</f>
        <v>900</v>
      </c>
      <c r="F95" s="31">
        <v>1692.9611650485435</v>
      </c>
      <c r="G95" s="32">
        <v>1.8810679611650485</v>
      </c>
      <c r="H95" s="31">
        <f t="shared" ref="H95:H97" si="35">IF(G95=0,0,I95/G95)</f>
        <v>900</v>
      </c>
      <c r="I95" s="31">
        <v>1692.9611650485435</v>
      </c>
      <c r="J95" s="32">
        <v>0</v>
      </c>
      <c r="K95" s="31">
        <f t="shared" si="30"/>
        <v>0</v>
      </c>
      <c r="L95" s="33">
        <v>0</v>
      </c>
      <c r="M95" s="32">
        <f>J95-G95</f>
        <v>-1.8810679611650485</v>
      </c>
      <c r="N95" s="34">
        <f>L95-I95</f>
        <v>-1692.9611650485435</v>
      </c>
      <c r="O95" s="32">
        <v>3</v>
      </c>
      <c r="P95" s="31">
        <f t="shared" si="31"/>
        <v>2373.3800000000015</v>
      </c>
      <c r="Q95" s="33">
        <v>7120.1400000000049</v>
      </c>
      <c r="R95" s="32">
        <f t="shared" si="32"/>
        <v>-3</v>
      </c>
      <c r="S95" s="35">
        <f t="shared" si="33"/>
        <v>-7120.1400000000049</v>
      </c>
      <c r="T95" s="14"/>
      <c r="U95" s="14"/>
      <c r="V95" s="14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">
        <v>287</v>
      </c>
      <c r="B96" s="12" t="s">
        <v>74</v>
      </c>
      <c r="C96" s="36" t="s">
        <v>78</v>
      </c>
      <c r="D96" s="37">
        <f>+D95+D94</f>
        <v>35.364077669902912</v>
      </c>
      <c r="E96" s="31">
        <f t="shared" si="34"/>
        <v>1278.7234042553191</v>
      </c>
      <c r="F96" s="38">
        <f t="shared" ref="F96" si="36">+F94+F95</f>
        <v>45220.873786407763</v>
      </c>
      <c r="G96" s="39">
        <f>+G95+G94</f>
        <v>35.364077669902912</v>
      </c>
      <c r="H96" s="37">
        <f t="shared" si="35"/>
        <v>1278.7234042553191</v>
      </c>
      <c r="I96" s="38">
        <f t="shared" ref="I96:J96" si="37">+I94+I95</f>
        <v>45220.873786407763</v>
      </c>
      <c r="J96" s="39">
        <f t="shared" si="37"/>
        <v>34</v>
      </c>
      <c r="K96" s="37">
        <f>IF(J96&lt;=0,0,L96/J96)</f>
        <v>1821.8273529411758</v>
      </c>
      <c r="L96" s="38">
        <f>+L94+L95</f>
        <v>61942.129999999976</v>
      </c>
      <c r="M96" s="39">
        <f>J96-G96</f>
        <v>-1.3640776699029118</v>
      </c>
      <c r="N96" s="38">
        <f>L96-I96</f>
        <v>16721.256213592213</v>
      </c>
      <c r="O96" s="39">
        <f t="shared" ref="O96" si="38">+O94+O95</f>
        <v>38</v>
      </c>
      <c r="P96" s="37">
        <f>IF(O96&lt;=0,0,Q96/O96)</f>
        <v>1504.9536842105274</v>
      </c>
      <c r="Q96" s="38">
        <f>+Q94+Q95</f>
        <v>57188.240000000042</v>
      </c>
      <c r="R96" s="39">
        <f t="shared" ref="R96:S96" si="39">R94+R95</f>
        <v>-4</v>
      </c>
      <c r="S96" s="40">
        <f t="shared" si="39"/>
        <v>4753.8899999999358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">
        <v>74</v>
      </c>
      <c r="B97" s="12" t="s">
        <v>74</v>
      </c>
      <c r="C97" s="481"/>
      <c r="D97" s="14"/>
      <c r="E97" s="31">
        <f t="shared" si="34"/>
        <v>0</v>
      </c>
      <c r="F97" s="41"/>
      <c r="G97" s="42"/>
      <c r="H97" s="14">
        <f t="shared" si="35"/>
        <v>0</v>
      </c>
      <c r="I97" s="41"/>
      <c r="J97" s="42"/>
      <c r="K97" s="14"/>
      <c r="L97" s="41"/>
      <c r="M97" s="506">
        <f>M96/G96</f>
        <v>-3.8572409059711717E-2</v>
      </c>
      <c r="N97" s="507">
        <f>N96/I96</f>
        <v>0.36976853416349054</v>
      </c>
      <c r="O97" s="42"/>
      <c r="P97" s="14"/>
      <c r="Q97" s="41"/>
      <c r="R97" s="506">
        <f>R96/O96</f>
        <v>-0.10526315789473684</v>
      </c>
      <c r="S97" s="508">
        <f>IF(Q96=0,0,(S96/Q96))</f>
        <v>8.312705549252665E-2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">
        <v>288</v>
      </c>
      <c r="B98" s="12" t="s">
        <v>74</v>
      </c>
      <c r="C98" s="481" t="s">
        <v>196</v>
      </c>
      <c r="D98" s="31"/>
      <c r="E98" s="31"/>
      <c r="F98" s="31"/>
      <c r="G98" s="3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 t="s">
        <v>498</v>
      </c>
      <c r="V98" s="31"/>
      <c r="W98" s="31"/>
      <c r="X98" s="31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">
        <v>289</v>
      </c>
      <c r="B99" s="12" t="s">
        <v>74</v>
      </c>
      <c r="C99" s="481" t="s">
        <v>79</v>
      </c>
      <c r="D99" s="31">
        <v>30.773569833477374</v>
      </c>
      <c r="E99" s="31">
        <f t="shared" si="34"/>
        <v>212</v>
      </c>
      <c r="F99" s="31">
        <v>6523.9968046972035</v>
      </c>
      <c r="G99" s="32">
        <v>30.773569833477374</v>
      </c>
      <c r="H99" s="31">
        <f t="shared" ref="H99:H104" si="40">IF(G99=0,0,I99/G99)</f>
        <v>212</v>
      </c>
      <c r="I99" s="31">
        <v>6523.9968046972035</v>
      </c>
      <c r="J99" s="32">
        <v>39</v>
      </c>
      <c r="K99" s="31">
        <f t="shared" ref="K99" si="41">IF(J99=0,0,L99/J99)</f>
        <v>400.72128205128217</v>
      </c>
      <c r="L99" s="34">
        <v>15628.130000000005</v>
      </c>
      <c r="M99" s="32">
        <f t="shared" ref="M99" si="42">J99-G99</f>
        <v>8.2264301665226256</v>
      </c>
      <c r="N99" s="34">
        <f t="shared" ref="N99" si="43">L99-I99</f>
        <v>9104.1331953028021</v>
      </c>
      <c r="O99" s="32">
        <v>51</v>
      </c>
      <c r="P99" s="31">
        <f t="shared" ref="P99" si="44">IF(O99=0,0,Q99/O99)</f>
        <v>502.5160784313727</v>
      </c>
      <c r="Q99" s="34">
        <v>25628.320000000007</v>
      </c>
      <c r="R99" s="32">
        <f t="shared" ref="R99" si="45">J99-O99</f>
        <v>-12</v>
      </c>
      <c r="S99" s="35">
        <f t="shared" ref="S99" si="46">L99-Q99</f>
        <v>-10000.190000000002</v>
      </c>
      <c r="T99" s="14"/>
      <c r="U99" s="14">
        <v>0.99</v>
      </c>
      <c r="V99" s="31">
        <f>+L99-U99</f>
        <v>15627.140000000005</v>
      </c>
      <c r="W99" s="14"/>
      <c r="X99" s="14"/>
      <c r="Y99" s="14"/>
      <c r="Z99" s="14"/>
      <c r="AA99" s="14"/>
      <c r="AB99" s="14"/>
      <c r="AC99" s="83"/>
      <c r="AD99" s="14"/>
      <c r="AE99" s="14"/>
      <c r="AF99" s="144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5"/>
      <c r="O100" s="52"/>
      <c r="P100" s="48"/>
      <c r="Q100" s="49"/>
      <c r="R100" s="50"/>
      <c r="S100" s="14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4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">
        <v>290</v>
      </c>
      <c r="B101" s="12" t="s">
        <v>74</v>
      </c>
      <c r="C101" s="481" t="s">
        <v>26</v>
      </c>
      <c r="D101" s="31">
        <v>0</v>
      </c>
      <c r="E101" s="31">
        <f t="shared" si="34"/>
        <v>0</v>
      </c>
      <c r="F101" s="34">
        <v>23303.544876496268</v>
      </c>
      <c r="G101" s="32">
        <v>0</v>
      </c>
      <c r="H101" s="31">
        <f t="shared" si="40"/>
        <v>0</v>
      </c>
      <c r="I101" s="31">
        <v>23303.544876496268</v>
      </c>
      <c r="J101" s="32"/>
      <c r="K101" s="31">
        <f>IF(J96=0,0,L101/J96)</f>
        <v>769.67676470588231</v>
      </c>
      <c r="L101" s="34">
        <v>26169.01</v>
      </c>
      <c r="M101" s="32"/>
      <c r="N101" s="34">
        <f t="shared" ref="N101:N104" si="47">L101-I101</f>
        <v>2865.4651235037309</v>
      </c>
      <c r="O101" s="32"/>
      <c r="P101" s="31">
        <f>IF(O96=0,0,Q101/O96)</f>
        <v>1008.9971052631579</v>
      </c>
      <c r="Q101" s="34">
        <v>38341.89</v>
      </c>
      <c r="R101" s="32">
        <f t="shared" ref="R101:R103" si="48">O101-K101</f>
        <v>-769.67676470588231</v>
      </c>
      <c r="S101" s="35">
        <f t="shared" ref="S101:S104" si="49">L101-Q101</f>
        <v>-12172.880000000001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">
        <v>291</v>
      </c>
      <c r="B102" s="12" t="s">
        <v>74</v>
      </c>
      <c r="C102" s="481" t="s">
        <v>27</v>
      </c>
      <c r="D102" s="31">
        <v>0</v>
      </c>
      <c r="E102" s="31">
        <f t="shared" si="34"/>
        <v>0</v>
      </c>
      <c r="F102" s="34">
        <v>41087.565501256133</v>
      </c>
      <c r="G102" s="32">
        <v>0</v>
      </c>
      <c r="H102" s="31">
        <f t="shared" si="40"/>
        <v>0</v>
      </c>
      <c r="I102" s="31">
        <v>41087.565501256133</v>
      </c>
      <c r="J102" s="32"/>
      <c r="K102" s="31">
        <f>IF(J96=0,0,L102/J96)</f>
        <v>1083.0561764705883</v>
      </c>
      <c r="L102" s="34">
        <v>36823.910000000003</v>
      </c>
      <c r="M102" s="32"/>
      <c r="N102" s="34">
        <f t="shared" si="47"/>
        <v>-4263.6555012561294</v>
      </c>
      <c r="O102" s="32"/>
      <c r="P102" s="31">
        <f>IF(O96=0,0,Q102/O96)</f>
        <v>1167.8826315789474</v>
      </c>
      <c r="Q102" s="34">
        <v>44379.54</v>
      </c>
      <c r="R102" s="32">
        <f t="shared" si="48"/>
        <v>-1083.0561764705883</v>
      </c>
      <c r="S102" s="35">
        <f t="shared" si="49"/>
        <v>-7555.6299999999974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">
        <v>292</v>
      </c>
      <c r="B103" s="12" t="s">
        <v>74</v>
      </c>
      <c r="C103" s="481" t="s">
        <v>28</v>
      </c>
      <c r="D103" s="31">
        <v>0</v>
      </c>
      <c r="E103" s="26">
        <f t="shared" si="34"/>
        <v>0</v>
      </c>
      <c r="F103" s="34">
        <v>1165.359791170544</v>
      </c>
      <c r="G103" s="32">
        <v>0</v>
      </c>
      <c r="H103" s="48">
        <f t="shared" si="40"/>
        <v>0</v>
      </c>
      <c r="I103" s="31">
        <v>1165.359791170544</v>
      </c>
      <c r="J103" s="32"/>
      <c r="K103" s="48">
        <f>IF(J96=0,0,L103/J96)</f>
        <v>14.570294117647059</v>
      </c>
      <c r="L103" s="34">
        <v>495.39</v>
      </c>
      <c r="M103" s="52"/>
      <c r="N103" s="34">
        <f t="shared" si="47"/>
        <v>-669.969791170544</v>
      </c>
      <c r="O103" s="32"/>
      <c r="P103" s="48">
        <f>IF(O96=0,0,Q103/O96)</f>
        <v>63.622105263157891</v>
      </c>
      <c r="Q103" s="34">
        <v>2417.64</v>
      </c>
      <c r="R103" s="32">
        <f t="shared" si="48"/>
        <v>-14.570294117647059</v>
      </c>
      <c r="S103" s="35">
        <f t="shared" si="49"/>
        <v>-1922.25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">
        <v>293</v>
      </c>
      <c r="B104" s="12" t="s">
        <v>74</v>
      </c>
      <c r="C104" s="36" t="s">
        <v>29</v>
      </c>
      <c r="D104" s="37">
        <f>D96</f>
        <v>35.364077669902912</v>
      </c>
      <c r="E104" s="31">
        <f t="shared" si="34"/>
        <v>1853.758799560484</v>
      </c>
      <c r="F104" s="38">
        <f>F101+F102+F103</f>
        <v>65556.470168922941</v>
      </c>
      <c r="G104" s="39">
        <f>G96</f>
        <v>35.364077669902912</v>
      </c>
      <c r="H104" s="37">
        <f t="shared" si="40"/>
        <v>1853.758799560484</v>
      </c>
      <c r="I104" s="38">
        <f>I101+I102+I103</f>
        <v>65556.470168922941</v>
      </c>
      <c r="J104" s="39">
        <f>J96</f>
        <v>34</v>
      </c>
      <c r="K104" s="37">
        <f>IF(J104&lt;=0,0,L104/J104)</f>
        <v>1867.3032352941175</v>
      </c>
      <c r="L104" s="38">
        <f>L101+L102+L103</f>
        <v>63488.31</v>
      </c>
      <c r="M104" s="32">
        <f>J104-G104</f>
        <v>-1.3640776699029118</v>
      </c>
      <c r="N104" s="38">
        <f t="shared" si="47"/>
        <v>-2068.1601689229428</v>
      </c>
      <c r="O104" s="39">
        <f>O96</f>
        <v>38</v>
      </c>
      <c r="P104" s="37">
        <f>IF(O104&lt;=0,0,Q104/O104)</f>
        <v>2240.5018421052628</v>
      </c>
      <c r="Q104" s="38">
        <f>Q101+Q102+Q103</f>
        <v>85139.069999999992</v>
      </c>
      <c r="R104" s="57"/>
      <c r="S104" s="40">
        <f t="shared" si="49"/>
        <v>-21650.759999999995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">
        <v>74</v>
      </c>
      <c r="B105" s="12" t="s">
        <v>74</v>
      </c>
      <c r="C105" s="481"/>
      <c r="D105" s="14"/>
      <c r="E105" s="14"/>
      <c r="F105" s="60"/>
      <c r="G105" s="42"/>
      <c r="H105" s="147"/>
      <c r="I105" s="60"/>
      <c r="J105" s="42"/>
      <c r="K105" s="14"/>
      <c r="L105" s="60"/>
      <c r="M105" s="43"/>
      <c r="N105" s="44">
        <f>N104/I104</f>
        <v>-3.154776582073137E-2</v>
      </c>
      <c r="O105" s="42"/>
      <c r="P105" s="14"/>
      <c r="Q105" s="60"/>
      <c r="R105" s="61"/>
      <c r="S105" s="45">
        <f>IF(Q104=0,0,(S104/Q104))</f>
        <v>-0.25429876083917757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">
        <v>74</v>
      </c>
      <c r="B106" s="12" t="s">
        <v>74</v>
      </c>
      <c r="C106" s="481"/>
      <c r="D106" s="14"/>
      <c r="E106" s="14"/>
      <c r="F106" s="60"/>
      <c r="G106" s="42"/>
      <c r="H106" s="147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">
        <v>294</v>
      </c>
      <c r="B107" s="12" t="s">
        <v>74</v>
      </c>
      <c r="C107" s="63" t="s">
        <v>80</v>
      </c>
      <c r="D107" s="64">
        <f>D96+D99</f>
        <v>66.137647503380293</v>
      </c>
      <c r="E107" s="65">
        <f>IF(D107&lt;=0,0,F107/D107)</f>
        <v>1773.5940903255234</v>
      </c>
      <c r="F107" s="66">
        <f>F96+F104+F99</f>
        <v>117301.3407600279</v>
      </c>
      <c r="G107" s="67">
        <f>G96+G99</f>
        <v>66.137647503380293</v>
      </c>
      <c r="H107" s="68">
        <f>IF(G107&lt;=0,0,I107/G107)</f>
        <v>1773.5940903255234</v>
      </c>
      <c r="I107" s="66">
        <f>I96+I104+I99</f>
        <v>117301.3407600279</v>
      </c>
      <c r="J107" s="67">
        <f>J96+J99</f>
        <v>73</v>
      </c>
      <c r="K107" s="65">
        <f>IF(J107&lt;=0,0,L107/J107)</f>
        <v>1932.3091780821915</v>
      </c>
      <c r="L107" s="66">
        <f>L96+L104+L99</f>
        <v>141058.56999999998</v>
      </c>
      <c r="M107" s="67">
        <f>J107-G107</f>
        <v>6.8623524966197067</v>
      </c>
      <c r="N107" s="66">
        <f>L107-I107</f>
        <v>23757.229239972075</v>
      </c>
      <c r="O107" s="67">
        <f>O96+O99</f>
        <v>89</v>
      </c>
      <c r="P107" s="65">
        <f>IF(O107&lt;=0,0,Q107/O107)</f>
        <v>1887.1419101123599</v>
      </c>
      <c r="Q107" s="66">
        <f>Q96+Q104+Q99</f>
        <v>167955.63000000003</v>
      </c>
      <c r="R107" s="67">
        <f>J107-O107</f>
        <v>-16</v>
      </c>
      <c r="S107" s="69">
        <f>L107-Q107</f>
        <v>-26897.060000000056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0.10375864209970535</v>
      </c>
      <c r="N108" s="75">
        <f>N107/I107</f>
        <v>0.2025316086418314</v>
      </c>
      <c r="O108" s="73"/>
      <c r="P108" s="71"/>
      <c r="Q108" s="72"/>
      <c r="R108" s="74">
        <f>O107/R107</f>
        <v>-5.5625</v>
      </c>
      <c r="S108" s="148">
        <f>IF(Q107=0,0,(S107/Q107))</f>
        <v>-0.16014384275180327</v>
      </c>
      <c r="T108" s="14"/>
      <c r="U108" s="14"/>
      <c r="V108" s="14">
        <f>45*300</f>
        <v>13500</v>
      </c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">
        <v>74</v>
      </c>
      <c r="B109" s="12" t="s">
        <v>74</v>
      </c>
      <c r="C109" s="48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">
        <v>295</v>
      </c>
      <c r="B110" s="12" t="s">
        <v>74</v>
      </c>
      <c r="C110" s="487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">
        <v>296</v>
      </c>
      <c r="B111" s="12" t="s">
        <v>74</v>
      </c>
      <c r="C111" s="481" t="s">
        <v>32</v>
      </c>
      <c r="D111" s="509">
        <f>F111/F96</f>
        <v>0.41028111749235147</v>
      </c>
      <c r="E111" s="83">
        <f t="shared" ref="E111:E119" si="50">F111/D$96</f>
        <v>524.63606726149624</v>
      </c>
      <c r="F111" s="31">
        <v>18553.27063106796</v>
      </c>
      <c r="G111" s="149">
        <f>I111/I96</f>
        <v>0.41028111749235147</v>
      </c>
      <c r="H111" s="83">
        <f t="shared" ref="H111:H119" si="51">I111/G$96</f>
        <v>524.63606726149624</v>
      </c>
      <c r="I111" s="31">
        <v>18553.27063106796</v>
      </c>
      <c r="J111" s="149">
        <f>L111/L96</f>
        <v>0.41259236645559344</v>
      </c>
      <c r="K111" s="83">
        <f t="shared" ref="K111:K119" si="52">IF($J$96=0,0,L111/(J$94+J$95))</f>
        <v>751.67205882352937</v>
      </c>
      <c r="L111" s="34">
        <v>25556.85</v>
      </c>
      <c r="M111" s="42"/>
      <c r="N111" s="60">
        <f t="shared" ref="N111:N152" si="53">L111-I111</f>
        <v>7003.5793689320381</v>
      </c>
      <c r="O111" s="42"/>
      <c r="P111" s="83">
        <f t="shared" ref="P111:P119" si="54">IF($J$96=0,0,Q111/(O$94+O$95))</f>
        <v>520.56289473684205</v>
      </c>
      <c r="Q111" s="34">
        <v>19781.39</v>
      </c>
      <c r="R111" s="42"/>
      <c r="S111" s="86">
        <f t="shared" ref="S111:S152" si="55">L111-Q111</f>
        <v>5775.4599999999991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">
        <v>297</v>
      </c>
      <c r="B112" s="12" t="s">
        <v>74</v>
      </c>
      <c r="C112" s="88" t="s">
        <v>33</v>
      </c>
      <c r="D112" s="510">
        <f>F112/F104</f>
        <v>0.3</v>
      </c>
      <c r="E112" s="90">
        <f t="shared" si="50"/>
        <v>556.12763986814514</v>
      </c>
      <c r="F112" s="23">
        <v>19666.94105067688</v>
      </c>
      <c r="G112" s="93">
        <f>I112/I104</f>
        <v>0.3</v>
      </c>
      <c r="H112" s="90">
        <f t="shared" si="51"/>
        <v>556.12763986814514</v>
      </c>
      <c r="I112" s="23">
        <v>19666.94105067688</v>
      </c>
      <c r="J112" s="93">
        <f>L112/L104</f>
        <v>0.19418440969684025</v>
      </c>
      <c r="K112" s="90">
        <f t="shared" si="52"/>
        <v>362.60117647058826</v>
      </c>
      <c r="L112" s="34">
        <v>12328.44</v>
      </c>
      <c r="M112" s="24"/>
      <c r="N112" s="94">
        <f t="shared" si="53"/>
        <v>-7338.5010506768795</v>
      </c>
      <c r="O112" s="24"/>
      <c r="P112" s="90">
        <f t="shared" si="54"/>
        <v>661.72</v>
      </c>
      <c r="Q112" s="34">
        <v>25145.360000000001</v>
      </c>
      <c r="R112" s="24"/>
      <c r="S112" s="95">
        <f t="shared" si="55"/>
        <v>-12816.92</v>
      </c>
      <c r="T112" s="14"/>
      <c r="U112" s="14"/>
      <c r="V112" s="12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">
        <v>298</v>
      </c>
      <c r="B113" s="12" t="s">
        <v>74</v>
      </c>
      <c r="C113" s="481" t="s">
        <v>34</v>
      </c>
      <c r="D113" s="82"/>
      <c r="E113" s="83">
        <f t="shared" si="50"/>
        <v>69.809353301886787</v>
      </c>
      <c r="F113" s="31">
        <v>2468.7433922536175</v>
      </c>
      <c r="G113" s="84"/>
      <c r="H113" s="83">
        <f t="shared" si="51"/>
        <v>69.809353301886787</v>
      </c>
      <c r="I113" s="31">
        <v>2468.7433922536175</v>
      </c>
      <c r="J113" s="42"/>
      <c r="K113" s="83">
        <f t="shared" si="52"/>
        <v>3.1208823529411767</v>
      </c>
      <c r="L113" s="111">
        <v>106.11</v>
      </c>
      <c r="M113" s="42"/>
      <c r="N113" s="60">
        <f t="shared" si="53"/>
        <v>-2362.6333922536173</v>
      </c>
      <c r="O113" s="42"/>
      <c r="P113" s="83">
        <f t="shared" si="54"/>
        <v>104.78842105263158</v>
      </c>
      <c r="Q113" s="111">
        <v>3981.96</v>
      </c>
      <c r="R113" s="42"/>
      <c r="S113" s="86">
        <f t="shared" si="55"/>
        <v>-3875.85</v>
      </c>
      <c r="T113" s="14"/>
      <c r="U113" s="14"/>
      <c r="V113" s="12"/>
      <c r="W113" s="87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">
        <v>299</v>
      </c>
      <c r="B114" s="12" t="s">
        <v>74</v>
      </c>
      <c r="C114" s="481" t="s">
        <v>35</v>
      </c>
      <c r="D114" s="82"/>
      <c r="E114" s="83">
        <f t="shared" si="50"/>
        <v>33.51101497641509</v>
      </c>
      <c r="F114" s="31">
        <v>1185.086136423223</v>
      </c>
      <c r="G114" s="84"/>
      <c r="H114" s="83">
        <f t="shared" si="51"/>
        <v>33.51101497641509</v>
      </c>
      <c r="I114" s="31">
        <v>1185.086136423223</v>
      </c>
      <c r="J114" s="42"/>
      <c r="K114" s="83">
        <f t="shared" si="52"/>
        <v>0</v>
      </c>
      <c r="L114" s="34">
        <v>0</v>
      </c>
      <c r="M114" s="42"/>
      <c r="N114" s="60">
        <f t="shared" si="53"/>
        <v>-1185.086136423223</v>
      </c>
      <c r="O114" s="42"/>
      <c r="P114" s="83">
        <f t="shared" si="54"/>
        <v>-33.880263157894738</v>
      </c>
      <c r="Q114" s="34">
        <v>-1287.45</v>
      </c>
      <c r="R114" s="42"/>
      <c r="S114" s="86">
        <f t="shared" si="55"/>
        <v>1287.45</v>
      </c>
      <c r="T114" s="14"/>
      <c r="U114" s="14"/>
      <c r="V114" s="12"/>
      <c r="W114" s="87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">
        <v>300</v>
      </c>
      <c r="B115" s="12" t="s">
        <v>74</v>
      </c>
      <c r="C115" s="88" t="s">
        <v>36</v>
      </c>
      <c r="D115" s="89"/>
      <c r="E115" s="90">
        <f t="shared" si="50"/>
        <v>88.549952830188673</v>
      </c>
      <c r="F115" s="23">
        <v>3131.4874095530313</v>
      </c>
      <c r="G115" s="91"/>
      <c r="H115" s="90">
        <f t="shared" si="51"/>
        <v>88.549952830188673</v>
      </c>
      <c r="I115" s="23">
        <v>3131.4874095530313</v>
      </c>
      <c r="J115" s="24"/>
      <c r="K115" s="90">
        <f t="shared" si="52"/>
        <v>138.97735294117646</v>
      </c>
      <c r="L115" s="49">
        <v>4725.2299999999996</v>
      </c>
      <c r="M115" s="24"/>
      <c r="N115" s="94">
        <f t="shared" si="53"/>
        <v>1593.7425904469683</v>
      </c>
      <c r="O115" s="24"/>
      <c r="P115" s="90">
        <f t="shared" si="54"/>
        <v>112.91289473684209</v>
      </c>
      <c r="Q115" s="49">
        <v>4290.6899999999996</v>
      </c>
      <c r="R115" s="24"/>
      <c r="S115" s="95">
        <f t="shared" si="55"/>
        <v>434.53999999999996</v>
      </c>
      <c r="T115" s="14"/>
      <c r="U115" s="83"/>
      <c r="V115" s="12"/>
      <c r="W115" s="87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">
        <v>301</v>
      </c>
      <c r="B116" s="12" t="s">
        <v>74</v>
      </c>
      <c r="C116" s="481" t="s">
        <v>37</v>
      </c>
      <c r="D116" s="82"/>
      <c r="E116" s="83">
        <f t="shared" si="50"/>
        <v>42.755319148936181</v>
      </c>
      <c r="F116" s="31">
        <v>1512.0024271844663</v>
      </c>
      <c r="G116" s="84"/>
      <c r="H116" s="83">
        <f t="shared" si="51"/>
        <v>42.755319148936181</v>
      </c>
      <c r="I116" s="31">
        <v>1512.0024271844663</v>
      </c>
      <c r="J116" s="42"/>
      <c r="K116" s="83">
        <f t="shared" si="52"/>
        <v>152.15911764705882</v>
      </c>
      <c r="L116" s="34">
        <v>5173.41</v>
      </c>
      <c r="M116" s="42"/>
      <c r="N116" s="60">
        <f t="shared" si="53"/>
        <v>3661.4075728155335</v>
      </c>
      <c r="O116" s="42"/>
      <c r="P116" s="83">
        <f t="shared" si="54"/>
        <v>95.088421052631574</v>
      </c>
      <c r="Q116" s="34">
        <v>3613.3599999999997</v>
      </c>
      <c r="R116" s="42"/>
      <c r="S116" s="86">
        <f t="shared" si="55"/>
        <v>1560.0500000000002</v>
      </c>
      <c r="T116" s="14"/>
      <c r="U116" s="14"/>
      <c r="V116" s="12"/>
      <c r="W116" s="87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">
        <v>302</v>
      </c>
      <c r="B117" s="12" t="s">
        <v>74</v>
      </c>
      <c r="C117" s="481" t="s">
        <v>38</v>
      </c>
      <c r="D117" s="82"/>
      <c r="E117" s="83">
        <f t="shared" si="50"/>
        <v>23.282687059529657</v>
      </c>
      <c r="F117" s="31">
        <v>823.37075353725027</v>
      </c>
      <c r="G117" s="84"/>
      <c r="H117" s="83">
        <f t="shared" si="51"/>
        <v>23.282687059529657</v>
      </c>
      <c r="I117" s="31">
        <v>823.37075353725027</v>
      </c>
      <c r="J117" s="42"/>
      <c r="K117" s="83">
        <f t="shared" si="52"/>
        <v>137.27941176470588</v>
      </c>
      <c r="L117" s="34">
        <v>4667.5</v>
      </c>
      <c r="M117" s="42"/>
      <c r="N117" s="60">
        <f t="shared" si="53"/>
        <v>3844.1292464627495</v>
      </c>
      <c r="O117" s="42"/>
      <c r="P117" s="83">
        <f t="shared" si="54"/>
        <v>8.9626315789473683</v>
      </c>
      <c r="Q117" s="34">
        <v>340.58</v>
      </c>
      <c r="R117" s="42"/>
      <c r="S117" s="86">
        <f t="shared" si="55"/>
        <v>4326.92</v>
      </c>
      <c r="T117" s="14"/>
      <c r="U117" s="14"/>
      <c r="V117" s="14"/>
      <c r="W117" s="31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">
        <v>303</v>
      </c>
      <c r="B118" s="12" t="s">
        <v>74</v>
      </c>
      <c r="C118" s="481" t="s">
        <v>21</v>
      </c>
      <c r="D118" s="82"/>
      <c r="E118" s="83">
        <f t="shared" si="50"/>
        <v>0</v>
      </c>
      <c r="F118" s="31">
        <v>0</v>
      </c>
      <c r="G118" s="84"/>
      <c r="H118" s="83">
        <f t="shared" si="51"/>
        <v>0</v>
      </c>
      <c r="I118" s="31">
        <v>0</v>
      </c>
      <c r="J118" s="42"/>
      <c r="K118" s="83">
        <f t="shared" si="52"/>
        <v>0</v>
      </c>
      <c r="L118" s="34">
        <v>0</v>
      </c>
      <c r="M118" s="42"/>
      <c r="N118" s="60">
        <f t="shared" si="53"/>
        <v>0</v>
      </c>
      <c r="O118" s="42"/>
      <c r="P118" s="83">
        <f t="shared" si="54"/>
        <v>0</v>
      </c>
      <c r="Q118" s="34">
        <v>0</v>
      </c>
      <c r="R118" s="42"/>
      <c r="S118" s="86">
        <f t="shared" si="55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">
        <v>303</v>
      </c>
      <c r="B119" s="12" t="s">
        <v>74</v>
      </c>
      <c r="C119" s="481" t="s">
        <v>21</v>
      </c>
      <c r="D119" s="82"/>
      <c r="E119" s="83">
        <f t="shared" si="50"/>
        <v>0</v>
      </c>
      <c r="F119" s="31">
        <v>0</v>
      </c>
      <c r="G119" s="84"/>
      <c r="H119" s="83">
        <f t="shared" si="51"/>
        <v>0</v>
      </c>
      <c r="I119" s="31">
        <v>0</v>
      </c>
      <c r="J119" s="42"/>
      <c r="K119" s="83">
        <f t="shared" si="52"/>
        <v>0</v>
      </c>
      <c r="L119" s="34">
        <v>0</v>
      </c>
      <c r="M119" s="42"/>
      <c r="N119" s="60">
        <f t="shared" si="53"/>
        <v>0</v>
      </c>
      <c r="O119" s="42"/>
      <c r="P119" s="83">
        <f t="shared" si="54"/>
        <v>0</v>
      </c>
      <c r="Q119" s="34">
        <v>0</v>
      </c>
      <c r="R119" s="42"/>
      <c r="S119" s="86">
        <f t="shared" si="55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">
        <v>303</v>
      </c>
      <c r="B120" s="12" t="s">
        <v>74</v>
      </c>
      <c r="C120" s="481" t="s">
        <v>21</v>
      </c>
      <c r="D120" s="82"/>
      <c r="E120" s="83">
        <f>F120/D$96</f>
        <v>0</v>
      </c>
      <c r="F120" s="31">
        <v>0</v>
      </c>
      <c r="G120" s="84"/>
      <c r="H120" s="83">
        <f>I120/G$96</f>
        <v>0</v>
      </c>
      <c r="I120" s="31">
        <v>0</v>
      </c>
      <c r="J120" s="42"/>
      <c r="K120" s="83">
        <f>IF($J$96=0,0,L120/(J$94+J$95))</f>
        <v>0</v>
      </c>
      <c r="L120" s="34">
        <v>0</v>
      </c>
      <c r="M120" s="42"/>
      <c r="N120" s="60">
        <f t="shared" si="53"/>
        <v>0</v>
      </c>
      <c r="O120" s="42"/>
      <c r="P120" s="83">
        <f>IF($J$96=0,0,Q120/(O$94+O$95))</f>
        <v>0</v>
      </c>
      <c r="Q120" s="34">
        <v>0</v>
      </c>
      <c r="R120" s="42"/>
      <c r="S120" s="86">
        <f t="shared" si="55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">
        <v>304</v>
      </c>
      <c r="B121" s="12" t="s">
        <v>74</v>
      </c>
      <c r="C121" s="96" t="s">
        <v>39</v>
      </c>
      <c r="D121" s="97" t="s">
        <v>40</v>
      </c>
      <c r="E121" s="98">
        <f>F121/F$107</f>
        <v>0.40358363761199667</v>
      </c>
      <c r="F121" s="99">
        <f>SUM(F111:F120)</f>
        <v>47340.901800696432</v>
      </c>
      <c r="G121" s="100" t="s">
        <v>40</v>
      </c>
      <c r="H121" s="98">
        <f>I121/I$107</f>
        <v>0.40358363761199667</v>
      </c>
      <c r="I121" s="99">
        <f>SUM(I111:I120)</f>
        <v>47340.901800696432</v>
      </c>
      <c r="J121" s="100" t="s">
        <v>40</v>
      </c>
      <c r="K121" s="98">
        <f>L121/L$107</f>
        <v>0.37259373889867176</v>
      </c>
      <c r="L121" s="99">
        <f>SUM(L111:L120)</f>
        <v>52557.540000000008</v>
      </c>
      <c r="M121" s="103"/>
      <c r="N121" s="99">
        <f t="shared" si="53"/>
        <v>5216.6381993035757</v>
      </c>
      <c r="O121" s="100" t="s">
        <v>40</v>
      </c>
      <c r="P121" s="98">
        <f>Q121/Q$107</f>
        <v>0.33262290760958713</v>
      </c>
      <c r="Q121" s="99">
        <f>SUM(Q111:Q120)</f>
        <v>55865.890000000007</v>
      </c>
      <c r="R121" s="103"/>
      <c r="S121" s="104">
        <f t="shared" si="55"/>
        <v>-3308.3499999999985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">
        <v>305</v>
      </c>
      <c r="B122" s="12" t="s">
        <v>74</v>
      </c>
      <c r="C122" s="494" t="s">
        <v>42</v>
      </c>
      <c r="D122" s="14"/>
      <c r="E122" s="14"/>
      <c r="F122" s="31">
        <v>8074.4819923371651</v>
      </c>
      <c r="G122" s="42"/>
      <c r="H122" s="14"/>
      <c r="I122" s="31">
        <v>8074.4819923371651</v>
      </c>
      <c r="J122" s="42"/>
      <c r="K122" s="14"/>
      <c r="L122" s="34">
        <v>13371.45</v>
      </c>
      <c r="M122" s="42"/>
      <c r="N122" s="60">
        <f t="shared" si="53"/>
        <v>5296.9680076628356</v>
      </c>
      <c r="O122" s="42"/>
      <c r="P122" s="14"/>
      <c r="Q122" s="34">
        <v>9570.9500000000007</v>
      </c>
      <c r="R122" s="42"/>
      <c r="S122" s="86">
        <f t="shared" si="55"/>
        <v>3800.5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">
        <v>306</v>
      </c>
      <c r="B123" s="12" t="s">
        <v>74</v>
      </c>
      <c r="C123" s="106" t="s">
        <v>43</v>
      </c>
      <c r="D123" s="82"/>
      <c r="E123" s="14"/>
      <c r="F123" s="23">
        <v>2182.6728393409962</v>
      </c>
      <c r="G123" s="84"/>
      <c r="H123" s="14"/>
      <c r="I123" s="23">
        <v>2182.6728393409962</v>
      </c>
      <c r="J123" s="42"/>
      <c r="K123" s="14"/>
      <c r="L123" s="23">
        <v>1611.17</v>
      </c>
      <c r="M123" s="42"/>
      <c r="N123" s="60">
        <f t="shared" si="53"/>
        <v>-571.50283934099616</v>
      </c>
      <c r="O123" s="42"/>
      <c r="P123" s="14"/>
      <c r="Q123" s="23">
        <v>2082.27</v>
      </c>
      <c r="R123" s="42"/>
      <c r="S123" s="86">
        <f t="shared" si="55"/>
        <v>-471.09999999999991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">
        <v>307</v>
      </c>
      <c r="B124" s="12" t="s">
        <v>74</v>
      </c>
      <c r="C124" s="494" t="s">
        <v>44</v>
      </c>
      <c r="D124" s="107"/>
      <c r="E124" s="108"/>
      <c r="F124" s="31">
        <v>8189.7951351417623</v>
      </c>
      <c r="G124" s="109"/>
      <c r="H124" s="108"/>
      <c r="I124" s="31">
        <v>8189.7951351417623</v>
      </c>
      <c r="J124" s="110"/>
      <c r="K124" s="108"/>
      <c r="L124" s="34">
        <v>7749.98</v>
      </c>
      <c r="M124" s="110"/>
      <c r="N124" s="112">
        <f t="shared" si="53"/>
        <v>-439.81513514176277</v>
      </c>
      <c r="O124" s="110"/>
      <c r="P124" s="108"/>
      <c r="Q124" s="34">
        <v>8638.5499999999993</v>
      </c>
      <c r="R124" s="110"/>
      <c r="S124" s="113">
        <f t="shared" si="55"/>
        <v>-888.56999999999971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">
        <v>308</v>
      </c>
      <c r="B125" s="12" t="s">
        <v>74</v>
      </c>
      <c r="C125" s="494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f t="shared" si="53"/>
        <v>0</v>
      </c>
      <c r="O125" s="42"/>
      <c r="P125" s="14"/>
      <c r="Q125" s="34">
        <v>0</v>
      </c>
      <c r="R125" s="42"/>
      <c r="S125" s="86">
        <f t="shared" si="55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">
        <v>303</v>
      </c>
      <c r="B126" s="12" t="s">
        <v>74</v>
      </c>
      <c r="C126" s="494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f t="shared" si="53"/>
        <v>0</v>
      </c>
      <c r="O126" s="42"/>
      <c r="P126" s="14"/>
      <c r="Q126" s="34">
        <v>0</v>
      </c>
      <c r="R126" s="42"/>
      <c r="S126" s="86">
        <f t="shared" si="55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">
        <v>303</v>
      </c>
      <c r="B127" s="12" t="s">
        <v>74</v>
      </c>
      <c r="C127" s="494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f t="shared" si="53"/>
        <v>0</v>
      </c>
      <c r="O127" s="42"/>
      <c r="P127" s="14"/>
      <c r="Q127" s="34">
        <v>0</v>
      </c>
      <c r="R127" s="42"/>
      <c r="S127" s="86">
        <f t="shared" si="55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">
        <v>303</v>
      </c>
      <c r="B128" s="12" t="s">
        <v>74</v>
      </c>
      <c r="C128" s="494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f t="shared" si="53"/>
        <v>0</v>
      </c>
      <c r="O128" s="42"/>
      <c r="P128" s="14"/>
      <c r="Q128" s="34">
        <v>0</v>
      </c>
      <c r="R128" s="42"/>
      <c r="S128" s="86">
        <f t="shared" si="55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">
        <v>309</v>
      </c>
      <c r="B129" s="12" t="s">
        <v>74</v>
      </c>
      <c r="C129" s="106" t="s">
        <v>46</v>
      </c>
      <c r="D129" s="82"/>
      <c r="E129" s="14"/>
      <c r="F129" s="31">
        <v>6630.313599105928</v>
      </c>
      <c r="G129" s="84"/>
      <c r="H129" s="14"/>
      <c r="I129" s="31">
        <v>6630.313599105928</v>
      </c>
      <c r="J129" s="42"/>
      <c r="K129" s="14"/>
      <c r="L129" s="34">
        <v>2864.92</v>
      </c>
      <c r="M129" s="42"/>
      <c r="N129" s="60">
        <f t="shared" si="53"/>
        <v>-3765.3935991059279</v>
      </c>
      <c r="O129" s="42"/>
      <c r="P129" s="14"/>
      <c r="Q129" s="34">
        <v>5541.84</v>
      </c>
      <c r="R129" s="42"/>
      <c r="S129" s="86">
        <f t="shared" si="55"/>
        <v>-2676.92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">
        <v>310</v>
      </c>
      <c r="B130" s="12" t="s">
        <v>74</v>
      </c>
      <c r="C130" s="494" t="s">
        <v>47</v>
      </c>
      <c r="D130" s="107"/>
      <c r="E130" s="108"/>
      <c r="F130" s="55">
        <v>5938.1254731296058</v>
      </c>
      <c r="G130" s="109"/>
      <c r="H130" s="108"/>
      <c r="I130" s="55">
        <v>5938.1254731296058</v>
      </c>
      <c r="J130" s="110"/>
      <c r="K130" s="108"/>
      <c r="L130" s="56">
        <v>3036.4</v>
      </c>
      <c r="M130" s="110"/>
      <c r="N130" s="112">
        <f t="shared" si="53"/>
        <v>-2901.7254731296057</v>
      </c>
      <c r="O130" s="110"/>
      <c r="P130" s="108"/>
      <c r="Q130" s="56">
        <v>6413.83</v>
      </c>
      <c r="R130" s="110"/>
      <c r="S130" s="113">
        <f t="shared" si="55"/>
        <v>-3377.43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">
        <v>311</v>
      </c>
      <c r="B131" s="12" t="s">
        <v>74</v>
      </c>
      <c r="C131" s="494" t="s">
        <v>48</v>
      </c>
      <c r="D131" s="82"/>
      <c r="E131" s="14"/>
      <c r="F131" s="31">
        <v>4715.5702286617461</v>
      </c>
      <c r="G131" s="84"/>
      <c r="H131" s="14"/>
      <c r="I131" s="31">
        <v>4715.5702286617461</v>
      </c>
      <c r="J131" s="42"/>
      <c r="K131" s="14"/>
      <c r="L131" s="34">
        <v>1447.9</v>
      </c>
      <c r="M131" s="42"/>
      <c r="N131" s="60">
        <f t="shared" si="53"/>
        <v>-3267.670228661746</v>
      </c>
      <c r="O131" s="42"/>
      <c r="P131" s="14"/>
      <c r="Q131" s="34">
        <v>4596.58</v>
      </c>
      <c r="R131" s="42"/>
      <c r="S131" s="86">
        <f t="shared" si="55"/>
        <v>-3148.68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">
        <v>312</v>
      </c>
      <c r="B132" s="12" t="s">
        <v>74</v>
      </c>
      <c r="C132" s="494" t="s">
        <v>49</v>
      </c>
      <c r="D132" s="82"/>
      <c r="E132" s="14"/>
      <c r="F132" s="31">
        <v>1921.1582413066376</v>
      </c>
      <c r="G132" s="84"/>
      <c r="H132" s="14"/>
      <c r="I132" s="31">
        <v>1921.1582413066376</v>
      </c>
      <c r="J132" s="42"/>
      <c r="K132" s="14"/>
      <c r="L132" s="34">
        <v>1461</v>
      </c>
      <c r="M132" s="42"/>
      <c r="N132" s="60">
        <f t="shared" si="53"/>
        <v>-460.15824130663759</v>
      </c>
      <c r="O132" s="42"/>
      <c r="P132" s="14"/>
      <c r="Q132" s="34">
        <v>1068.97</v>
      </c>
      <c r="R132" s="42"/>
      <c r="S132" s="86">
        <f t="shared" si="55"/>
        <v>392.03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">
        <v>303</v>
      </c>
      <c r="B133" s="12" t="s">
        <v>74</v>
      </c>
      <c r="C133" s="481" t="s">
        <v>21</v>
      </c>
      <c r="D133" s="89"/>
      <c r="E133" s="114"/>
      <c r="F133" s="31">
        <v>0</v>
      </c>
      <c r="G133" s="91"/>
      <c r="H133" s="114"/>
      <c r="I133" s="31">
        <v>0</v>
      </c>
      <c r="J133" s="24"/>
      <c r="K133" s="114"/>
      <c r="L133" s="34">
        <v>0</v>
      </c>
      <c r="M133" s="24"/>
      <c r="N133" s="150">
        <f t="shared" si="53"/>
        <v>0</v>
      </c>
      <c r="O133" s="24"/>
      <c r="P133" s="114"/>
      <c r="Q133" s="34">
        <v>0</v>
      </c>
      <c r="R133" s="24"/>
      <c r="S133" s="95">
        <f t="shared" si="55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">
        <v>313</v>
      </c>
      <c r="B134" s="12" t="s">
        <v>74</v>
      </c>
      <c r="C134" s="96" t="s">
        <v>50</v>
      </c>
      <c r="D134" s="97" t="s">
        <v>40</v>
      </c>
      <c r="E134" s="98">
        <f>F134/F$107</f>
        <v>0.32098625015763105</v>
      </c>
      <c r="F134" s="99">
        <f>+SUM(F122:F133)</f>
        <v>37652.117509023839</v>
      </c>
      <c r="G134" s="100" t="s">
        <v>40</v>
      </c>
      <c r="H134" s="98">
        <f>I134/I$107</f>
        <v>0.32098625015763105</v>
      </c>
      <c r="I134" s="99">
        <f>+SUM(I122:I133)</f>
        <v>37652.117509023839</v>
      </c>
      <c r="J134" s="100" t="s">
        <v>40</v>
      </c>
      <c r="K134" s="98">
        <f>L134/L$107</f>
        <v>0.22361505578852817</v>
      </c>
      <c r="L134" s="99">
        <f>SUM(L122:L133)</f>
        <v>31542.82</v>
      </c>
      <c r="M134" s="151"/>
      <c r="N134" s="116">
        <f t="shared" si="53"/>
        <v>-6109.2975090238397</v>
      </c>
      <c r="O134" s="100" t="s">
        <v>40</v>
      </c>
      <c r="P134" s="98">
        <f>Q134/Q$107</f>
        <v>0.22573217700412898</v>
      </c>
      <c r="Q134" s="99">
        <f>SUM(Q122:Q133)</f>
        <v>37912.990000000005</v>
      </c>
      <c r="R134" s="151"/>
      <c r="S134" s="117">
        <f t="shared" si="55"/>
        <v>-6370.1700000000055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">
        <v>314</v>
      </c>
      <c r="B135" s="12" t="s">
        <v>74</v>
      </c>
      <c r="C135" s="481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f t="shared" si="53"/>
        <v>0</v>
      </c>
      <c r="O135" s="42"/>
      <c r="P135" s="14"/>
      <c r="Q135" s="34">
        <v>0</v>
      </c>
      <c r="R135" s="42"/>
      <c r="S135" s="86">
        <f t="shared" si="55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">
        <v>315</v>
      </c>
      <c r="B136" s="12" t="s">
        <v>74</v>
      </c>
      <c r="C136" s="481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f t="shared" si="53"/>
        <v>0</v>
      </c>
      <c r="O136" s="42"/>
      <c r="P136" s="14"/>
      <c r="Q136" s="34">
        <v>0</v>
      </c>
      <c r="R136" s="42"/>
      <c r="S136" s="86">
        <f t="shared" si="55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">
        <v>316</v>
      </c>
      <c r="B137" s="12" t="s">
        <v>74</v>
      </c>
      <c r="C137" s="88" t="s">
        <v>53</v>
      </c>
      <c r="D137" s="89"/>
      <c r="E137" s="114"/>
      <c r="F137" s="23">
        <v>125.03999999999999</v>
      </c>
      <c r="G137" s="91"/>
      <c r="H137" s="114"/>
      <c r="I137" s="23">
        <v>125.03999999999999</v>
      </c>
      <c r="J137" s="24"/>
      <c r="K137" s="114"/>
      <c r="L137" s="23">
        <v>132.36000000000001</v>
      </c>
      <c r="M137" s="24"/>
      <c r="N137" s="94">
        <f t="shared" si="53"/>
        <v>7.3200000000000216</v>
      </c>
      <c r="O137" s="24"/>
      <c r="P137" s="114"/>
      <c r="Q137" s="23">
        <v>-436.37</v>
      </c>
      <c r="R137" s="24"/>
      <c r="S137" s="95">
        <f t="shared" si="55"/>
        <v>568.73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">
        <v>317</v>
      </c>
      <c r="B138" s="12" t="s">
        <v>74</v>
      </c>
      <c r="C138" s="481" t="s">
        <v>54</v>
      </c>
      <c r="D138" s="82"/>
      <c r="E138" s="14"/>
      <c r="F138" s="31">
        <v>2428.3689099999997</v>
      </c>
      <c r="G138" s="84"/>
      <c r="H138" s="14"/>
      <c r="I138" s="31">
        <v>2428.3689099999997</v>
      </c>
      <c r="J138" s="42"/>
      <c r="K138" s="14"/>
      <c r="L138" s="34">
        <v>4459.3100000000004</v>
      </c>
      <c r="M138" s="42"/>
      <c r="N138" s="60">
        <f t="shared" si="53"/>
        <v>2030.9410900000007</v>
      </c>
      <c r="O138" s="42"/>
      <c r="P138" s="14"/>
      <c r="Q138" s="34">
        <v>1637.82</v>
      </c>
      <c r="R138" s="42"/>
      <c r="S138" s="86">
        <f t="shared" si="55"/>
        <v>2821.4900000000007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">
        <v>318</v>
      </c>
      <c r="B139" s="12" t="s">
        <v>74</v>
      </c>
      <c r="C139" s="481" t="s">
        <v>55</v>
      </c>
      <c r="D139" s="82"/>
      <c r="E139" s="14"/>
      <c r="F139" s="31">
        <v>297.05317500000001</v>
      </c>
      <c r="G139" s="84"/>
      <c r="H139" s="14"/>
      <c r="I139" s="31">
        <v>297.05317500000001</v>
      </c>
      <c r="J139" s="42"/>
      <c r="K139" s="14"/>
      <c r="L139" s="34">
        <v>464.13</v>
      </c>
      <c r="M139" s="42"/>
      <c r="N139" s="60">
        <f t="shared" si="53"/>
        <v>167.07682499999999</v>
      </c>
      <c r="O139" s="42"/>
      <c r="P139" s="14"/>
      <c r="Q139" s="34">
        <v>113.36</v>
      </c>
      <c r="R139" s="42"/>
      <c r="S139" s="86">
        <f t="shared" si="55"/>
        <v>350.77</v>
      </c>
      <c r="T139" s="152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">
        <v>319</v>
      </c>
      <c r="B140" s="12" t="s">
        <v>74</v>
      </c>
      <c r="C140" s="88" t="s">
        <v>56</v>
      </c>
      <c r="D140" s="89"/>
      <c r="E140" s="114"/>
      <c r="F140" s="23">
        <v>1422.5538666666666</v>
      </c>
      <c r="G140" s="91"/>
      <c r="H140" s="114"/>
      <c r="I140" s="23">
        <v>1422.5538666666666</v>
      </c>
      <c r="J140" s="24"/>
      <c r="K140" s="114"/>
      <c r="L140" s="23">
        <v>1053.6500000000001</v>
      </c>
      <c r="M140" s="24"/>
      <c r="N140" s="94">
        <f t="shared" si="53"/>
        <v>-368.90386666666654</v>
      </c>
      <c r="O140" s="24"/>
      <c r="P140" s="114"/>
      <c r="Q140" s="23">
        <v>853.54</v>
      </c>
      <c r="R140" s="24"/>
      <c r="S140" s="95">
        <f t="shared" si="55"/>
        <v>200.11000000000013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">
        <v>320</v>
      </c>
      <c r="B141" s="12" t="s">
        <v>74</v>
      </c>
      <c r="C141" s="481" t="s">
        <v>57</v>
      </c>
      <c r="D141" s="82"/>
      <c r="E141" s="14"/>
      <c r="F141" s="31">
        <v>81.641327736691551</v>
      </c>
      <c r="G141" s="84"/>
      <c r="H141" s="14"/>
      <c r="I141" s="31">
        <v>81.641327736691551</v>
      </c>
      <c r="J141" s="42"/>
      <c r="K141" s="14"/>
      <c r="L141" s="34">
        <v>51.59</v>
      </c>
      <c r="M141" s="42"/>
      <c r="N141" s="60">
        <f t="shared" si="53"/>
        <v>-30.051327736691547</v>
      </c>
      <c r="O141" s="42"/>
      <c r="P141" s="14"/>
      <c r="Q141" s="34">
        <v>123.18</v>
      </c>
      <c r="R141" s="42"/>
      <c r="S141" s="86">
        <f t="shared" si="55"/>
        <v>-71.59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">
        <v>321</v>
      </c>
      <c r="B142" s="12" t="s">
        <v>74</v>
      </c>
      <c r="C142" s="481" t="s">
        <v>58</v>
      </c>
      <c r="D142" s="82"/>
      <c r="E142" s="14"/>
      <c r="F142" s="31">
        <v>43.382055389861925</v>
      </c>
      <c r="G142" s="84"/>
      <c r="H142" s="14"/>
      <c r="I142" s="31">
        <v>43.382055389861925</v>
      </c>
      <c r="J142" s="42"/>
      <c r="K142" s="14"/>
      <c r="L142" s="34">
        <v>0</v>
      </c>
      <c r="M142" s="42"/>
      <c r="N142" s="60">
        <f t="shared" si="53"/>
        <v>-43.382055389861925</v>
      </c>
      <c r="O142" s="42"/>
      <c r="P142" s="14"/>
      <c r="Q142" s="34">
        <v>0</v>
      </c>
      <c r="R142" s="42"/>
      <c r="S142" s="86">
        <f t="shared" si="55"/>
        <v>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">
        <v>322</v>
      </c>
      <c r="B143" s="12" t="s">
        <v>74</v>
      </c>
      <c r="C143" s="481" t="s">
        <v>59</v>
      </c>
      <c r="D143" s="82"/>
      <c r="E143" s="14"/>
      <c r="F143" s="31">
        <v>244.82411999999999</v>
      </c>
      <c r="G143" s="84"/>
      <c r="H143" s="14"/>
      <c r="I143" s="31">
        <v>244.82411999999999</v>
      </c>
      <c r="J143" s="42"/>
      <c r="K143" s="14"/>
      <c r="L143" s="33">
        <v>338.94</v>
      </c>
      <c r="M143" s="42"/>
      <c r="N143" s="60">
        <f t="shared" si="53"/>
        <v>94.115880000000004</v>
      </c>
      <c r="O143" s="42"/>
      <c r="P143" s="14"/>
      <c r="Q143" s="33">
        <v>92.99</v>
      </c>
      <c r="R143" s="42"/>
      <c r="S143" s="86">
        <f t="shared" si="55"/>
        <v>245.95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">
        <v>323</v>
      </c>
      <c r="B144" s="12" t="s">
        <v>74</v>
      </c>
      <c r="C144" s="481" t="s">
        <v>60</v>
      </c>
      <c r="D144" s="82"/>
      <c r="E144" s="14"/>
      <c r="F144" s="31">
        <v>113.04919750000001</v>
      </c>
      <c r="G144" s="84"/>
      <c r="H144" s="14"/>
      <c r="I144" s="31">
        <v>113.04919750000001</v>
      </c>
      <c r="J144" s="42"/>
      <c r="K144" s="14"/>
      <c r="L144" s="34">
        <v>43.31</v>
      </c>
      <c r="M144" s="42"/>
      <c r="N144" s="60">
        <f t="shared" si="53"/>
        <v>-69.739197500000003</v>
      </c>
      <c r="O144" s="42"/>
      <c r="P144" s="14"/>
      <c r="Q144" s="34">
        <v>154.03</v>
      </c>
      <c r="R144" s="42"/>
      <c r="S144" s="86">
        <f t="shared" si="55"/>
        <v>-110.72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">
        <v>324</v>
      </c>
      <c r="B145" s="12" t="s">
        <v>74</v>
      </c>
      <c r="C145" s="481" t="s">
        <v>61</v>
      </c>
      <c r="D145" s="82"/>
      <c r="E145" s="14"/>
      <c r="F145" s="31">
        <v>60.343902499999984</v>
      </c>
      <c r="G145" s="84"/>
      <c r="H145" s="14"/>
      <c r="I145" s="31">
        <v>60.343902499999984</v>
      </c>
      <c r="J145" s="42"/>
      <c r="K145" s="14"/>
      <c r="L145" s="34">
        <v>81.97</v>
      </c>
      <c r="M145" s="42"/>
      <c r="N145" s="60">
        <f t="shared" si="53"/>
        <v>21.626097500000014</v>
      </c>
      <c r="O145" s="42"/>
      <c r="P145" s="14"/>
      <c r="Q145" s="34">
        <v>59.3</v>
      </c>
      <c r="R145" s="42"/>
      <c r="S145" s="86">
        <f t="shared" si="55"/>
        <v>22.67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">
        <v>325</v>
      </c>
      <c r="B146" s="12" t="s">
        <v>74</v>
      </c>
      <c r="C146" s="481" t="s">
        <v>62</v>
      </c>
      <c r="D146" s="82"/>
      <c r="E146" s="14"/>
      <c r="F146" s="31">
        <v>291.0875974999999</v>
      </c>
      <c r="G146" s="84"/>
      <c r="H146" s="14"/>
      <c r="I146" s="31">
        <v>291.0875974999999</v>
      </c>
      <c r="J146" s="42"/>
      <c r="K146" s="14"/>
      <c r="L146" s="34">
        <v>56.84</v>
      </c>
      <c r="M146" s="42"/>
      <c r="N146" s="60">
        <f t="shared" si="53"/>
        <v>-234.2475974999999</v>
      </c>
      <c r="O146" s="42"/>
      <c r="P146" s="14"/>
      <c r="Q146" s="34">
        <v>378.47</v>
      </c>
      <c r="R146" s="42"/>
      <c r="S146" s="86">
        <f t="shared" si="55"/>
        <v>-321.63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">
        <v>326</v>
      </c>
      <c r="B147" s="12" t="s">
        <v>74</v>
      </c>
      <c r="C147" s="481" t="s">
        <v>63</v>
      </c>
      <c r="D147" s="82"/>
      <c r="E147" s="14"/>
      <c r="F147" s="31">
        <v>432.47109999999998</v>
      </c>
      <c r="G147" s="84"/>
      <c r="H147" s="14"/>
      <c r="I147" s="31">
        <v>432.47109999999998</v>
      </c>
      <c r="J147" s="42"/>
      <c r="K147" s="14"/>
      <c r="L147" s="34">
        <v>378.09</v>
      </c>
      <c r="M147" s="42"/>
      <c r="N147" s="60">
        <f t="shared" si="53"/>
        <v>-54.381100000000004</v>
      </c>
      <c r="O147" s="42"/>
      <c r="P147" s="14"/>
      <c r="Q147" s="34">
        <v>10.62</v>
      </c>
      <c r="R147" s="42"/>
      <c r="S147" s="86">
        <f t="shared" si="55"/>
        <v>367.46999999999997</v>
      </c>
      <c r="T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">
        <v>327</v>
      </c>
      <c r="B148" s="12" t="s">
        <v>74</v>
      </c>
      <c r="C148" s="481" t="s">
        <v>64</v>
      </c>
      <c r="D148" s="82"/>
      <c r="E148" s="14"/>
      <c r="F148" s="31">
        <v>572.74649488204318</v>
      </c>
      <c r="G148" s="84"/>
      <c r="H148" s="14"/>
      <c r="I148" s="31">
        <v>572.74649488204318</v>
      </c>
      <c r="J148" s="42"/>
      <c r="K148" s="14"/>
      <c r="L148" s="34">
        <v>768.62</v>
      </c>
      <c r="M148" s="42"/>
      <c r="N148" s="60">
        <f t="shared" si="53"/>
        <v>195.87350511795682</v>
      </c>
      <c r="O148" s="42"/>
      <c r="P148" s="14"/>
      <c r="Q148" s="34">
        <f>AL447*W4</f>
        <v>647.84100000000001</v>
      </c>
      <c r="R148" s="42"/>
      <c r="S148" s="86">
        <f t="shared" si="55"/>
        <v>120.779</v>
      </c>
      <c r="T148" s="83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">
        <v>303</v>
      </c>
      <c r="B149" s="12" t="s">
        <v>74</v>
      </c>
      <c r="C149" s="481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f t="shared" si="53"/>
        <v>0</v>
      </c>
      <c r="O149" s="42"/>
      <c r="P149" s="14"/>
      <c r="Q149" s="34">
        <v>0</v>
      </c>
      <c r="R149" s="42"/>
      <c r="S149" s="86">
        <f t="shared" si="55"/>
        <v>0</v>
      </c>
      <c r="T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">
        <v>303</v>
      </c>
      <c r="B150" s="12" t="s">
        <v>74</v>
      </c>
      <c r="C150" s="481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f t="shared" si="53"/>
        <v>0</v>
      </c>
      <c r="O150" s="42"/>
      <c r="P150" s="14"/>
      <c r="Q150" s="34">
        <v>0</v>
      </c>
      <c r="R150" s="42"/>
      <c r="S150" s="86">
        <f t="shared" si="55"/>
        <v>0</v>
      </c>
      <c r="T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">
        <v>303</v>
      </c>
      <c r="B151" s="12" t="s">
        <v>74</v>
      </c>
      <c r="C151" s="481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f t="shared" si="53"/>
        <v>0</v>
      </c>
      <c r="O151" s="42"/>
      <c r="P151" s="14"/>
      <c r="Q151" s="34">
        <v>0</v>
      </c>
      <c r="R151" s="42"/>
      <c r="S151" s="86">
        <f t="shared" si="55"/>
        <v>0</v>
      </c>
      <c r="T151" s="83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">
        <v>328</v>
      </c>
      <c r="B152" s="12" t="s">
        <v>74</v>
      </c>
      <c r="C152" s="96" t="s">
        <v>65</v>
      </c>
      <c r="D152" s="97" t="s">
        <v>40</v>
      </c>
      <c r="E152" s="98">
        <f>F152/F$107</f>
        <v>5.2109905202875617E-2</v>
      </c>
      <c r="F152" s="99">
        <f>+SUM(F135:F151)</f>
        <v>6112.5617471752639</v>
      </c>
      <c r="G152" s="100" t="s">
        <v>40</v>
      </c>
      <c r="H152" s="98">
        <f>I152/I$107</f>
        <v>5.2109905202875617E-2</v>
      </c>
      <c r="I152" s="99">
        <f>+SUM(I135:I151)</f>
        <v>6112.5617471752639</v>
      </c>
      <c r="J152" s="100" t="s">
        <v>40</v>
      </c>
      <c r="K152" s="98">
        <f>L152/L$107</f>
        <v>5.5500420853550426E-2</v>
      </c>
      <c r="L152" s="99">
        <f>+SUM(L135:L151)</f>
        <v>7828.8100000000013</v>
      </c>
      <c r="M152" s="103"/>
      <c r="N152" s="99">
        <f t="shared" si="53"/>
        <v>1716.2482528247374</v>
      </c>
      <c r="O152" s="100" t="s">
        <v>40</v>
      </c>
      <c r="P152" s="98">
        <f>Q152/Q$107</f>
        <v>2.1641316816828342E-2</v>
      </c>
      <c r="Q152" s="99">
        <f>+SUM(Q135:Q151)</f>
        <v>3634.7809999999995</v>
      </c>
      <c r="R152" s="103"/>
      <c r="S152" s="104">
        <f t="shared" si="55"/>
        <v>4194.0290000000023</v>
      </c>
      <c r="T152" s="115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">
        <v>74</v>
      </c>
      <c r="B153" s="12" t="s">
        <v>74</v>
      </c>
      <c r="C153" s="88"/>
      <c r="D153" s="89"/>
      <c r="E153" s="114"/>
      <c r="F153" s="60"/>
      <c r="G153" s="91"/>
      <c r="H153" s="114"/>
      <c r="I153" s="60"/>
      <c r="J153" s="24"/>
      <c r="K153" s="114"/>
      <c r="L153" s="94"/>
      <c r="M153" s="24"/>
      <c r="N153" s="94"/>
      <c r="O153" s="24"/>
      <c r="P153" s="114"/>
      <c r="Q153" s="94"/>
      <c r="R153" s="24"/>
      <c r="S153" s="95"/>
      <c r="T153" s="115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">
        <v>329</v>
      </c>
      <c r="B154" s="12" t="s">
        <v>74</v>
      </c>
      <c r="C154" s="96" t="s">
        <v>66</v>
      </c>
      <c r="D154" s="97" t="s">
        <v>40</v>
      </c>
      <c r="E154" s="98">
        <f>F154/F$107</f>
        <v>0.77667979297250334</v>
      </c>
      <c r="F154" s="99">
        <f>F121+F134+F152</f>
        <v>91105.581056895535</v>
      </c>
      <c r="G154" s="100" t="s">
        <v>40</v>
      </c>
      <c r="H154" s="98">
        <f>I154/I$107</f>
        <v>0.77667979297250334</v>
      </c>
      <c r="I154" s="99">
        <f>I121+I134+I152</f>
        <v>91105.581056895535</v>
      </c>
      <c r="J154" s="100" t="s">
        <v>40</v>
      </c>
      <c r="K154" s="98">
        <f>L154/L$107</f>
        <v>0.65170921554075034</v>
      </c>
      <c r="L154" s="99">
        <f>L121+L134+L152</f>
        <v>91929.170000000013</v>
      </c>
      <c r="M154" s="103"/>
      <c r="N154" s="116">
        <f>L154-I154</f>
        <v>823.58894310447795</v>
      </c>
      <c r="O154" s="100" t="s">
        <v>40</v>
      </c>
      <c r="P154" s="98">
        <f>Q154/Q$107</f>
        <v>0.57999640143054443</v>
      </c>
      <c r="Q154" s="99">
        <f>Q121+Q134+Q152</f>
        <v>97413.661000000007</v>
      </c>
      <c r="R154" s="103"/>
      <c r="S154" s="117">
        <f>L154-Q154</f>
        <v>-5484.4909999999945</v>
      </c>
      <c r="T154" s="115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">
        <v>330</v>
      </c>
      <c r="B155" s="12" t="s">
        <v>74</v>
      </c>
      <c r="C155" s="481" t="s">
        <v>215</v>
      </c>
      <c r="D155" s="153"/>
      <c r="E155" s="154"/>
      <c r="F155" s="31">
        <v>0</v>
      </c>
      <c r="G155" s="155"/>
      <c r="H155" s="154"/>
      <c r="I155" s="31">
        <v>0</v>
      </c>
      <c r="J155" s="155"/>
      <c r="K155" s="154"/>
      <c r="L155" s="33">
        <v>0</v>
      </c>
      <c r="M155" s="42"/>
      <c r="N155" s="60">
        <f t="shared" ref="N155:N161" si="56">L155-I155</f>
        <v>0</v>
      </c>
      <c r="O155" s="155"/>
      <c r="P155" s="154"/>
      <c r="Q155" s="34">
        <v>0</v>
      </c>
      <c r="R155" s="42"/>
      <c r="S155" s="86">
        <f t="shared" ref="S155:S161" si="57">L155-Q155</f>
        <v>0</v>
      </c>
      <c r="T155" s="115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">
        <v>331</v>
      </c>
      <c r="B156" s="12" t="s">
        <v>74</v>
      </c>
      <c r="C156" s="481" t="s">
        <v>82</v>
      </c>
      <c r="D156" s="153"/>
      <c r="E156" s="154"/>
      <c r="F156" s="31">
        <v>0</v>
      </c>
      <c r="G156" s="155"/>
      <c r="H156" s="154"/>
      <c r="I156" s="31">
        <v>0</v>
      </c>
      <c r="J156" s="155"/>
      <c r="K156" s="154"/>
      <c r="L156" s="34">
        <v>0</v>
      </c>
      <c r="M156" s="42"/>
      <c r="N156" s="60">
        <f t="shared" si="56"/>
        <v>0</v>
      </c>
      <c r="O156" s="155"/>
      <c r="P156" s="154"/>
      <c r="Q156" s="34">
        <v>0</v>
      </c>
      <c r="R156" s="42"/>
      <c r="S156" s="86">
        <f t="shared" si="57"/>
        <v>0</v>
      </c>
      <c r="T156" s="115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">
        <v>332</v>
      </c>
      <c r="B157" s="12" t="s">
        <v>74</v>
      </c>
      <c r="C157" s="481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f t="shared" si="56"/>
        <v>0</v>
      </c>
      <c r="O157" s="42"/>
      <c r="P157" s="14"/>
      <c r="Q157" s="34">
        <v>0</v>
      </c>
      <c r="R157" s="42"/>
      <c r="S157" s="86">
        <f t="shared" si="57"/>
        <v>0</v>
      </c>
      <c r="T157" s="115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">
        <v>333</v>
      </c>
      <c r="B158" s="12" t="s">
        <v>74</v>
      </c>
      <c r="C158" s="481" t="s">
        <v>71</v>
      </c>
      <c r="D158" s="429">
        <f>+D96</f>
        <v>35.364077669902912</v>
      </c>
      <c r="E158" s="503">
        <f>+F158/D158</f>
        <v>359.1</v>
      </c>
      <c r="F158" s="31">
        <v>12699.240291262136</v>
      </c>
      <c r="G158" s="84"/>
      <c r="H158" s="14"/>
      <c r="I158" s="31">
        <v>12699.240291262136</v>
      </c>
      <c r="J158" s="160">
        <f>+J96</f>
        <v>34</v>
      </c>
      <c r="K158" s="503">
        <f>+L158/J158</f>
        <v>361.26470588235293</v>
      </c>
      <c r="L158" s="33">
        <v>12283</v>
      </c>
      <c r="M158" s="42"/>
      <c r="N158" s="60">
        <f t="shared" si="56"/>
        <v>-416.24029126213645</v>
      </c>
      <c r="O158" s="42"/>
      <c r="P158" s="14"/>
      <c r="Q158" s="34">
        <f>349*O96</f>
        <v>13262</v>
      </c>
      <c r="R158" s="42"/>
      <c r="S158" s="86">
        <f t="shared" si="57"/>
        <v>-979</v>
      </c>
      <c r="T158" s="115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">
        <v>303</v>
      </c>
      <c r="B159" s="12" t="s">
        <v>74</v>
      </c>
      <c r="C159" s="481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f t="shared" si="56"/>
        <v>0</v>
      </c>
      <c r="O159" s="42"/>
      <c r="P159" s="14"/>
      <c r="Q159" s="34">
        <v>0</v>
      </c>
      <c r="R159" s="42"/>
      <c r="S159" s="86">
        <f t="shared" si="57"/>
        <v>0</v>
      </c>
      <c r="T159" s="115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">
        <v>303</v>
      </c>
      <c r="B160" s="12" t="s">
        <v>74</v>
      </c>
      <c r="C160" s="481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f t="shared" si="56"/>
        <v>0</v>
      </c>
      <c r="O160" s="42"/>
      <c r="P160" s="14"/>
      <c r="Q160" s="34">
        <v>0</v>
      </c>
      <c r="R160" s="42"/>
      <c r="S160" s="86">
        <f t="shared" si="57"/>
        <v>0</v>
      </c>
      <c r="T160" s="115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">
        <v>303</v>
      </c>
      <c r="B161" s="12" t="s">
        <v>74</v>
      </c>
      <c r="C161" s="88" t="s">
        <v>21</v>
      </c>
      <c r="D161" s="89"/>
      <c r="E161" s="114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f t="shared" si="56"/>
        <v>0</v>
      </c>
      <c r="O161" s="42"/>
      <c r="P161" s="14"/>
      <c r="Q161" s="34">
        <v>0</v>
      </c>
      <c r="R161" s="42"/>
      <c r="S161" s="86">
        <f t="shared" si="57"/>
        <v>0</v>
      </c>
      <c r="T161" s="115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6" t="s">
        <v>72</v>
      </c>
      <c r="D162" s="97"/>
      <c r="E162" s="98"/>
      <c r="F162" s="99">
        <f>+SUM(F155:F161)</f>
        <v>12699.240291262136</v>
      </c>
      <c r="G162" s="100"/>
      <c r="H162" s="98"/>
      <c r="I162" s="99">
        <f>+SUM(I155:I161)</f>
        <v>12699.240291262136</v>
      </c>
      <c r="J162" s="100"/>
      <c r="K162" s="98"/>
      <c r="L162" s="99">
        <f>+SUM(L155:L161)</f>
        <v>12283</v>
      </c>
      <c r="M162" s="103"/>
      <c r="N162" s="99">
        <f>SUM(N157:N157)</f>
        <v>0</v>
      </c>
      <c r="O162" s="100"/>
      <c r="P162" s="98"/>
      <c r="Q162" s="99">
        <f>+SUM(Q155:Q161)</f>
        <v>13262</v>
      </c>
      <c r="R162" s="103"/>
      <c r="S162" s="104">
        <f>+SUM(S155:S161)</f>
        <v>-979</v>
      </c>
      <c r="T162" s="11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481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7" t="s">
        <v>73</v>
      </c>
      <c r="D164" s="156"/>
      <c r="E164" s="128"/>
      <c r="F164" s="130">
        <f>F107-F154+F162</f>
        <v>38894.9999943945</v>
      </c>
      <c r="G164" s="157"/>
      <c r="H164" s="128"/>
      <c r="I164" s="130">
        <f>I107-I154+I162</f>
        <v>38894.9999943945</v>
      </c>
      <c r="J164" s="158"/>
      <c r="K164" s="129"/>
      <c r="L164" s="130">
        <f>L107-L154+L162</f>
        <v>61412.399999999965</v>
      </c>
      <c r="M164" s="158"/>
      <c r="N164" s="130">
        <f>L164-I164</f>
        <v>22517.400005605465</v>
      </c>
      <c r="O164" s="158"/>
      <c r="P164" s="129"/>
      <c r="Q164" s="130">
        <f>Q107-Q154+Q162</f>
        <v>83803.969000000026</v>
      </c>
      <c r="R164" s="158"/>
      <c r="S164" s="132">
        <f>L164-Q164</f>
        <v>-22391.569000000061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59"/>
      <c r="M165" s="11"/>
      <c r="N165" s="11"/>
      <c r="O165" s="11"/>
      <c r="P165" s="11"/>
      <c r="Q165" s="11"/>
      <c r="R165" s="11"/>
      <c r="S165" s="11"/>
      <c r="T165" s="159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9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475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Septembre 2022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64" t="s">
        <v>5</v>
      </c>
      <c r="E169" s="565"/>
      <c r="F169" s="566"/>
      <c r="G169" s="562" t="s">
        <v>75</v>
      </c>
      <c r="H169" s="565"/>
      <c r="I169" s="566"/>
      <c r="J169" s="562" t="s">
        <v>7</v>
      </c>
      <c r="K169" s="565"/>
      <c r="L169" s="566"/>
      <c r="M169" s="562" t="s">
        <v>8</v>
      </c>
      <c r="N169" s="566"/>
      <c r="O169" s="564" t="s">
        <v>9</v>
      </c>
      <c r="P169" s="565"/>
      <c r="Q169" s="566"/>
      <c r="R169" s="562" t="s">
        <v>10</v>
      </c>
      <c r="S169" s="563"/>
      <c r="T169" s="153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">
        <v>84</v>
      </c>
      <c r="B170" s="12" t="s">
        <v>84</v>
      </c>
      <c r="C170" s="481"/>
      <c r="D170" s="81" t="s">
        <v>41</v>
      </c>
      <c r="E170" s="81" t="s">
        <v>85</v>
      </c>
      <c r="F170" s="137" t="s">
        <v>13</v>
      </c>
      <c r="G170" s="138" t="s">
        <v>41</v>
      </c>
      <c r="H170" s="81" t="s">
        <v>85</v>
      </c>
      <c r="I170" s="137" t="s">
        <v>13</v>
      </c>
      <c r="J170" s="138" t="s">
        <v>41</v>
      </c>
      <c r="K170" s="81" t="s">
        <v>85</v>
      </c>
      <c r="L170" s="137" t="s">
        <v>13</v>
      </c>
      <c r="M170" s="138" t="s">
        <v>41</v>
      </c>
      <c r="N170" s="137" t="s">
        <v>13</v>
      </c>
      <c r="O170" s="81" t="s">
        <v>41</v>
      </c>
      <c r="P170" s="81" t="s">
        <v>85</v>
      </c>
      <c r="Q170" s="137" t="s">
        <v>13</v>
      </c>
      <c r="R170" s="138" t="s">
        <v>86</v>
      </c>
      <c r="S170" s="139" t="s">
        <v>13</v>
      </c>
      <c r="T170" s="8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">
        <v>334</v>
      </c>
      <c r="B171" s="12" t="s">
        <v>84</v>
      </c>
      <c r="C171" s="481" t="s">
        <v>87</v>
      </c>
      <c r="D171" s="83">
        <v>306.58361702091241</v>
      </c>
      <c r="E171" s="83">
        <v>76032.737021186273</v>
      </c>
      <c r="F171" s="83">
        <v>57100.585502910893</v>
      </c>
      <c r="G171" s="61">
        <v>306.58361702091241</v>
      </c>
      <c r="H171" s="83">
        <v>76032.737021186273</v>
      </c>
      <c r="I171" s="83">
        <v>57100.585502910893</v>
      </c>
      <c r="J171" s="61">
        <v>360</v>
      </c>
      <c r="K171" s="31">
        <v>111776.84999999999</v>
      </c>
      <c r="L171" s="34">
        <v>85899.969999999987</v>
      </c>
      <c r="M171" s="161">
        <f>(J171-G171)/G171</f>
        <v>0.1742310417566898</v>
      </c>
      <c r="N171" s="60">
        <f>L171-I171</f>
        <v>28799.384497089093</v>
      </c>
      <c r="O171" s="61">
        <v>292</v>
      </c>
      <c r="P171" s="31">
        <v>69896.75</v>
      </c>
      <c r="Q171" s="34">
        <v>54436.93</v>
      </c>
      <c r="R171" s="161">
        <f>IF(O171=0,0,J171/O171)</f>
        <v>1.2328767123287672</v>
      </c>
      <c r="S171" s="86">
        <f>L171-Q171</f>
        <v>31463.039999999986</v>
      </c>
      <c r="T171" s="83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">
        <v>335</v>
      </c>
      <c r="B172" s="12" t="s">
        <v>84</v>
      </c>
      <c r="C172" s="481" t="s">
        <v>88</v>
      </c>
      <c r="D172" s="83"/>
      <c r="E172" s="147"/>
      <c r="F172" s="162">
        <f>F171/E171</f>
        <v>0.751</v>
      </c>
      <c r="G172" s="61"/>
      <c r="H172" s="147"/>
      <c r="I172" s="162">
        <f>I171/H171</f>
        <v>0.751</v>
      </c>
      <c r="J172" s="61"/>
      <c r="K172" s="14"/>
      <c r="L172" s="162">
        <f>IF(L171=0,0,L171/K171)</f>
        <v>0.76849517587944183</v>
      </c>
      <c r="M172" s="161"/>
      <c r="N172" s="60"/>
      <c r="O172" s="61"/>
      <c r="P172" s="14"/>
      <c r="Q172" s="162">
        <f>IF(Q171=0,0,Q171/P171)</f>
        <v>0.77881918687206486</v>
      </c>
      <c r="R172" s="61"/>
      <c r="S172" s="86"/>
      <c r="T172" s="83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">
        <v>84</v>
      </c>
      <c r="B173" s="12" t="s">
        <v>84</v>
      </c>
      <c r="C173" s="88"/>
      <c r="D173" s="90"/>
      <c r="E173" s="511">
        <f t="shared" ref="E173" si="58">IFERROR(E171/D171,0)</f>
        <v>247.99999999999997</v>
      </c>
      <c r="F173" s="164"/>
      <c r="G173" s="165"/>
      <c r="H173" s="511">
        <f t="shared" ref="H173" si="59">IFERROR(H171/G171,0)</f>
        <v>247.99999999999997</v>
      </c>
      <c r="I173" s="164"/>
      <c r="J173" s="165"/>
      <c r="K173" s="511">
        <f t="shared" ref="K173" si="60">IFERROR(K171/J171,0)</f>
        <v>310.49124999999998</v>
      </c>
      <c r="L173" s="164"/>
      <c r="M173" s="166"/>
      <c r="N173" s="94"/>
      <c r="O173" s="165"/>
      <c r="P173" s="511">
        <f t="shared" ref="P173" si="61">IFERROR(P171/O171,0)</f>
        <v>239.37243150684932</v>
      </c>
      <c r="Q173" s="164"/>
      <c r="R173" s="165"/>
      <c r="S173" s="95"/>
      <c r="T173" s="83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">
        <v>336</v>
      </c>
      <c r="B174" s="12" t="s">
        <v>84</v>
      </c>
      <c r="C174" s="15" t="s">
        <v>89</v>
      </c>
      <c r="D174" s="167">
        <v>315.26719607555287</v>
      </c>
      <c r="E174" s="83">
        <v>62453.683638025766</v>
      </c>
      <c r="F174" s="83">
        <v>43995.566708330713</v>
      </c>
      <c r="G174" s="168">
        <v>315.26719607555287</v>
      </c>
      <c r="H174" s="83">
        <v>62453.683638025766</v>
      </c>
      <c r="I174" s="83">
        <v>43995.566708330713</v>
      </c>
      <c r="J174" s="168">
        <v>198</v>
      </c>
      <c r="K174" s="169">
        <v>51292.72</v>
      </c>
      <c r="L174" s="34">
        <v>34196.160000000003</v>
      </c>
      <c r="M174" s="161">
        <f>(J174-G174)/G174</f>
        <v>-0.37196129992366894</v>
      </c>
      <c r="N174" s="112">
        <f>L174-I174</f>
        <v>-9799.4067083307091</v>
      </c>
      <c r="O174" s="168">
        <v>379</v>
      </c>
      <c r="P174" s="169">
        <v>68120.67</v>
      </c>
      <c r="Q174" s="34">
        <v>49561.869999999995</v>
      </c>
      <c r="R174" s="161">
        <f>IF(O174=0,0,J174/O174)</f>
        <v>0.52242744063324542</v>
      </c>
      <c r="S174" s="86">
        <f>L174-Q174</f>
        <v>-15365.709999999992</v>
      </c>
      <c r="T174" s="83"/>
      <c r="U174" s="14" t="s">
        <v>499</v>
      </c>
      <c r="V174" s="31">
        <f>+K174+J296</f>
        <v>130645.02</v>
      </c>
      <c r="W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">
        <v>335</v>
      </c>
      <c r="B175" s="12" t="s">
        <v>84</v>
      </c>
      <c r="C175" s="481" t="s">
        <v>88</v>
      </c>
      <c r="D175" s="14"/>
      <c r="E175" s="14"/>
      <c r="F175" s="162">
        <f>F174/E174</f>
        <v>0.70445110913431241</v>
      </c>
      <c r="G175" s="42"/>
      <c r="H175" s="14"/>
      <c r="I175" s="162">
        <f>I174/H174</f>
        <v>0.70445110913431241</v>
      </c>
      <c r="J175" s="42"/>
      <c r="K175" s="14"/>
      <c r="L175" s="162">
        <f>IF(L174=0,0,L174/K174)</f>
        <v>0.66668642255665134</v>
      </c>
      <c r="M175" s="43"/>
      <c r="N175" s="44"/>
      <c r="O175" s="42"/>
      <c r="P175" s="14"/>
      <c r="Q175" s="162">
        <f>IF(Q174=0,0,Q174/P174)</f>
        <v>0.72755993151564713</v>
      </c>
      <c r="R175" s="43"/>
      <c r="S175" s="45"/>
      <c r="T175" s="14"/>
      <c r="U175" s="14" t="s">
        <v>500</v>
      </c>
      <c r="V175" s="31">
        <f>+L174+L296</f>
        <v>52672.450000000004</v>
      </c>
      <c r="W175" s="512">
        <f>+V175/V174</f>
        <v>0.40317227552952267</v>
      </c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">
        <v>84</v>
      </c>
      <c r="B176" s="12" t="s">
        <v>84</v>
      </c>
      <c r="C176" s="88"/>
      <c r="D176" s="114"/>
      <c r="E176" s="511">
        <f t="shared" ref="E176" si="62">IFERROR(E174/D174,0)</f>
        <v>198.09762771214204</v>
      </c>
      <c r="F176" s="164"/>
      <c r="G176" s="165"/>
      <c r="H176" s="511">
        <f t="shared" ref="H176" si="63">IFERROR(H174/G174,0)</f>
        <v>198.09762771214204</v>
      </c>
      <c r="I176" s="164"/>
      <c r="J176" s="165"/>
      <c r="K176" s="511">
        <f t="shared" ref="K176" si="64">IFERROR(K174/J174,0)</f>
        <v>259.05414141414144</v>
      </c>
      <c r="L176" s="164"/>
      <c r="M176" s="166"/>
      <c r="N176" s="94"/>
      <c r="O176" s="165"/>
      <c r="P176" s="511">
        <f t="shared" ref="P176" si="65">IFERROR(P174/O174,0)</f>
        <v>179.73791556728233</v>
      </c>
      <c r="Q176" s="164"/>
      <c r="R176" s="170"/>
      <c r="S176" s="172"/>
      <c r="T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">
        <v>337</v>
      </c>
      <c r="B177" s="12" t="s">
        <v>84</v>
      </c>
      <c r="C177" s="481" t="s">
        <v>90</v>
      </c>
      <c r="D177" s="83">
        <v>319.14337237196088</v>
      </c>
      <c r="E177" s="83">
        <v>68739.256456288451</v>
      </c>
      <c r="F177" s="83">
        <v>50711.841162996978</v>
      </c>
      <c r="G177" s="61">
        <v>319.14337237196088</v>
      </c>
      <c r="H177" s="83">
        <v>68739.256456288451</v>
      </c>
      <c r="I177" s="83">
        <v>50711.841162996978</v>
      </c>
      <c r="J177" s="61">
        <v>254</v>
      </c>
      <c r="K177" s="169">
        <v>67503.789999999994</v>
      </c>
      <c r="L177" s="34">
        <v>50012.109999999993</v>
      </c>
      <c r="M177" s="161">
        <f>(J177-G177)/G177</f>
        <v>-0.20411945856120248</v>
      </c>
      <c r="N177" s="60">
        <f t="shared" ref="N177:N178" si="66">L177-I177</f>
        <v>-699.73116299698449</v>
      </c>
      <c r="O177" s="61">
        <v>294</v>
      </c>
      <c r="P177" s="169">
        <v>72393.67</v>
      </c>
      <c r="Q177" s="34">
        <v>55878.96</v>
      </c>
      <c r="R177" s="161">
        <f>IF(O177=0,0,J177/O177)</f>
        <v>0.86394557823129248</v>
      </c>
      <c r="S177" s="86">
        <f>L177-Q177</f>
        <v>-5866.8500000000058</v>
      </c>
      <c r="T177" s="83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">
        <v>335</v>
      </c>
      <c r="B178" s="12" t="s">
        <v>84</v>
      </c>
      <c r="C178" s="481" t="s">
        <v>88</v>
      </c>
      <c r="D178" s="83"/>
      <c r="E178" s="147"/>
      <c r="F178" s="162">
        <f>F177/E177</f>
        <v>0.73774206730392589</v>
      </c>
      <c r="G178" s="61"/>
      <c r="H178" s="147"/>
      <c r="I178" s="162">
        <f>I177/H177</f>
        <v>0.73774206730392589</v>
      </c>
      <c r="J178" s="61"/>
      <c r="K178" s="147"/>
      <c r="L178" s="162">
        <f>IF(L177=0,0,L177/K177)</f>
        <v>0.74087854918960838</v>
      </c>
      <c r="M178" s="161"/>
      <c r="N178" s="60">
        <f t="shared" si="66"/>
        <v>3.1364818856824961E-3</v>
      </c>
      <c r="O178" s="61"/>
      <c r="P178" s="147"/>
      <c r="Q178" s="162">
        <f>IF(Q177=0,0,Q177/P177)</f>
        <v>0.77187632565112396</v>
      </c>
      <c r="R178" s="61">
        <f>O178-K178</f>
        <v>0</v>
      </c>
      <c r="S178" s="86"/>
      <c r="T178" s="83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">
        <v>84</v>
      </c>
      <c r="B179" s="12" t="s">
        <v>84</v>
      </c>
      <c r="C179" s="481"/>
      <c r="D179" s="83"/>
      <c r="E179" s="511">
        <f t="shared" ref="E179" si="67">IFERROR(E177/D177,0)</f>
        <v>215.38675845091029</v>
      </c>
      <c r="F179" s="164"/>
      <c r="G179" s="165"/>
      <c r="H179" s="511">
        <f t="shared" ref="H179" si="68">IFERROR(H177/G177,0)</f>
        <v>215.38675845091029</v>
      </c>
      <c r="I179" s="164"/>
      <c r="J179" s="165"/>
      <c r="K179" s="511">
        <f t="shared" ref="K179" si="69">IFERROR(K177/J177,0)</f>
        <v>265.76295275590547</v>
      </c>
      <c r="L179" s="164"/>
      <c r="M179" s="166"/>
      <c r="N179" s="94"/>
      <c r="O179" s="165"/>
      <c r="P179" s="511">
        <f t="shared" ref="P179" si="70">IFERROR(P177/O177,0)</f>
        <v>246.23697278911564</v>
      </c>
      <c r="Q179" s="162"/>
      <c r="R179" s="175"/>
      <c r="S179" s="86"/>
      <c r="T179" s="83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">
        <v>338</v>
      </c>
      <c r="B180" s="12" t="s">
        <v>84</v>
      </c>
      <c r="C180" s="15" t="s">
        <v>91</v>
      </c>
      <c r="D180" s="167">
        <v>0</v>
      </c>
      <c r="E180" s="83">
        <v>220.29057478104727</v>
      </c>
      <c r="F180" s="83">
        <v>83.303005058105725</v>
      </c>
      <c r="G180" s="168">
        <v>0</v>
      </c>
      <c r="H180" s="83">
        <v>220.29057478104727</v>
      </c>
      <c r="I180" s="83">
        <v>83.303005058105725</v>
      </c>
      <c r="J180" s="168">
        <v>0</v>
      </c>
      <c r="K180" s="169">
        <v>800.39</v>
      </c>
      <c r="L180" s="111">
        <v>553.14</v>
      </c>
      <c r="M180" s="176">
        <f>IF(G180=0,0,(J180-G180)/G180)</f>
        <v>0</v>
      </c>
      <c r="N180" s="112">
        <f>L180-I180</f>
        <v>469.83699494189426</v>
      </c>
      <c r="O180" s="168">
        <v>0</v>
      </c>
      <c r="P180" s="169">
        <v>247.33</v>
      </c>
      <c r="Q180" s="111">
        <v>-2060.16</v>
      </c>
      <c r="R180" s="161">
        <f>IF(O180=0,0,J180/O180)</f>
        <v>0</v>
      </c>
      <c r="S180" s="113">
        <f>L180-Q180</f>
        <v>2613.2999999999997</v>
      </c>
      <c r="T180" s="83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">
        <v>335</v>
      </c>
      <c r="B181" s="12" t="s">
        <v>84</v>
      </c>
      <c r="C181" s="481" t="s">
        <v>88</v>
      </c>
      <c r="D181" s="77"/>
      <c r="E181" s="177"/>
      <c r="F181" s="162">
        <f>IFERROR(F180/E180,0)</f>
        <v>0.37815056382191031</v>
      </c>
      <c r="G181" s="79"/>
      <c r="H181" s="177"/>
      <c r="I181" s="162">
        <f>IFERROR(I180/H180,0)</f>
        <v>0.37815056382191031</v>
      </c>
      <c r="J181" s="178"/>
      <c r="K181" s="177">
        <f>IF(J181&lt;=0,0,L181/J181)</f>
        <v>0</v>
      </c>
      <c r="L181" s="162">
        <f>IF(L180=0,0,L180/K180)</f>
        <v>0.69108809455390496</v>
      </c>
      <c r="M181" s="61">
        <f>J181-G181</f>
        <v>0</v>
      </c>
      <c r="N181" s="179"/>
      <c r="O181" s="178"/>
      <c r="P181" s="177">
        <f>IF(O181&lt;=0,0,Q181/O181)</f>
        <v>0</v>
      </c>
      <c r="Q181" s="162">
        <f>IF(Q180=0,0,Q180/P180)</f>
        <v>-8.3296001293817969</v>
      </c>
      <c r="R181" s="42"/>
      <c r="S181" s="180"/>
      <c r="T181" s="115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">
        <v>84</v>
      </c>
      <c r="B182" s="12" t="s">
        <v>84</v>
      </c>
      <c r="C182" s="88"/>
      <c r="D182" s="181"/>
      <c r="E182" s="182"/>
      <c r="F182" s="164"/>
      <c r="G182" s="183"/>
      <c r="H182" s="182"/>
      <c r="I182" s="164"/>
      <c r="J182" s="513"/>
      <c r="K182" s="26"/>
      <c r="L182" s="164"/>
      <c r="M182" s="165"/>
      <c r="N182" s="184"/>
      <c r="O182" s="513"/>
      <c r="P182" s="26"/>
      <c r="Q182" s="164"/>
      <c r="R182" s="24"/>
      <c r="S182" s="185"/>
      <c r="T182" s="115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">
        <v>339</v>
      </c>
      <c r="B183" s="12" t="s">
        <v>84</v>
      </c>
      <c r="C183" s="481" t="s">
        <v>92</v>
      </c>
      <c r="D183" s="14"/>
      <c r="E183" s="14"/>
      <c r="F183" s="60">
        <v>-3242.4267491265255</v>
      </c>
      <c r="G183" s="42"/>
      <c r="H183" s="83"/>
      <c r="I183" s="83">
        <v>-3242.4267491265255</v>
      </c>
      <c r="J183" s="61"/>
      <c r="K183" s="83"/>
      <c r="L183" s="83">
        <v>-199.45</v>
      </c>
      <c r="M183" s="178"/>
      <c r="N183" s="60">
        <f t="shared" ref="N183:N184" si="71">L183-I183</f>
        <v>3042.9767491265256</v>
      </c>
      <c r="O183" s="61"/>
      <c r="P183" s="83"/>
      <c r="Q183" s="34">
        <v>-2904.6</v>
      </c>
      <c r="R183" s="186"/>
      <c r="S183" s="86">
        <f t="shared" ref="S183:S184" si="72">L183-Q183</f>
        <v>2705.15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">
        <v>340</v>
      </c>
      <c r="B184" s="12" t="s">
        <v>84</v>
      </c>
      <c r="C184" s="187" t="s">
        <v>93</v>
      </c>
      <c r="D184" s="188">
        <f t="shared" ref="D184:L184" si="73">D171+D174+D177+D180+D183</f>
        <v>940.99418546842617</v>
      </c>
      <c r="E184" s="188">
        <f t="shared" si="73"/>
        <v>207445.96769028154</v>
      </c>
      <c r="F184" s="189">
        <f t="shared" si="73"/>
        <v>148648.86963017017</v>
      </c>
      <c r="G184" s="190">
        <f t="shared" si="73"/>
        <v>940.99418546842617</v>
      </c>
      <c r="H184" s="188">
        <f t="shared" si="73"/>
        <v>207445.96769028154</v>
      </c>
      <c r="I184" s="189">
        <f t="shared" si="73"/>
        <v>148648.86963017017</v>
      </c>
      <c r="J184" s="190">
        <f t="shared" si="73"/>
        <v>812</v>
      </c>
      <c r="K184" s="188">
        <f t="shared" si="73"/>
        <v>231373.75</v>
      </c>
      <c r="L184" s="189">
        <f t="shared" si="73"/>
        <v>170461.93</v>
      </c>
      <c r="M184" s="191">
        <f>(K184-H184)/H184</f>
        <v>0.11534464890367417</v>
      </c>
      <c r="N184" s="189">
        <f t="shared" si="71"/>
        <v>21813.060369829822</v>
      </c>
      <c r="O184" s="190">
        <f t="shared" ref="O184:Q184" si="74">O171+O174+O177+O180+O183</f>
        <v>965</v>
      </c>
      <c r="P184" s="188">
        <f t="shared" si="74"/>
        <v>210658.41999999995</v>
      </c>
      <c r="Q184" s="189">
        <f t="shared" si="74"/>
        <v>154912.99999999997</v>
      </c>
      <c r="R184" s="43">
        <f>IF(O184=0,0,J184/O184)</f>
        <v>0.84145077720207251</v>
      </c>
      <c r="S184" s="192">
        <f t="shared" si="72"/>
        <v>15548.930000000022</v>
      </c>
      <c r="T184" s="115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">
        <v>341</v>
      </c>
      <c r="B185" s="12" t="s">
        <v>84</v>
      </c>
      <c r="C185" s="193" t="s">
        <v>94</v>
      </c>
      <c r="D185" s="194"/>
      <c r="E185" s="514">
        <f>IF(D184=0,0,E184/D184)</f>
        <v>220.45403775477646</v>
      </c>
      <c r="F185" s="195">
        <f>F184/E184</f>
        <v>0.71656668618453989</v>
      </c>
      <c r="G185" s="196"/>
      <c r="H185" s="514">
        <f>IF(G184=0,0,H184/G184)</f>
        <v>220.45403775477646</v>
      </c>
      <c r="I185" s="44">
        <f>I184/H184</f>
        <v>0.71656668618453989</v>
      </c>
      <c r="J185" s="196"/>
      <c r="K185" s="514">
        <f>IF(J184=0,0,K184/J184)</f>
        <v>284.9430418719212</v>
      </c>
      <c r="L185" s="44">
        <f>IF(L184=0,0,L184/K184)</f>
        <v>0.73673841565864751</v>
      </c>
      <c r="M185" s="196"/>
      <c r="N185" s="195">
        <f>N184/I184</f>
        <v>0.14674218797693828</v>
      </c>
      <c r="O185" s="196"/>
      <c r="P185" s="514">
        <f>IF(O184=0,0,P184/O184)</f>
        <v>218.2988808290155</v>
      </c>
      <c r="Q185" s="44">
        <f>IF(Q184=0,0,Q184/P184)</f>
        <v>0.73537530567256704</v>
      </c>
      <c r="R185" s="196"/>
      <c r="S185" s="45">
        <f>S184/Q184</f>
        <v>0.10037201526017846</v>
      </c>
      <c r="T185" s="115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">
        <v>84</v>
      </c>
      <c r="B186" s="12" t="s">
        <v>84</v>
      </c>
      <c r="C186" s="36"/>
      <c r="D186" s="197"/>
      <c r="E186" s="198"/>
      <c r="F186" s="199"/>
      <c r="G186" s="200"/>
      <c r="H186" s="198"/>
      <c r="I186" s="199">
        <f>H184-I184</f>
        <v>58797.09806011137</v>
      </c>
      <c r="J186" s="200"/>
      <c r="K186" s="198"/>
      <c r="L186" s="199">
        <f>K184-L184</f>
        <v>60911.820000000007</v>
      </c>
      <c r="M186" s="200"/>
      <c r="N186" s="199"/>
      <c r="O186" s="200"/>
      <c r="P186" s="198"/>
      <c r="Q186" s="199"/>
      <c r="R186" s="200"/>
      <c r="S186" s="201"/>
      <c r="T186" s="115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">
        <v>342</v>
      </c>
      <c r="B187" s="12" t="s">
        <v>84</v>
      </c>
      <c r="C187" s="481" t="s">
        <v>95</v>
      </c>
      <c r="D187" s="83"/>
      <c r="E187" s="83">
        <v>27614.687066869901</v>
      </c>
      <c r="F187" s="83">
        <v>6051.0874684984065</v>
      </c>
      <c r="G187" s="61"/>
      <c r="H187" s="83">
        <v>27614.687066869901</v>
      </c>
      <c r="I187" s="83">
        <v>6051.0874684984065</v>
      </c>
      <c r="J187" s="61"/>
      <c r="K187" s="31">
        <v>27467.200000000001</v>
      </c>
      <c r="L187" s="34">
        <v>5556.630000000001</v>
      </c>
      <c r="M187" s="85">
        <f>IF(G187=0,0,(J187-G187)/G187)</f>
        <v>0</v>
      </c>
      <c r="N187" s="60">
        <f>L187-I187</f>
        <v>-494.45746849840543</v>
      </c>
      <c r="O187" s="61"/>
      <c r="P187" s="31">
        <v>28158.63</v>
      </c>
      <c r="Q187" s="34">
        <v>6551.880000000001</v>
      </c>
      <c r="R187" s="161">
        <f>IF(O187=0,0,J187/O187)</f>
        <v>0</v>
      </c>
      <c r="S187" s="86">
        <f>L187-Q187</f>
        <v>-995.25</v>
      </c>
      <c r="T187" s="115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">
        <v>335</v>
      </c>
      <c r="B188" s="12" t="s">
        <v>84</v>
      </c>
      <c r="C188" s="481" t="s">
        <v>88</v>
      </c>
      <c r="D188" s="14"/>
      <c r="E188" s="147"/>
      <c r="F188" s="162">
        <f>IFERROR(F187/E187,0)</f>
        <v>0.21912569401367804</v>
      </c>
      <c r="G188" s="42"/>
      <c r="H188" s="147"/>
      <c r="I188" s="162">
        <f>IFERROR(I187/H187,0)</f>
        <v>0.21912569401367804</v>
      </c>
      <c r="J188" s="178"/>
      <c r="K188" s="177"/>
      <c r="L188" s="162">
        <f>IF(L187=0,0,L187/K187)</f>
        <v>0.2023005621250073</v>
      </c>
      <c r="M188" s="178"/>
      <c r="N188" s="179"/>
      <c r="O188" s="178"/>
      <c r="P188" s="177"/>
      <c r="Q188" s="162">
        <f>IF(Q187=0,0,Q187/P187)</f>
        <v>0.23267751307503245</v>
      </c>
      <c r="R188" s="178"/>
      <c r="S188" s="180"/>
      <c r="T188" s="115"/>
      <c r="U188" s="14"/>
      <c r="V188" s="14">
        <v>6445</v>
      </c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">
        <v>84</v>
      </c>
      <c r="B189" s="12" t="s">
        <v>84</v>
      </c>
      <c r="C189" s="481"/>
      <c r="D189" s="14"/>
      <c r="E189" s="147"/>
      <c r="F189" s="162"/>
      <c r="G189" s="42"/>
      <c r="H189" s="147"/>
      <c r="I189" s="162"/>
      <c r="J189" s="178"/>
      <c r="K189" s="177"/>
      <c r="L189" s="162"/>
      <c r="M189" s="178"/>
      <c r="N189" s="179"/>
      <c r="O189" s="178"/>
      <c r="P189" s="177"/>
      <c r="Q189" s="162"/>
      <c r="R189" s="178"/>
      <c r="S189" s="180"/>
      <c r="T189" s="115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">
        <v>343</v>
      </c>
      <c r="B190" s="12" t="s">
        <v>84</v>
      </c>
      <c r="C190" s="481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78"/>
      <c r="K190" s="31">
        <v>0</v>
      </c>
      <c r="L190" s="162"/>
      <c r="M190" s="178"/>
      <c r="N190" s="179"/>
      <c r="O190" s="178"/>
      <c r="P190" s="31">
        <v>0</v>
      </c>
      <c r="Q190" s="162"/>
      <c r="R190" s="178"/>
      <c r="S190" s="180"/>
      <c r="T190" s="115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">
        <v>335</v>
      </c>
      <c r="B191" s="12" t="s">
        <v>84</v>
      </c>
      <c r="C191" s="481" t="s">
        <v>88</v>
      </c>
      <c r="D191" s="14"/>
      <c r="E191" s="147"/>
      <c r="F191" s="162">
        <f>IF(F190=0,0,F190/E190)</f>
        <v>0</v>
      </c>
      <c r="G191" s="42"/>
      <c r="H191" s="147"/>
      <c r="I191" s="162">
        <f>IF(I190=0,0,I190/H190)</f>
        <v>0</v>
      </c>
      <c r="J191" s="178"/>
      <c r="K191" s="177"/>
      <c r="L191" s="162">
        <f>IF(L190=0,0,L190/K190)</f>
        <v>0</v>
      </c>
      <c r="M191" s="178"/>
      <c r="N191" s="179"/>
      <c r="O191" s="178"/>
      <c r="P191" s="177"/>
      <c r="Q191" s="162">
        <f>IF(Q190=0,0,Q190/P190)</f>
        <v>0</v>
      </c>
      <c r="R191" s="178"/>
      <c r="S191" s="180"/>
      <c r="T191" s="115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">
        <v>84</v>
      </c>
      <c r="B192" s="12" t="s">
        <v>84</v>
      </c>
      <c r="C192" s="202"/>
      <c r="D192" s="203"/>
      <c r="E192" s="204"/>
      <c r="F192" s="205"/>
      <c r="G192" s="206"/>
      <c r="H192" s="204"/>
      <c r="I192" s="205"/>
      <c r="J192" s="206"/>
      <c r="K192" s="204"/>
      <c r="L192" s="205"/>
      <c r="M192" s="206"/>
      <c r="N192" s="205"/>
      <c r="O192" s="206"/>
      <c r="P192" s="204"/>
      <c r="Q192" s="205"/>
      <c r="R192" s="206"/>
      <c r="S192" s="207"/>
      <c r="T192" s="115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">
        <v>344</v>
      </c>
      <c r="B193" s="12" t="s">
        <v>84</v>
      </c>
      <c r="C193" s="63" t="s">
        <v>97</v>
      </c>
      <c r="D193" s="64"/>
      <c r="E193" s="64">
        <f t="shared" ref="E193:F193" si="75">E184+E187+E190</f>
        <v>235060.65475715144</v>
      </c>
      <c r="F193" s="66">
        <f t="shared" si="75"/>
        <v>154699.95709866859</v>
      </c>
      <c r="G193" s="67"/>
      <c r="H193" s="64">
        <f t="shared" ref="H193:I193" si="76">H184+H187+H190</f>
        <v>235060.65475715144</v>
      </c>
      <c r="I193" s="66">
        <f t="shared" si="76"/>
        <v>154699.95709866859</v>
      </c>
      <c r="J193" s="67"/>
      <c r="K193" s="64">
        <f>K184+K187+K190</f>
        <v>258840.95</v>
      </c>
      <c r="L193" s="66">
        <f t="shared" ref="L193" si="77">L184+L187+L190</f>
        <v>176018.56</v>
      </c>
      <c r="M193" s="208">
        <f>L194-I194</f>
        <v>2.189811523907037E-2</v>
      </c>
      <c r="N193" s="66">
        <f>L193-I193</f>
        <v>21318.602901331411</v>
      </c>
      <c r="O193" s="67"/>
      <c r="P193" s="64">
        <f>P184+P187+P190</f>
        <v>238817.04999999996</v>
      </c>
      <c r="Q193" s="66">
        <f t="shared" ref="Q193" si="78">Q184+Q187+Q190</f>
        <v>161464.87999999998</v>
      </c>
      <c r="R193" s="208">
        <f>L194-Q194</f>
        <v>3.9231227665318391E-3</v>
      </c>
      <c r="S193" s="69">
        <f>L193-Q193</f>
        <v>14553.680000000022</v>
      </c>
      <c r="T193" s="115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">
        <v>84</v>
      </c>
      <c r="B194" s="12" t="s">
        <v>84</v>
      </c>
      <c r="C194" s="70"/>
      <c r="D194" s="71"/>
      <c r="E194" s="71"/>
      <c r="F194" s="75">
        <f>F193/E193</f>
        <v>0.65812782346962306</v>
      </c>
      <c r="G194" s="73"/>
      <c r="H194" s="71"/>
      <c r="I194" s="75">
        <f>I193/H193</f>
        <v>0.65812782346962306</v>
      </c>
      <c r="J194" s="73"/>
      <c r="K194" s="71"/>
      <c r="L194" s="75">
        <f>L193/K193</f>
        <v>0.68002593870869343</v>
      </c>
      <c r="M194" s="74"/>
      <c r="N194" s="75">
        <f>N193/I193</f>
        <v>0.13780613324756305</v>
      </c>
      <c r="O194" s="73"/>
      <c r="P194" s="71"/>
      <c r="Q194" s="75">
        <f>Q193/P193</f>
        <v>0.67610281594216159</v>
      </c>
      <c r="R194" s="74"/>
      <c r="S194" s="76">
        <f>L193/S193</f>
        <v>12.094436596104885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">
        <v>84</v>
      </c>
      <c r="B195" s="12" t="s">
        <v>84</v>
      </c>
      <c r="C195" s="484"/>
      <c r="D195" s="77"/>
      <c r="E195" s="77"/>
      <c r="F195" s="44"/>
      <c r="G195" s="79"/>
      <c r="H195" s="77"/>
      <c r="I195" s="44"/>
      <c r="J195" s="79"/>
      <c r="K195" s="115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">
        <v>345</v>
      </c>
      <c r="B196" s="12" t="s">
        <v>84</v>
      </c>
      <c r="C196" s="487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">
        <v>346</v>
      </c>
      <c r="B197" s="12" t="s">
        <v>84</v>
      </c>
      <c r="C197" s="494" t="s">
        <v>42</v>
      </c>
      <c r="D197" s="14"/>
      <c r="E197" s="14"/>
      <c r="F197" s="31">
        <v>11574.768390804598</v>
      </c>
      <c r="G197" s="42"/>
      <c r="H197" s="14"/>
      <c r="I197" s="31">
        <v>11574.768390804598</v>
      </c>
      <c r="J197" s="42"/>
      <c r="K197" s="14"/>
      <c r="L197" s="34">
        <v>11797.67</v>
      </c>
      <c r="M197" s="42"/>
      <c r="N197" s="60">
        <f t="shared" ref="N197:N228" si="79">L197-I197</f>
        <v>222.90160919540176</v>
      </c>
      <c r="O197" s="42"/>
      <c r="P197" s="14"/>
      <c r="Q197" s="34">
        <v>13358.88</v>
      </c>
      <c r="R197" s="42"/>
      <c r="S197" s="35">
        <f>L197-Q197</f>
        <v>-1561.2099999999991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">
        <v>347</v>
      </c>
      <c r="B198" s="12" t="s">
        <v>84</v>
      </c>
      <c r="C198" s="106" t="s">
        <v>43</v>
      </c>
      <c r="D198" s="82"/>
      <c r="E198" s="14"/>
      <c r="F198" s="23">
        <v>9816.5681076743313</v>
      </c>
      <c r="G198" s="84"/>
      <c r="H198" s="14"/>
      <c r="I198" s="23">
        <v>9816.5681076743313</v>
      </c>
      <c r="J198" s="42"/>
      <c r="K198" s="14"/>
      <c r="L198" s="34">
        <v>8175.66</v>
      </c>
      <c r="M198" s="42"/>
      <c r="N198" s="60">
        <f t="shared" si="79"/>
        <v>-1640.9081076743314</v>
      </c>
      <c r="O198" s="42"/>
      <c r="P198" s="14"/>
      <c r="Q198" s="34">
        <v>9419.27</v>
      </c>
      <c r="R198" s="42"/>
      <c r="S198" s="86">
        <f t="shared" ref="S198:S228" si="80">L198-Q198</f>
        <v>-1243.6100000000006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">
        <v>348</v>
      </c>
      <c r="B199" s="12" t="s">
        <v>84</v>
      </c>
      <c r="C199" s="494" t="s">
        <v>44</v>
      </c>
      <c r="D199" s="107"/>
      <c r="E199" s="108"/>
      <c r="F199" s="31">
        <v>14779.948499279693</v>
      </c>
      <c r="G199" s="109"/>
      <c r="H199" s="108"/>
      <c r="I199" s="31">
        <v>14779.948499279693</v>
      </c>
      <c r="J199" s="110"/>
      <c r="K199" s="108"/>
      <c r="L199" s="111">
        <v>19824.099999999999</v>
      </c>
      <c r="M199" s="110"/>
      <c r="N199" s="112">
        <f t="shared" si="79"/>
        <v>5044.1515007203052</v>
      </c>
      <c r="O199" s="110"/>
      <c r="P199" s="108"/>
      <c r="Q199" s="111">
        <v>12585.47</v>
      </c>
      <c r="R199" s="110"/>
      <c r="S199" s="113">
        <f t="shared" si="80"/>
        <v>7238.6299999999992</v>
      </c>
      <c r="T199" s="14"/>
      <c r="U199" s="14" t="s">
        <v>349</v>
      </c>
      <c r="V199" s="14"/>
      <c r="W199" s="14"/>
      <c r="X199" s="14"/>
      <c r="Y199" s="14">
        <f>(45000*1.3)/12</f>
        <v>4875</v>
      </c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">
        <v>350</v>
      </c>
      <c r="B200" s="12" t="s">
        <v>84</v>
      </c>
      <c r="C200" s="494" t="s">
        <v>45</v>
      </c>
      <c r="D200" s="82"/>
      <c r="E200" s="14"/>
      <c r="F200" s="31">
        <v>25702.544885609823</v>
      </c>
      <c r="G200" s="84"/>
      <c r="H200" s="14"/>
      <c r="I200" s="31">
        <v>25702.544885609823</v>
      </c>
      <c r="J200" s="42"/>
      <c r="K200" s="14"/>
      <c r="L200" s="34">
        <v>27003.26</v>
      </c>
      <c r="M200" s="42"/>
      <c r="N200" s="60">
        <f t="shared" si="79"/>
        <v>1300.7151143901756</v>
      </c>
      <c r="O200" s="42"/>
      <c r="P200" s="14"/>
      <c r="Q200" s="34">
        <v>18898.7</v>
      </c>
      <c r="R200" s="42"/>
      <c r="S200" s="86">
        <f t="shared" si="80"/>
        <v>8104.5599999999977</v>
      </c>
      <c r="T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">
        <v>351</v>
      </c>
      <c r="B201" s="12" t="s">
        <v>84</v>
      </c>
      <c r="C201" s="481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f t="shared" si="79"/>
        <v>0</v>
      </c>
      <c r="O201" s="42"/>
      <c r="P201" s="14"/>
      <c r="Q201" s="34">
        <v>0</v>
      </c>
      <c r="R201" s="42"/>
      <c r="S201" s="86">
        <f t="shared" si="80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">
        <v>351</v>
      </c>
      <c r="B202" s="12" t="s">
        <v>84</v>
      </c>
      <c r="C202" s="481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f t="shared" si="79"/>
        <v>0</v>
      </c>
      <c r="O202" s="42"/>
      <c r="P202" s="14"/>
      <c r="Q202" s="34">
        <v>0</v>
      </c>
      <c r="R202" s="42"/>
      <c r="S202" s="86">
        <f t="shared" si="80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">
        <v>351</v>
      </c>
      <c r="B203" s="12" t="s">
        <v>84</v>
      </c>
      <c r="C203" s="481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f t="shared" si="79"/>
        <v>0</v>
      </c>
      <c r="O203" s="42"/>
      <c r="P203" s="14"/>
      <c r="Q203" s="34">
        <v>0</v>
      </c>
      <c r="R203" s="42"/>
      <c r="S203" s="86">
        <f t="shared" si="80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">
        <v>352</v>
      </c>
      <c r="B204" s="12" t="s">
        <v>84</v>
      </c>
      <c r="C204" s="106" t="s">
        <v>46</v>
      </c>
      <c r="D204" s="82"/>
      <c r="E204" s="14"/>
      <c r="F204" s="31">
        <v>15980.638563138709</v>
      </c>
      <c r="G204" s="84"/>
      <c r="H204" s="14"/>
      <c r="I204" s="31">
        <v>15980.638563138709</v>
      </c>
      <c r="J204" s="42"/>
      <c r="K204" s="14"/>
      <c r="L204" s="34">
        <v>16355.37</v>
      </c>
      <c r="M204" s="42"/>
      <c r="N204" s="60">
        <f t="shared" si="79"/>
        <v>374.73143686129151</v>
      </c>
      <c r="O204" s="42"/>
      <c r="P204" s="14"/>
      <c r="Q204" s="34">
        <v>18848.63</v>
      </c>
      <c r="R204" s="42"/>
      <c r="S204" s="86">
        <f t="shared" si="80"/>
        <v>-2493.2600000000002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">
        <v>353</v>
      </c>
      <c r="B205" s="12" t="s">
        <v>84</v>
      </c>
      <c r="C205" s="494" t="s">
        <v>47</v>
      </c>
      <c r="D205" s="107"/>
      <c r="E205" s="108"/>
      <c r="F205" s="56">
        <v>14312.299940299581</v>
      </c>
      <c r="G205" s="109"/>
      <c r="H205" s="108"/>
      <c r="I205" s="56">
        <v>14312.299940299581</v>
      </c>
      <c r="J205" s="110"/>
      <c r="K205" s="108"/>
      <c r="L205" s="111">
        <v>14882.75</v>
      </c>
      <c r="M205" s="110"/>
      <c r="N205" s="112">
        <f t="shared" si="79"/>
        <v>570.45005970041893</v>
      </c>
      <c r="O205" s="110"/>
      <c r="P205" s="108"/>
      <c r="Q205" s="111">
        <v>13139.51</v>
      </c>
      <c r="R205" s="110"/>
      <c r="S205" s="113">
        <f t="shared" si="80"/>
        <v>1743.2399999999998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">
        <v>354</v>
      </c>
      <c r="B206" s="12" t="s">
        <v>84</v>
      </c>
      <c r="C206" s="494" t="s">
        <v>48</v>
      </c>
      <c r="D206" s="82"/>
      <c r="E206" s="14"/>
      <c r="F206" s="31">
        <v>11365.649952590846</v>
      </c>
      <c r="G206" s="84"/>
      <c r="H206" s="14"/>
      <c r="I206" s="31">
        <v>11365.649952590846</v>
      </c>
      <c r="J206" s="42"/>
      <c r="K206" s="14"/>
      <c r="L206" s="34">
        <v>3188.78</v>
      </c>
      <c r="M206" s="42"/>
      <c r="N206" s="60">
        <f t="shared" si="79"/>
        <v>-8176.8699525908451</v>
      </c>
      <c r="O206" s="42"/>
      <c r="P206" s="14"/>
      <c r="Q206" s="34">
        <v>9416.65</v>
      </c>
      <c r="R206" s="42"/>
      <c r="S206" s="86">
        <f t="shared" si="80"/>
        <v>-6227.869999999999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">
        <v>355</v>
      </c>
      <c r="B207" s="12" t="s">
        <v>84</v>
      </c>
      <c r="C207" s="494" t="s">
        <v>49</v>
      </c>
      <c r="D207" s="82"/>
      <c r="E207" s="14"/>
      <c r="F207" s="31">
        <v>4630.4499806851591</v>
      </c>
      <c r="G207" s="84"/>
      <c r="H207" s="14"/>
      <c r="I207" s="31">
        <v>4630.4499806851591</v>
      </c>
      <c r="J207" s="42"/>
      <c r="K207" s="14"/>
      <c r="L207" s="34">
        <v>4944</v>
      </c>
      <c r="M207" s="42"/>
      <c r="N207" s="60">
        <f t="shared" si="79"/>
        <v>313.55001931484094</v>
      </c>
      <c r="O207" s="42"/>
      <c r="P207" s="14"/>
      <c r="Q207" s="34">
        <v>2189.92</v>
      </c>
      <c r="R207" s="42"/>
      <c r="S207" s="86">
        <f t="shared" si="80"/>
        <v>2754.08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">
        <v>351</v>
      </c>
      <c r="B208" s="12" t="s">
        <v>84</v>
      </c>
      <c r="C208" s="481" t="s">
        <v>21</v>
      </c>
      <c r="D208" s="89"/>
      <c r="E208" s="114"/>
      <c r="F208" s="31">
        <v>0</v>
      </c>
      <c r="G208" s="91"/>
      <c r="H208" s="114"/>
      <c r="I208" s="31">
        <v>0</v>
      </c>
      <c r="J208" s="24"/>
      <c r="K208" s="114"/>
      <c r="L208" s="34">
        <v>0</v>
      </c>
      <c r="M208" s="24"/>
      <c r="N208" s="94">
        <f t="shared" si="79"/>
        <v>0</v>
      </c>
      <c r="O208" s="24"/>
      <c r="P208" s="114"/>
      <c r="Q208" s="34">
        <v>0</v>
      </c>
      <c r="R208" s="24"/>
      <c r="S208" s="95">
        <f t="shared" si="80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">
        <v>356</v>
      </c>
      <c r="B209" s="12" t="s">
        <v>84</v>
      </c>
      <c r="C209" s="96" t="s">
        <v>50</v>
      </c>
      <c r="D209" s="97" t="s">
        <v>98</v>
      </c>
      <c r="E209" s="98">
        <f>F209/F$193</f>
        <v>0.69917839893837708</v>
      </c>
      <c r="F209" s="99">
        <f>+SUM(F197:F208)</f>
        <v>108162.86832008272</v>
      </c>
      <c r="G209" s="100" t="s">
        <v>98</v>
      </c>
      <c r="H209" s="98">
        <f>I209/I$193</f>
        <v>0.69917839893837708</v>
      </c>
      <c r="I209" s="99">
        <f>+SUM(I197:I208)</f>
        <v>108162.86832008272</v>
      </c>
      <c r="J209" s="100" t="s">
        <v>98</v>
      </c>
      <c r="K209" s="98">
        <f>L209/L$193</f>
        <v>0.60318406195346674</v>
      </c>
      <c r="L209" s="99">
        <f>+SUM(L197:L208)</f>
        <v>106171.59</v>
      </c>
      <c r="M209" s="151"/>
      <c r="N209" s="116">
        <f t="shared" si="79"/>
        <v>-1991.2783200827253</v>
      </c>
      <c r="O209" s="100" t="s">
        <v>98</v>
      </c>
      <c r="P209" s="98">
        <f>Q209/Q$193</f>
        <v>0.6060576764433232</v>
      </c>
      <c r="Q209" s="99">
        <f>+SUM(Q197:Q208)</f>
        <v>97857.03</v>
      </c>
      <c r="R209" s="151"/>
      <c r="S209" s="117">
        <f t="shared" si="80"/>
        <v>8314.5599999999977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">
        <v>357</v>
      </c>
      <c r="B210" s="12" t="s">
        <v>84</v>
      </c>
      <c r="C210" s="481" t="s">
        <v>51</v>
      </c>
      <c r="D210" s="82"/>
      <c r="E210" s="14"/>
      <c r="F210" s="31">
        <v>6918.7625000000007</v>
      </c>
      <c r="G210" s="84"/>
      <c r="H210" s="14"/>
      <c r="I210" s="31">
        <v>6918.7625000000007</v>
      </c>
      <c r="J210" s="42"/>
      <c r="K210" s="14"/>
      <c r="L210" s="34">
        <v>12835.72</v>
      </c>
      <c r="M210" s="42"/>
      <c r="N210" s="60">
        <f t="shared" si="79"/>
        <v>5916.9574999999986</v>
      </c>
      <c r="O210" s="42"/>
      <c r="P210" s="14"/>
      <c r="Q210" s="34">
        <v>7629.13</v>
      </c>
      <c r="R210" s="42"/>
      <c r="S210" s="86">
        <f t="shared" si="80"/>
        <v>5206.5899999999992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">
        <v>358</v>
      </c>
      <c r="B211" s="12" t="s">
        <v>84</v>
      </c>
      <c r="C211" s="481" t="s">
        <v>52</v>
      </c>
      <c r="D211" s="82"/>
      <c r="E211" s="14"/>
      <c r="F211" s="31">
        <v>1895.9266811072575</v>
      </c>
      <c r="G211" s="84"/>
      <c r="H211" s="14"/>
      <c r="I211" s="31">
        <v>1895.9266811072575</v>
      </c>
      <c r="J211" s="42"/>
      <c r="K211" s="14"/>
      <c r="L211" s="34">
        <v>2207.16</v>
      </c>
      <c r="M211" s="42"/>
      <c r="N211" s="60">
        <f t="shared" si="79"/>
        <v>311.23331889274232</v>
      </c>
      <c r="O211" s="42"/>
      <c r="P211" s="14"/>
      <c r="Q211" s="34">
        <v>2707.54</v>
      </c>
      <c r="R211" s="42"/>
      <c r="S211" s="86">
        <f t="shared" si="80"/>
        <v>-500.38000000000011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">
        <v>359</v>
      </c>
      <c r="B212" s="12" t="s">
        <v>84</v>
      </c>
      <c r="C212" s="88" t="s">
        <v>53</v>
      </c>
      <c r="D212" s="89"/>
      <c r="E212" s="114"/>
      <c r="F212" s="23">
        <v>10272.584444444445</v>
      </c>
      <c r="G212" s="91"/>
      <c r="H212" s="114"/>
      <c r="I212" s="23">
        <v>10272.584444444445</v>
      </c>
      <c r="J212" s="24"/>
      <c r="K212" s="114"/>
      <c r="L212" s="34">
        <v>16020.57</v>
      </c>
      <c r="M212" s="24"/>
      <c r="N212" s="94">
        <f t="shared" si="79"/>
        <v>5747.985555555555</v>
      </c>
      <c r="O212" s="24"/>
      <c r="P212" s="114"/>
      <c r="Q212" s="34">
        <v>13539.68</v>
      </c>
      <c r="R212" s="24"/>
      <c r="S212" s="95">
        <f t="shared" si="80"/>
        <v>2480.8899999999994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">
        <v>360</v>
      </c>
      <c r="B213" s="12" t="s">
        <v>84</v>
      </c>
      <c r="C213" s="481" t="s">
        <v>54</v>
      </c>
      <c r="D213" s="82"/>
      <c r="E213" s="14"/>
      <c r="F213" s="31">
        <v>5968.7398199999989</v>
      </c>
      <c r="G213" s="84"/>
      <c r="H213" s="14"/>
      <c r="I213" s="31">
        <v>5968.7398199999989</v>
      </c>
      <c r="J213" s="42"/>
      <c r="K213" s="14"/>
      <c r="L213" s="111">
        <v>3960.02</v>
      </c>
      <c r="M213" s="42"/>
      <c r="N213" s="60">
        <f t="shared" si="79"/>
        <v>-2008.7198199999989</v>
      </c>
      <c r="O213" s="42"/>
      <c r="P213" s="14"/>
      <c r="Q213" s="111">
        <v>3828.39</v>
      </c>
      <c r="R213" s="42"/>
      <c r="S213" s="86">
        <f t="shared" si="80"/>
        <v>131.63000000000011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">
        <v>361</v>
      </c>
      <c r="B214" s="12" t="s">
        <v>84</v>
      </c>
      <c r="C214" s="481" t="s">
        <v>55</v>
      </c>
      <c r="D214" s="82"/>
      <c r="E214" s="14"/>
      <c r="F214" s="31">
        <v>594.10635000000002</v>
      </c>
      <c r="G214" s="84"/>
      <c r="H214" s="14"/>
      <c r="I214" s="31">
        <v>594.10635000000002</v>
      </c>
      <c r="J214" s="42"/>
      <c r="K214" s="14"/>
      <c r="L214" s="34">
        <v>1350.85</v>
      </c>
      <c r="M214" s="42"/>
      <c r="N214" s="60">
        <f t="shared" si="79"/>
        <v>756.74364999999989</v>
      </c>
      <c r="O214" s="42"/>
      <c r="P214" s="14"/>
      <c r="Q214" s="34">
        <v>226.72</v>
      </c>
      <c r="R214" s="42"/>
      <c r="S214" s="86">
        <f t="shared" si="80"/>
        <v>1124.1299999999999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">
        <v>362</v>
      </c>
      <c r="B215" s="12" t="s">
        <v>84</v>
      </c>
      <c r="C215" s="88" t="s">
        <v>56</v>
      </c>
      <c r="D215" s="89"/>
      <c r="E215" s="114"/>
      <c r="F215" s="23">
        <v>2845.1077333333333</v>
      </c>
      <c r="G215" s="91"/>
      <c r="H215" s="114"/>
      <c r="I215" s="23">
        <v>2845.1077333333333</v>
      </c>
      <c r="J215" s="24"/>
      <c r="K215" s="114"/>
      <c r="L215" s="34">
        <v>2502.27</v>
      </c>
      <c r="M215" s="24"/>
      <c r="N215" s="94">
        <f t="shared" si="79"/>
        <v>-342.83773333333329</v>
      </c>
      <c r="O215" s="24"/>
      <c r="P215" s="114"/>
      <c r="Q215" s="34">
        <v>1988.13</v>
      </c>
      <c r="R215" s="24"/>
      <c r="S215" s="95">
        <f t="shared" si="80"/>
        <v>514.13999999999987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">
        <v>363</v>
      </c>
      <c r="B216" s="12" t="s">
        <v>84</v>
      </c>
      <c r="C216" s="481" t="s">
        <v>99</v>
      </c>
      <c r="D216" s="82"/>
      <c r="E216" s="14"/>
      <c r="F216" s="31"/>
      <c r="G216" s="84"/>
      <c r="H216" s="14"/>
      <c r="I216" s="31"/>
      <c r="J216" s="42"/>
      <c r="K216" s="14"/>
      <c r="L216" s="111">
        <v>0</v>
      </c>
      <c r="M216" s="42"/>
      <c r="N216" s="60">
        <f t="shared" si="79"/>
        <v>0</v>
      </c>
      <c r="O216" s="42"/>
      <c r="P216" s="14"/>
      <c r="Q216" s="111">
        <v>0</v>
      </c>
      <c r="R216" s="42"/>
      <c r="S216" s="86">
        <f t="shared" si="80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">
        <v>364</v>
      </c>
      <c r="B217" s="12" t="s">
        <v>84</v>
      </c>
      <c r="C217" s="481" t="s">
        <v>57</v>
      </c>
      <c r="D217" s="82"/>
      <c r="E217" s="14"/>
      <c r="F217" s="31">
        <v>1093.2838670826523</v>
      </c>
      <c r="G217" s="84"/>
      <c r="H217" s="14"/>
      <c r="I217" s="31">
        <v>1093.2838670826523</v>
      </c>
      <c r="J217" s="42"/>
      <c r="K217" s="14"/>
      <c r="L217" s="34">
        <v>1992.69</v>
      </c>
      <c r="M217" s="42"/>
      <c r="N217" s="60">
        <f t="shared" si="79"/>
        <v>899.4061329173478</v>
      </c>
      <c r="O217" s="42"/>
      <c r="P217" s="14"/>
      <c r="Q217" s="34">
        <v>567.39</v>
      </c>
      <c r="R217" s="42"/>
      <c r="S217" s="86">
        <f t="shared" si="80"/>
        <v>1425.3000000000002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">
        <v>365</v>
      </c>
      <c r="B218" s="12" t="s">
        <v>84</v>
      </c>
      <c r="C218" s="481" t="s">
        <v>58</v>
      </c>
      <c r="D218" s="82"/>
      <c r="E218" s="14"/>
      <c r="F218" s="31">
        <v>580.94230695989017</v>
      </c>
      <c r="G218" s="84"/>
      <c r="H218" s="14"/>
      <c r="I218" s="31">
        <v>580.94230695989017</v>
      </c>
      <c r="J218" s="42"/>
      <c r="K218" s="14"/>
      <c r="L218" s="34">
        <v>518.92999999999995</v>
      </c>
      <c r="M218" s="42"/>
      <c r="N218" s="60">
        <f t="shared" si="79"/>
        <v>-62.012306959890225</v>
      </c>
      <c r="O218" s="42"/>
      <c r="P218" s="14"/>
      <c r="Q218" s="34">
        <v>652.11</v>
      </c>
      <c r="R218" s="42"/>
      <c r="S218" s="86">
        <f t="shared" si="80"/>
        <v>-133.18000000000006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">
        <v>366</v>
      </c>
      <c r="B219" s="12" t="s">
        <v>84</v>
      </c>
      <c r="C219" s="481" t="s">
        <v>59</v>
      </c>
      <c r="D219" s="82"/>
      <c r="E219" s="14"/>
      <c r="F219" s="31">
        <v>489.64823999999999</v>
      </c>
      <c r="G219" s="84"/>
      <c r="H219" s="14"/>
      <c r="I219" s="31">
        <v>489.64823999999999</v>
      </c>
      <c r="J219" s="42"/>
      <c r="K219" s="14"/>
      <c r="L219" s="33">
        <v>677.88</v>
      </c>
      <c r="M219" s="42"/>
      <c r="N219" s="60">
        <f t="shared" si="79"/>
        <v>188.23176000000001</v>
      </c>
      <c r="O219" s="42"/>
      <c r="P219" s="14"/>
      <c r="Q219" s="33">
        <v>742.42</v>
      </c>
      <c r="R219" s="42"/>
      <c r="S219" s="86">
        <f t="shared" si="80"/>
        <v>-64.539999999999964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">
        <v>367</v>
      </c>
      <c r="B220" s="12" t="s">
        <v>84</v>
      </c>
      <c r="C220" s="481" t="s">
        <v>60</v>
      </c>
      <c r="D220" s="82"/>
      <c r="E220" s="14"/>
      <c r="F220" s="31">
        <v>226.09839500000001</v>
      </c>
      <c r="G220" s="84"/>
      <c r="H220" s="14"/>
      <c r="I220" s="31">
        <v>226.09839500000001</v>
      </c>
      <c r="J220" s="42"/>
      <c r="K220" s="14"/>
      <c r="L220" s="34">
        <v>262.57</v>
      </c>
      <c r="M220" s="42"/>
      <c r="N220" s="60">
        <f t="shared" si="79"/>
        <v>36.471604999999983</v>
      </c>
      <c r="O220" s="42"/>
      <c r="P220" s="14"/>
      <c r="Q220" s="34">
        <v>451.1</v>
      </c>
      <c r="R220" s="42"/>
      <c r="S220" s="86">
        <f t="shared" si="80"/>
        <v>-188.53000000000003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">
        <v>368</v>
      </c>
      <c r="B221" s="12" t="s">
        <v>84</v>
      </c>
      <c r="C221" s="481" t="s">
        <v>61</v>
      </c>
      <c r="D221" s="82"/>
      <c r="E221" s="14"/>
      <c r="F221" s="31">
        <v>120.68780499999997</v>
      </c>
      <c r="G221" s="84"/>
      <c r="H221" s="14"/>
      <c r="I221" s="31">
        <v>120.68780499999997</v>
      </c>
      <c r="J221" s="42"/>
      <c r="K221" s="14"/>
      <c r="L221" s="34">
        <v>114.18</v>
      </c>
      <c r="M221" s="42"/>
      <c r="N221" s="60">
        <f t="shared" si="79"/>
        <v>-6.5078049999999621</v>
      </c>
      <c r="O221" s="42"/>
      <c r="P221" s="14"/>
      <c r="Q221" s="34">
        <v>181.31</v>
      </c>
      <c r="R221" s="42"/>
      <c r="S221" s="86">
        <f t="shared" si="80"/>
        <v>-67.13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">
        <v>369</v>
      </c>
      <c r="B222" s="12" t="s">
        <v>84</v>
      </c>
      <c r="C222" s="481" t="s">
        <v>62</v>
      </c>
      <c r="D222" s="82"/>
      <c r="E222" s="14"/>
      <c r="F222" s="31">
        <v>582.1751949999998</v>
      </c>
      <c r="G222" s="84"/>
      <c r="H222" s="14"/>
      <c r="I222" s="31">
        <v>582.1751949999998</v>
      </c>
      <c r="J222" s="42"/>
      <c r="K222" s="14"/>
      <c r="L222" s="34">
        <v>113.69</v>
      </c>
      <c r="M222" s="42"/>
      <c r="N222" s="60">
        <f t="shared" si="79"/>
        <v>-468.48519499999981</v>
      </c>
      <c r="O222" s="42"/>
      <c r="P222" s="14"/>
      <c r="Q222" s="34">
        <v>756.97</v>
      </c>
      <c r="R222" s="42"/>
      <c r="S222" s="86">
        <f t="shared" si="80"/>
        <v>-643.28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">
        <v>370</v>
      </c>
      <c r="B223" s="12" t="s">
        <v>84</v>
      </c>
      <c r="C223" s="481" t="s">
        <v>63</v>
      </c>
      <c r="D223" s="82"/>
      <c r="E223" s="14"/>
      <c r="F223" s="31">
        <v>864.94219999999996</v>
      </c>
      <c r="G223" s="84"/>
      <c r="H223" s="14"/>
      <c r="I223" s="31">
        <v>864.94219999999996</v>
      </c>
      <c r="J223" s="42"/>
      <c r="K223" s="14"/>
      <c r="L223" s="34">
        <v>427.74</v>
      </c>
      <c r="M223" s="42"/>
      <c r="N223" s="60">
        <f t="shared" si="79"/>
        <v>-437.20219999999995</v>
      </c>
      <c r="O223" s="42"/>
      <c r="P223" s="14"/>
      <c r="Q223" s="34">
        <v>2999.53</v>
      </c>
      <c r="R223" s="42"/>
      <c r="S223" s="86">
        <f t="shared" si="80"/>
        <v>-2571.79</v>
      </c>
      <c r="T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">
        <v>371</v>
      </c>
      <c r="B224" s="12" t="s">
        <v>84</v>
      </c>
      <c r="C224" s="481" t="s">
        <v>64</v>
      </c>
      <c r="D224" s="82"/>
      <c r="E224" s="14"/>
      <c r="F224" s="31">
        <v>1145.4929897640864</v>
      </c>
      <c r="G224" s="84"/>
      <c r="H224" s="14"/>
      <c r="I224" s="31">
        <v>1145.4929897640864</v>
      </c>
      <c r="J224" s="42"/>
      <c r="K224" s="14"/>
      <c r="L224" s="34">
        <v>1696.1</v>
      </c>
      <c r="M224" s="42"/>
      <c r="N224" s="60">
        <f t="shared" si="79"/>
        <v>550.60701023591355</v>
      </c>
      <c r="O224" s="42"/>
      <c r="P224" s="14"/>
      <c r="Q224" s="34">
        <f>AL447*W5</f>
        <v>1457.6422500000001</v>
      </c>
      <c r="R224" s="42"/>
      <c r="S224" s="86">
        <f t="shared" si="80"/>
        <v>238.45774999999981</v>
      </c>
      <c r="T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">
        <v>351</v>
      </c>
      <c r="B225" s="12" t="s">
        <v>84</v>
      </c>
      <c r="C225" s="481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f t="shared" si="79"/>
        <v>0</v>
      </c>
      <c r="O225" s="42"/>
      <c r="P225" s="14"/>
      <c r="Q225" s="34">
        <v>0</v>
      </c>
      <c r="R225" s="42"/>
      <c r="S225" s="86">
        <f t="shared" si="80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">
        <v>351</v>
      </c>
      <c r="B226" s="12" t="s">
        <v>84</v>
      </c>
      <c r="C226" s="481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f t="shared" si="79"/>
        <v>0</v>
      </c>
      <c r="O226" s="42"/>
      <c r="P226" s="14"/>
      <c r="Q226" s="34">
        <v>0</v>
      </c>
      <c r="R226" s="42"/>
      <c r="S226" s="86">
        <f t="shared" si="80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">
        <v>351</v>
      </c>
      <c r="B227" s="12" t="s">
        <v>84</v>
      </c>
      <c r="C227" s="481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f t="shared" si="79"/>
        <v>0</v>
      </c>
      <c r="O227" s="42"/>
      <c r="P227" s="14"/>
      <c r="Q227" s="34">
        <v>0</v>
      </c>
      <c r="R227" s="42"/>
      <c r="S227" s="86">
        <f t="shared" si="80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6" t="s">
        <v>65</v>
      </c>
      <c r="D228" s="97" t="s">
        <v>98</v>
      </c>
      <c r="E228" s="98">
        <f>F228/F$193</f>
        <v>0.21718492466201741</v>
      </c>
      <c r="F228" s="99">
        <f>+SUM(F210:F227)</f>
        <v>33598.498527691663</v>
      </c>
      <c r="G228" s="100" t="s">
        <v>98</v>
      </c>
      <c r="H228" s="98">
        <f>I228/I$193</f>
        <v>0.21718492466201741</v>
      </c>
      <c r="I228" s="99">
        <f>+SUM(I210:I227)</f>
        <v>33598.498527691663</v>
      </c>
      <c r="J228" s="100" t="s">
        <v>98</v>
      </c>
      <c r="K228" s="98">
        <f>L228/L$193</f>
        <v>0.25383897016314638</v>
      </c>
      <c r="L228" s="99">
        <f>+SUM(L210:L227)</f>
        <v>44680.369999999988</v>
      </c>
      <c r="M228" s="103"/>
      <c r="N228" s="99">
        <f t="shared" si="79"/>
        <v>11081.871472308325</v>
      </c>
      <c r="O228" s="100" t="s">
        <v>98</v>
      </c>
      <c r="P228" s="98">
        <f>Q228/Q$193</f>
        <v>0.23366110481734481</v>
      </c>
      <c r="Q228" s="99">
        <f>+SUM(Q210:Q227)</f>
        <v>37728.062249999995</v>
      </c>
      <c r="R228" s="103"/>
      <c r="S228" s="104">
        <f t="shared" si="80"/>
        <v>6952.3077499999927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4"/>
      <c r="F229" s="60"/>
      <c r="G229" s="91"/>
      <c r="H229" s="114"/>
      <c r="I229" s="60"/>
      <c r="J229" s="24"/>
      <c r="K229" s="114"/>
      <c r="L229" s="94"/>
      <c r="M229" s="24"/>
      <c r="N229" s="94"/>
      <c r="O229" s="24"/>
      <c r="P229" s="114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6" t="s">
        <v>66</v>
      </c>
      <c r="D230" s="97" t="s">
        <v>40</v>
      </c>
      <c r="E230" s="98">
        <f>F230/F$193</f>
        <v>0.91636332360039452</v>
      </c>
      <c r="F230" s="99">
        <f>F209+F228</f>
        <v>141761.36684777439</v>
      </c>
      <c r="G230" s="100" t="s">
        <v>40</v>
      </c>
      <c r="H230" s="98">
        <f>I230/I$193</f>
        <v>0.91636332360039452</v>
      </c>
      <c r="I230" s="99">
        <f>I209+I228</f>
        <v>141761.36684777439</v>
      </c>
      <c r="J230" s="100" t="s">
        <v>40</v>
      </c>
      <c r="K230" s="98">
        <f>L230/L$193</f>
        <v>0.85702303211661313</v>
      </c>
      <c r="L230" s="99">
        <f>L209+L228</f>
        <v>150851.96</v>
      </c>
      <c r="M230" s="103"/>
      <c r="N230" s="116">
        <f t="shared" ref="N230:N231" si="81">L230-I230</f>
        <v>9090.5931522255996</v>
      </c>
      <c r="O230" s="100" t="s">
        <v>40</v>
      </c>
      <c r="P230" s="98">
        <f>Q230/Q$193</f>
        <v>0.83971878126066801</v>
      </c>
      <c r="Q230" s="99">
        <f>Q209+Q228</f>
        <v>135585.09224999999</v>
      </c>
      <c r="R230" s="103"/>
      <c r="S230" s="117">
        <f>L230-Q230</f>
        <v>15266.867750000005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481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81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27" t="s">
        <v>73</v>
      </c>
      <c r="D232" s="156"/>
      <c r="E232" s="128"/>
      <c r="F232" s="130">
        <f>F193-F230</f>
        <v>12938.590250894194</v>
      </c>
      <c r="G232" s="157"/>
      <c r="H232" s="128"/>
      <c r="I232" s="130">
        <f>I193-I230</f>
        <v>12938.590250894194</v>
      </c>
      <c r="J232" s="158"/>
      <c r="K232" s="129"/>
      <c r="L232" s="130">
        <f>L193-L230</f>
        <v>25166.600000000006</v>
      </c>
      <c r="M232" s="158"/>
      <c r="N232" s="130">
        <f>L232-I232</f>
        <v>12228.009749105811</v>
      </c>
      <c r="O232" s="158"/>
      <c r="P232" s="129"/>
      <c r="Q232" s="130">
        <f>Q193-Q230</f>
        <v>25879.787749999989</v>
      </c>
      <c r="R232" s="158"/>
      <c r="S232" s="132">
        <f>L232-Q232</f>
        <v>-713.18774999998277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59"/>
      <c r="M234" s="159"/>
      <c r="N234" s="11"/>
      <c r="O234" s="159"/>
      <c r="P234" s="11"/>
      <c r="Q234" s="159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475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Septembre 2022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64" t="s">
        <v>5</v>
      </c>
      <c r="E237" s="565"/>
      <c r="F237" s="566"/>
      <c r="G237" s="562" t="s">
        <v>75</v>
      </c>
      <c r="H237" s="565"/>
      <c r="I237" s="566"/>
      <c r="J237" s="562" t="s">
        <v>7</v>
      </c>
      <c r="K237" s="565"/>
      <c r="L237" s="566"/>
      <c r="M237" s="562" t="s">
        <v>8</v>
      </c>
      <c r="N237" s="566"/>
      <c r="O237" s="564" t="s">
        <v>9</v>
      </c>
      <c r="P237" s="565"/>
      <c r="Q237" s="566"/>
      <c r="R237" s="562" t="s">
        <v>10</v>
      </c>
      <c r="S237" s="563"/>
      <c r="T237" s="153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">
        <v>100</v>
      </c>
      <c r="B238" s="12" t="s">
        <v>100</v>
      </c>
      <c r="C238" s="481"/>
      <c r="D238" s="81" t="s">
        <v>41</v>
      </c>
      <c r="E238" s="81" t="s">
        <v>85</v>
      </c>
      <c r="F238" s="137" t="s">
        <v>13</v>
      </c>
      <c r="G238" s="138" t="s">
        <v>41</v>
      </c>
      <c r="H238" s="81" t="s">
        <v>85</v>
      </c>
      <c r="I238" s="137" t="s">
        <v>13</v>
      </c>
      <c r="J238" s="138" t="s">
        <v>41</v>
      </c>
      <c r="K238" s="81" t="s">
        <v>85</v>
      </c>
      <c r="L238" s="137" t="s">
        <v>13</v>
      </c>
      <c r="M238" s="138" t="s">
        <v>41</v>
      </c>
      <c r="N238" s="137" t="s">
        <v>13</v>
      </c>
      <c r="O238" s="81" t="s">
        <v>41</v>
      </c>
      <c r="P238" s="81" t="s">
        <v>85</v>
      </c>
      <c r="Q238" s="137" t="s">
        <v>13</v>
      </c>
      <c r="R238" s="138" t="s">
        <v>86</v>
      </c>
      <c r="S238" s="139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">
        <v>100</v>
      </c>
      <c r="B239" s="12" t="s">
        <v>100</v>
      </c>
      <c r="C239" s="481"/>
      <c r="D239" s="81"/>
      <c r="E239" s="81"/>
      <c r="F239" s="137"/>
      <c r="G239" s="138"/>
      <c r="H239" s="81"/>
      <c r="I239" s="137"/>
      <c r="J239" s="138"/>
      <c r="K239" s="31"/>
      <c r="L239" s="34"/>
      <c r="M239" s="138"/>
      <c r="N239" s="137"/>
      <c r="O239" s="81"/>
      <c r="P239" s="81"/>
      <c r="Q239" s="137"/>
      <c r="R239" s="138"/>
      <c r="S239" s="139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">
        <v>372</v>
      </c>
      <c r="B240" s="12" t="s">
        <v>100</v>
      </c>
      <c r="C240" s="481" t="s">
        <v>101</v>
      </c>
      <c r="D240" s="81">
        <v>0</v>
      </c>
      <c r="E240" s="83">
        <v>56735.103677574094</v>
      </c>
      <c r="F240" s="83">
        <v>12549.858673502358</v>
      </c>
      <c r="G240" s="160">
        <v>0</v>
      </c>
      <c r="H240" s="83">
        <v>56735.103677574094</v>
      </c>
      <c r="I240" s="83">
        <v>12549.858673502358</v>
      </c>
      <c r="J240" s="61">
        <v>54</v>
      </c>
      <c r="K240" s="31">
        <v>88090.5</v>
      </c>
      <c r="L240" s="34">
        <v>14167.429999999995</v>
      </c>
      <c r="M240" s="161">
        <f>IFERROR((K240-H240)/H240,0)</f>
        <v>0.55266306554437261</v>
      </c>
      <c r="N240" s="60">
        <f>L240-I240</f>
        <v>1617.5713264976366</v>
      </c>
      <c r="O240" s="61">
        <v>74</v>
      </c>
      <c r="P240" s="31">
        <v>71217.47</v>
      </c>
      <c r="Q240" s="34">
        <v>15143.37</v>
      </c>
      <c r="R240" s="161">
        <f>IF(O240=0,0,J240/O240)</f>
        <v>0.72972972972972971</v>
      </c>
      <c r="S240" s="86">
        <f>L240-Q240</f>
        <v>-975.94000000000597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">
        <v>373</v>
      </c>
      <c r="B241" s="12" t="s">
        <v>100</v>
      </c>
      <c r="C241" s="481" t="s">
        <v>88</v>
      </c>
      <c r="D241" s="81"/>
      <c r="E241" s="147"/>
      <c r="F241" s="162">
        <f>IFERROR(F240/E240,0)</f>
        <v>0.2212009472093904</v>
      </c>
      <c r="G241" s="42"/>
      <c r="H241" s="147"/>
      <c r="I241" s="162">
        <f>IFERROR(I240/H240,0)</f>
        <v>0.2212009472093904</v>
      </c>
      <c r="J241" s="61"/>
      <c r="K241" s="14"/>
      <c r="L241" s="162">
        <f>IFERROR(L240/K240,0)</f>
        <v>0.16082812562081036</v>
      </c>
      <c r="M241" s="161"/>
      <c r="N241" s="60">
        <f>IFERROR(N240/M240,0)</f>
        <v>2926.8670684630069</v>
      </c>
      <c r="O241" s="61"/>
      <c r="P241" s="14"/>
      <c r="Q241" s="162">
        <f>IFERROR(Q240/P240,0)</f>
        <v>0.21263560752719804</v>
      </c>
      <c r="R241" s="61"/>
      <c r="S241" s="86">
        <f>IFERROR(S240/R240,0)</f>
        <v>-1337.3992592592674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">
        <v>100</v>
      </c>
      <c r="B242" s="12" t="s">
        <v>100</v>
      </c>
      <c r="C242" s="481"/>
      <c r="D242" s="81"/>
      <c r="E242" s="209"/>
      <c r="F242" s="210"/>
      <c r="G242" s="138"/>
      <c r="H242" s="209"/>
      <c r="I242" s="210"/>
      <c r="J242" s="138"/>
      <c r="K242" s="81"/>
      <c r="L242" s="137"/>
      <c r="M242" s="138"/>
      <c r="N242" s="137"/>
      <c r="O242" s="138"/>
      <c r="P242" s="81"/>
      <c r="Q242" s="137"/>
      <c r="R242" s="211"/>
      <c r="S242" s="139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">
        <v>374</v>
      </c>
      <c r="B243" s="12" t="s">
        <v>100</v>
      </c>
      <c r="C243" s="15" t="s">
        <v>102</v>
      </c>
      <c r="D243" s="108">
        <v>0</v>
      </c>
      <c r="E243" s="83">
        <v>0</v>
      </c>
      <c r="F243" s="83">
        <v>0</v>
      </c>
      <c r="G243" s="212">
        <v>0</v>
      </c>
      <c r="H243" s="83">
        <v>0</v>
      </c>
      <c r="I243" s="83">
        <v>0</v>
      </c>
      <c r="J243" s="168">
        <v>0</v>
      </c>
      <c r="K243" s="169">
        <v>0</v>
      </c>
      <c r="L243" s="111">
        <v>0</v>
      </c>
      <c r="M243" s="176" t="e">
        <f>(K243-H243)/H243</f>
        <v>#DIV/0!</v>
      </c>
      <c r="N243" s="112">
        <f>L243-I243</f>
        <v>0</v>
      </c>
      <c r="O243" s="168">
        <v>0</v>
      </c>
      <c r="P243" s="169">
        <v>0</v>
      </c>
      <c r="Q243" s="111">
        <v>0</v>
      </c>
      <c r="R243" s="161">
        <f>IF(O243=0,0,J243/O243)</f>
        <v>0</v>
      </c>
      <c r="S243" s="113">
        <f>L243-Q243</f>
        <v>0</v>
      </c>
      <c r="T243" s="152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">
        <v>373</v>
      </c>
      <c r="B244" s="12" t="s">
        <v>100</v>
      </c>
      <c r="C244" s="481" t="s">
        <v>88</v>
      </c>
      <c r="D244" s="14"/>
      <c r="E244" s="147"/>
      <c r="F244" s="162" t="e">
        <f>F243/E243</f>
        <v>#DIV/0!</v>
      </c>
      <c r="G244" s="42"/>
      <c r="H244" s="147"/>
      <c r="I244" s="162" t="e">
        <f>I243/H243</f>
        <v>#DIV/0!</v>
      </c>
      <c r="J244" s="61"/>
      <c r="K244" s="14"/>
      <c r="L244" s="162">
        <f>IFERROR(L243/K243,0)</f>
        <v>0</v>
      </c>
      <c r="M244" s="161"/>
      <c r="N244" s="60" t="e">
        <f>N243/I243</f>
        <v>#DIV/0!</v>
      </c>
      <c r="O244" s="61"/>
      <c r="P244" s="14"/>
      <c r="Q244" s="162">
        <f>IFERROR(Q243/P243,0)</f>
        <v>0</v>
      </c>
      <c r="R244" s="61"/>
      <c r="S244" s="86">
        <f>IF(Q243=0,0,S243/Q243)</f>
        <v>0</v>
      </c>
      <c r="T244" s="152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">
        <v>100</v>
      </c>
      <c r="B245" s="12" t="s">
        <v>100</v>
      </c>
      <c r="C245" s="88"/>
      <c r="D245" s="114"/>
      <c r="E245" s="163"/>
      <c r="F245" s="164"/>
      <c r="G245" s="24"/>
      <c r="H245" s="173"/>
      <c r="I245" s="164"/>
      <c r="J245" s="165"/>
      <c r="K245" s="213"/>
      <c r="L245" s="164"/>
      <c r="M245" s="166"/>
      <c r="N245" s="94"/>
      <c r="O245" s="165"/>
      <c r="P245" s="213"/>
      <c r="Q245" s="164"/>
      <c r="R245" s="165"/>
      <c r="S245" s="95"/>
      <c r="T245" s="152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">
        <v>375</v>
      </c>
      <c r="B246" s="12" t="s">
        <v>100</v>
      </c>
      <c r="C246" s="15" t="s">
        <v>103</v>
      </c>
      <c r="D246" s="167">
        <v>0</v>
      </c>
      <c r="E246" s="83">
        <v>0</v>
      </c>
      <c r="F246" s="83">
        <v>0</v>
      </c>
      <c r="G246" s="168">
        <v>0</v>
      </c>
      <c r="H246" s="83">
        <v>0</v>
      </c>
      <c r="I246" s="83">
        <v>0</v>
      </c>
      <c r="J246" s="168">
        <v>0</v>
      </c>
      <c r="K246" s="31">
        <v>0</v>
      </c>
      <c r="L246" s="34">
        <v>0</v>
      </c>
      <c r="M246" s="161" t="e">
        <f>(K246-H246)/H246</f>
        <v>#DIV/0!</v>
      </c>
      <c r="N246" s="112">
        <f>L246-I246</f>
        <v>0</v>
      </c>
      <c r="O246" s="168">
        <v>0</v>
      </c>
      <c r="P246" s="31">
        <v>0</v>
      </c>
      <c r="Q246" s="34">
        <v>0</v>
      </c>
      <c r="R246" s="161">
        <f>IF(O246=0,0,J246/O246)</f>
        <v>0</v>
      </c>
      <c r="S246" s="86">
        <f>L246-Q246</f>
        <v>0</v>
      </c>
      <c r="T246" s="152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">
        <v>373</v>
      </c>
      <c r="B247" s="12" t="s">
        <v>100</v>
      </c>
      <c r="C247" s="481" t="s">
        <v>88</v>
      </c>
      <c r="D247" s="14"/>
      <c r="E247" s="14"/>
      <c r="F247" s="162" t="e">
        <f>F246/E246</f>
        <v>#DIV/0!</v>
      </c>
      <c r="G247" s="42"/>
      <c r="H247" s="14"/>
      <c r="I247" s="162" t="e">
        <f>I246/H246</f>
        <v>#DIV/0!</v>
      </c>
      <c r="J247" s="42"/>
      <c r="K247" s="14"/>
      <c r="L247" s="162">
        <f>IFERROR(L246/K246,0)</f>
        <v>0</v>
      </c>
      <c r="M247" s="43"/>
      <c r="N247" s="44" t="e">
        <f>N246/I246</f>
        <v>#DIV/0!</v>
      </c>
      <c r="O247" s="42"/>
      <c r="P247" s="14"/>
      <c r="Q247" s="162">
        <f>IFERROR(Q246/P246,0)</f>
        <v>0</v>
      </c>
      <c r="R247" s="43"/>
      <c r="S247" s="45">
        <f>IF(Q246=0,0,S246/Q246)</f>
        <v>0</v>
      </c>
      <c r="T247" s="152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">
        <v>100</v>
      </c>
      <c r="B248" s="12" t="s">
        <v>100</v>
      </c>
      <c r="C248" s="481"/>
      <c r="D248" s="14"/>
      <c r="E248" s="14"/>
      <c r="F248" s="162"/>
      <c r="G248" s="42"/>
      <c r="H248" s="14"/>
      <c r="I248" s="162"/>
      <c r="J248" s="42"/>
      <c r="K248" s="14"/>
      <c r="L248" s="162"/>
      <c r="M248" s="43"/>
      <c r="N248" s="44"/>
      <c r="O248" s="42"/>
      <c r="P248" s="14"/>
      <c r="Q248" s="162"/>
      <c r="R248" s="43"/>
      <c r="S248" s="45"/>
      <c r="T248" s="152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">
        <v>376</v>
      </c>
      <c r="B249" s="12" t="s">
        <v>100</v>
      </c>
      <c r="C249" s="63" t="s">
        <v>97</v>
      </c>
      <c r="D249" s="64"/>
      <c r="E249" s="64">
        <f t="shared" ref="E249:F249" si="82">E243+E246+E240</f>
        <v>56735.103677574094</v>
      </c>
      <c r="F249" s="66">
        <f t="shared" si="82"/>
        <v>12549.858673502358</v>
      </c>
      <c r="G249" s="67"/>
      <c r="H249" s="64">
        <f t="shared" ref="H249:I249" si="83">H243+H246+H240</f>
        <v>56735.103677574094</v>
      </c>
      <c r="I249" s="66">
        <f t="shared" si="83"/>
        <v>12549.858673502358</v>
      </c>
      <c r="J249" s="67"/>
      <c r="K249" s="64">
        <f t="shared" ref="K249:L249" si="84">K243+K246+K240</f>
        <v>88090.5</v>
      </c>
      <c r="L249" s="66">
        <f t="shared" si="84"/>
        <v>14167.429999999995</v>
      </c>
      <c r="M249" s="208">
        <f>L250-I250</f>
        <v>-6.0372821588580039E-2</v>
      </c>
      <c r="N249" s="66">
        <f>L249-I249</f>
        <v>1617.5713264976366</v>
      </c>
      <c r="O249" s="67"/>
      <c r="P249" s="64">
        <f t="shared" ref="P249:Q249" si="85">P243+P246+P240</f>
        <v>71217.47</v>
      </c>
      <c r="Q249" s="66">
        <f t="shared" si="85"/>
        <v>15143.37</v>
      </c>
      <c r="R249" s="516">
        <f>L250-Q250</f>
        <v>-5.1807481906387676E-2</v>
      </c>
      <c r="S249" s="69">
        <f>L249-Q249</f>
        <v>-975.94000000000597</v>
      </c>
      <c r="T249" s="152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">
        <v>100</v>
      </c>
      <c r="B250" s="12" t="s">
        <v>100</v>
      </c>
      <c r="C250" s="70"/>
      <c r="D250" s="71"/>
      <c r="E250" s="71"/>
      <c r="F250" s="75">
        <f>F249/E249</f>
        <v>0.2212009472093904</v>
      </c>
      <c r="G250" s="73"/>
      <c r="H250" s="71"/>
      <c r="I250" s="75">
        <f>I249/H249</f>
        <v>0.2212009472093904</v>
      </c>
      <c r="J250" s="73"/>
      <c r="K250" s="71"/>
      <c r="L250" s="75">
        <f>IF(K249=0,0,L249/K249)</f>
        <v>0.16082812562081036</v>
      </c>
      <c r="M250" s="74"/>
      <c r="N250" s="75">
        <f>N249/I249</f>
        <v>0.12889159699566657</v>
      </c>
      <c r="O250" s="73"/>
      <c r="P250" s="71"/>
      <c r="Q250" s="75">
        <f>IF(P249=0,0,Q249/P249)</f>
        <v>0.21263560752719804</v>
      </c>
      <c r="R250" s="74"/>
      <c r="S250" s="517">
        <f>S249/Q249</f>
        <v>-6.4446685249056584E-2</v>
      </c>
      <c r="T250" s="152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">
        <v>100</v>
      </c>
      <c r="B251" s="12" t="s">
        <v>100</v>
      </c>
      <c r="C251" s="481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">
        <v>377</v>
      </c>
      <c r="B252" s="12" t="s">
        <v>100</v>
      </c>
      <c r="C252" s="487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">
        <v>378</v>
      </c>
      <c r="B253" s="12" t="s">
        <v>100</v>
      </c>
      <c r="C253" s="494" t="s">
        <v>42</v>
      </c>
      <c r="D253" s="14"/>
      <c r="E253" s="14"/>
      <c r="F253" s="31">
        <v>325.80440613026821</v>
      </c>
      <c r="G253" s="42"/>
      <c r="H253" s="14"/>
      <c r="I253" s="31">
        <v>325.80440613026821</v>
      </c>
      <c r="J253" s="42"/>
      <c r="K253" s="14"/>
      <c r="L253" s="34">
        <v>901.88</v>
      </c>
      <c r="M253" s="42"/>
      <c r="N253" s="60">
        <f t="shared" ref="N253:N283" si="86">L253-I253</f>
        <v>576.07559386973185</v>
      </c>
      <c r="O253" s="42"/>
      <c r="P253" s="14"/>
      <c r="Q253" s="34">
        <v>809.12</v>
      </c>
      <c r="R253" s="42"/>
      <c r="S253" s="35">
        <f>L253-Q253</f>
        <v>92.759999999999991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">
        <v>379</v>
      </c>
      <c r="B254" s="12" t="s">
        <v>100</v>
      </c>
      <c r="C254" s="106" t="s">
        <v>43</v>
      </c>
      <c r="D254" s="82"/>
      <c r="E254" s="14"/>
      <c r="F254" s="23">
        <v>545.66820983524906</v>
      </c>
      <c r="G254" s="84"/>
      <c r="H254" s="14"/>
      <c r="I254" s="23">
        <v>545.66820983524906</v>
      </c>
      <c r="J254" s="42"/>
      <c r="K254" s="14"/>
      <c r="L254" s="34">
        <v>402.79</v>
      </c>
      <c r="M254" s="42"/>
      <c r="N254" s="60">
        <f t="shared" si="86"/>
        <v>-142.87820983524904</v>
      </c>
      <c r="O254" s="42"/>
      <c r="P254" s="14"/>
      <c r="Q254" s="34">
        <v>520.55999999999995</v>
      </c>
      <c r="R254" s="42"/>
      <c r="S254" s="86">
        <f>L254-Q254</f>
        <v>-117.76999999999992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">
        <v>380</v>
      </c>
      <c r="B255" s="12" t="s">
        <v>100</v>
      </c>
      <c r="C255" s="494" t="s">
        <v>44</v>
      </c>
      <c r="D255" s="107"/>
      <c r="E255" s="108"/>
      <c r="F255" s="31">
        <v>469.91855390038313</v>
      </c>
      <c r="G255" s="109"/>
      <c r="H255" s="108"/>
      <c r="I255" s="31">
        <v>469.91855390038313</v>
      </c>
      <c r="J255" s="110"/>
      <c r="K255" s="108"/>
      <c r="L255" s="111">
        <v>1.17</v>
      </c>
      <c r="M255" s="110"/>
      <c r="N255" s="112">
        <f t="shared" si="86"/>
        <v>-468.74855390038311</v>
      </c>
      <c r="O255" s="110"/>
      <c r="P255" s="108"/>
      <c r="Q255" s="111">
        <v>3826.05</v>
      </c>
      <c r="R255" s="110"/>
      <c r="S255" s="113">
        <f t="shared" ref="S255:S284" si="87">L255-Q255</f>
        <v>-3824.88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">
        <v>381</v>
      </c>
      <c r="B256" s="12" t="s">
        <v>100</v>
      </c>
      <c r="C256" s="494" t="s">
        <v>45</v>
      </c>
      <c r="D256" s="82"/>
      <c r="E256" s="14"/>
      <c r="F256" s="31">
        <v>4293.1034482758623</v>
      </c>
      <c r="G256" s="84"/>
      <c r="H256" s="14"/>
      <c r="I256" s="31">
        <v>4293.1034482758623</v>
      </c>
      <c r="J256" s="42"/>
      <c r="K256" s="14"/>
      <c r="L256" s="34">
        <v>4661.92</v>
      </c>
      <c r="M256" s="42"/>
      <c r="N256" s="60">
        <f t="shared" si="86"/>
        <v>368.81655172413775</v>
      </c>
      <c r="O256" s="42"/>
      <c r="P256" s="14"/>
      <c r="Q256" s="34">
        <v>2538.4899999999998</v>
      </c>
      <c r="R256" s="42"/>
      <c r="S256" s="86">
        <f t="shared" si="87"/>
        <v>2123.4300000000003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">
        <v>382</v>
      </c>
      <c r="B257" s="12" t="s">
        <v>100</v>
      </c>
      <c r="C257" s="481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f t="shared" si="86"/>
        <v>0</v>
      </c>
      <c r="O257" s="42"/>
      <c r="P257" s="14"/>
      <c r="Q257" s="34">
        <v>0</v>
      </c>
      <c r="R257" s="42"/>
      <c r="S257" s="86">
        <f t="shared" si="87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">
        <v>382</v>
      </c>
      <c r="B258" s="12" t="s">
        <v>100</v>
      </c>
      <c r="C258" s="481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f t="shared" si="86"/>
        <v>0</v>
      </c>
      <c r="O258" s="42"/>
      <c r="P258" s="14"/>
      <c r="Q258" s="34">
        <v>0</v>
      </c>
      <c r="R258" s="42"/>
      <c r="S258" s="86">
        <f t="shared" si="87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">
        <v>382</v>
      </c>
      <c r="B259" s="12" t="s">
        <v>100</v>
      </c>
      <c r="C259" s="481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f t="shared" si="86"/>
        <v>0</v>
      </c>
      <c r="O259" s="42"/>
      <c r="P259" s="14"/>
      <c r="Q259" s="34">
        <v>0</v>
      </c>
      <c r="R259" s="42"/>
      <c r="S259" s="86">
        <f t="shared" si="87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">
        <v>383</v>
      </c>
      <c r="B260" s="12" t="s">
        <v>100</v>
      </c>
      <c r="C260" s="106" t="s">
        <v>46</v>
      </c>
      <c r="D260" s="82"/>
      <c r="E260" s="14"/>
      <c r="F260" s="23">
        <v>685.83684543664049</v>
      </c>
      <c r="G260" s="84"/>
      <c r="H260" s="14"/>
      <c r="I260" s="23">
        <v>685.83684543664049</v>
      </c>
      <c r="J260" s="42"/>
      <c r="K260" s="14"/>
      <c r="L260" s="34">
        <v>744.02</v>
      </c>
      <c r="M260" s="42"/>
      <c r="N260" s="60">
        <f t="shared" si="86"/>
        <v>58.183154563359494</v>
      </c>
      <c r="O260" s="42"/>
      <c r="P260" s="14"/>
      <c r="Q260" s="34">
        <v>729.56</v>
      </c>
      <c r="R260" s="42"/>
      <c r="S260" s="86">
        <f t="shared" si="87"/>
        <v>14.460000000000036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">
        <v>384</v>
      </c>
      <c r="B261" s="12" t="s">
        <v>100</v>
      </c>
      <c r="C261" s="494" t="s">
        <v>47</v>
      </c>
      <c r="D261" s="107"/>
      <c r="E261" s="108"/>
      <c r="F261" s="31">
        <v>614.23719729445975</v>
      </c>
      <c r="G261" s="109"/>
      <c r="H261" s="108"/>
      <c r="I261" s="31">
        <v>614.23719729445975</v>
      </c>
      <c r="J261" s="110"/>
      <c r="K261" s="108"/>
      <c r="L261" s="111">
        <v>1614.46</v>
      </c>
      <c r="M261" s="110"/>
      <c r="N261" s="112">
        <f t="shared" si="86"/>
        <v>1000.2228027055403</v>
      </c>
      <c r="O261" s="110"/>
      <c r="P261" s="108"/>
      <c r="Q261" s="111">
        <v>744.44</v>
      </c>
      <c r="R261" s="110"/>
      <c r="S261" s="113">
        <f t="shared" si="87"/>
        <v>870.02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">
        <v>385</v>
      </c>
      <c r="B262" s="12" t="s">
        <v>100</v>
      </c>
      <c r="C262" s="494" t="s">
        <v>48</v>
      </c>
      <c r="D262" s="82"/>
      <c r="E262" s="14"/>
      <c r="F262" s="31">
        <v>487.77659785148285</v>
      </c>
      <c r="G262" s="84"/>
      <c r="H262" s="14"/>
      <c r="I262" s="31">
        <v>487.77659785148285</v>
      </c>
      <c r="J262" s="42"/>
      <c r="K262" s="14"/>
      <c r="L262" s="34">
        <v>844.61</v>
      </c>
      <c r="M262" s="42"/>
      <c r="N262" s="60">
        <f t="shared" si="86"/>
        <v>356.83340214851717</v>
      </c>
      <c r="O262" s="42"/>
      <c r="P262" s="14"/>
      <c r="Q262" s="34">
        <v>533.52</v>
      </c>
      <c r="R262" s="42"/>
      <c r="S262" s="86">
        <f t="shared" si="87"/>
        <v>311.09000000000003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">
        <v>386</v>
      </c>
      <c r="B263" s="12" t="s">
        <v>100</v>
      </c>
      <c r="C263" s="494" t="s">
        <v>49</v>
      </c>
      <c r="D263" s="82"/>
      <c r="E263" s="14"/>
      <c r="F263" s="31">
        <v>198.72379912467818</v>
      </c>
      <c r="G263" s="84"/>
      <c r="H263" s="14"/>
      <c r="I263" s="31">
        <v>198.72379912467818</v>
      </c>
      <c r="J263" s="42"/>
      <c r="K263" s="14"/>
      <c r="L263" s="34">
        <v>317</v>
      </c>
      <c r="M263" s="42"/>
      <c r="N263" s="60">
        <f t="shared" si="86"/>
        <v>118.27620087532182</v>
      </c>
      <c r="O263" s="42"/>
      <c r="P263" s="14"/>
      <c r="Q263" s="34">
        <v>124.08</v>
      </c>
      <c r="R263" s="42"/>
      <c r="S263" s="86">
        <f t="shared" si="87"/>
        <v>192.92000000000002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">
        <v>382</v>
      </c>
      <c r="B264" s="12" t="s">
        <v>100</v>
      </c>
      <c r="C264" s="481" t="s">
        <v>21</v>
      </c>
      <c r="D264" s="89"/>
      <c r="E264" s="114"/>
      <c r="F264" s="31">
        <v>0</v>
      </c>
      <c r="G264" s="91"/>
      <c r="H264" s="114"/>
      <c r="I264" s="31">
        <v>0</v>
      </c>
      <c r="J264" s="24"/>
      <c r="K264" s="114"/>
      <c r="L264" s="34">
        <v>0</v>
      </c>
      <c r="M264" s="24"/>
      <c r="N264" s="94">
        <f t="shared" si="86"/>
        <v>0</v>
      </c>
      <c r="O264" s="24"/>
      <c r="P264" s="114"/>
      <c r="Q264" s="34">
        <v>0</v>
      </c>
      <c r="R264" s="24"/>
      <c r="S264" s="95">
        <f t="shared" si="87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">
        <v>387</v>
      </c>
      <c r="B265" s="12" t="s">
        <v>100</v>
      </c>
      <c r="C265" s="96" t="s">
        <v>50</v>
      </c>
      <c r="D265" s="97" t="s">
        <v>40</v>
      </c>
      <c r="E265" s="98" t="e">
        <f>F265/F$243</f>
        <v>#DIV/0!</v>
      </c>
      <c r="F265" s="99">
        <f>+SUM(F253:F264)</f>
        <v>7621.0690578490239</v>
      </c>
      <c r="G265" s="100" t="s">
        <v>40</v>
      </c>
      <c r="H265" s="98" t="e">
        <f>I265/I$243</f>
        <v>#DIV/0!</v>
      </c>
      <c r="I265" s="99">
        <f>+SUM(I253:I264)</f>
        <v>7621.0690578490239</v>
      </c>
      <c r="J265" s="100" t="s">
        <v>40</v>
      </c>
      <c r="K265" s="98">
        <f>IF(L243=0,0,L265/L$243)</f>
        <v>0</v>
      </c>
      <c r="L265" s="99">
        <f>+SUM(L253:L264)</f>
        <v>9487.8500000000022</v>
      </c>
      <c r="M265" s="151"/>
      <c r="N265" s="116">
        <f t="shared" si="86"/>
        <v>1866.7809421509783</v>
      </c>
      <c r="O265" s="100" t="s">
        <v>40</v>
      </c>
      <c r="P265" s="98">
        <f>IF(Q243=0,0,Q265/Q$243)</f>
        <v>0</v>
      </c>
      <c r="Q265" s="99">
        <f>+SUM(Q253:Q264)</f>
        <v>9825.82</v>
      </c>
      <c r="R265" s="151"/>
      <c r="S265" s="117">
        <f t="shared" si="87"/>
        <v>-337.96999999999753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">
        <v>388</v>
      </c>
      <c r="B266" s="12" t="s">
        <v>100</v>
      </c>
      <c r="C266" s="214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6.11</v>
      </c>
      <c r="M266" s="42"/>
      <c r="N266" s="60">
        <f t="shared" si="86"/>
        <v>6.11</v>
      </c>
      <c r="O266" s="42"/>
      <c r="P266" s="14"/>
      <c r="Q266" s="34">
        <v>0.09</v>
      </c>
      <c r="R266" s="42"/>
      <c r="S266" s="86">
        <f t="shared" si="87"/>
        <v>6.0200000000000005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">
        <v>389</v>
      </c>
      <c r="B267" s="12" t="s">
        <v>100</v>
      </c>
      <c r="C267" s="494" t="s">
        <v>52</v>
      </c>
      <c r="D267" s="82"/>
      <c r="E267" s="14"/>
      <c r="F267" s="31">
        <v>196.95436781339478</v>
      </c>
      <c r="G267" s="84"/>
      <c r="H267" s="14"/>
      <c r="I267" s="31">
        <v>196.95436781339478</v>
      </c>
      <c r="J267" s="42"/>
      <c r="K267" s="14"/>
      <c r="L267" s="34">
        <v>1156.9100000000001</v>
      </c>
      <c r="M267" s="42"/>
      <c r="N267" s="60">
        <f t="shared" si="86"/>
        <v>959.95563218660527</v>
      </c>
      <c r="O267" s="42"/>
      <c r="P267" s="14"/>
      <c r="Q267" s="34">
        <v>1317.02</v>
      </c>
      <c r="R267" s="42"/>
      <c r="S267" s="86">
        <f t="shared" si="87"/>
        <v>-160.1099999999999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">
        <v>390</v>
      </c>
      <c r="B268" s="12" t="s">
        <v>100</v>
      </c>
      <c r="C268" s="106" t="s">
        <v>53</v>
      </c>
      <c r="D268" s="89"/>
      <c r="E268" s="114"/>
      <c r="F268" s="23">
        <v>379.94</v>
      </c>
      <c r="G268" s="91"/>
      <c r="H268" s="114"/>
      <c r="I268" s="23">
        <v>379.94</v>
      </c>
      <c r="J268" s="24"/>
      <c r="K268" s="114"/>
      <c r="L268" s="34">
        <v>634.37</v>
      </c>
      <c r="M268" s="24"/>
      <c r="N268" s="94">
        <f t="shared" si="86"/>
        <v>254.43</v>
      </c>
      <c r="O268" s="24"/>
      <c r="P268" s="114"/>
      <c r="Q268" s="34">
        <v>363.13</v>
      </c>
      <c r="R268" s="24"/>
      <c r="S268" s="95">
        <f t="shared" si="87"/>
        <v>271.24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">
        <v>391</v>
      </c>
      <c r="B269" s="12" t="s">
        <v>100</v>
      </c>
      <c r="C269" s="494" t="s">
        <v>54</v>
      </c>
      <c r="D269" s="82"/>
      <c r="E269" s="14"/>
      <c r="F269" s="31">
        <v>1313.4198641666667</v>
      </c>
      <c r="G269" s="84"/>
      <c r="H269" s="14"/>
      <c r="I269" s="31">
        <v>1313.4198641666667</v>
      </c>
      <c r="J269" s="42"/>
      <c r="K269" s="14"/>
      <c r="L269" s="111">
        <v>1404.84</v>
      </c>
      <c r="M269" s="42"/>
      <c r="N269" s="60">
        <f t="shared" si="86"/>
        <v>91.420135833333234</v>
      </c>
      <c r="O269" s="42"/>
      <c r="P269" s="14"/>
      <c r="Q269" s="111">
        <v>1382.86</v>
      </c>
      <c r="R269" s="42"/>
      <c r="S269" s="86">
        <f t="shared" si="87"/>
        <v>21.980000000000018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">
        <v>392</v>
      </c>
      <c r="B270" s="12" t="s">
        <v>100</v>
      </c>
      <c r="C270" s="494" t="s">
        <v>55</v>
      </c>
      <c r="D270" s="82"/>
      <c r="E270" s="14"/>
      <c r="F270" s="31">
        <v>173.28101875000004</v>
      </c>
      <c r="G270" s="84"/>
      <c r="H270" s="14"/>
      <c r="I270" s="31">
        <v>173.28101875000004</v>
      </c>
      <c r="J270" s="42"/>
      <c r="K270" s="14"/>
      <c r="L270" s="34">
        <v>270.72000000000003</v>
      </c>
      <c r="M270" s="42"/>
      <c r="N270" s="60">
        <f t="shared" si="86"/>
        <v>97.438981249999983</v>
      </c>
      <c r="O270" s="42"/>
      <c r="P270" s="14"/>
      <c r="Q270" s="34">
        <v>66.14</v>
      </c>
      <c r="R270" s="42"/>
      <c r="S270" s="86">
        <f t="shared" si="87"/>
        <v>204.58000000000004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">
        <v>393</v>
      </c>
      <c r="B271" s="12" t="s">
        <v>100</v>
      </c>
      <c r="C271" s="494" t="s">
        <v>56</v>
      </c>
      <c r="D271" s="89"/>
      <c r="E271" s="114"/>
      <c r="F271" s="23">
        <v>829.82308888888895</v>
      </c>
      <c r="G271" s="91"/>
      <c r="H271" s="114"/>
      <c r="I271" s="23">
        <v>829.82308888888895</v>
      </c>
      <c r="J271" s="24"/>
      <c r="K271" s="114"/>
      <c r="L271" s="34">
        <v>614.63</v>
      </c>
      <c r="M271" s="24"/>
      <c r="N271" s="94">
        <f t="shared" si="86"/>
        <v>-215.19308888888895</v>
      </c>
      <c r="O271" s="24"/>
      <c r="P271" s="114"/>
      <c r="Q271" s="34">
        <v>478.1</v>
      </c>
      <c r="R271" s="24"/>
      <c r="S271" s="95">
        <f t="shared" si="87"/>
        <v>136.52999999999997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">
        <v>394</v>
      </c>
      <c r="B272" s="12" t="s">
        <v>100</v>
      </c>
      <c r="C272" s="215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f t="shared" si="86"/>
        <v>0</v>
      </c>
      <c r="O272" s="42"/>
      <c r="P272" s="14"/>
      <c r="Q272" s="34">
        <v>0</v>
      </c>
      <c r="R272" s="42"/>
      <c r="S272" s="86">
        <f t="shared" si="87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">
        <v>395</v>
      </c>
      <c r="B273" s="12" t="s">
        <v>100</v>
      </c>
      <c r="C273" s="494" t="s">
        <v>57</v>
      </c>
      <c r="D273" s="82"/>
      <c r="E273" s="14"/>
      <c r="F273" s="31">
        <v>81.641327736691551</v>
      </c>
      <c r="G273" s="84"/>
      <c r="H273" s="14"/>
      <c r="I273" s="31">
        <v>81.641327736691551</v>
      </c>
      <c r="J273" s="42"/>
      <c r="K273" s="14"/>
      <c r="L273" s="34">
        <v>30.1</v>
      </c>
      <c r="M273" s="42"/>
      <c r="N273" s="60">
        <f t="shared" si="86"/>
        <v>-51.541327736691549</v>
      </c>
      <c r="O273" s="42"/>
      <c r="P273" s="14"/>
      <c r="Q273" s="34">
        <v>71.849999999999994</v>
      </c>
      <c r="R273" s="42"/>
      <c r="S273" s="86">
        <f t="shared" si="87"/>
        <v>-41.749999999999993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">
        <v>396</v>
      </c>
      <c r="B274" s="12" t="s">
        <v>100</v>
      </c>
      <c r="C274" s="494" t="s">
        <v>58</v>
      </c>
      <c r="D274" s="82"/>
      <c r="E274" s="14"/>
      <c r="F274" s="31">
        <v>43.382055389861925</v>
      </c>
      <c r="G274" s="84"/>
      <c r="H274" s="14"/>
      <c r="I274" s="31">
        <v>43.382055389861925</v>
      </c>
      <c r="J274" s="42"/>
      <c r="K274" s="14"/>
      <c r="L274" s="34">
        <v>0</v>
      </c>
      <c r="M274" s="42"/>
      <c r="N274" s="60">
        <f t="shared" si="86"/>
        <v>-43.382055389861925</v>
      </c>
      <c r="O274" s="42"/>
      <c r="P274" s="14"/>
      <c r="Q274" s="34">
        <v>0</v>
      </c>
      <c r="R274" s="42"/>
      <c r="S274" s="86">
        <f t="shared" si="87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">
        <v>397</v>
      </c>
      <c r="B275" s="12" t="s">
        <v>100</v>
      </c>
      <c r="C275" s="494" t="s">
        <v>59</v>
      </c>
      <c r="D275" s="82"/>
      <c r="E275" s="14"/>
      <c r="F275" s="31">
        <v>142.81407000000002</v>
      </c>
      <c r="G275" s="84"/>
      <c r="H275" s="14"/>
      <c r="I275" s="31">
        <v>142.81407000000002</v>
      </c>
      <c r="J275" s="42"/>
      <c r="K275" s="14"/>
      <c r="L275" s="33">
        <v>197.72</v>
      </c>
      <c r="M275" s="42"/>
      <c r="N275" s="60">
        <f t="shared" si="86"/>
        <v>54.905929999999984</v>
      </c>
      <c r="O275" s="42"/>
      <c r="P275" s="14"/>
      <c r="Q275" s="33">
        <v>54.25</v>
      </c>
      <c r="R275" s="42"/>
      <c r="S275" s="86">
        <f t="shared" si="87"/>
        <v>143.47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">
        <v>398</v>
      </c>
      <c r="B276" s="12" t="s">
        <v>100</v>
      </c>
      <c r="C276" s="494" t="s">
        <v>60</v>
      </c>
      <c r="D276" s="82"/>
      <c r="E276" s="14"/>
      <c r="F276" s="31">
        <v>65.945365208333342</v>
      </c>
      <c r="G276" s="84"/>
      <c r="H276" s="14"/>
      <c r="I276" s="31">
        <v>65.945365208333342</v>
      </c>
      <c r="J276" s="42"/>
      <c r="K276" s="14"/>
      <c r="L276" s="34">
        <v>25.27</v>
      </c>
      <c r="M276" s="42"/>
      <c r="N276" s="60">
        <f t="shared" si="86"/>
        <v>-40.675365208333346</v>
      </c>
      <c r="O276" s="42"/>
      <c r="P276" s="14"/>
      <c r="Q276" s="34">
        <v>89.85</v>
      </c>
      <c r="R276" s="42"/>
      <c r="S276" s="86">
        <f t="shared" si="87"/>
        <v>-64.58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">
        <v>399</v>
      </c>
      <c r="B277" s="12" t="s">
        <v>100</v>
      </c>
      <c r="C277" s="494" t="s">
        <v>61</v>
      </c>
      <c r="D277" s="82"/>
      <c r="E277" s="14"/>
      <c r="F277" s="31">
        <v>35.200609791666665</v>
      </c>
      <c r="G277" s="84"/>
      <c r="H277" s="14"/>
      <c r="I277" s="31">
        <v>35.200609791666665</v>
      </c>
      <c r="J277" s="42"/>
      <c r="K277" s="14"/>
      <c r="L277" s="34">
        <v>33.299999999999997</v>
      </c>
      <c r="M277" s="42"/>
      <c r="N277" s="60">
        <f t="shared" si="86"/>
        <v>-1.9006097916666675</v>
      </c>
      <c r="O277" s="42"/>
      <c r="P277" s="14"/>
      <c r="Q277" s="34">
        <v>34.590000000000003</v>
      </c>
      <c r="R277" s="42"/>
      <c r="S277" s="86">
        <f t="shared" si="87"/>
        <v>-1.2900000000000063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">
        <v>400</v>
      </c>
      <c r="B278" s="12" t="s">
        <v>100</v>
      </c>
      <c r="C278" s="494" t="s">
        <v>62</v>
      </c>
      <c r="D278" s="82"/>
      <c r="E278" s="14"/>
      <c r="F278" s="31">
        <v>169.80109854166665</v>
      </c>
      <c r="G278" s="84"/>
      <c r="H278" s="14"/>
      <c r="I278" s="31">
        <v>169.80109854166665</v>
      </c>
      <c r="J278" s="42"/>
      <c r="K278" s="14"/>
      <c r="L278" s="34">
        <v>33.159999999999997</v>
      </c>
      <c r="M278" s="42"/>
      <c r="N278" s="60">
        <f t="shared" si="86"/>
        <v>-136.64109854166665</v>
      </c>
      <c r="O278" s="42"/>
      <c r="P278" s="14"/>
      <c r="Q278" s="34">
        <v>220.76</v>
      </c>
      <c r="R278" s="42"/>
      <c r="S278" s="86">
        <f t="shared" si="87"/>
        <v>-187.6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">
        <v>401</v>
      </c>
      <c r="B279" s="12" t="s">
        <v>100</v>
      </c>
      <c r="C279" s="494" t="s">
        <v>63</v>
      </c>
      <c r="D279" s="82"/>
      <c r="E279" s="14"/>
      <c r="F279" s="31">
        <v>252.27480833333334</v>
      </c>
      <c r="G279" s="84"/>
      <c r="H279" s="14"/>
      <c r="I279" s="31">
        <v>252.27480833333334</v>
      </c>
      <c r="J279" s="42"/>
      <c r="K279" s="14"/>
      <c r="L279" s="34">
        <v>80.55</v>
      </c>
      <c r="M279" s="42"/>
      <c r="N279" s="60">
        <f t="shared" si="86"/>
        <v>-171.72480833333333</v>
      </c>
      <c r="O279" s="42"/>
      <c r="P279" s="14"/>
      <c r="Q279" s="34">
        <v>6.2</v>
      </c>
      <c r="R279" s="42"/>
      <c r="S279" s="86">
        <f t="shared" si="87"/>
        <v>74.349999999999994</v>
      </c>
      <c r="T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">
        <v>402</v>
      </c>
      <c r="B280" s="12" t="s">
        <v>100</v>
      </c>
      <c r="C280" s="494" t="s">
        <v>64</v>
      </c>
      <c r="D280" s="82"/>
      <c r="E280" s="14"/>
      <c r="F280" s="31">
        <v>334.10212201452521</v>
      </c>
      <c r="G280" s="84"/>
      <c r="H280" s="14"/>
      <c r="I280" s="31">
        <v>334.10212201452521</v>
      </c>
      <c r="J280" s="42"/>
      <c r="K280" s="14"/>
      <c r="L280" s="34">
        <v>188.46</v>
      </c>
      <c r="M280" s="42"/>
      <c r="N280" s="60">
        <f t="shared" si="86"/>
        <v>-145.6421220145252</v>
      </c>
      <c r="O280" s="42"/>
      <c r="P280" s="14"/>
      <c r="Q280" s="34">
        <f>AL447*W6</f>
        <v>161.96025</v>
      </c>
      <c r="R280" s="42"/>
      <c r="S280" s="86">
        <f t="shared" si="87"/>
        <v>26.499750000000006</v>
      </c>
      <c r="T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">
        <v>382</v>
      </c>
      <c r="B281" s="12" t="s">
        <v>100</v>
      </c>
      <c r="C281" s="494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f t="shared" si="86"/>
        <v>0</v>
      </c>
      <c r="O281" s="42"/>
      <c r="P281" s="14"/>
      <c r="Q281" s="34">
        <v>0</v>
      </c>
      <c r="R281" s="42"/>
      <c r="S281" s="86">
        <f t="shared" si="87"/>
        <v>0</v>
      </c>
      <c r="T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">
        <v>382</v>
      </c>
      <c r="B282" s="12" t="s">
        <v>100</v>
      </c>
      <c r="C282" s="494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f t="shared" si="86"/>
        <v>0</v>
      </c>
      <c r="O282" s="42"/>
      <c r="P282" s="14"/>
      <c r="Q282" s="34">
        <v>0</v>
      </c>
      <c r="R282" s="42"/>
      <c r="S282" s="86">
        <f t="shared" si="87"/>
        <v>0</v>
      </c>
      <c r="T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">
        <v>382</v>
      </c>
      <c r="B283" s="12" t="s">
        <v>100</v>
      </c>
      <c r="C283" s="494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f t="shared" si="86"/>
        <v>0</v>
      </c>
      <c r="O283" s="42"/>
      <c r="P283" s="14"/>
      <c r="Q283" s="34">
        <v>0</v>
      </c>
      <c r="R283" s="42"/>
      <c r="S283" s="86">
        <f t="shared" si="87"/>
        <v>0</v>
      </c>
      <c r="T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6" t="s">
        <v>65</v>
      </c>
      <c r="D284" s="97" t="s">
        <v>40</v>
      </c>
      <c r="E284" s="98" t="e">
        <f>F284/F$243</f>
        <v>#DIV/0!</v>
      </c>
      <c r="F284" s="99">
        <f>+SUM(F266:F283)</f>
        <v>4018.5797966350287</v>
      </c>
      <c r="G284" s="100" t="s">
        <v>40</v>
      </c>
      <c r="H284" s="98" t="e">
        <f>I284/I$243</f>
        <v>#DIV/0!</v>
      </c>
      <c r="I284" s="99">
        <f>+SUM(I266:I283)</f>
        <v>4018.5797966350287</v>
      </c>
      <c r="J284" s="100" t="s">
        <v>40</v>
      </c>
      <c r="K284" s="98" t="e">
        <f>IF(L261=0,0,L284/L$243)</f>
        <v>#DIV/0!</v>
      </c>
      <c r="L284" s="99">
        <f>+SUM(L266:L283)</f>
        <v>4676.1400000000012</v>
      </c>
      <c r="M284" s="103"/>
      <c r="N284" s="99">
        <f>+SUM(N266:N283)</f>
        <v>657.56020336497056</v>
      </c>
      <c r="O284" s="100" t="s">
        <v>40</v>
      </c>
      <c r="P284" s="98" t="e">
        <f>IF(Q261=0,0,Q284/Q$243)</f>
        <v>#DIV/0!</v>
      </c>
      <c r="Q284" s="99">
        <f>+SUM(Q266:Q283)</f>
        <v>4246.8002499999993</v>
      </c>
      <c r="R284" s="103"/>
      <c r="S284" s="104">
        <f t="shared" si="87"/>
        <v>429.33975000000191</v>
      </c>
      <c r="T284" s="77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4"/>
      <c r="F285" s="60"/>
      <c r="G285" s="91"/>
      <c r="H285" s="114"/>
      <c r="I285" s="60"/>
      <c r="J285" s="24"/>
      <c r="K285" s="114"/>
      <c r="L285" s="94"/>
      <c r="M285" s="24"/>
      <c r="N285" s="94"/>
      <c r="O285" s="24"/>
      <c r="P285" s="114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6" t="s">
        <v>66</v>
      </c>
      <c r="D286" s="97" t="s">
        <v>40</v>
      </c>
      <c r="E286" s="98" t="e">
        <f>F286/F$243</f>
        <v>#DIV/0!</v>
      </c>
      <c r="F286" s="99">
        <f>F265+F284</f>
        <v>11639.648854484052</v>
      </c>
      <c r="G286" s="100" t="s">
        <v>40</v>
      </c>
      <c r="H286" s="98" t="e">
        <f>I286/I$243</f>
        <v>#DIV/0!</v>
      </c>
      <c r="I286" s="99">
        <f>I265+I284</f>
        <v>11639.648854484052</v>
      </c>
      <c r="J286" s="100" t="s">
        <v>40</v>
      </c>
      <c r="K286" s="98" t="e">
        <f>IF(L263=0,0,L286/L$243)</f>
        <v>#DIV/0!</v>
      </c>
      <c r="L286" s="99">
        <f>L265+L284</f>
        <v>14163.990000000003</v>
      </c>
      <c r="M286" s="103"/>
      <c r="N286" s="116">
        <f t="shared" ref="N286:N288" si="88">L286-I286</f>
        <v>2524.3411455159512</v>
      </c>
      <c r="O286" s="100" t="s">
        <v>40</v>
      </c>
      <c r="P286" s="98" t="e">
        <f>IF(Q263=0,0,Q286/Q$243)</f>
        <v>#DIV/0!</v>
      </c>
      <c r="Q286" s="99">
        <f>Q265+Q284</f>
        <v>14072.62025</v>
      </c>
      <c r="R286" s="103"/>
      <c r="S286" s="117">
        <f>L286-Q286</f>
        <v>91.369750000003478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481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8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9.25" customHeight="1" thickBot="1">
      <c r="B288" s="12"/>
      <c r="C288" s="127" t="s">
        <v>73</v>
      </c>
      <c r="D288" s="156"/>
      <c r="E288" s="128"/>
      <c r="F288" s="130">
        <f>F249-F286</f>
        <v>910.20981901830601</v>
      </c>
      <c r="G288" s="157"/>
      <c r="H288" s="128"/>
      <c r="I288" s="130">
        <f>I249-I286</f>
        <v>910.20981901830601</v>
      </c>
      <c r="J288" s="158"/>
      <c r="K288" s="129"/>
      <c r="L288" s="130">
        <f>L249-L286</f>
        <v>3.4399999999914144</v>
      </c>
      <c r="M288" s="158"/>
      <c r="N288" s="130">
        <f t="shared" si="88"/>
        <v>-906.76981901831459</v>
      </c>
      <c r="O288" s="158"/>
      <c r="P288" s="129"/>
      <c r="Q288" s="130">
        <f>Q249-Q286</f>
        <v>1070.7497500000009</v>
      </c>
      <c r="R288" s="158"/>
      <c r="S288" s="132">
        <f>L288-Q288</f>
        <v>-1067.3097500000094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475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Septembre 2022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64" t="s">
        <v>5</v>
      </c>
      <c r="E292" s="565"/>
      <c r="F292" s="566"/>
      <c r="G292" s="562" t="s">
        <v>75</v>
      </c>
      <c r="H292" s="565"/>
      <c r="I292" s="566"/>
      <c r="J292" s="562" t="s">
        <v>7</v>
      </c>
      <c r="K292" s="565"/>
      <c r="L292" s="566"/>
      <c r="M292" s="562" t="s">
        <v>8</v>
      </c>
      <c r="N292" s="566"/>
      <c r="O292" s="564" t="s">
        <v>9</v>
      </c>
      <c r="P292" s="565"/>
      <c r="Q292" s="566"/>
      <c r="R292" s="562" t="s">
        <v>10</v>
      </c>
      <c r="S292" s="563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">
        <v>104</v>
      </c>
      <c r="B293" s="12" t="s">
        <v>104</v>
      </c>
      <c r="C293" s="481"/>
      <c r="D293" s="81" t="s">
        <v>85</v>
      </c>
      <c r="E293" s="81" t="s">
        <v>105</v>
      </c>
      <c r="F293" s="137" t="s">
        <v>13</v>
      </c>
      <c r="G293" s="138" t="s">
        <v>85</v>
      </c>
      <c r="H293" s="81" t="s">
        <v>105</v>
      </c>
      <c r="I293" s="137" t="s">
        <v>13</v>
      </c>
      <c r="J293" s="138" t="s">
        <v>85</v>
      </c>
      <c r="K293" s="81" t="s">
        <v>105</v>
      </c>
      <c r="L293" s="137" t="s">
        <v>13</v>
      </c>
      <c r="M293" s="138" t="s">
        <v>491</v>
      </c>
      <c r="N293" s="137" t="s">
        <v>13</v>
      </c>
      <c r="O293" s="81" t="s">
        <v>85</v>
      </c>
      <c r="P293" s="81" t="s">
        <v>105</v>
      </c>
      <c r="Q293" s="137" t="s">
        <v>13</v>
      </c>
      <c r="R293" s="138" t="s">
        <v>86</v>
      </c>
      <c r="S293" s="139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">
        <v>403</v>
      </c>
      <c r="B294" s="12" t="s">
        <v>104</v>
      </c>
      <c r="C294" s="481" t="s">
        <v>106</v>
      </c>
      <c r="D294" s="83">
        <v>65845.949998240059</v>
      </c>
      <c r="E294" s="152">
        <f>IF(D294=0,0,F294/D294)</f>
        <v>0.35811007851031496</v>
      </c>
      <c r="F294" s="86">
        <v>23580.098323456019</v>
      </c>
      <c r="G294" s="83">
        <v>65845.949998240059</v>
      </c>
      <c r="H294" s="152">
        <f>IF(G294=0,0,I294/G294)</f>
        <v>0.35811007851031496</v>
      </c>
      <c r="I294" s="86">
        <v>23580.098323456019</v>
      </c>
      <c r="J294" s="31">
        <v>94838.82</v>
      </c>
      <c r="K294" s="152">
        <f t="shared" ref="K294:K303" si="89">IF(J294&lt;=0,0,L294/J294)</f>
        <v>0.35236973635901414</v>
      </c>
      <c r="L294" s="86">
        <v>33418.33</v>
      </c>
      <c r="M294" s="161">
        <f t="shared" ref="M294:M300" si="90">(+J294-G294)/G294</f>
        <v>0.44031364119638144</v>
      </c>
      <c r="N294" s="60">
        <f t="shared" ref="N294:N303" si="91">L294-I294</f>
        <v>9838.2316765439828</v>
      </c>
      <c r="O294" s="31">
        <v>59363</v>
      </c>
      <c r="P294" s="152">
        <f t="shared" ref="P294:P303" si="92">IF(O294&lt;=0,0,Q294/O294)</f>
        <v>0.36407459191752439</v>
      </c>
      <c r="Q294" s="86">
        <v>21612.560000000001</v>
      </c>
      <c r="R294" s="161">
        <f>IF(O294=0,0,(J294-O294)/O294)</f>
        <v>0.59760827451442833</v>
      </c>
      <c r="S294" s="86">
        <f t="shared" ref="S294:S303" si="93">L294-Q294</f>
        <v>11805.77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">
        <v>404</v>
      </c>
      <c r="B295" s="12" t="s">
        <v>104</v>
      </c>
      <c r="C295" s="481" t="s">
        <v>107</v>
      </c>
      <c r="D295" s="83">
        <v>26405.132308725613</v>
      </c>
      <c r="E295" s="152">
        <f t="shared" ref="E295:E302" si="94">IF(D295=0,0,F295/D295)</f>
        <v>0.2571723304036081</v>
      </c>
      <c r="F295" s="86">
        <v>6790.6694104505705</v>
      </c>
      <c r="G295" s="83">
        <v>26405.132308725613</v>
      </c>
      <c r="H295" s="152">
        <f t="shared" ref="H295:H302" si="95">IF(G295=0,0,I295/G295)</f>
        <v>0.2571723304036081</v>
      </c>
      <c r="I295" s="86">
        <v>6790.6694104505705</v>
      </c>
      <c r="J295" s="31">
        <v>57130.130000000005</v>
      </c>
      <c r="K295" s="152">
        <f t="shared" si="89"/>
        <v>0.25706312938549247</v>
      </c>
      <c r="L295" s="86">
        <v>14686.050000000007</v>
      </c>
      <c r="M295" s="161">
        <f t="shared" si="90"/>
        <v>1.1635994598338473</v>
      </c>
      <c r="N295" s="60">
        <f t="shared" si="91"/>
        <v>7895.3805895494361</v>
      </c>
      <c r="O295" s="31">
        <v>36734.609999999993</v>
      </c>
      <c r="P295" s="152">
        <f t="shared" si="92"/>
        <v>0.24536152690881968</v>
      </c>
      <c r="Q295" s="86">
        <v>9013.2599999999948</v>
      </c>
      <c r="R295" s="161">
        <f t="shared" ref="R295:R302" si="96">IF(O295=0,0,(J295-O295)/O295)</f>
        <v>0.55521264551331873</v>
      </c>
      <c r="S295" s="86">
        <f t="shared" si="93"/>
        <v>5672.7900000000118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">
        <v>405</v>
      </c>
      <c r="B296" s="12" t="s">
        <v>104</v>
      </c>
      <c r="C296" s="481" t="s">
        <v>108</v>
      </c>
      <c r="D296" s="83">
        <v>91146.817495201045</v>
      </c>
      <c r="E296" s="152">
        <f t="shared" si="94"/>
        <v>0.24177651145507992</v>
      </c>
      <c r="F296" s="86">
        <v>22037.159564222555</v>
      </c>
      <c r="G296" s="83">
        <v>91146.817495201045</v>
      </c>
      <c r="H296" s="152">
        <f t="shared" si="95"/>
        <v>0.24177651145507992</v>
      </c>
      <c r="I296" s="86">
        <v>22037.159564222555</v>
      </c>
      <c r="J296" s="31">
        <v>79352.3</v>
      </c>
      <c r="K296" s="152">
        <f t="shared" si="89"/>
        <v>0.23283874569483179</v>
      </c>
      <c r="L296" s="86">
        <v>18476.29</v>
      </c>
      <c r="M296" s="161">
        <f t="shared" si="90"/>
        <v>-0.12940130900151323</v>
      </c>
      <c r="N296" s="60">
        <f t="shared" si="91"/>
        <v>-3560.8695642225539</v>
      </c>
      <c r="O296" s="31">
        <v>93302.75</v>
      </c>
      <c r="P296" s="152">
        <f t="shared" si="92"/>
        <v>0.23779352698607484</v>
      </c>
      <c r="Q296" s="86">
        <v>22186.789999999994</v>
      </c>
      <c r="R296" s="161">
        <f t="shared" si="96"/>
        <v>-0.14951810102060226</v>
      </c>
      <c r="S296" s="86">
        <f t="shared" si="93"/>
        <v>-3710.4999999999927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">
        <v>406</v>
      </c>
      <c r="B297" s="12" t="s">
        <v>104</v>
      </c>
      <c r="C297" s="481" t="s">
        <v>109</v>
      </c>
      <c r="D297" s="83">
        <v>61448.46605748689</v>
      </c>
      <c r="E297" s="152">
        <f t="shared" si="94"/>
        <v>0.32393223852119107</v>
      </c>
      <c r="F297" s="86">
        <v>19905.139163695156</v>
      </c>
      <c r="G297" s="83">
        <v>61448.46605748689</v>
      </c>
      <c r="H297" s="152">
        <f t="shared" si="95"/>
        <v>0.32393223852119107</v>
      </c>
      <c r="I297" s="86">
        <v>19905.139163695156</v>
      </c>
      <c r="J297" s="31">
        <v>57406.16</v>
      </c>
      <c r="K297" s="152">
        <f t="shared" si="89"/>
        <v>0.29476418558565848</v>
      </c>
      <c r="L297" s="86">
        <v>16921.280000000006</v>
      </c>
      <c r="M297" s="161">
        <f t="shared" si="90"/>
        <v>-6.578367723134354E-2</v>
      </c>
      <c r="N297" s="60">
        <f t="shared" si="91"/>
        <v>-2983.8591636951496</v>
      </c>
      <c r="O297" s="31">
        <v>65044.73</v>
      </c>
      <c r="P297" s="152">
        <f t="shared" si="92"/>
        <v>0.2951808701488961</v>
      </c>
      <c r="Q297" s="86">
        <v>19199.960000000006</v>
      </c>
      <c r="R297" s="161">
        <f t="shared" si="96"/>
        <v>-0.1174356477457897</v>
      </c>
      <c r="S297" s="86">
        <f t="shared" si="93"/>
        <v>-2278.6800000000003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">
        <v>407</v>
      </c>
      <c r="B298" s="12" t="s">
        <v>104</v>
      </c>
      <c r="C298" s="481" t="s">
        <v>110</v>
      </c>
      <c r="D298" s="83">
        <v>18277.343842364378</v>
      </c>
      <c r="E298" s="152">
        <f t="shared" si="94"/>
        <v>0.28113730707120016</v>
      </c>
      <c r="F298" s="86">
        <v>5138.4432282567041</v>
      </c>
      <c r="G298" s="83">
        <v>18277.343842364378</v>
      </c>
      <c r="H298" s="152">
        <f t="shared" si="95"/>
        <v>0.28113730707120016</v>
      </c>
      <c r="I298" s="86">
        <v>5138.4432282567041</v>
      </c>
      <c r="J298" s="31">
        <v>19312.04</v>
      </c>
      <c r="K298" s="152">
        <f t="shared" si="89"/>
        <v>0.26401819797390647</v>
      </c>
      <c r="L298" s="86">
        <v>5098.7300000000014</v>
      </c>
      <c r="M298" s="161">
        <f t="shared" si="90"/>
        <v>5.6610860229993516E-2</v>
      </c>
      <c r="N298" s="60">
        <f t="shared" si="91"/>
        <v>-39.713228256702678</v>
      </c>
      <c r="O298" s="31">
        <v>23316.37</v>
      </c>
      <c r="P298" s="152">
        <f t="shared" si="92"/>
        <v>0.21967313093762023</v>
      </c>
      <c r="Q298" s="86">
        <v>5121.9799999999996</v>
      </c>
      <c r="R298" s="161">
        <f t="shared" si="96"/>
        <v>-0.17173899710804033</v>
      </c>
      <c r="S298" s="86">
        <f t="shared" si="93"/>
        <v>-23.249999999998181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">
        <v>408</v>
      </c>
      <c r="B299" s="12" t="s">
        <v>104</v>
      </c>
      <c r="C299" s="481" t="s">
        <v>111</v>
      </c>
      <c r="D299" s="83">
        <v>60381.801421698925</v>
      </c>
      <c r="E299" s="152">
        <f t="shared" si="94"/>
        <v>0.18194830719212418</v>
      </c>
      <c r="F299" s="86">
        <v>10986.366553889116</v>
      </c>
      <c r="G299" s="83">
        <v>60381.801421698925</v>
      </c>
      <c r="H299" s="152">
        <f t="shared" si="95"/>
        <v>0.18194830719212418</v>
      </c>
      <c r="I299" s="86">
        <v>10986.366553889116</v>
      </c>
      <c r="J299" s="31">
        <v>108723.88</v>
      </c>
      <c r="K299" s="152">
        <f t="shared" si="89"/>
        <v>0.17292843117813686</v>
      </c>
      <c r="L299" s="86">
        <v>18801.450000000012</v>
      </c>
      <c r="M299" s="161">
        <f t="shared" si="90"/>
        <v>0.80060676296631283</v>
      </c>
      <c r="N299" s="60">
        <f t="shared" si="91"/>
        <v>7815.0834461108952</v>
      </c>
      <c r="O299" s="31">
        <v>76523.429999999993</v>
      </c>
      <c r="P299" s="152">
        <f t="shared" si="92"/>
        <v>0.15486002130327917</v>
      </c>
      <c r="Q299" s="86">
        <v>11850.419999999991</v>
      </c>
      <c r="R299" s="161">
        <f t="shared" si="96"/>
        <v>0.42079203715777003</v>
      </c>
      <c r="S299" s="86">
        <f t="shared" si="93"/>
        <v>6951.0300000000207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">
        <v>409</v>
      </c>
      <c r="B300" s="12" t="s">
        <v>104</v>
      </c>
      <c r="C300" s="481" t="s">
        <v>21</v>
      </c>
      <c r="D300" s="83">
        <v>0</v>
      </c>
      <c r="E300" s="152">
        <f t="shared" si="94"/>
        <v>0</v>
      </c>
      <c r="F300" s="86">
        <v>0</v>
      </c>
      <c r="G300" s="83">
        <v>0</v>
      </c>
      <c r="H300" s="152">
        <f t="shared" si="95"/>
        <v>0</v>
      </c>
      <c r="I300" s="86">
        <v>0</v>
      </c>
      <c r="J300" s="31">
        <v>0</v>
      </c>
      <c r="K300" s="152">
        <f t="shared" si="89"/>
        <v>0</v>
      </c>
      <c r="L300" s="86">
        <v>0</v>
      </c>
      <c r="M300" s="161" t="e">
        <f t="shared" si="90"/>
        <v>#DIV/0!</v>
      </c>
      <c r="N300" s="60">
        <f t="shared" si="91"/>
        <v>0</v>
      </c>
      <c r="O300" s="31">
        <v>0</v>
      </c>
      <c r="P300" s="152">
        <f t="shared" si="92"/>
        <v>0</v>
      </c>
      <c r="Q300" s="86">
        <v>0</v>
      </c>
      <c r="R300" s="161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">
        <v>410</v>
      </c>
      <c r="B301" s="12" t="s">
        <v>104</v>
      </c>
      <c r="C301" s="481" t="s">
        <v>112</v>
      </c>
      <c r="D301" s="83">
        <v>0</v>
      </c>
      <c r="E301" s="152">
        <f t="shared" si="94"/>
        <v>0</v>
      </c>
      <c r="F301" s="86">
        <v>5361.2345667863528</v>
      </c>
      <c r="G301" s="83">
        <v>0</v>
      </c>
      <c r="H301" s="152">
        <f t="shared" si="95"/>
        <v>0</v>
      </c>
      <c r="I301" s="86">
        <v>5361.2345667863528</v>
      </c>
      <c r="J301" s="31">
        <v>0</v>
      </c>
      <c r="K301" s="152">
        <f t="shared" si="89"/>
        <v>0</v>
      </c>
      <c r="L301" s="86">
        <v>8911.33</v>
      </c>
      <c r="M301" s="161"/>
      <c r="N301" s="60">
        <f t="shared" si="91"/>
        <v>3550.0954332136471</v>
      </c>
      <c r="O301" s="31">
        <v>0</v>
      </c>
      <c r="P301" s="152">
        <f t="shared" si="92"/>
        <v>0</v>
      </c>
      <c r="Q301" s="86">
        <v>8047.1399999999994</v>
      </c>
      <c r="R301" s="161">
        <f t="shared" si="96"/>
        <v>0</v>
      </c>
      <c r="S301" s="86">
        <f t="shared" si="93"/>
        <v>864.19000000000051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">
        <v>411</v>
      </c>
      <c r="B302" s="12" t="s">
        <v>104</v>
      </c>
      <c r="C302" s="88" t="s">
        <v>113</v>
      </c>
      <c r="D302" s="83">
        <v>0</v>
      </c>
      <c r="E302" s="152">
        <f t="shared" si="94"/>
        <v>0</v>
      </c>
      <c r="F302" s="86">
        <v>0</v>
      </c>
      <c r="G302" s="83">
        <v>0</v>
      </c>
      <c r="H302" s="152">
        <f t="shared" si="95"/>
        <v>0</v>
      </c>
      <c r="I302" s="86">
        <v>0</v>
      </c>
      <c r="J302" s="31">
        <v>0</v>
      </c>
      <c r="K302" s="152">
        <f t="shared" si="89"/>
        <v>0</v>
      </c>
      <c r="L302" s="86">
        <v>0</v>
      </c>
      <c r="M302" s="161"/>
      <c r="N302" s="60">
        <f t="shared" si="91"/>
        <v>0</v>
      </c>
      <c r="O302" s="31">
        <v>0</v>
      </c>
      <c r="P302" s="152">
        <f t="shared" si="92"/>
        <v>0</v>
      </c>
      <c r="Q302" s="86">
        <v>0</v>
      </c>
      <c r="R302" s="161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">
        <v>412</v>
      </c>
      <c r="B303" s="12" t="s">
        <v>104</v>
      </c>
      <c r="C303" s="484" t="s">
        <v>114</v>
      </c>
      <c r="D303" s="197">
        <f>SUM(D294:D302)</f>
        <v>323505.51112371695</v>
      </c>
      <c r="E303" s="216">
        <f>IF(D303&lt;=0,0,F303/D303)</f>
        <v>0.28994594399625312</v>
      </c>
      <c r="F303" s="201">
        <f>SUM(F294:F302)</f>
        <v>93799.11081075648</v>
      </c>
      <c r="G303" s="197">
        <f>SUM(G294:G302)</f>
        <v>323505.51112371695</v>
      </c>
      <c r="H303" s="216">
        <f>IF(G303&lt;=0,0,I303/G303)</f>
        <v>0.28994594399625312</v>
      </c>
      <c r="I303" s="201">
        <f>SUM(I294:I302)</f>
        <v>93799.11081075648</v>
      </c>
      <c r="J303" s="197">
        <f>SUM(J294:J302)</f>
        <v>416763.33</v>
      </c>
      <c r="K303" s="216">
        <f t="shared" si="89"/>
        <v>0.27908755791926321</v>
      </c>
      <c r="L303" s="199">
        <f>SUM(L294:L302)</f>
        <v>116313.46000000002</v>
      </c>
      <c r="M303" s="217">
        <f>(+J303-G303)/G303</f>
        <v>0.28827273622741728</v>
      </c>
      <c r="N303" s="199">
        <f t="shared" si="91"/>
        <v>22514.349189243541</v>
      </c>
      <c r="O303" s="197">
        <f>SUM(O294:O302)</f>
        <v>354284.89</v>
      </c>
      <c r="P303" s="216">
        <f t="shared" si="92"/>
        <v>0.27388159286160912</v>
      </c>
      <c r="Q303" s="199">
        <f>SUM(Q294:Q302)</f>
        <v>97032.109999999971</v>
      </c>
      <c r="R303" s="217">
        <f>IF(O303=0,0,(J303-O303)/O303)</f>
        <v>0.17635084578402427</v>
      </c>
      <c r="S303" s="201">
        <f t="shared" si="93"/>
        <v>19281.350000000049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">
        <v>104</v>
      </c>
      <c r="B304" s="12" t="s">
        <v>104</v>
      </c>
      <c r="C304" s="481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0.24002732003149962</v>
      </c>
      <c r="O304" s="42"/>
      <c r="P304" s="14"/>
      <c r="Q304" s="41"/>
      <c r="R304" s="42"/>
      <c r="S304" s="45">
        <f>IF(Q303=0,0,S303/Q303)</f>
        <v>0.19871102462885795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">
        <v>104</v>
      </c>
      <c r="B305" s="12" t="s">
        <v>104</v>
      </c>
      <c r="C305" s="88"/>
      <c r="D305" s="114"/>
      <c r="E305" s="114"/>
      <c r="F305" s="218"/>
      <c r="G305" s="24"/>
      <c r="H305" s="219"/>
      <c r="I305" s="218"/>
      <c r="J305" s="24"/>
      <c r="K305" s="114"/>
      <c r="L305" s="218"/>
      <c r="M305" s="24"/>
      <c r="N305" s="171"/>
      <c r="O305" s="24"/>
      <c r="P305" s="114"/>
      <c r="Q305" s="218"/>
      <c r="R305" s="24"/>
      <c r="S305" s="172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">
        <v>413</v>
      </c>
      <c r="B306" s="12" t="s">
        <v>104</v>
      </c>
      <c r="C306" s="481" t="s">
        <v>115</v>
      </c>
      <c r="D306" s="83">
        <v>40120.543367926119</v>
      </c>
      <c r="E306" s="152">
        <f t="shared" ref="E306:E307" si="97">IF(D306=0,0,F306/D306)</f>
        <v>0.1816444838198383</v>
      </c>
      <c r="F306" s="113">
        <v>7287.6753906383765</v>
      </c>
      <c r="G306" s="83">
        <v>40120.543367926119</v>
      </c>
      <c r="H306" s="152">
        <f t="shared" ref="H306:H307" si="98">IF(G306=0,0,I306/G306)</f>
        <v>0.1816444838198383</v>
      </c>
      <c r="I306" s="113">
        <v>7287.6753906383765</v>
      </c>
      <c r="J306" s="31">
        <v>48929.240000000005</v>
      </c>
      <c r="K306" s="152">
        <f t="shared" ref="K306:K308" si="99">IF(J306&lt;=0,0,L306/J306)</f>
        <v>0.18991241229170944</v>
      </c>
      <c r="L306" s="113">
        <v>9292.2700000000023</v>
      </c>
      <c r="M306" s="161">
        <f t="shared" ref="M306:M308" si="100">(+J306-G306)/G306</f>
        <v>0.21955576601477167</v>
      </c>
      <c r="N306" s="60">
        <f t="shared" ref="N306:N308" si="101">L306-I306</f>
        <v>2004.5946093616258</v>
      </c>
      <c r="O306" s="31">
        <v>44833.79</v>
      </c>
      <c r="P306" s="152">
        <f t="shared" ref="P306:P308" si="102">IF(O306&lt;=0,0,Q306/O306)</f>
        <v>0.17072524986176724</v>
      </c>
      <c r="Q306" s="113">
        <v>7654.260000000002</v>
      </c>
      <c r="R306" s="161">
        <f t="shared" ref="R306:R307" si="103">IF(O306=0,0,(J306-O306)/O306)</f>
        <v>9.1347396684509696E-2</v>
      </c>
      <c r="S306" s="86">
        <f t="shared" ref="S306:S308" si="104">L306-Q306</f>
        <v>1638.0100000000002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">
        <v>414</v>
      </c>
      <c r="B307" s="12" t="s">
        <v>104</v>
      </c>
      <c r="C307" s="88" t="s">
        <v>116</v>
      </c>
      <c r="D307" s="83">
        <v>15456.721616591258</v>
      </c>
      <c r="E307" s="152">
        <f t="shared" si="97"/>
        <v>0.29130399895825637</v>
      </c>
      <c r="F307" s="95">
        <v>4502.6048176975582</v>
      </c>
      <c r="G307" s="83">
        <v>15456.721616591258</v>
      </c>
      <c r="H307" s="152">
        <f t="shared" si="98"/>
        <v>0.29130399895825637</v>
      </c>
      <c r="I307" s="95">
        <v>4502.6048176975582</v>
      </c>
      <c r="J307" s="31">
        <v>23524.37</v>
      </c>
      <c r="K307" s="152">
        <f t="shared" si="99"/>
        <v>0.30741227076431799</v>
      </c>
      <c r="L307" s="95">
        <v>7231.6799999999985</v>
      </c>
      <c r="M307" s="161">
        <f t="shared" si="100"/>
        <v>0.52195081101473162</v>
      </c>
      <c r="N307" s="60">
        <f t="shared" si="101"/>
        <v>2729.0751823024402</v>
      </c>
      <c r="O307" s="31">
        <v>17283.72</v>
      </c>
      <c r="P307" s="152">
        <f t="shared" si="102"/>
        <v>0.27699939596336909</v>
      </c>
      <c r="Q307" s="95">
        <v>4787.5800000000017</v>
      </c>
      <c r="R307" s="161">
        <f t="shared" si="103"/>
        <v>0.36107099629015033</v>
      </c>
      <c r="S307" s="86">
        <f t="shared" si="104"/>
        <v>2444.0999999999967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">
        <v>415</v>
      </c>
      <c r="B308" s="12" t="s">
        <v>104</v>
      </c>
      <c r="C308" s="484" t="s">
        <v>117</v>
      </c>
      <c r="D308" s="197">
        <f>D303+D306+D307</f>
        <v>379082.77610823436</v>
      </c>
      <c r="E308" s="216">
        <f>IF(D308&lt;=0,0,F308/D308)</f>
        <v>0.27853914151178666</v>
      </c>
      <c r="F308" s="199">
        <f t="shared" ref="F308" si="105">F303+F306+F307</f>
        <v>105589.39101909242</v>
      </c>
      <c r="G308" s="200">
        <f>G303+G306+G307</f>
        <v>379082.77610823436</v>
      </c>
      <c r="H308" s="216">
        <f>IF(G308&lt;=0,0,I308/G308)</f>
        <v>0.27853914151178666</v>
      </c>
      <c r="I308" s="199">
        <f t="shared" ref="I308:J308" si="106">I303+I306+I307</f>
        <v>105589.39101909242</v>
      </c>
      <c r="J308" s="200">
        <f t="shared" si="106"/>
        <v>489216.94</v>
      </c>
      <c r="K308" s="216">
        <f t="shared" si="99"/>
        <v>0.27153068329972391</v>
      </c>
      <c r="L308" s="199">
        <f>L303+L306+L307</f>
        <v>132837.41000000003</v>
      </c>
      <c r="M308" s="217">
        <f t="shared" si="100"/>
        <v>0.29052800821612779</v>
      </c>
      <c r="N308" s="199">
        <f t="shared" si="101"/>
        <v>27248.018980907611</v>
      </c>
      <c r="O308" s="200">
        <f t="shared" ref="O308" si="107">O303+O306+O307</f>
        <v>416402.4</v>
      </c>
      <c r="P308" s="216">
        <f t="shared" si="102"/>
        <v>0.26290422437526767</v>
      </c>
      <c r="Q308" s="199">
        <f>Q303+Q306+Q307</f>
        <v>109473.94999999997</v>
      </c>
      <c r="R308" s="217">
        <f>IF(O308=0,0,(J308-O308)/O308)</f>
        <v>0.17486580288682288</v>
      </c>
      <c r="S308" s="201">
        <f t="shared" si="104"/>
        <v>23363.460000000065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">
        <v>104</v>
      </c>
      <c r="B309" s="12" t="s">
        <v>104</v>
      </c>
      <c r="C309" s="481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0.25805640810998415</v>
      </c>
      <c r="O309" s="42"/>
      <c r="P309" s="14"/>
      <c r="Q309" s="41"/>
      <c r="R309" s="42"/>
      <c r="S309" s="45">
        <f>IF(Q308=0,0,S308/Q308)</f>
        <v>0.21341570300514479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">
        <v>104</v>
      </c>
      <c r="B310" s="12" t="s">
        <v>104</v>
      </c>
      <c r="C310" s="481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">
        <v>416</v>
      </c>
      <c r="B311" s="12" t="s">
        <v>104</v>
      </c>
      <c r="C311" s="88" t="s">
        <v>118</v>
      </c>
      <c r="D311" s="92">
        <v>0</v>
      </c>
      <c r="E311" s="220">
        <f t="shared" ref="E311" si="108">IF(D311=0,0,F311/D311)</f>
        <v>0</v>
      </c>
      <c r="F311" s="150">
        <v>0</v>
      </c>
      <c r="G311" s="175">
        <v>0</v>
      </c>
      <c r="H311" s="220">
        <f t="shared" ref="H311" si="109">IF(G311=0,0,I311/G311)</f>
        <v>0</v>
      </c>
      <c r="I311" s="150">
        <v>0</v>
      </c>
      <c r="J311" s="47">
        <v>0</v>
      </c>
      <c r="K311" s="221">
        <f>IF(J311&lt;=0,0,L311/J311)</f>
        <v>0</v>
      </c>
      <c r="L311" s="23">
        <v>0</v>
      </c>
      <c r="M311" s="221">
        <f>IF(F311=0,0,(+L311-F311)/F311)</f>
        <v>0</v>
      </c>
      <c r="N311" s="94">
        <f>L311-I311</f>
        <v>0</v>
      </c>
      <c r="O311" s="47">
        <v>0</v>
      </c>
      <c r="P311" s="221">
        <f>IF(O311&lt;=0,0,Q311/O311)</f>
        <v>0</v>
      </c>
      <c r="Q311" s="23">
        <v>0</v>
      </c>
      <c r="R311" s="221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">
        <v>104</v>
      </c>
      <c r="B312" s="12" t="s">
        <v>104</v>
      </c>
      <c r="C312" s="481"/>
      <c r="D312" s="83"/>
      <c r="E312" s="152"/>
      <c r="F312" s="60"/>
      <c r="G312" s="61"/>
      <c r="H312" s="152"/>
      <c r="I312" s="60"/>
      <c r="J312" s="61"/>
      <c r="K312" s="152"/>
      <c r="L312" s="60"/>
      <c r="M312" s="161"/>
      <c r="N312" s="60"/>
      <c r="O312" s="61"/>
      <c r="P312" s="152"/>
      <c r="Q312" s="60"/>
      <c r="R312" s="161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">
        <v>417</v>
      </c>
      <c r="B313" s="12" t="s">
        <v>104</v>
      </c>
      <c r="C313" s="63" t="s">
        <v>119</v>
      </c>
      <c r="D313" s="64">
        <f>D308+D311</f>
        <v>379082.77610823436</v>
      </c>
      <c r="E313" s="222">
        <f>IF(D313&lt;=0,0,F313/D313)</f>
        <v>0.27853914151178666</v>
      </c>
      <c r="F313" s="66">
        <f t="shared" ref="F313" si="110">F308+F311</f>
        <v>105589.39101909242</v>
      </c>
      <c r="G313" s="67">
        <f>G308+G311</f>
        <v>379082.77610823436</v>
      </c>
      <c r="H313" s="222">
        <f>IF(G313&lt;=0,0,I313/G313)</f>
        <v>0.27853914151178666</v>
      </c>
      <c r="I313" s="66">
        <f t="shared" ref="I313:J313" si="111">I308+I311</f>
        <v>105589.39101909242</v>
      </c>
      <c r="J313" s="67">
        <f t="shared" si="111"/>
        <v>489216.94</v>
      </c>
      <c r="K313" s="222">
        <f>IF(J313&lt;=0,0,L313/J313)</f>
        <v>0.27153068329972391</v>
      </c>
      <c r="L313" s="66">
        <f>L308+L311</f>
        <v>132837.41000000003</v>
      </c>
      <c r="M313" s="223">
        <f>(+J313-G313)/G313</f>
        <v>0.29052800821612779</v>
      </c>
      <c r="N313" s="224">
        <f>L313-I313</f>
        <v>27248.018980907611</v>
      </c>
      <c r="O313" s="67">
        <f t="shared" ref="O313" si="112">O308+O311</f>
        <v>416402.4</v>
      </c>
      <c r="P313" s="222">
        <f>IF(O313&lt;=0,0,Q313/O313)</f>
        <v>0.26290422437526767</v>
      </c>
      <c r="Q313" s="66">
        <f>Q308+Q311</f>
        <v>109473.94999999997</v>
      </c>
      <c r="R313" s="223">
        <f>IF(O313=0,0,(J313-O313)/O313)</f>
        <v>0.17486580288682288</v>
      </c>
      <c r="S313" s="225">
        <f>L313-Q313</f>
        <v>23363.460000000065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">
        <v>104</v>
      </c>
      <c r="B314" s="12" t="s">
        <v>104</v>
      </c>
      <c r="C314" s="226"/>
      <c r="D314" s="227"/>
      <c r="E314" s="228"/>
      <c r="F314" s="229"/>
      <c r="G314" s="230"/>
      <c r="H314" s="228"/>
      <c r="I314" s="229"/>
      <c r="J314" s="230"/>
      <c r="K314" s="228"/>
      <c r="L314" s="229"/>
      <c r="M314" s="231"/>
      <c r="N314" s="75">
        <f>N313/I313</f>
        <v>0.25805640810998415</v>
      </c>
      <c r="O314" s="230"/>
      <c r="P314" s="228"/>
      <c r="Q314" s="229"/>
      <c r="R314" s="231"/>
      <c r="S314" s="76">
        <f>IF(Q313=0,0,S313/Q313)</f>
        <v>0.21341570300514479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">
        <v>104</v>
      </c>
      <c r="B315" s="12" t="s">
        <v>104</v>
      </c>
      <c r="C315" s="484"/>
      <c r="D315" s="115"/>
      <c r="E315" s="177"/>
      <c r="F315" s="179"/>
      <c r="G315" s="178"/>
      <c r="H315" s="177"/>
      <c r="I315" s="179"/>
      <c r="J315" s="178"/>
      <c r="K315" s="177"/>
      <c r="L315" s="179"/>
      <c r="M315" s="42"/>
      <c r="N315" s="44"/>
      <c r="O315" s="178"/>
      <c r="P315" s="177"/>
      <c r="Q315" s="179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">
        <v>418</v>
      </c>
      <c r="B316" s="12" t="s">
        <v>104</v>
      </c>
      <c r="C316" s="487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">
        <v>419</v>
      </c>
      <c r="B317" s="12" t="s">
        <v>104</v>
      </c>
      <c r="C317" s="494" t="s">
        <v>42</v>
      </c>
      <c r="D317" s="14"/>
      <c r="E317" s="14"/>
      <c r="F317" s="31">
        <v>2606.4352490421456</v>
      </c>
      <c r="G317" s="42"/>
      <c r="H317" s="14"/>
      <c r="I317" s="31">
        <v>2606.4352490421456</v>
      </c>
      <c r="J317" s="42"/>
      <c r="K317" s="14"/>
      <c r="L317" s="34">
        <v>4637.67</v>
      </c>
      <c r="M317" s="42"/>
      <c r="N317" s="60">
        <f t="shared" ref="N317:N347" si="113">L317-I317</f>
        <v>2031.2347509578544</v>
      </c>
      <c r="O317" s="42"/>
      <c r="P317" s="14"/>
      <c r="Q317" s="34">
        <v>5990.86</v>
      </c>
      <c r="R317" s="42"/>
      <c r="S317" s="35">
        <f>L317-Q317</f>
        <v>-1353.1899999999996</v>
      </c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">
        <v>420</v>
      </c>
      <c r="B318" s="12" t="s">
        <v>104</v>
      </c>
      <c r="C318" s="106" t="s">
        <v>43</v>
      </c>
      <c r="D318" s="82"/>
      <c r="E318" s="14"/>
      <c r="F318" s="23">
        <v>4365.3456786819925</v>
      </c>
      <c r="G318" s="84"/>
      <c r="H318" s="14"/>
      <c r="I318" s="23">
        <v>4365.3456786819925</v>
      </c>
      <c r="J318" s="42"/>
      <c r="K318" s="14"/>
      <c r="L318" s="34">
        <v>3222.39</v>
      </c>
      <c r="M318" s="42"/>
      <c r="N318" s="60">
        <f t="shared" si="113"/>
        <v>-1142.9556786819926</v>
      </c>
      <c r="O318" s="42"/>
      <c r="P318" s="14"/>
      <c r="Q318" s="34">
        <v>4164.5200000000004</v>
      </c>
      <c r="R318" s="42"/>
      <c r="S318" s="86">
        <f t="shared" ref="S318:S347" si="114">L318-Q318</f>
        <v>-942.13000000000056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">
        <v>421</v>
      </c>
      <c r="B319" s="12" t="s">
        <v>104</v>
      </c>
      <c r="C319" s="494" t="s">
        <v>44</v>
      </c>
      <c r="D319" s="107"/>
      <c r="E319" s="108"/>
      <c r="F319" s="31">
        <v>24550.484569134096</v>
      </c>
      <c r="G319" s="109"/>
      <c r="H319" s="108"/>
      <c r="I319" s="31">
        <v>24550.484569134096</v>
      </c>
      <c r="J319" s="110"/>
      <c r="K319" s="108"/>
      <c r="L319" s="111">
        <v>25005.05</v>
      </c>
      <c r="M319" s="110"/>
      <c r="N319" s="112">
        <f t="shared" si="113"/>
        <v>454.56543086590318</v>
      </c>
      <c r="O319" s="110"/>
      <c r="P319" s="108"/>
      <c r="Q319" s="111">
        <v>20569.099999999999</v>
      </c>
      <c r="R319" s="110"/>
      <c r="S319" s="113">
        <f t="shared" si="114"/>
        <v>4435.9500000000007</v>
      </c>
      <c r="T319" s="14"/>
      <c r="U319" s="518"/>
      <c r="V319" s="518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">
        <v>422</v>
      </c>
      <c r="B320" s="12" t="s">
        <v>104</v>
      </c>
      <c r="C320" s="494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f t="shared" si="113"/>
        <v>0</v>
      </c>
      <c r="O320" s="42"/>
      <c r="P320" s="14"/>
      <c r="Q320" s="34"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">
        <v>409</v>
      </c>
      <c r="B321" s="12" t="s">
        <v>104</v>
      </c>
      <c r="C321" s="233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f t="shared" si="113"/>
        <v>0</v>
      </c>
      <c r="O321" s="42"/>
      <c r="P321" s="14"/>
      <c r="Q321" s="34"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">
        <v>409</v>
      </c>
      <c r="B322" s="12" t="s">
        <v>104</v>
      </c>
      <c r="C322" s="233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f t="shared" si="113"/>
        <v>0</v>
      </c>
      <c r="O322" s="42"/>
      <c r="P322" s="14"/>
      <c r="Q322" s="34"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">
        <v>409</v>
      </c>
      <c r="B323" s="12" t="s">
        <v>104</v>
      </c>
      <c r="C323" s="233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f t="shared" si="113"/>
        <v>0</v>
      </c>
      <c r="O323" s="42"/>
      <c r="P323" s="14"/>
      <c r="Q323" s="34"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">
        <v>423</v>
      </c>
      <c r="B324" s="12" t="s">
        <v>104</v>
      </c>
      <c r="C324" s="106" t="s">
        <v>46</v>
      </c>
      <c r="D324" s="82"/>
      <c r="E324" s="14"/>
      <c r="F324" s="23">
        <v>3943.0674077405433</v>
      </c>
      <c r="G324" s="84"/>
      <c r="H324" s="14"/>
      <c r="I324" s="23">
        <v>3943.0674077405433</v>
      </c>
      <c r="J324" s="42"/>
      <c r="K324" s="14"/>
      <c r="L324" s="34">
        <v>3049.96</v>
      </c>
      <c r="M324" s="42"/>
      <c r="N324" s="60">
        <f t="shared" si="113"/>
        <v>-893.10740774054329</v>
      </c>
      <c r="O324" s="42"/>
      <c r="P324" s="14"/>
      <c r="Q324" s="34">
        <v>4417.0600000000004</v>
      </c>
      <c r="R324" s="42"/>
      <c r="S324" s="86">
        <f t="shared" si="114"/>
        <v>-1367.1000000000004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">
        <v>424</v>
      </c>
      <c r="B325" s="12" t="s">
        <v>104</v>
      </c>
      <c r="C325" s="105" t="s">
        <v>47</v>
      </c>
      <c r="D325" s="107"/>
      <c r="E325" s="108"/>
      <c r="F325" s="31">
        <v>3531.4210506315403</v>
      </c>
      <c r="G325" s="109"/>
      <c r="H325" s="108"/>
      <c r="I325" s="31">
        <v>3531.4210506315403</v>
      </c>
      <c r="J325" s="110"/>
      <c r="K325" s="108"/>
      <c r="L325" s="111">
        <v>52.06</v>
      </c>
      <c r="M325" s="110"/>
      <c r="N325" s="112">
        <f t="shared" si="113"/>
        <v>-3479.3610506315404</v>
      </c>
      <c r="O325" s="110"/>
      <c r="P325" s="108"/>
      <c r="Q325" s="111">
        <v>38.15</v>
      </c>
      <c r="R325" s="110"/>
      <c r="S325" s="113">
        <f t="shared" si="114"/>
        <v>13.910000000000004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">
        <v>425</v>
      </c>
      <c r="B326" s="12" t="s">
        <v>104</v>
      </c>
      <c r="C326" s="105" t="s">
        <v>48</v>
      </c>
      <c r="D326" s="82"/>
      <c r="E326" s="14"/>
      <c r="F326" s="31">
        <v>2804.3637755015175</v>
      </c>
      <c r="G326" s="84"/>
      <c r="H326" s="14"/>
      <c r="I326" s="31">
        <v>2804.3637755015175</v>
      </c>
      <c r="J326" s="42"/>
      <c r="K326" s="14"/>
      <c r="L326" s="34">
        <v>3016.45</v>
      </c>
      <c r="M326" s="42"/>
      <c r="N326" s="60">
        <f t="shared" si="113"/>
        <v>212.08622449848235</v>
      </c>
      <c r="O326" s="42"/>
      <c r="P326" s="14"/>
      <c r="Q326" s="34">
        <v>2196.31</v>
      </c>
      <c r="R326" s="42"/>
      <c r="S326" s="86">
        <f t="shared" si="114"/>
        <v>820.13999999999987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">
        <v>426</v>
      </c>
      <c r="B327" s="12" t="s">
        <v>104</v>
      </c>
      <c r="C327" s="105" t="s">
        <v>49</v>
      </c>
      <c r="D327" s="82"/>
      <c r="E327" s="14"/>
      <c r="F327" s="31">
        <v>1142.5185752043219</v>
      </c>
      <c r="G327" s="84"/>
      <c r="H327" s="14"/>
      <c r="I327" s="31">
        <v>1142.5185752043219</v>
      </c>
      <c r="J327" s="42"/>
      <c r="K327" s="14"/>
      <c r="L327" s="34">
        <v>6723.14</v>
      </c>
      <c r="M327" s="42"/>
      <c r="N327" s="60">
        <f t="shared" si="113"/>
        <v>5580.6214247956786</v>
      </c>
      <c r="O327" s="42"/>
      <c r="P327" s="14"/>
      <c r="Q327" s="34">
        <v>3537.24</v>
      </c>
      <c r="R327" s="42"/>
      <c r="S327" s="86">
        <f t="shared" si="114"/>
        <v>3185.9000000000005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">
        <v>409</v>
      </c>
      <c r="B328" s="12" t="s">
        <v>104</v>
      </c>
      <c r="C328" s="30" t="s">
        <v>21</v>
      </c>
      <c r="D328" s="89"/>
      <c r="E328" s="114"/>
      <c r="F328" s="31">
        <v>0</v>
      </c>
      <c r="G328" s="91"/>
      <c r="H328" s="114"/>
      <c r="I328" s="31">
        <v>0</v>
      </c>
      <c r="J328" s="24"/>
      <c r="K328" s="114"/>
      <c r="L328" s="34">
        <v>0</v>
      </c>
      <c r="M328" s="24"/>
      <c r="N328" s="94">
        <f t="shared" si="113"/>
        <v>0</v>
      </c>
      <c r="O328" s="24"/>
      <c r="P328" s="114"/>
      <c r="Q328" s="34"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">
        <v>427</v>
      </c>
      <c r="B329" s="12" t="s">
        <v>104</v>
      </c>
      <c r="C329" s="96" t="s">
        <v>50</v>
      </c>
      <c r="D329" s="97" t="s">
        <v>40</v>
      </c>
      <c r="E329" s="98">
        <f>F329/F$313</f>
        <v>0.40670408164558119</v>
      </c>
      <c r="F329" s="99">
        <f>+SUM(F317:F328)</f>
        <v>42943.636305936161</v>
      </c>
      <c r="G329" s="100" t="s">
        <v>40</v>
      </c>
      <c r="H329" s="98">
        <f>I329/I$313</f>
        <v>0.40670408164558119</v>
      </c>
      <c r="I329" s="99">
        <f>+SUM(I317:I328)</f>
        <v>42943.636305936161</v>
      </c>
      <c r="J329" s="100" t="s">
        <v>40</v>
      </c>
      <c r="K329" s="98">
        <f>L329/L$313</f>
        <v>0.34408018042507743</v>
      </c>
      <c r="L329" s="99">
        <f>+SUM(L317:L328)</f>
        <v>45706.719999999994</v>
      </c>
      <c r="M329" s="151"/>
      <c r="N329" s="116">
        <f t="shared" si="113"/>
        <v>2763.0836940638328</v>
      </c>
      <c r="O329" s="100" t="s">
        <v>40</v>
      </c>
      <c r="P329" s="98">
        <f>Q329/Q$313</f>
        <v>0.3737258041753313</v>
      </c>
      <c r="Q329" s="99">
        <f>+SUM(Q317:Q328)</f>
        <v>40913.24</v>
      </c>
      <c r="R329" s="151"/>
      <c r="S329" s="117">
        <f t="shared" si="114"/>
        <v>4793.4799999999959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">
        <v>428</v>
      </c>
      <c r="B330" s="12" t="s">
        <v>104</v>
      </c>
      <c r="C330" s="214" t="s">
        <v>51</v>
      </c>
      <c r="D330" s="82"/>
      <c r="E330" s="14"/>
      <c r="F330" s="31">
        <v>3725.4874999999997</v>
      </c>
      <c r="G330" s="84"/>
      <c r="H330" s="14"/>
      <c r="I330" s="31">
        <v>3725.4874999999997</v>
      </c>
      <c r="J330" s="42"/>
      <c r="K330" s="14"/>
      <c r="L330" s="34">
        <v>4350.5</v>
      </c>
      <c r="M330" s="42"/>
      <c r="N330" s="60">
        <f t="shared" si="113"/>
        <v>625.01250000000027</v>
      </c>
      <c r="O330" s="42"/>
      <c r="P330" s="14"/>
      <c r="Q330" s="34">
        <v>1375.97</v>
      </c>
      <c r="R330" s="42"/>
      <c r="S330" s="86">
        <f t="shared" si="114"/>
        <v>2974.5299999999997</v>
      </c>
      <c r="T330" s="14"/>
      <c r="U330" s="14"/>
      <c r="V330" s="14"/>
      <c r="W330" s="83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">
        <v>429</v>
      </c>
      <c r="B331" s="12" t="s">
        <v>104</v>
      </c>
      <c r="C331" s="105" t="s">
        <v>52</v>
      </c>
      <c r="D331" s="82"/>
      <c r="E331" s="14"/>
      <c r="F331" s="31">
        <v>552.07610461045431</v>
      </c>
      <c r="G331" s="84"/>
      <c r="H331" s="14"/>
      <c r="I331" s="31">
        <v>552.07610461045431</v>
      </c>
      <c r="J331" s="42"/>
      <c r="K331" s="14"/>
      <c r="L331" s="34">
        <v>2688.6</v>
      </c>
      <c r="M331" s="42"/>
      <c r="N331" s="60">
        <f t="shared" si="113"/>
        <v>2136.5238953895455</v>
      </c>
      <c r="O331" s="42"/>
      <c r="P331" s="14"/>
      <c r="Q331" s="34">
        <v>2726.33</v>
      </c>
      <c r="R331" s="42"/>
      <c r="S331" s="86">
        <f t="shared" si="114"/>
        <v>-37.730000000000018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">
        <v>430</v>
      </c>
      <c r="B332" s="12" t="s">
        <v>104</v>
      </c>
      <c r="C332" s="106" t="s">
        <v>53</v>
      </c>
      <c r="D332" s="89"/>
      <c r="E332" s="114"/>
      <c r="F332" s="23">
        <v>433.5</v>
      </c>
      <c r="G332" s="91"/>
      <c r="H332" s="114"/>
      <c r="I332" s="23">
        <v>433.5</v>
      </c>
      <c r="J332" s="24"/>
      <c r="K332" s="114"/>
      <c r="L332" s="34">
        <v>275.75</v>
      </c>
      <c r="M332" s="24"/>
      <c r="N332" s="94">
        <f t="shared" si="113"/>
        <v>-157.75</v>
      </c>
      <c r="O332" s="24"/>
      <c r="P332" s="114"/>
      <c r="Q332" s="34">
        <v>290.89</v>
      </c>
      <c r="R332" s="24"/>
      <c r="S332" s="95">
        <f t="shared" si="114"/>
        <v>-15.139999999999986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">
        <v>431</v>
      </c>
      <c r="B333" s="12" t="s">
        <v>104</v>
      </c>
      <c r="C333" s="105" t="s">
        <v>54</v>
      </c>
      <c r="D333" s="82"/>
      <c r="E333" s="14"/>
      <c r="F333" s="31">
        <v>3489.4852291666666</v>
      </c>
      <c r="G333" s="84"/>
      <c r="H333" s="14"/>
      <c r="I333" s="31">
        <v>3489.4852291666666</v>
      </c>
      <c r="J333" s="42"/>
      <c r="K333" s="14"/>
      <c r="L333" s="111">
        <v>3783.42</v>
      </c>
      <c r="M333" s="42"/>
      <c r="N333" s="60">
        <f t="shared" si="113"/>
        <v>293.93477083333346</v>
      </c>
      <c r="O333" s="42"/>
      <c r="P333" s="14"/>
      <c r="Q333" s="111">
        <v>3699.66</v>
      </c>
      <c r="R333" s="42"/>
      <c r="S333" s="86">
        <f t="shared" si="114"/>
        <v>83.760000000000218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">
        <v>432</v>
      </c>
      <c r="B334" s="12" t="s">
        <v>104</v>
      </c>
      <c r="C334" s="105" t="s">
        <v>55</v>
      </c>
      <c r="D334" s="82"/>
      <c r="E334" s="14"/>
      <c r="F334" s="31">
        <v>618.86078125000006</v>
      </c>
      <c r="G334" s="84"/>
      <c r="H334" s="14"/>
      <c r="I334" s="31">
        <v>618.86078125000006</v>
      </c>
      <c r="J334" s="42"/>
      <c r="K334" s="14"/>
      <c r="L334" s="34">
        <v>966.97</v>
      </c>
      <c r="M334" s="42"/>
      <c r="N334" s="60">
        <f t="shared" si="113"/>
        <v>348.10921874999997</v>
      </c>
      <c r="O334" s="42"/>
      <c r="P334" s="14"/>
      <c r="Q334" s="34">
        <v>236.14</v>
      </c>
      <c r="R334" s="42"/>
      <c r="S334" s="86">
        <f t="shared" si="114"/>
        <v>730.83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">
        <v>433</v>
      </c>
      <c r="B335" s="12" t="s">
        <v>104</v>
      </c>
      <c r="C335" s="234" t="s">
        <v>56</v>
      </c>
      <c r="D335" s="89"/>
      <c r="E335" s="114"/>
      <c r="F335" s="23">
        <v>7706.3617888888884</v>
      </c>
      <c r="G335" s="91"/>
      <c r="H335" s="114"/>
      <c r="I335" s="23">
        <v>7706.3617888888884</v>
      </c>
      <c r="J335" s="24"/>
      <c r="K335" s="114"/>
      <c r="L335" s="49">
        <v>9136.9599999999991</v>
      </c>
      <c r="M335" s="24"/>
      <c r="N335" s="94">
        <f t="shared" si="113"/>
        <v>1430.5982111111107</v>
      </c>
      <c r="O335" s="24"/>
      <c r="P335" s="114"/>
      <c r="Q335" s="49">
        <v>5491.49</v>
      </c>
      <c r="R335" s="24"/>
      <c r="S335" s="95">
        <f t="shared" si="114"/>
        <v>3645.4699999999993</v>
      </c>
      <c r="T335" s="14"/>
      <c r="U335" s="14" t="s">
        <v>492</v>
      </c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">
        <v>434</v>
      </c>
      <c r="B336" s="12" t="s">
        <v>104</v>
      </c>
      <c r="C336" s="105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f t="shared" si="113"/>
        <v>0</v>
      </c>
      <c r="O336" s="42"/>
      <c r="P336" s="14"/>
      <c r="Q336" s="34"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">
        <v>435</v>
      </c>
      <c r="B337" s="12" t="s">
        <v>104</v>
      </c>
      <c r="C337" s="105" t="s">
        <v>57</v>
      </c>
      <c r="D337" s="82"/>
      <c r="E337" s="14"/>
      <c r="F337" s="31">
        <v>81.641327736691551</v>
      </c>
      <c r="G337" s="84"/>
      <c r="H337" s="14"/>
      <c r="I337" s="31">
        <v>81.641327736691551</v>
      </c>
      <c r="J337" s="42"/>
      <c r="K337" s="14"/>
      <c r="L337" s="34">
        <v>107.48</v>
      </c>
      <c r="M337" s="42"/>
      <c r="N337" s="60">
        <f t="shared" si="113"/>
        <v>25.838672263308453</v>
      </c>
      <c r="O337" s="42"/>
      <c r="P337" s="14"/>
      <c r="Q337" s="34">
        <v>256.62</v>
      </c>
      <c r="R337" s="42"/>
      <c r="S337" s="86">
        <f t="shared" si="114"/>
        <v>-149.13999999999999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">
        <v>436</v>
      </c>
      <c r="B338" s="12" t="s">
        <v>104</v>
      </c>
      <c r="C338" s="105" t="s">
        <v>58</v>
      </c>
      <c r="D338" s="82"/>
      <c r="E338" s="14"/>
      <c r="F338" s="31">
        <v>43.382055389861925</v>
      </c>
      <c r="G338" s="84"/>
      <c r="H338" s="14"/>
      <c r="I338" s="31">
        <v>43.382055389861925</v>
      </c>
      <c r="J338" s="42"/>
      <c r="K338" s="14"/>
      <c r="L338" s="34">
        <v>0</v>
      </c>
      <c r="M338" s="42"/>
      <c r="N338" s="60">
        <f t="shared" si="113"/>
        <v>-43.382055389861925</v>
      </c>
      <c r="O338" s="42"/>
      <c r="P338" s="14"/>
      <c r="Q338" s="34">
        <v>0</v>
      </c>
      <c r="R338" s="42"/>
      <c r="S338" s="86">
        <f t="shared" si="114"/>
        <v>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">
        <v>437</v>
      </c>
      <c r="B339" s="12" t="s">
        <v>104</v>
      </c>
      <c r="C339" s="105" t="s">
        <v>59</v>
      </c>
      <c r="D339" s="82"/>
      <c r="E339" s="14"/>
      <c r="F339" s="31">
        <v>510.05025000000001</v>
      </c>
      <c r="G339" s="84"/>
      <c r="H339" s="14"/>
      <c r="I339" s="31">
        <v>510.05025000000001</v>
      </c>
      <c r="J339" s="42"/>
      <c r="K339" s="14"/>
      <c r="L339" s="33">
        <v>706.13</v>
      </c>
      <c r="M339" s="42"/>
      <c r="N339" s="60">
        <f t="shared" si="113"/>
        <v>196.07974999999999</v>
      </c>
      <c r="O339" s="42"/>
      <c r="P339" s="14"/>
      <c r="Q339" s="33">
        <v>193.77</v>
      </c>
      <c r="R339" s="42"/>
      <c r="S339" s="86">
        <f t="shared" si="114"/>
        <v>512.36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">
        <v>438</v>
      </c>
      <c r="B340" s="12" t="s">
        <v>104</v>
      </c>
      <c r="C340" s="105" t="s">
        <v>60</v>
      </c>
      <c r="D340" s="82"/>
      <c r="E340" s="14"/>
      <c r="F340" s="31">
        <v>235.51916145833334</v>
      </c>
      <c r="G340" s="84"/>
      <c r="H340" s="14"/>
      <c r="I340" s="31">
        <v>235.51916145833334</v>
      </c>
      <c r="J340" s="42"/>
      <c r="K340" s="14"/>
      <c r="L340" s="34">
        <v>90.2</v>
      </c>
      <c r="M340" s="42"/>
      <c r="N340" s="60">
        <f t="shared" si="113"/>
        <v>-145.31916145833333</v>
      </c>
      <c r="O340" s="42"/>
      <c r="P340" s="14"/>
      <c r="Q340" s="34">
        <v>320.91000000000003</v>
      </c>
      <c r="R340" s="42"/>
      <c r="S340" s="86">
        <f t="shared" si="114"/>
        <v>-230.71000000000004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">
        <v>439</v>
      </c>
      <c r="B341" s="12" t="s">
        <v>104</v>
      </c>
      <c r="C341" s="105" t="s">
        <v>61</v>
      </c>
      <c r="D341" s="82"/>
      <c r="E341" s="14"/>
      <c r="F341" s="31">
        <v>125.71646354166664</v>
      </c>
      <c r="G341" s="84"/>
      <c r="H341" s="14"/>
      <c r="I341" s="31">
        <v>125.71646354166664</v>
      </c>
      <c r="J341" s="42"/>
      <c r="K341" s="14"/>
      <c r="L341" s="34">
        <v>118.94</v>
      </c>
      <c r="M341" s="42"/>
      <c r="N341" s="60">
        <f t="shared" si="113"/>
        <v>-6.7764635416666437</v>
      </c>
      <c r="O341" s="42"/>
      <c r="P341" s="14"/>
      <c r="Q341" s="34">
        <v>-85.32</v>
      </c>
      <c r="R341" s="42"/>
      <c r="S341" s="86">
        <f t="shared" si="114"/>
        <v>204.26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">
        <v>440</v>
      </c>
      <c r="B342" s="12" t="s">
        <v>104</v>
      </c>
      <c r="C342" s="105" t="s">
        <v>62</v>
      </c>
      <c r="D342" s="82"/>
      <c r="E342" s="14"/>
      <c r="F342" s="31">
        <v>606.4324947916665</v>
      </c>
      <c r="G342" s="84"/>
      <c r="H342" s="14"/>
      <c r="I342" s="31">
        <v>606.4324947916665</v>
      </c>
      <c r="J342" s="42"/>
      <c r="K342" s="14"/>
      <c r="L342" s="34">
        <v>118.41</v>
      </c>
      <c r="M342" s="42"/>
      <c r="N342" s="60">
        <f t="shared" si="113"/>
        <v>-488.02249479166653</v>
      </c>
      <c r="O342" s="42"/>
      <c r="P342" s="14"/>
      <c r="Q342" s="34">
        <v>788.49</v>
      </c>
      <c r="R342" s="42"/>
      <c r="S342" s="86">
        <f t="shared" si="114"/>
        <v>-670.08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">
        <v>441</v>
      </c>
      <c r="B343" s="12" t="s">
        <v>104</v>
      </c>
      <c r="C343" s="105" t="s">
        <v>63</v>
      </c>
      <c r="D343" s="82"/>
      <c r="E343" s="14"/>
      <c r="F343" s="31">
        <v>900.98145833333331</v>
      </c>
      <c r="G343" s="84"/>
      <c r="H343" s="14"/>
      <c r="I343" s="31">
        <v>900.98145833333331</v>
      </c>
      <c r="J343" s="42"/>
      <c r="K343" s="14"/>
      <c r="L343" s="34">
        <v>287.67</v>
      </c>
      <c r="M343" s="42"/>
      <c r="N343" s="60">
        <f t="shared" si="113"/>
        <v>-613.31145833333335</v>
      </c>
      <c r="O343" s="42"/>
      <c r="P343" s="14"/>
      <c r="Q343" s="34">
        <v>22.14</v>
      </c>
      <c r="R343" s="42"/>
      <c r="S343" s="86">
        <f t="shared" si="114"/>
        <v>265.53000000000003</v>
      </c>
      <c r="T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">
        <v>442</v>
      </c>
      <c r="B344" s="12" t="s">
        <v>104</v>
      </c>
      <c r="C344" s="105" t="s">
        <v>64</v>
      </c>
      <c r="D344" s="82"/>
      <c r="E344" s="14"/>
      <c r="F344" s="31">
        <v>1193.22186433759</v>
      </c>
      <c r="G344" s="84"/>
      <c r="H344" s="14"/>
      <c r="I344" s="31">
        <v>1193.22186433759</v>
      </c>
      <c r="J344" s="42"/>
      <c r="K344" s="14"/>
      <c r="L344" s="34">
        <v>1507.65</v>
      </c>
      <c r="M344" s="42"/>
      <c r="N344" s="60">
        <f t="shared" si="113"/>
        <v>314.42813566241011</v>
      </c>
      <c r="O344" s="42"/>
      <c r="P344" s="14"/>
      <c r="Q344" s="34">
        <f>AL447*W7</f>
        <v>1295.682</v>
      </c>
      <c r="R344" s="42"/>
      <c r="S344" s="86">
        <f t="shared" si="114"/>
        <v>211.96800000000007</v>
      </c>
      <c r="T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">
        <v>409</v>
      </c>
      <c r="B345" s="12" t="s">
        <v>104</v>
      </c>
      <c r="C345" s="105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f t="shared" si="113"/>
        <v>0</v>
      </c>
      <c r="O345" s="42"/>
      <c r="P345" s="14"/>
      <c r="Q345" s="34">
        <v>0</v>
      </c>
      <c r="R345" s="42"/>
      <c r="S345" s="86">
        <f t="shared" si="114"/>
        <v>0</v>
      </c>
      <c r="T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">
        <v>409</v>
      </c>
      <c r="B346" s="12" t="s">
        <v>104</v>
      </c>
      <c r="C346" s="105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f t="shared" si="113"/>
        <v>0</v>
      </c>
      <c r="O346" s="42"/>
      <c r="P346" s="14"/>
      <c r="Q346" s="34">
        <v>0</v>
      </c>
      <c r="R346" s="42"/>
      <c r="S346" s="86">
        <f t="shared" si="114"/>
        <v>0</v>
      </c>
      <c r="T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">
        <v>409</v>
      </c>
      <c r="B347" s="12" t="s">
        <v>104</v>
      </c>
      <c r="C347" s="105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f t="shared" si="113"/>
        <v>0</v>
      </c>
      <c r="O347" s="42"/>
      <c r="P347" s="14"/>
      <c r="Q347" s="34">
        <v>0</v>
      </c>
      <c r="R347" s="42"/>
      <c r="S347" s="86">
        <f t="shared" si="114"/>
        <v>0</v>
      </c>
      <c r="T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6" t="s">
        <v>65</v>
      </c>
      <c r="D348" s="97" t="s">
        <v>40</v>
      </c>
      <c r="E348" s="98">
        <f>F348/F$313</f>
        <v>0.19152223802340643</v>
      </c>
      <c r="F348" s="99">
        <f>+SUM(F330:F347)</f>
        <v>20222.71647950515</v>
      </c>
      <c r="G348" s="100" t="s">
        <v>40</v>
      </c>
      <c r="H348" s="98">
        <f>I348/I$313</f>
        <v>0.19152223802340643</v>
      </c>
      <c r="I348" s="99">
        <f>+SUM(I330:I347)</f>
        <v>20222.71647950515</v>
      </c>
      <c r="J348" s="100" t="s">
        <v>40</v>
      </c>
      <c r="K348" s="98">
        <f>L348/L$313</f>
        <v>0.18171597895502473</v>
      </c>
      <c r="L348" s="99">
        <f>+SUM(L330:L347)</f>
        <v>24138.679999999997</v>
      </c>
      <c r="M348" s="103"/>
      <c r="N348" s="99">
        <f>+SUM(N330:N347)</f>
        <v>3915.9635204948459</v>
      </c>
      <c r="O348" s="100" t="s">
        <v>40</v>
      </c>
      <c r="P348" s="98">
        <f>Q348/Q$313</f>
        <v>0.15175091425859766</v>
      </c>
      <c r="Q348" s="99">
        <f>+SUM(Q330:Q347)</f>
        <v>16612.772000000001</v>
      </c>
      <c r="R348" s="103"/>
      <c r="S348" s="104">
        <f>+SUM(S330:S347)</f>
        <v>7525.9079999999985</v>
      </c>
      <c r="T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4"/>
      <c r="F349" s="60"/>
      <c r="G349" s="91"/>
      <c r="H349" s="114"/>
      <c r="I349" s="60"/>
      <c r="J349" s="24"/>
      <c r="K349" s="114"/>
      <c r="L349" s="94"/>
      <c r="M349" s="24"/>
      <c r="N349" s="94"/>
      <c r="O349" s="24"/>
      <c r="P349" s="114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6" t="s">
        <v>66</v>
      </c>
      <c r="D350" s="97" t="s">
        <v>40</v>
      </c>
      <c r="E350" s="98">
        <f>F350/F$313</f>
        <v>0.59822631966898765</v>
      </c>
      <c r="F350" s="99">
        <f>F329+F348</f>
        <v>63166.352785441311</v>
      </c>
      <c r="G350" s="100" t="s">
        <v>40</v>
      </c>
      <c r="H350" s="98">
        <f>I350/I$313</f>
        <v>0.59822631966898765</v>
      </c>
      <c r="I350" s="99">
        <f>I329+I348</f>
        <v>63166.352785441311</v>
      </c>
      <c r="J350" s="100" t="s">
        <v>40</v>
      </c>
      <c r="K350" s="98">
        <f>L350/L$313</f>
        <v>0.52579615938010216</v>
      </c>
      <c r="L350" s="99">
        <f>L329+L348</f>
        <v>69845.399999999994</v>
      </c>
      <c r="M350" s="103"/>
      <c r="N350" s="116">
        <f t="shared" ref="N350:N351" si="115">L350-I350</f>
        <v>6679.0472145586828</v>
      </c>
      <c r="O350" s="100" t="s">
        <v>40</v>
      </c>
      <c r="P350" s="98">
        <f>Q350/Q$313</f>
        <v>0.52547671843392896</v>
      </c>
      <c r="Q350" s="99">
        <f>Q329+Q348</f>
        <v>57526.012000000002</v>
      </c>
      <c r="R350" s="103"/>
      <c r="S350" s="117">
        <f>L350-Q350</f>
        <v>12319.387999999992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4" customHeight="1" thickBot="1">
      <c r="B352" s="7"/>
      <c r="C352" s="127" t="s">
        <v>73</v>
      </c>
      <c r="D352" s="156"/>
      <c r="E352" s="128"/>
      <c r="F352" s="130">
        <f>F313-F350</f>
        <v>42423.03823365111</v>
      </c>
      <c r="G352" s="157"/>
      <c r="H352" s="128"/>
      <c r="I352" s="130">
        <f>I313-I350</f>
        <v>42423.03823365111</v>
      </c>
      <c r="J352" s="158"/>
      <c r="K352" s="129"/>
      <c r="L352" s="130">
        <f>L313-L350</f>
        <v>62992.010000000038</v>
      </c>
      <c r="M352" s="158"/>
      <c r="N352" s="130">
        <f>L352-I352</f>
        <v>20568.971766348928</v>
      </c>
      <c r="O352" s="158"/>
      <c r="P352" s="129"/>
      <c r="Q352" s="130">
        <f>Q313-Q350</f>
        <v>51947.937999999966</v>
      </c>
      <c r="R352" s="158"/>
      <c r="S352" s="132">
        <f>L352-Q352</f>
        <v>11044.072000000073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5"/>
      <c r="G353" s="82"/>
      <c r="H353" s="14"/>
      <c r="I353" s="115"/>
      <c r="J353" s="77"/>
      <c r="K353" s="77"/>
      <c r="L353" s="115"/>
      <c r="M353" s="77"/>
      <c r="N353" s="115"/>
      <c r="O353" s="77"/>
      <c r="P353" s="77"/>
      <c r="Q353" s="115"/>
      <c r="R353" s="77"/>
      <c r="S353" s="11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hidden="1" customHeight="1">
      <c r="B354" s="7"/>
      <c r="C354" s="77"/>
      <c r="D354" s="82"/>
      <c r="E354" s="14"/>
      <c r="F354" s="115"/>
      <c r="G354" s="82"/>
      <c r="H354" s="14"/>
      <c r="I354" s="115"/>
      <c r="J354" s="77"/>
      <c r="K354" s="77"/>
      <c r="L354" s="115"/>
      <c r="M354" s="77"/>
      <c r="N354" s="115"/>
      <c r="O354" s="77"/>
      <c r="P354" s="77"/>
      <c r="Q354" s="115"/>
      <c r="R354" s="77"/>
      <c r="S354" s="11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475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Septembre 2022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hidden="1" customHeight="1" thickTop="1">
      <c r="B357" s="7"/>
      <c r="C357" s="13"/>
      <c r="D357" s="564" t="s">
        <v>5</v>
      </c>
      <c r="E357" s="565"/>
      <c r="F357" s="566"/>
      <c r="G357" s="562" t="s">
        <v>75</v>
      </c>
      <c r="H357" s="565"/>
      <c r="I357" s="566"/>
      <c r="J357" s="562" t="s">
        <v>7</v>
      </c>
      <c r="K357" s="565"/>
      <c r="L357" s="566"/>
      <c r="M357" s="562" t="s">
        <v>8</v>
      </c>
      <c r="N357" s="566"/>
      <c r="O357" s="564" t="s">
        <v>9</v>
      </c>
      <c r="P357" s="565"/>
      <c r="Q357" s="566"/>
      <c r="R357" s="562" t="s">
        <v>10</v>
      </c>
      <c r="S357" s="563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hidden="1" customHeight="1" thickBot="1">
      <c r="A358" t="s">
        <v>120</v>
      </c>
      <c r="B358" s="12" t="s">
        <v>120</v>
      </c>
      <c r="C358" s="30"/>
      <c r="D358" s="235" t="s">
        <v>85</v>
      </c>
      <c r="E358" s="235" t="s">
        <v>105</v>
      </c>
      <c r="F358" s="236" t="s">
        <v>13</v>
      </c>
      <c r="G358" s="237" t="s">
        <v>85</v>
      </c>
      <c r="H358" s="235" t="s">
        <v>105</v>
      </c>
      <c r="I358" s="236" t="s">
        <v>13</v>
      </c>
      <c r="J358" s="138" t="s">
        <v>85</v>
      </c>
      <c r="K358" s="81" t="s">
        <v>105</v>
      </c>
      <c r="L358" s="137" t="s">
        <v>13</v>
      </c>
      <c r="M358" s="138" t="s">
        <v>41</v>
      </c>
      <c r="N358" s="137" t="s">
        <v>13</v>
      </c>
      <c r="O358" s="138" t="s">
        <v>85</v>
      </c>
      <c r="P358" s="81" t="s">
        <v>105</v>
      </c>
      <c r="Q358" s="137" t="s">
        <v>13</v>
      </c>
      <c r="R358" s="138" t="s">
        <v>86</v>
      </c>
      <c r="S358" s="139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hidden="1" customHeight="1" thickTop="1">
      <c r="A359" t="s">
        <v>443</v>
      </c>
      <c r="B359" s="12" t="s">
        <v>120</v>
      </c>
      <c r="C359" s="63" t="s">
        <v>120</v>
      </c>
      <c r="D359" s="238">
        <v>0</v>
      </c>
      <c r="E359" s="239">
        <f>IFERROR(F359/D359,0)</f>
        <v>0</v>
      </c>
      <c r="F359" s="240">
        <v>0</v>
      </c>
      <c r="G359" s="238">
        <v>0</v>
      </c>
      <c r="H359" s="239">
        <f>IFERROR(I359/G359,0)</f>
        <v>0</v>
      </c>
      <c r="I359" s="238">
        <v>0</v>
      </c>
      <c r="J359" s="241">
        <v>0</v>
      </c>
      <c r="K359" s="222">
        <f>IF(J359&lt;=0,0,L359/J359)</f>
        <v>0</v>
      </c>
      <c r="L359" s="242">
        <v>0</v>
      </c>
      <c r="M359" s="223">
        <f>IF(G359=0,0,(+J359-G359)/G359)</f>
        <v>0</v>
      </c>
      <c r="N359" s="224">
        <f>L359-I359</f>
        <v>0</v>
      </c>
      <c r="O359" s="241">
        <v>0</v>
      </c>
      <c r="P359" s="222">
        <f>IF(O359&lt;=0,0,Q359/O359)</f>
        <v>0</v>
      </c>
      <c r="Q359" s="242">
        <v>0</v>
      </c>
      <c r="R359" s="223">
        <f>IF(O359=0,0,(J359-O359)/O359)</f>
        <v>0</v>
      </c>
      <c r="S359" s="225">
        <f>L359-Q359</f>
        <v>0</v>
      </c>
      <c r="T359" s="11"/>
      <c r="U359" s="11"/>
      <c r="V359" s="243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hidden="1" customHeight="1" thickBot="1">
      <c r="A360" t="s">
        <v>120</v>
      </c>
      <c r="B360" s="12" t="s">
        <v>120</v>
      </c>
      <c r="C360" s="226"/>
      <c r="D360" s="227"/>
      <c r="E360" s="228"/>
      <c r="F360" s="229"/>
      <c r="G360" s="230"/>
      <c r="H360" s="228"/>
      <c r="I360" s="229"/>
      <c r="J360" s="230"/>
      <c r="K360" s="228"/>
      <c r="L360" s="229"/>
      <c r="M360" s="231"/>
      <c r="N360" s="75"/>
      <c r="O360" s="230"/>
      <c r="P360" s="228"/>
      <c r="Q360" s="229"/>
      <c r="R360" s="231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hidden="1" customHeight="1" thickTop="1">
      <c r="A361" t="s">
        <v>444</v>
      </c>
      <c r="B361" s="12" t="s">
        <v>120</v>
      </c>
      <c r="C361" s="54" t="s">
        <v>121</v>
      </c>
      <c r="D361" s="244">
        <f>+D359</f>
        <v>0</v>
      </c>
      <c r="E361" s="177">
        <f>IF(D361&lt;=0,0,F361/D361)</f>
        <v>0</v>
      </c>
      <c r="F361" s="179">
        <f t="shared" ref="F361" si="116">+F359</f>
        <v>0</v>
      </c>
      <c r="G361" s="178">
        <f>+G359</f>
        <v>0</v>
      </c>
      <c r="H361" s="177">
        <f>IF(G361&lt;=0,0,I361/G361)</f>
        <v>0</v>
      </c>
      <c r="I361" s="179">
        <f t="shared" ref="I361:J361" si="117">+I359</f>
        <v>0</v>
      </c>
      <c r="J361" s="178">
        <f t="shared" si="117"/>
        <v>0</v>
      </c>
      <c r="K361" s="177">
        <f>IF(J361&lt;=0,0,L361/J361)</f>
        <v>0</v>
      </c>
      <c r="L361" s="179">
        <f>+L359</f>
        <v>0</v>
      </c>
      <c r="M361" s="245">
        <f>IF(G361=0,0,(+J361-G361)/G361)</f>
        <v>0</v>
      </c>
      <c r="N361" s="246">
        <f>L361-I361</f>
        <v>0</v>
      </c>
      <c r="O361" s="178">
        <f t="shared" ref="O361" si="118">+O359</f>
        <v>0</v>
      </c>
      <c r="P361" s="177">
        <f>IF(O361&lt;=0,0,Q361/O361)</f>
        <v>0</v>
      </c>
      <c r="Q361" s="179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47"/>
      <c r="I362" s="60"/>
      <c r="J362" s="42"/>
      <c r="K362" s="14"/>
      <c r="L362" s="41"/>
      <c r="M362" s="42"/>
      <c r="N362" s="248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hidden="1" customHeight="1">
      <c r="A363" t="s">
        <v>445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hidden="1" customHeight="1">
      <c r="A364" t="s">
        <v>446</v>
      </c>
      <c r="B364" s="12" t="s">
        <v>120</v>
      </c>
      <c r="C364" s="105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hidden="1" customHeight="1">
      <c r="A365" t="s">
        <v>447</v>
      </c>
      <c r="B365" s="12" t="s">
        <v>120</v>
      </c>
      <c r="C365" s="106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f t="shared" ref="N365:N393" si="119">L365-I365</f>
        <v>0</v>
      </c>
      <c r="O365" s="42"/>
      <c r="P365" s="14"/>
      <c r="Q365" s="23">
        <v>0</v>
      </c>
      <c r="R365" s="42"/>
      <c r="S365" s="86">
        <f t="shared" ref="S365:S393" si="120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hidden="1" customHeight="1">
      <c r="A366" t="s">
        <v>448</v>
      </c>
      <c r="B366" s="12" t="s">
        <v>120</v>
      </c>
      <c r="C366" s="105" t="s">
        <v>44</v>
      </c>
      <c r="D366" s="107"/>
      <c r="E366" s="108"/>
      <c r="F366" s="31">
        <v>0</v>
      </c>
      <c r="G366" s="109"/>
      <c r="H366" s="108"/>
      <c r="I366" s="31">
        <v>0</v>
      </c>
      <c r="J366" s="110"/>
      <c r="K366" s="108"/>
      <c r="L366" s="34">
        <v>0</v>
      </c>
      <c r="M366" s="110"/>
      <c r="N366" s="112">
        <f t="shared" si="119"/>
        <v>0</v>
      </c>
      <c r="O366" s="110"/>
      <c r="P366" s="108"/>
      <c r="Q366" s="34">
        <v>0</v>
      </c>
      <c r="R366" s="110"/>
      <c r="S366" s="113">
        <f t="shared" si="120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hidden="1" customHeight="1">
      <c r="A367" t="s">
        <v>449</v>
      </c>
      <c r="B367" s="12" t="s">
        <v>120</v>
      </c>
      <c r="C367" s="105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f t="shared" si="119"/>
        <v>0</v>
      </c>
      <c r="O367" s="42"/>
      <c r="P367" s="14"/>
      <c r="Q367" s="34">
        <v>0</v>
      </c>
      <c r="R367" s="42"/>
      <c r="S367" s="86">
        <f t="shared" si="120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">
        <v>450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f t="shared" si="119"/>
        <v>0</v>
      </c>
      <c r="O368" s="42"/>
      <c r="P368" s="14"/>
      <c r="Q368" s="34">
        <v>0</v>
      </c>
      <c r="R368" s="42"/>
      <c r="S368" s="86">
        <f t="shared" si="120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">
        <v>450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f t="shared" si="119"/>
        <v>0</v>
      </c>
      <c r="O369" s="42"/>
      <c r="P369" s="14"/>
      <c r="Q369" s="34">
        <v>0</v>
      </c>
      <c r="R369" s="42"/>
      <c r="S369" s="86">
        <f t="shared" si="120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">
        <v>450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f t="shared" si="119"/>
        <v>0</v>
      </c>
      <c r="O370" s="42"/>
      <c r="P370" s="14"/>
      <c r="Q370" s="34">
        <v>0</v>
      </c>
      <c r="R370" s="42"/>
      <c r="S370" s="86">
        <f t="shared" si="120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hidden="1" customHeight="1">
      <c r="A371" t="s">
        <v>451</v>
      </c>
      <c r="B371" s="12" t="s">
        <v>120</v>
      </c>
      <c r="C371" s="106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f t="shared" si="119"/>
        <v>0</v>
      </c>
      <c r="O371" s="42"/>
      <c r="P371" s="14"/>
      <c r="Q371" s="23">
        <v>0</v>
      </c>
      <c r="R371" s="42"/>
      <c r="S371" s="86">
        <f t="shared" si="120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hidden="1" customHeight="1">
      <c r="A372" t="s">
        <v>452</v>
      </c>
      <c r="B372" s="12" t="s">
        <v>120</v>
      </c>
      <c r="C372" s="105" t="s">
        <v>47</v>
      </c>
      <c r="D372" s="107"/>
      <c r="E372" s="108"/>
      <c r="F372" s="31">
        <v>0</v>
      </c>
      <c r="G372" s="109"/>
      <c r="H372" s="108"/>
      <c r="I372" s="31">
        <v>0</v>
      </c>
      <c r="J372" s="110"/>
      <c r="K372" s="108"/>
      <c r="L372" s="34">
        <v>0</v>
      </c>
      <c r="M372" s="110"/>
      <c r="N372" s="112">
        <f t="shared" si="119"/>
        <v>0</v>
      </c>
      <c r="O372" s="110"/>
      <c r="P372" s="108"/>
      <c r="Q372" s="34">
        <v>0</v>
      </c>
      <c r="R372" s="110"/>
      <c r="S372" s="113">
        <f t="shared" si="120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hidden="1" customHeight="1">
      <c r="A373" t="s">
        <v>453</v>
      </c>
      <c r="B373" s="12" t="s">
        <v>120</v>
      </c>
      <c r="C373" s="105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f t="shared" si="119"/>
        <v>0</v>
      </c>
      <c r="O373" s="42"/>
      <c r="P373" s="14"/>
      <c r="Q373" s="34">
        <v>0</v>
      </c>
      <c r="R373" s="42"/>
      <c r="S373" s="86">
        <f t="shared" si="120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hidden="1" customHeight="1">
      <c r="A374" t="s">
        <v>454</v>
      </c>
      <c r="B374" s="12" t="s">
        <v>120</v>
      </c>
      <c r="C374" s="105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f t="shared" si="119"/>
        <v>0</v>
      </c>
      <c r="O374" s="42"/>
      <c r="P374" s="14"/>
      <c r="Q374" s="34">
        <v>0</v>
      </c>
      <c r="R374" s="42"/>
      <c r="S374" s="86">
        <f t="shared" si="120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">
        <v>450</v>
      </c>
      <c r="B375" s="12" t="s">
        <v>120</v>
      </c>
      <c r="C375" s="30" t="s">
        <v>21</v>
      </c>
      <c r="D375" s="89"/>
      <c r="E375" s="114"/>
      <c r="F375" s="31">
        <v>0</v>
      </c>
      <c r="G375" s="91"/>
      <c r="H375" s="114"/>
      <c r="I375" s="31">
        <v>0</v>
      </c>
      <c r="J375" s="24"/>
      <c r="K375" s="114"/>
      <c r="L375" s="34">
        <v>0</v>
      </c>
      <c r="M375" s="24"/>
      <c r="N375" s="94">
        <f t="shared" si="119"/>
        <v>0</v>
      </c>
      <c r="O375" s="24"/>
      <c r="P375" s="114"/>
      <c r="Q375" s="34">
        <v>0</v>
      </c>
      <c r="R375" s="24"/>
      <c r="S375" s="95">
        <f t="shared" si="120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hidden="1" customHeight="1">
      <c r="A376" t="s">
        <v>455</v>
      </c>
      <c r="B376" s="12" t="s">
        <v>120</v>
      </c>
      <c r="C376" s="96" t="s">
        <v>50</v>
      </c>
      <c r="D376" s="97" t="s">
        <v>40</v>
      </c>
      <c r="E376" s="98">
        <f>IFERROR(F376/F$359,0)</f>
        <v>0</v>
      </c>
      <c r="F376" s="99">
        <f>+SUM(F364:F375)</f>
        <v>0</v>
      </c>
      <c r="G376" s="100" t="s">
        <v>40</v>
      </c>
      <c r="H376" s="98">
        <f>IFERROR(I376/I$359,0)</f>
        <v>0</v>
      </c>
      <c r="I376" s="99">
        <f>+SUM(I364:I375)</f>
        <v>0</v>
      </c>
      <c r="J376" s="100" t="s">
        <v>40</v>
      </c>
      <c r="K376" s="98">
        <f>IFERROR(L376/L$359,0)</f>
        <v>0</v>
      </c>
      <c r="L376" s="99">
        <f>+SUM(L364:L375)</f>
        <v>0</v>
      </c>
      <c r="M376" s="151"/>
      <c r="N376" s="116">
        <f t="shared" si="119"/>
        <v>0</v>
      </c>
      <c r="O376" s="100" t="s">
        <v>40</v>
      </c>
      <c r="P376" s="98">
        <f>IFERROR(Q376/Q$359,0)</f>
        <v>0</v>
      </c>
      <c r="Q376" s="99">
        <f>+SUM(Q364:Q375)</f>
        <v>0</v>
      </c>
      <c r="R376" s="151"/>
      <c r="S376" s="117">
        <f t="shared" si="120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hidden="1" customHeight="1">
      <c r="A377" t="s">
        <v>456</v>
      </c>
      <c r="B377" s="12" t="s">
        <v>120</v>
      </c>
      <c r="C377" s="214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f t="shared" si="119"/>
        <v>0</v>
      </c>
      <c r="O377" s="42"/>
      <c r="P377" s="14"/>
      <c r="Q377" s="34">
        <v>0</v>
      </c>
      <c r="R377" s="42"/>
      <c r="S377" s="86">
        <f t="shared" si="120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hidden="1" customHeight="1">
      <c r="A378" t="s">
        <v>457</v>
      </c>
      <c r="B378" s="12" t="s">
        <v>120</v>
      </c>
      <c r="C378" s="105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f t="shared" si="119"/>
        <v>0</v>
      </c>
      <c r="O378" s="42"/>
      <c r="P378" s="14"/>
      <c r="Q378" s="34">
        <v>0</v>
      </c>
      <c r="R378" s="42"/>
      <c r="S378" s="86">
        <f t="shared" si="120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hidden="1" customHeight="1">
      <c r="A379" t="s">
        <v>458</v>
      </c>
      <c r="B379" s="12" t="s">
        <v>120</v>
      </c>
      <c r="C379" s="106" t="s">
        <v>53</v>
      </c>
      <c r="D379" s="89"/>
      <c r="E379" s="114"/>
      <c r="F379" s="23">
        <v>0</v>
      </c>
      <c r="G379" s="91"/>
      <c r="H379" s="114"/>
      <c r="I379" s="23">
        <v>0</v>
      </c>
      <c r="J379" s="24"/>
      <c r="K379" s="114"/>
      <c r="L379" s="23">
        <v>0</v>
      </c>
      <c r="M379" s="24"/>
      <c r="N379" s="94">
        <f t="shared" si="119"/>
        <v>0</v>
      </c>
      <c r="O379" s="24"/>
      <c r="P379" s="114"/>
      <c r="Q379" s="23">
        <v>0</v>
      </c>
      <c r="R379" s="24"/>
      <c r="S379" s="95">
        <f t="shared" si="120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hidden="1" customHeight="1">
      <c r="A380" t="s">
        <v>459</v>
      </c>
      <c r="B380" s="12" t="s">
        <v>120</v>
      </c>
      <c r="C380" s="105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f t="shared" si="119"/>
        <v>0</v>
      </c>
      <c r="O380" s="42"/>
      <c r="P380" s="14"/>
      <c r="Q380" s="34">
        <v>0</v>
      </c>
      <c r="R380" s="42"/>
      <c r="S380" s="86">
        <f t="shared" si="120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hidden="1" customHeight="1">
      <c r="A381" t="s">
        <v>460</v>
      </c>
      <c r="B381" s="12" t="s">
        <v>120</v>
      </c>
      <c r="C381" s="105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f t="shared" si="119"/>
        <v>0</v>
      </c>
      <c r="O381" s="42"/>
      <c r="P381" s="14"/>
      <c r="Q381" s="34">
        <v>0</v>
      </c>
      <c r="R381" s="42"/>
      <c r="S381" s="86">
        <f t="shared" si="120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hidden="1" customHeight="1">
      <c r="A382" t="s">
        <v>461</v>
      </c>
      <c r="B382" s="12" t="s">
        <v>120</v>
      </c>
      <c r="C382" s="105" t="s">
        <v>56</v>
      </c>
      <c r="D382" s="89"/>
      <c r="E382" s="114"/>
      <c r="F382" s="23">
        <v>0</v>
      </c>
      <c r="G382" s="91"/>
      <c r="H382" s="114"/>
      <c r="I382" s="23">
        <v>0</v>
      </c>
      <c r="J382" s="24"/>
      <c r="K382" s="114"/>
      <c r="L382" s="23">
        <v>0</v>
      </c>
      <c r="M382" s="24"/>
      <c r="N382" s="94">
        <f t="shared" si="119"/>
        <v>0</v>
      </c>
      <c r="O382" s="24"/>
      <c r="P382" s="114"/>
      <c r="Q382" s="23">
        <v>0</v>
      </c>
      <c r="R382" s="24"/>
      <c r="S382" s="95">
        <f t="shared" si="120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hidden="1" customHeight="1">
      <c r="A383" t="s">
        <v>462</v>
      </c>
      <c r="B383" s="12" t="s">
        <v>120</v>
      </c>
      <c r="C383" s="214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f t="shared" si="119"/>
        <v>0</v>
      </c>
      <c r="O383" s="42"/>
      <c r="P383" s="14"/>
      <c r="Q383" s="34">
        <v>0</v>
      </c>
      <c r="R383" s="42"/>
      <c r="S383" s="86">
        <f t="shared" si="120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hidden="1" customHeight="1">
      <c r="A384" t="s">
        <v>463</v>
      </c>
      <c r="B384" s="12" t="s">
        <v>120</v>
      </c>
      <c r="C384" s="105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f t="shared" si="119"/>
        <v>0</v>
      </c>
      <c r="O384" s="42"/>
      <c r="P384" s="14"/>
      <c r="Q384" s="34">
        <v>0</v>
      </c>
      <c r="R384" s="42"/>
      <c r="S384" s="86">
        <f t="shared" si="120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hidden="1" customHeight="1">
      <c r="A385" t="s">
        <v>464</v>
      </c>
      <c r="B385" s="12" t="s">
        <v>120</v>
      </c>
      <c r="C385" s="105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f t="shared" si="119"/>
        <v>0</v>
      </c>
      <c r="O385" s="42"/>
      <c r="P385" s="14"/>
      <c r="Q385" s="34">
        <v>0</v>
      </c>
      <c r="R385" s="42"/>
      <c r="S385" s="86">
        <f t="shared" si="120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hidden="1" customHeight="1">
      <c r="A386" t="s">
        <v>465</v>
      </c>
      <c r="B386" s="12" t="s">
        <v>120</v>
      </c>
      <c r="C386" s="105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f t="shared" si="119"/>
        <v>0</v>
      </c>
      <c r="O386" s="42"/>
      <c r="P386" s="14"/>
      <c r="Q386" s="34">
        <v>0</v>
      </c>
      <c r="R386" s="42"/>
      <c r="S386" s="86">
        <f t="shared" si="120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hidden="1" customHeight="1">
      <c r="A387" t="s">
        <v>466</v>
      </c>
      <c r="B387" s="12" t="s">
        <v>120</v>
      </c>
      <c r="C387" s="105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f t="shared" si="119"/>
        <v>0</v>
      </c>
      <c r="O387" s="42"/>
      <c r="P387" s="14"/>
      <c r="Q387" s="34">
        <v>0</v>
      </c>
      <c r="R387" s="42"/>
      <c r="S387" s="86">
        <f t="shared" si="120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hidden="1" customHeight="1">
      <c r="A388" t="s">
        <v>467</v>
      </c>
      <c r="B388" s="12" t="s">
        <v>120</v>
      </c>
      <c r="C388" s="105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f t="shared" si="119"/>
        <v>0</v>
      </c>
      <c r="O388" s="42"/>
      <c r="P388" s="14"/>
      <c r="Q388" s="34">
        <v>0</v>
      </c>
      <c r="R388" s="42"/>
      <c r="S388" s="86">
        <f t="shared" si="120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hidden="1" customHeight="1">
      <c r="A389" t="s">
        <v>468</v>
      </c>
      <c r="B389" s="12" t="s">
        <v>120</v>
      </c>
      <c r="C389" s="105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f t="shared" si="119"/>
        <v>0</v>
      </c>
      <c r="O389" s="42"/>
      <c r="P389" s="14"/>
      <c r="Q389" s="34">
        <v>0</v>
      </c>
      <c r="R389" s="42"/>
      <c r="S389" s="86">
        <f t="shared" si="120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hidden="1" customHeight="1">
      <c r="A390" t="s">
        <v>469</v>
      </c>
      <c r="B390" s="12" t="s">
        <v>120</v>
      </c>
      <c r="C390" s="105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f t="shared" si="119"/>
        <v>0</v>
      </c>
      <c r="O390" s="42"/>
      <c r="P390" s="14"/>
      <c r="Q390" s="34">
        <v>0</v>
      </c>
      <c r="R390" s="42"/>
      <c r="S390" s="86">
        <f t="shared" si="120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">
        <v>450</v>
      </c>
      <c r="B391" s="12" t="s">
        <v>120</v>
      </c>
      <c r="C391" s="105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f t="shared" si="119"/>
        <v>0</v>
      </c>
      <c r="O391" s="42"/>
      <c r="P391" s="14"/>
      <c r="Q391" s="34">
        <v>0</v>
      </c>
      <c r="R391" s="42"/>
      <c r="S391" s="86">
        <f t="shared" si="120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">
        <v>450</v>
      </c>
      <c r="B392" s="12" t="s">
        <v>120</v>
      </c>
      <c r="C392" s="105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f t="shared" si="119"/>
        <v>0</v>
      </c>
      <c r="O392" s="42"/>
      <c r="P392" s="14"/>
      <c r="Q392" s="34">
        <v>0</v>
      </c>
      <c r="R392" s="42"/>
      <c r="S392" s="86">
        <f t="shared" si="120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">
        <v>450</v>
      </c>
      <c r="B393" s="12" t="s">
        <v>120</v>
      </c>
      <c r="C393" s="105" t="s">
        <v>21</v>
      </c>
      <c r="D393" s="89"/>
      <c r="E393" s="114"/>
      <c r="F393" s="31">
        <v>0</v>
      </c>
      <c r="G393" s="91"/>
      <c r="H393" s="114"/>
      <c r="I393" s="31">
        <v>0</v>
      </c>
      <c r="J393" s="24"/>
      <c r="K393" s="114"/>
      <c r="L393" s="34">
        <v>0</v>
      </c>
      <c r="M393" s="24"/>
      <c r="N393" s="94">
        <f t="shared" si="119"/>
        <v>0</v>
      </c>
      <c r="O393" s="24"/>
      <c r="P393" s="114"/>
      <c r="Q393" s="34">
        <v>0</v>
      </c>
      <c r="R393" s="24"/>
      <c r="S393" s="95">
        <f t="shared" si="120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hidden="1" customHeight="1">
      <c r="B394" s="7"/>
      <c r="C394" s="96" t="s">
        <v>65</v>
      </c>
      <c r="D394" s="97" t="s">
        <v>40</v>
      </c>
      <c r="E394" s="98">
        <f>IFERROR(F394/F$359,0)</f>
        <v>0</v>
      </c>
      <c r="F394" s="99">
        <f>+SUM(F377:F393)</f>
        <v>0</v>
      </c>
      <c r="G394" s="100" t="s">
        <v>40</v>
      </c>
      <c r="H394" s="98">
        <f>IFERROR(I394/I$359,0)</f>
        <v>0</v>
      </c>
      <c r="I394" s="99">
        <f>+SUM(I377:I393)</f>
        <v>0</v>
      </c>
      <c r="J394" s="100" t="s">
        <v>40</v>
      </c>
      <c r="K394" s="98">
        <f>IFERROR(L394/L$359,0)</f>
        <v>0</v>
      </c>
      <c r="L394" s="99">
        <f>+SUM(L377:L393)</f>
        <v>0</v>
      </c>
      <c r="M394" s="151"/>
      <c r="N394" s="99">
        <f>+SUM(N377:N393)</f>
        <v>0</v>
      </c>
      <c r="O394" s="100" t="s">
        <v>40</v>
      </c>
      <c r="P394" s="98">
        <f>IFERROR(Q394/Q$359,0)</f>
        <v>0</v>
      </c>
      <c r="Q394" s="99">
        <f>+SUM(Q377:Q393)</f>
        <v>0</v>
      </c>
      <c r="R394" s="151"/>
      <c r="S394" s="117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49"/>
      <c r="T395" s="250"/>
      <c r="U395" s="250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hidden="1" customHeight="1">
      <c r="B396" s="7"/>
      <c r="C396" s="96" t="s">
        <v>66</v>
      </c>
      <c r="D396" s="97" t="s">
        <v>40</v>
      </c>
      <c r="E396" s="98">
        <f>IFERROR(F396/F$359,0)</f>
        <v>0</v>
      </c>
      <c r="F396" s="99">
        <f>F376+F394</f>
        <v>0</v>
      </c>
      <c r="G396" s="100" t="s">
        <v>40</v>
      </c>
      <c r="H396" s="98">
        <f>IFERROR(I396/I$359,0)</f>
        <v>0</v>
      </c>
      <c r="I396" s="99">
        <f>I376+I394</f>
        <v>0</v>
      </c>
      <c r="J396" s="100" t="s">
        <v>40</v>
      </c>
      <c r="K396" s="98">
        <f>IFERROR(L396/L$359,0)</f>
        <v>0</v>
      </c>
      <c r="L396" s="99">
        <f>L376+L394</f>
        <v>0</v>
      </c>
      <c r="M396" s="251"/>
      <c r="N396" s="99">
        <f>L396-I396</f>
        <v>0</v>
      </c>
      <c r="O396" s="100" t="s">
        <v>40</v>
      </c>
      <c r="P396" s="98">
        <f>IFERROR(Q396/Q$359,0)</f>
        <v>0</v>
      </c>
      <c r="Q396" s="99">
        <f>Q376+Q394</f>
        <v>0</v>
      </c>
      <c r="R396" s="103"/>
      <c r="S396" s="104">
        <f>L396-Q396</f>
        <v>0</v>
      </c>
      <c r="T396" s="250"/>
      <c r="U396" s="250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49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hidden="1" customHeight="1">
      <c r="B398" s="7"/>
      <c r="C398" s="252" t="s">
        <v>73</v>
      </c>
      <c r="D398" s="253"/>
      <c r="E398" s="253"/>
      <c r="F398" s="254">
        <f>F361-F396</f>
        <v>0</v>
      </c>
      <c r="G398" s="255"/>
      <c r="H398" s="253"/>
      <c r="I398" s="254">
        <f>I361-I396</f>
        <v>0</v>
      </c>
      <c r="J398" s="256"/>
      <c r="K398" s="257"/>
      <c r="L398" s="254">
        <f>L361-L396</f>
        <v>0</v>
      </c>
      <c r="M398" s="255"/>
      <c r="N398" s="254">
        <f>L398-I398</f>
        <v>0</v>
      </c>
      <c r="O398" s="256"/>
      <c r="P398" s="257"/>
      <c r="Q398" s="254">
        <f>Q361-Q396</f>
        <v>0</v>
      </c>
      <c r="R398" s="256"/>
      <c r="S398" s="258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>
      <c r="B399" s="7"/>
      <c r="C399" s="77"/>
      <c r="D399" s="82"/>
      <c r="E399" s="14"/>
      <c r="F399" s="115"/>
      <c r="G399" s="82"/>
      <c r="H399" s="14"/>
      <c r="I399" s="115"/>
      <c r="J399" s="77"/>
      <c r="K399" s="77"/>
      <c r="L399" s="115"/>
      <c r="M399" s="77"/>
      <c r="N399" s="115"/>
      <c r="O399" s="77"/>
      <c r="P399" s="77"/>
      <c r="Q399" s="115"/>
      <c r="R399" s="77"/>
      <c r="S399" s="11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519" t="s">
        <v>470</v>
      </c>
      <c r="E401" s="520" t="s">
        <v>471</v>
      </c>
      <c r="F401" s="521"/>
      <c r="G401" s="521"/>
      <c r="H401" s="521"/>
      <c r="I401" s="521"/>
      <c r="V401" s="522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523" t="s">
        <v>122</v>
      </c>
      <c r="AF401" s="6"/>
      <c r="AG401" s="6"/>
      <c r="AH401" s="1"/>
      <c r="AI401" s="1"/>
      <c r="AJ401" s="259"/>
      <c r="AK401" s="2"/>
      <c r="AL401" s="1"/>
      <c r="AM401" s="6"/>
      <c r="AN401" s="6"/>
      <c r="AO401" s="524" t="str">
        <f>$S$1</f>
        <v>Réalisé, Septembre 2022</v>
      </c>
      <c r="AP401" s="250"/>
      <c r="AQ401" s="250"/>
      <c r="AR401" s="250"/>
      <c r="AS401" s="250"/>
      <c r="AT401" s="250"/>
      <c r="AU401" s="250"/>
      <c r="AV401" s="250"/>
      <c r="AW401" s="250"/>
      <c r="AX401" s="250"/>
      <c r="AY401" s="250"/>
      <c r="AZ401" s="250"/>
      <c r="BA401" s="250"/>
      <c r="BB401" s="250"/>
      <c r="BC401" s="250"/>
      <c r="BD401" s="250"/>
      <c r="BE401" s="250"/>
      <c r="BF401" s="250"/>
      <c r="BG401" s="250"/>
      <c r="BH401" s="250"/>
      <c r="BI401" s="250"/>
    </row>
    <row r="402" spans="1:61" ht="15.75" customHeight="1" thickBot="1">
      <c r="B402" s="7"/>
      <c r="C402" s="519" t="s">
        <v>470</v>
      </c>
      <c r="V402" s="26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0"/>
      <c r="AQ402" s="250"/>
      <c r="AR402" s="250"/>
      <c r="AS402" s="250"/>
      <c r="AT402" s="250"/>
      <c r="AU402" s="250"/>
      <c r="AV402" s="250"/>
      <c r="AW402" s="250"/>
      <c r="AX402" s="250"/>
      <c r="AY402" s="250"/>
      <c r="AZ402" s="250"/>
      <c r="BA402" s="250"/>
      <c r="BB402" s="250"/>
      <c r="BC402" s="250"/>
      <c r="BD402" s="250"/>
      <c r="BE402" s="250"/>
      <c r="BF402" s="250"/>
      <c r="BG402" s="250"/>
      <c r="BH402" s="250"/>
      <c r="BI402" s="250"/>
    </row>
    <row r="403" spans="1:61" ht="15.75" customHeight="1" thickTop="1" thickBot="1">
      <c r="A403" t="s">
        <v>472</v>
      </c>
      <c r="B403" s="7"/>
      <c r="C403" s="519" t="s">
        <v>470</v>
      </c>
      <c r="V403" s="261"/>
      <c r="W403" s="262"/>
      <c r="X403" s="571" t="s">
        <v>123</v>
      </c>
      <c r="Y403" s="569"/>
      <c r="Z403" s="572"/>
      <c r="AA403" s="568" t="s">
        <v>75</v>
      </c>
      <c r="AB403" s="569"/>
      <c r="AC403" s="572"/>
      <c r="AD403" s="568" t="s">
        <v>7</v>
      </c>
      <c r="AE403" s="569"/>
      <c r="AF403" s="572"/>
      <c r="AG403" s="568" t="s">
        <v>124</v>
      </c>
      <c r="AH403" s="569"/>
      <c r="AI403" s="572"/>
      <c r="AJ403" s="568" t="s">
        <v>125</v>
      </c>
      <c r="AK403" s="569"/>
      <c r="AL403" s="569"/>
      <c r="AM403" s="568" t="s">
        <v>126</v>
      </c>
      <c r="AN403" s="569"/>
      <c r="AO403" s="570"/>
      <c r="AP403" s="250"/>
      <c r="AQ403" s="250"/>
      <c r="AR403" s="250"/>
      <c r="AS403" s="250"/>
      <c r="AT403" s="250"/>
      <c r="AU403" s="250"/>
      <c r="AV403" s="250"/>
      <c r="AW403" s="250"/>
      <c r="AX403" s="250"/>
      <c r="AY403" s="250"/>
      <c r="AZ403" s="250"/>
      <c r="BA403" s="250"/>
      <c r="BB403" s="250"/>
      <c r="BC403" s="250"/>
      <c r="BD403" s="250"/>
      <c r="BE403" s="250"/>
      <c r="BF403" s="250"/>
      <c r="BG403" s="250"/>
      <c r="BH403" s="250"/>
      <c r="BI403" s="250"/>
    </row>
    <row r="404" spans="1:61" ht="15.75" customHeight="1">
      <c r="A404" t="s">
        <v>472</v>
      </c>
      <c r="B404" s="7"/>
      <c r="C404" s="519" t="s">
        <v>470</v>
      </c>
      <c r="V404" s="88"/>
      <c r="W404" s="263" t="s">
        <v>127</v>
      </c>
      <c r="X404" s="263" t="s">
        <v>128</v>
      </c>
      <c r="Y404" s="263" t="s">
        <v>129</v>
      </c>
      <c r="Z404" s="264" t="s">
        <v>130</v>
      </c>
      <c r="AA404" s="263" t="s">
        <v>128</v>
      </c>
      <c r="AB404" s="263" t="s">
        <v>129</v>
      </c>
      <c r="AC404" s="264" t="s">
        <v>130</v>
      </c>
      <c r="AD404" s="265" t="s">
        <v>128</v>
      </c>
      <c r="AE404" s="263" t="s">
        <v>129</v>
      </c>
      <c r="AF404" s="263" t="s">
        <v>130</v>
      </c>
      <c r="AG404" s="265" t="s">
        <v>131</v>
      </c>
      <c r="AH404" s="263" t="s">
        <v>132</v>
      </c>
      <c r="AI404" s="263" t="s">
        <v>133</v>
      </c>
      <c r="AJ404" s="265" t="s">
        <v>128</v>
      </c>
      <c r="AK404" s="263" t="s">
        <v>129</v>
      </c>
      <c r="AL404" s="263" t="s">
        <v>130</v>
      </c>
      <c r="AM404" s="266" t="s">
        <v>131</v>
      </c>
      <c r="AN404" s="263" t="s">
        <v>132</v>
      </c>
      <c r="AO404" s="142" t="s">
        <v>133</v>
      </c>
      <c r="AP404" s="250"/>
      <c r="AQ404" s="250"/>
      <c r="AR404" s="250"/>
      <c r="AS404" s="250"/>
      <c r="AT404" s="250"/>
      <c r="AU404" s="250"/>
      <c r="AV404" s="250"/>
      <c r="AW404" s="250"/>
      <c r="AX404" s="250"/>
      <c r="AY404" s="250"/>
      <c r="AZ404" s="250"/>
      <c r="BA404" s="250"/>
      <c r="BB404" s="250"/>
      <c r="BC404" s="250"/>
      <c r="BD404" s="250"/>
      <c r="BE404" s="250"/>
      <c r="BF404" s="250"/>
      <c r="BG404" s="250"/>
      <c r="BH404" s="250"/>
      <c r="BI404" s="250"/>
    </row>
    <row r="405" spans="1:61" ht="15.75" customHeight="1">
      <c r="A405" t="s">
        <v>16</v>
      </c>
      <c r="B405" s="7"/>
      <c r="C405" s="519" t="s">
        <v>470</v>
      </c>
      <c r="V405" s="106" t="s">
        <v>16</v>
      </c>
      <c r="W405" s="267"/>
      <c r="X405" s="267"/>
      <c r="Y405" s="267"/>
      <c r="Z405" s="268">
        <f>F5+F93+E193+E249+D313+D361</f>
        <v>4625273.705059493</v>
      </c>
      <c r="AA405" s="267"/>
      <c r="AB405" s="267"/>
      <c r="AC405" s="268">
        <f>I5+I93+H193+H249+G313+G361</f>
        <v>4625273.705059493</v>
      </c>
      <c r="AD405" s="269"/>
      <c r="AE405" s="270"/>
      <c r="AF405" s="270">
        <f>L5+L93+K193+K249+J313+J361</f>
        <v>5076795.7500000009</v>
      </c>
      <c r="AG405" s="269"/>
      <c r="AH405" s="270"/>
      <c r="AI405" s="271"/>
      <c r="AJ405" s="269"/>
      <c r="AK405" s="270"/>
      <c r="AL405" s="270">
        <f>Q5+Q93+P193+P249+O313+O361</f>
        <v>5830545.3699999992</v>
      </c>
      <c r="AM405" s="272"/>
      <c r="AN405" s="270"/>
      <c r="AO405" s="273"/>
      <c r="AP405" s="250"/>
      <c r="AQ405" s="250"/>
      <c r="AR405" s="250"/>
      <c r="AS405" s="250"/>
      <c r="AT405" s="250"/>
      <c r="AU405" s="250"/>
      <c r="AV405" s="250"/>
      <c r="AW405" s="250"/>
      <c r="AX405" s="250"/>
      <c r="AY405" s="250"/>
      <c r="AZ405" s="250"/>
      <c r="BA405" s="250"/>
      <c r="BB405" s="250"/>
      <c r="BC405" s="250"/>
      <c r="BD405" s="250"/>
      <c r="BE405" s="250"/>
      <c r="BF405" s="250"/>
      <c r="BG405" s="250"/>
      <c r="BH405" s="250"/>
      <c r="BI405" s="250"/>
    </row>
    <row r="406" spans="1:61" ht="15.75" customHeight="1">
      <c r="A406" t="s">
        <v>134</v>
      </c>
      <c r="B406" s="7"/>
      <c r="C406" s="519" t="s">
        <v>470</v>
      </c>
      <c r="V406" s="274" t="s">
        <v>134</v>
      </c>
      <c r="W406" s="275"/>
      <c r="X406" s="275"/>
      <c r="Y406" s="275"/>
      <c r="Z406" s="276">
        <f>F27+F107+F193+F249+F313+F361</f>
        <v>591783.96469165315</v>
      </c>
      <c r="AA406" s="275"/>
      <c r="AB406" s="275"/>
      <c r="AC406" s="276">
        <f>I27+I107+I193+I249+I313+I361</f>
        <v>591783.96469165315</v>
      </c>
      <c r="AD406" s="277"/>
      <c r="AE406" s="278"/>
      <c r="AF406" s="278">
        <f>L27+L107+L193+L249+L313+L361</f>
        <v>655560</v>
      </c>
      <c r="AG406" s="277"/>
      <c r="AH406" s="278">
        <f>AF406-AC406</f>
        <v>63776.035308346851</v>
      </c>
      <c r="AI406" s="279">
        <f>AH406/AC406</f>
        <v>0.10776911696412241</v>
      </c>
      <c r="AJ406" s="277"/>
      <c r="AK406" s="278"/>
      <c r="AL406" s="278">
        <f>Q27+Q107+Q193+Q249+Q313+Q361</f>
        <v>700290.23999999976</v>
      </c>
      <c r="AM406" s="280"/>
      <c r="AN406" s="278">
        <f>AF406-AL406</f>
        <v>-44730.239999999758</v>
      </c>
      <c r="AO406" s="281">
        <f>IF(AL406=0,0,AN406/AL406)</f>
        <v>-6.387385893026265E-2</v>
      </c>
      <c r="AP406" s="250"/>
      <c r="AQ406" s="250"/>
      <c r="AR406" s="250"/>
      <c r="AS406" s="250"/>
      <c r="AT406" s="250"/>
      <c r="AU406" s="250"/>
      <c r="AV406" s="250"/>
      <c r="AW406" s="250"/>
      <c r="AX406" s="250"/>
      <c r="AY406" s="250"/>
      <c r="AZ406" s="250"/>
      <c r="BA406" s="250"/>
      <c r="BB406" s="250"/>
      <c r="BC406" s="250"/>
      <c r="BD406" s="250"/>
      <c r="BE406" s="250"/>
      <c r="BF406" s="250"/>
      <c r="BG406" s="250"/>
      <c r="BH406" s="250"/>
      <c r="BI406" s="250"/>
    </row>
    <row r="407" spans="1:61" ht="15.75" customHeight="1">
      <c r="A407" t="s">
        <v>135</v>
      </c>
      <c r="B407" s="7"/>
      <c r="C407" s="519" t="s">
        <v>470</v>
      </c>
      <c r="V407" s="282" t="s">
        <v>135</v>
      </c>
      <c r="W407" s="283"/>
      <c r="X407" s="283"/>
      <c r="Y407" s="283"/>
      <c r="Z407" s="284"/>
      <c r="AA407" s="283"/>
      <c r="AB407" s="283"/>
      <c r="AC407" s="284"/>
      <c r="AD407" s="285"/>
      <c r="AE407" s="283"/>
      <c r="AF407" s="286"/>
      <c r="AG407" s="285"/>
      <c r="AH407" s="286"/>
      <c r="AI407" s="287"/>
      <c r="AJ407" s="285"/>
      <c r="AK407" s="283"/>
      <c r="AL407" s="286"/>
      <c r="AM407" s="288"/>
      <c r="AN407" s="286"/>
      <c r="AO407" s="289"/>
      <c r="AP407" s="250"/>
      <c r="AQ407" s="250"/>
      <c r="AR407" s="250"/>
      <c r="AS407" s="250"/>
      <c r="AT407" s="250"/>
      <c r="AU407" s="250"/>
      <c r="AV407" s="250"/>
      <c r="AW407" s="250"/>
      <c r="AX407" s="250"/>
      <c r="AY407" s="250"/>
      <c r="AZ407" s="250"/>
      <c r="BA407" s="250"/>
      <c r="BB407" s="250"/>
      <c r="BC407" s="250"/>
      <c r="BD407" s="250"/>
      <c r="BE407" s="250"/>
      <c r="BF407" s="250"/>
      <c r="BG407" s="250"/>
      <c r="BH407" s="250"/>
      <c r="BI407" s="250"/>
    </row>
    <row r="408" spans="1:61" ht="15.75" customHeight="1">
      <c r="A408" t="s">
        <v>32</v>
      </c>
      <c r="B408" s="7"/>
      <c r="C408" s="519" t="s">
        <v>470</v>
      </c>
      <c r="V408" s="105" t="s">
        <v>32</v>
      </c>
      <c r="W408" s="290" t="s">
        <v>136</v>
      </c>
      <c r="X408" s="283"/>
      <c r="Y408" s="291">
        <f t="shared" ref="Y408:Y417" si="121">Z408/(D$13+D$96)</f>
        <v>626.09573192565244</v>
      </c>
      <c r="Z408" s="284">
        <f t="shared" ref="Z408:Z414" si="122">+SUMIF($C:$C,$V408,F:F)</f>
        <v>62766.613440309797</v>
      </c>
      <c r="AA408" s="283"/>
      <c r="AB408" s="291">
        <f t="shared" ref="AB408:AB417" si="123">IF(AC408=0,0,AC408/(G$13+G$96))</f>
        <v>626.09573192565244</v>
      </c>
      <c r="AC408" s="284">
        <f t="shared" ref="AC408:AC414" si="124">+SUMIF($C:$C,$V408,I:I)</f>
        <v>62766.613440309797</v>
      </c>
      <c r="AD408" s="292"/>
      <c r="AE408" s="291">
        <f t="shared" ref="AE408:AE413" si="125">IF(AF408=0,0,AF408/(J$13+J$96))</f>
        <v>770.61698795180723</v>
      </c>
      <c r="AF408" s="284">
        <f t="shared" ref="AF408:AF414" si="126">+SUMIF($C:$C,$V408,L:L)</f>
        <v>63961.21</v>
      </c>
      <c r="AG408" s="285">
        <f t="shared" ref="AG408:AH417" si="127">AE408-AB408</f>
        <v>144.52125602615479</v>
      </c>
      <c r="AH408" s="286">
        <f t="shared" si="127"/>
        <v>1194.5965596902024</v>
      </c>
      <c r="AI408" s="287">
        <f>IF(AC408=0,0,AH408/AC408)</f>
        <v>1.9032356442589462E-2</v>
      </c>
      <c r="AJ408" s="292"/>
      <c r="AK408" s="286">
        <f t="shared" ref="AK408:AK417" si="128">AL408/(O$13+O$96)</f>
        <v>633.27508196721305</v>
      </c>
      <c r="AL408" s="284">
        <f t="shared" ref="AL408:AL414" si="129">+SUMIF($C:$C,$V408,Q:Q)</f>
        <v>77259.56</v>
      </c>
      <c r="AM408" s="288">
        <f t="shared" ref="AM408:AM417" si="130">AE408-Y408</f>
        <v>144.52125602615479</v>
      </c>
      <c r="AN408" s="286">
        <f t="shared" ref="AN408:AN430" si="131">AF408-AL408</f>
        <v>-13298.349999999999</v>
      </c>
      <c r="AO408" s="293">
        <f>IF(AL408=0,0,AN408/AL408)</f>
        <v>-0.17212562432403186</v>
      </c>
      <c r="AP408" s="250"/>
      <c r="AQ408" s="250"/>
      <c r="AR408" s="7"/>
      <c r="AS408" s="250"/>
      <c r="AT408" s="250"/>
      <c r="AU408" s="250"/>
      <c r="AV408" s="250"/>
      <c r="AW408" s="250"/>
      <c r="AX408" s="250"/>
      <c r="AY408" s="250"/>
      <c r="AZ408" s="250"/>
      <c r="BA408" s="250"/>
      <c r="BB408" s="250"/>
      <c r="BC408" s="250"/>
      <c r="BD408" s="250"/>
      <c r="BE408" s="250"/>
      <c r="BF408" s="250"/>
      <c r="BG408" s="250"/>
      <c r="BH408" s="250"/>
      <c r="BI408" s="250"/>
    </row>
    <row r="409" spans="1:61" ht="15.75" customHeight="1">
      <c r="A409" t="s">
        <v>33</v>
      </c>
      <c r="B409" s="7"/>
      <c r="C409" s="519" t="s">
        <v>470</v>
      </c>
      <c r="V409" s="106" t="s">
        <v>33</v>
      </c>
      <c r="W409" s="294" t="s">
        <v>137</v>
      </c>
      <c r="X409" s="267"/>
      <c r="Y409" s="295">
        <f t="shared" si="121"/>
        <v>376.67017100777247</v>
      </c>
      <c r="Z409" s="268">
        <f t="shared" si="122"/>
        <v>37761.495267544349</v>
      </c>
      <c r="AA409" s="267"/>
      <c r="AB409" s="295">
        <f t="shared" si="123"/>
        <v>376.67017100777247</v>
      </c>
      <c r="AC409" s="268">
        <f t="shared" si="124"/>
        <v>37761.495267544349</v>
      </c>
      <c r="AD409" s="296"/>
      <c r="AE409" s="295">
        <f t="shared" si="125"/>
        <v>380.9125301204819</v>
      </c>
      <c r="AF409" s="268">
        <f t="shared" si="126"/>
        <v>31615.739999999998</v>
      </c>
      <c r="AG409" s="269">
        <f t="shared" si="127"/>
        <v>4.2423591127094369</v>
      </c>
      <c r="AH409" s="270">
        <f t="shared" si="127"/>
        <v>-6145.7552675443512</v>
      </c>
      <c r="AI409" s="297">
        <f t="shared" ref="AI409:AI417" si="132">IF(AC409=0,0,AH409/AC409)</f>
        <v>-0.16275190439364223</v>
      </c>
      <c r="AJ409" s="296"/>
      <c r="AK409" s="270">
        <f t="shared" si="128"/>
        <v>399.50844262295084</v>
      </c>
      <c r="AL409" s="268">
        <f t="shared" si="129"/>
        <v>48740.03</v>
      </c>
      <c r="AM409" s="272">
        <f t="shared" si="130"/>
        <v>4.2423591127094369</v>
      </c>
      <c r="AN409" s="270">
        <f t="shared" si="131"/>
        <v>-17124.29</v>
      </c>
      <c r="AO409" s="298">
        <f t="shared" ref="AO409:AO417" si="133">IF(AL409=0,0,AN409/AL409)</f>
        <v>-0.35133934057898614</v>
      </c>
      <c r="AP409" s="250"/>
      <c r="AQ409" s="250"/>
      <c r="AR409" s="14"/>
      <c r="AS409" s="250"/>
      <c r="AT409" s="250"/>
      <c r="AU409" s="250"/>
      <c r="AV409" s="250"/>
      <c r="AW409" s="250"/>
      <c r="AX409" s="250"/>
      <c r="AY409" s="250"/>
      <c r="AZ409" s="250"/>
      <c r="BA409" s="250"/>
      <c r="BB409" s="250"/>
      <c r="BC409" s="250"/>
      <c r="BD409" s="250"/>
      <c r="BE409" s="250"/>
      <c r="BF409" s="250"/>
      <c r="BG409" s="250"/>
      <c r="BH409" s="250"/>
      <c r="BI409" s="250"/>
    </row>
    <row r="410" spans="1:61" ht="15.75" customHeight="1">
      <c r="A410" t="s">
        <v>34</v>
      </c>
      <c r="B410" s="7"/>
      <c r="C410" s="519" t="s">
        <v>470</v>
      </c>
      <c r="V410" s="105" t="s">
        <v>34</v>
      </c>
      <c r="W410" s="290" t="s">
        <v>138</v>
      </c>
      <c r="X410" s="283"/>
      <c r="Y410" s="291">
        <f t="shared" si="121"/>
        <v>143.43191836625221</v>
      </c>
      <c r="Z410" s="284">
        <f t="shared" si="122"/>
        <v>14379.168098474882</v>
      </c>
      <c r="AA410" s="283"/>
      <c r="AB410" s="291">
        <f t="shared" si="123"/>
        <v>143.43191836625221</v>
      </c>
      <c r="AC410" s="284">
        <f t="shared" si="124"/>
        <v>14379.168098474882</v>
      </c>
      <c r="AD410" s="292"/>
      <c r="AE410" s="291">
        <f t="shared" si="125"/>
        <v>-12.276385542168674</v>
      </c>
      <c r="AF410" s="284">
        <f t="shared" si="126"/>
        <v>-1018.9399999999999</v>
      </c>
      <c r="AG410" s="285">
        <f t="shared" si="127"/>
        <v>-155.70830390842087</v>
      </c>
      <c r="AH410" s="286">
        <f t="shared" si="127"/>
        <v>-15398.108098474882</v>
      </c>
      <c r="AI410" s="287">
        <f t="shared" si="132"/>
        <v>-1.0708622357720454</v>
      </c>
      <c r="AJ410" s="292"/>
      <c r="AK410" s="286">
        <f t="shared" si="128"/>
        <v>114.66237704918034</v>
      </c>
      <c r="AL410" s="284">
        <f t="shared" si="129"/>
        <v>13988.810000000001</v>
      </c>
      <c r="AM410" s="288">
        <f t="shared" si="130"/>
        <v>-155.70830390842087</v>
      </c>
      <c r="AN410" s="286">
        <f t="shared" si="131"/>
        <v>-15007.750000000002</v>
      </c>
      <c r="AO410" s="293">
        <f t="shared" si="133"/>
        <v>-1.0728396482617177</v>
      </c>
      <c r="AP410" s="250"/>
      <c r="AQ410" s="250"/>
      <c r="AR410" s="14"/>
      <c r="AS410" s="250"/>
      <c r="AT410" s="250"/>
      <c r="AU410" s="250"/>
      <c r="AV410" s="250"/>
      <c r="AW410" s="250"/>
      <c r="AX410" s="250"/>
      <c r="AY410" s="250"/>
      <c r="AZ410" s="250"/>
      <c r="BA410" s="250"/>
      <c r="BB410" s="250"/>
      <c r="BC410" s="250"/>
      <c r="BD410" s="250"/>
      <c r="BE410" s="250"/>
      <c r="BF410" s="250"/>
      <c r="BG410" s="250"/>
      <c r="BH410" s="250"/>
      <c r="BI410" s="250"/>
    </row>
    <row r="411" spans="1:61" ht="15.75" customHeight="1">
      <c r="A411" t="s">
        <v>35</v>
      </c>
      <c r="B411" s="7"/>
      <c r="C411" s="519" t="s">
        <v>470</v>
      </c>
      <c r="V411" s="105" t="s">
        <v>35</v>
      </c>
      <c r="W411" s="290" t="s">
        <v>139</v>
      </c>
      <c r="X411" s="283"/>
      <c r="Y411" s="291">
        <f t="shared" si="121"/>
        <v>17.027053917280842</v>
      </c>
      <c r="Z411" s="284">
        <f t="shared" si="122"/>
        <v>1706.97619670116</v>
      </c>
      <c r="AA411" s="283"/>
      <c r="AB411" s="291">
        <f t="shared" si="123"/>
        <v>17.027053917280842</v>
      </c>
      <c r="AC411" s="284">
        <f t="shared" si="124"/>
        <v>1706.97619670116</v>
      </c>
      <c r="AD411" s="292"/>
      <c r="AE411" s="291">
        <f t="shared" si="125"/>
        <v>0.3493975903614458</v>
      </c>
      <c r="AF411" s="284">
        <f t="shared" si="126"/>
        <v>29</v>
      </c>
      <c r="AG411" s="285">
        <f t="shared" si="127"/>
        <v>-16.677656326919397</v>
      </c>
      <c r="AH411" s="286">
        <f t="shared" si="127"/>
        <v>-1677.97619670116</v>
      </c>
      <c r="AI411" s="287">
        <f t="shared" si="132"/>
        <v>-0.98301089373358319</v>
      </c>
      <c r="AJ411" s="292"/>
      <c r="AK411" s="286">
        <f t="shared" si="128"/>
        <v>2.9536885245901634</v>
      </c>
      <c r="AL411" s="284">
        <f t="shared" si="129"/>
        <v>360.34999999999991</v>
      </c>
      <c r="AM411" s="288">
        <f t="shared" si="130"/>
        <v>-16.677656326919397</v>
      </c>
      <c r="AN411" s="286">
        <f t="shared" si="131"/>
        <v>-331.34999999999991</v>
      </c>
      <c r="AO411" s="299">
        <f t="shared" si="133"/>
        <v>-0.91952268627723044</v>
      </c>
      <c r="AP411" s="250"/>
      <c r="AQ411" s="250"/>
      <c r="AR411" s="14"/>
      <c r="AS411" s="250"/>
      <c r="AT411" s="250"/>
      <c r="AU411" s="250"/>
      <c r="AV411" s="250"/>
      <c r="AW411" s="250"/>
      <c r="AX411" s="250"/>
      <c r="AY411" s="250"/>
      <c r="AZ411" s="250"/>
      <c r="BA411" s="250"/>
      <c r="BB411" s="250"/>
      <c r="BC411" s="250"/>
      <c r="BD411" s="250"/>
      <c r="BE411" s="250"/>
      <c r="BF411" s="250"/>
      <c r="BG411" s="250"/>
      <c r="BH411" s="250"/>
      <c r="BI411" s="250"/>
    </row>
    <row r="412" spans="1:61" ht="15.75" customHeight="1">
      <c r="A412" t="s">
        <v>36</v>
      </c>
      <c r="B412" s="7"/>
      <c r="C412" s="519" t="s">
        <v>470</v>
      </c>
      <c r="V412" s="106" t="s">
        <v>36</v>
      </c>
      <c r="W412" s="294"/>
      <c r="X412" s="267"/>
      <c r="Y412" s="295">
        <f t="shared" si="121"/>
        <v>43.788292023833094</v>
      </c>
      <c r="Z412" s="268">
        <f t="shared" si="122"/>
        <v>4389.8123857482296</v>
      </c>
      <c r="AA412" s="267"/>
      <c r="AB412" s="295">
        <f t="shared" si="123"/>
        <v>43.788292023833094</v>
      </c>
      <c r="AC412" s="268">
        <f t="shared" si="124"/>
        <v>4389.8123857482296</v>
      </c>
      <c r="AD412" s="296"/>
      <c r="AE412" s="295">
        <f t="shared" si="125"/>
        <v>100.25686746987951</v>
      </c>
      <c r="AF412" s="268">
        <f t="shared" si="126"/>
        <v>8321.32</v>
      </c>
      <c r="AG412" s="269">
        <f t="shared" si="127"/>
        <v>56.468575446046415</v>
      </c>
      <c r="AH412" s="270">
        <f t="shared" si="127"/>
        <v>3931.5076142517701</v>
      </c>
      <c r="AI412" s="297">
        <f t="shared" si="132"/>
        <v>0.89559809594952811</v>
      </c>
      <c r="AJ412" s="296"/>
      <c r="AK412" s="270">
        <f t="shared" si="128"/>
        <v>43.292377049180331</v>
      </c>
      <c r="AL412" s="268">
        <f t="shared" si="129"/>
        <v>5281.67</v>
      </c>
      <c r="AM412" s="272">
        <f t="shared" si="130"/>
        <v>56.468575446046415</v>
      </c>
      <c r="AN412" s="270">
        <f t="shared" si="131"/>
        <v>3039.6499999999996</v>
      </c>
      <c r="AO412" s="298">
        <f t="shared" si="133"/>
        <v>0.57550926127531621</v>
      </c>
      <c r="AP412" s="250"/>
      <c r="AQ412" s="250"/>
      <c r="AR412" s="14"/>
      <c r="AS412" s="250"/>
      <c r="AT412" s="250"/>
      <c r="AU412" s="250"/>
      <c r="AV412" s="250"/>
      <c r="AW412" s="250"/>
      <c r="AX412" s="250"/>
      <c r="AY412" s="250"/>
      <c r="AZ412" s="250"/>
      <c r="BA412" s="250"/>
      <c r="BB412" s="250"/>
      <c r="BC412" s="250"/>
      <c r="BD412" s="250"/>
      <c r="BE412" s="250"/>
      <c r="BF412" s="250"/>
      <c r="BG412" s="250"/>
      <c r="BH412" s="250"/>
      <c r="BI412" s="250"/>
    </row>
    <row r="413" spans="1:61" ht="15.75" customHeight="1">
      <c r="A413" t="s">
        <v>37</v>
      </c>
      <c r="B413" s="7"/>
      <c r="C413" s="519" t="s">
        <v>470</v>
      </c>
      <c r="V413" s="105" t="s">
        <v>37</v>
      </c>
      <c r="W413" s="290" t="s">
        <v>140</v>
      </c>
      <c r="X413" s="287"/>
      <c r="Y413" s="291">
        <f t="shared" si="121"/>
        <v>153.76980157268414</v>
      </c>
      <c r="Z413" s="284">
        <f t="shared" si="122"/>
        <v>15415.549415136273</v>
      </c>
      <c r="AA413" s="287"/>
      <c r="AB413" s="291">
        <f t="shared" si="123"/>
        <v>153.76980157268414</v>
      </c>
      <c r="AC413" s="284">
        <f t="shared" si="124"/>
        <v>15415.549415136273</v>
      </c>
      <c r="AD413" s="292"/>
      <c r="AE413" s="291">
        <f t="shared" si="125"/>
        <v>86.539518072289169</v>
      </c>
      <c r="AF413" s="284">
        <f t="shared" si="126"/>
        <v>7182.7800000000007</v>
      </c>
      <c r="AG413" s="285">
        <f t="shared" si="127"/>
        <v>-67.230283500394975</v>
      </c>
      <c r="AH413" s="286">
        <f t="shared" si="127"/>
        <v>-8232.7694151362721</v>
      </c>
      <c r="AI413" s="287">
        <f t="shared" si="132"/>
        <v>-0.53405617882504086</v>
      </c>
      <c r="AJ413" s="292"/>
      <c r="AK413" s="286">
        <f t="shared" si="128"/>
        <v>73.891721311475422</v>
      </c>
      <c r="AL413" s="284">
        <f t="shared" si="129"/>
        <v>9014.7900000000009</v>
      </c>
      <c r="AM413" s="288">
        <f t="shared" si="130"/>
        <v>-67.230283500394975</v>
      </c>
      <c r="AN413" s="286">
        <f t="shared" si="131"/>
        <v>-1832.0100000000002</v>
      </c>
      <c r="AO413" s="293">
        <f t="shared" si="133"/>
        <v>-0.20322270402305545</v>
      </c>
      <c r="AP413" s="250"/>
      <c r="AQ413" s="250"/>
      <c r="AR413" s="14"/>
      <c r="AS413" s="250"/>
      <c r="AT413" s="250"/>
      <c r="AU413" s="250"/>
      <c r="AV413" s="250"/>
      <c r="AW413" s="250"/>
      <c r="AX413" s="250"/>
      <c r="AY413" s="250"/>
      <c r="AZ413" s="250"/>
      <c r="BA413" s="250"/>
      <c r="BB413" s="250"/>
      <c r="BC413" s="250"/>
      <c r="BD413" s="250"/>
      <c r="BE413" s="250"/>
      <c r="BF413" s="250"/>
      <c r="BG413" s="250"/>
      <c r="BH413" s="250"/>
      <c r="BI413" s="250"/>
    </row>
    <row r="414" spans="1:61" ht="15.75" customHeight="1">
      <c r="A414" t="s">
        <v>38</v>
      </c>
      <c r="B414" s="7"/>
      <c r="C414" s="519" t="s">
        <v>470</v>
      </c>
      <c r="V414" s="105" t="s">
        <v>38</v>
      </c>
      <c r="W414" s="290" t="s">
        <v>141</v>
      </c>
      <c r="X414" s="283"/>
      <c r="Y414" s="291">
        <f t="shared" si="121"/>
        <v>91.303248923389674</v>
      </c>
      <c r="Z414" s="284">
        <f t="shared" si="122"/>
        <v>9153.2259985112014</v>
      </c>
      <c r="AA414" s="283"/>
      <c r="AB414" s="291">
        <f t="shared" si="123"/>
        <v>91.303248923389674</v>
      </c>
      <c r="AC414" s="284">
        <f t="shared" si="124"/>
        <v>9153.2259985112014</v>
      </c>
      <c r="AD414" s="292"/>
      <c r="AE414" s="291">
        <f>IF(AF414=0,0,AF414/(J$13+J$13))</f>
        <v>101.46397959183675</v>
      </c>
      <c r="AF414" s="284">
        <f t="shared" si="126"/>
        <v>9943.4700000000012</v>
      </c>
      <c r="AG414" s="285">
        <f t="shared" si="127"/>
        <v>10.160730668447073</v>
      </c>
      <c r="AH414" s="286">
        <f t="shared" si="127"/>
        <v>790.24400148879977</v>
      </c>
      <c r="AI414" s="287">
        <f t="shared" si="132"/>
        <v>8.633502566388454E-2</v>
      </c>
      <c r="AJ414" s="292"/>
      <c r="AK414" s="286">
        <f t="shared" si="128"/>
        <v>109.55122950819673</v>
      </c>
      <c r="AL414" s="284">
        <f t="shared" si="129"/>
        <v>13365.25</v>
      </c>
      <c r="AM414" s="288">
        <f t="shared" si="130"/>
        <v>10.160730668447073</v>
      </c>
      <c r="AN414" s="286">
        <f t="shared" si="131"/>
        <v>-3421.7799999999988</v>
      </c>
      <c r="AO414" s="293">
        <f t="shared" si="133"/>
        <v>-0.25602065056770346</v>
      </c>
      <c r="AP414" s="250"/>
      <c r="AQ414" s="250"/>
      <c r="AR414" s="14"/>
      <c r="AS414" s="250"/>
      <c r="AT414" s="250"/>
      <c r="AU414" s="250"/>
      <c r="AV414" s="250"/>
      <c r="AW414" s="250"/>
      <c r="AX414" s="250"/>
      <c r="AY414" s="250"/>
      <c r="AZ414" s="250"/>
      <c r="BA414" s="250"/>
      <c r="BB414" s="250"/>
      <c r="BC414" s="250"/>
      <c r="BD414" s="250"/>
      <c r="BE414" s="250"/>
      <c r="BF414" s="250"/>
      <c r="BG414" s="250"/>
      <c r="BH414" s="250"/>
      <c r="BI414" s="250"/>
    </row>
    <row r="415" spans="1:61" ht="15.75" hidden="1" customHeight="1">
      <c r="A415" t="s">
        <v>21</v>
      </c>
      <c r="B415" s="7"/>
      <c r="C415" s="519" t="s">
        <v>470</v>
      </c>
      <c r="V415" s="105" t="s">
        <v>21</v>
      </c>
      <c r="W415" s="290"/>
      <c r="X415" s="287"/>
      <c r="Y415" s="291">
        <f t="shared" si="121"/>
        <v>0</v>
      </c>
      <c r="Z415" s="284">
        <f>IFERROR(SUMIF($C:$C,$V415,F:F),0)</f>
        <v>0</v>
      </c>
      <c r="AA415" s="283"/>
      <c r="AB415" s="291">
        <f t="shared" si="123"/>
        <v>0</v>
      </c>
      <c r="AC415" s="284">
        <f>IFERROR(SUMIF($C:$C,$V415,I:I),0)</f>
        <v>0</v>
      </c>
      <c r="AD415" s="292"/>
      <c r="AE415" s="291">
        <f t="shared" ref="AE415:AE417" si="134">IF(AF415=0,0,AF415/(J$13+J$13))</f>
        <v>0</v>
      </c>
      <c r="AF415" s="284">
        <f>IFERROR(SUMIF($C:$C,$V415,L:L),0)</f>
        <v>0</v>
      </c>
      <c r="AG415" s="285">
        <f t="shared" si="127"/>
        <v>0</v>
      </c>
      <c r="AH415" s="286">
        <f t="shared" si="127"/>
        <v>0</v>
      </c>
      <c r="AI415" s="287">
        <f t="shared" si="132"/>
        <v>0</v>
      </c>
      <c r="AJ415" s="292"/>
      <c r="AK415" s="286">
        <f t="shared" si="128"/>
        <v>0</v>
      </c>
      <c r="AL415" s="284">
        <f>IFERROR(SUMIF($C:$C,$V415,Q:Q),0)</f>
        <v>0</v>
      </c>
      <c r="AM415" s="288">
        <f t="shared" si="130"/>
        <v>0</v>
      </c>
      <c r="AN415" s="286">
        <f t="shared" si="131"/>
        <v>0</v>
      </c>
      <c r="AO415" s="293">
        <f t="shared" si="133"/>
        <v>0</v>
      </c>
      <c r="AP415" s="250"/>
      <c r="AQ415" s="250"/>
      <c r="AR415" s="14"/>
      <c r="AS415" s="250"/>
      <c r="AT415" s="250"/>
      <c r="AU415" s="250"/>
      <c r="AV415" s="250"/>
      <c r="AW415" s="250"/>
      <c r="AX415" s="250"/>
      <c r="AY415" s="250"/>
      <c r="AZ415" s="250"/>
      <c r="BA415" s="250"/>
      <c r="BB415" s="250"/>
      <c r="BC415" s="250"/>
      <c r="BD415" s="250"/>
      <c r="BE415" s="250"/>
      <c r="BF415" s="250"/>
      <c r="BG415" s="250"/>
      <c r="BH415" s="250"/>
      <c r="BI415" s="250"/>
    </row>
    <row r="416" spans="1:61" ht="15.75" hidden="1" customHeight="1">
      <c r="A416" t="s">
        <v>21</v>
      </c>
      <c r="B416" s="7"/>
      <c r="C416" s="519" t="s">
        <v>470</v>
      </c>
      <c r="V416" s="105" t="s">
        <v>21</v>
      </c>
      <c r="W416" s="290"/>
      <c r="X416" s="287"/>
      <c r="Y416" s="291">
        <f t="shared" si="121"/>
        <v>0</v>
      </c>
      <c r="Z416" s="284">
        <f>IFERROR(SUMIF($C:$C,$V416,F:F),0)</f>
        <v>0</v>
      </c>
      <c r="AA416" s="283"/>
      <c r="AB416" s="291">
        <f t="shared" si="123"/>
        <v>0</v>
      </c>
      <c r="AC416" s="284">
        <f>IFERROR(SUMIF($C:$C,$V416,I:I),0)</f>
        <v>0</v>
      </c>
      <c r="AD416" s="292"/>
      <c r="AE416" s="291">
        <f t="shared" si="134"/>
        <v>0</v>
      </c>
      <c r="AF416" s="284">
        <f>IFERROR(SUMIF($C:$C,$V416,L:L),0)</f>
        <v>0</v>
      </c>
      <c r="AG416" s="285">
        <f t="shared" si="127"/>
        <v>0</v>
      </c>
      <c r="AH416" s="286">
        <f t="shared" si="127"/>
        <v>0</v>
      </c>
      <c r="AI416" s="287">
        <f t="shared" si="132"/>
        <v>0</v>
      </c>
      <c r="AJ416" s="292"/>
      <c r="AK416" s="286">
        <f t="shared" si="128"/>
        <v>0</v>
      </c>
      <c r="AL416" s="284">
        <f>IFERROR(SUMIF($C:$C,$V416,Q:Q),0)</f>
        <v>0</v>
      </c>
      <c r="AM416" s="288">
        <f t="shared" si="130"/>
        <v>0</v>
      </c>
      <c r="AN416" s="286">
        <f t="shared" si="131"/>
        <v>0</v>
      </c>
      <c r="AO416" s="293">
        <f t="shared" si="133"/>
        <v>0</v>
      </c>
      <c r="AP416" s="250"/>
      <c r="AQ416" s="250"/>
      <c r="AR416" s="14"/>
      <c r="AS416" s="250"/>
      <c r="AT416" s="250"/>
      <c r="AU416" s="250"/>
      <c r="AV416" s="250"/>
      <c r="AW416" s="250"/>
      <c r="AX416" s="250"/>
      <c r="AY416" s="250"/>
      <c r="AZ416" s="250"/>
      <c r="BA416" s="250"/>
      <c r="BB416" s="250"/>
      <c r="BC416" s="250"/>
      <c r="BD416" s="250"/>
      <c r="BE416" s="250"/>
      <c r="BF416" s="250"/>
      <c r="BG416" s="250"/>
      <c r="BH416" s="250"/>
      <c r="BI416" s="250"/>
    </row>
    <row r="417" spans="1:61" ht="15.75" hidden="1" customHeight="1">
      <c r="A417" t="s">
        <v>21</v>
      </c>
      <c r="B417" s="7"/>
      <c r="C417" s="519" t="s">
        <v>470</v>
      </c>
      <c r="V417" s="105" t="s">
        <v>21</v>
      </c>
      <c r="W417" s="290" t="s">
        <v>141</v>
      </c>
      <c r="X417" s="283"/>
      <c r="Y417" s="291">
        <f t="shared" si="121"/>
        <v>0</v>
      </c>
      <c r="Z417" s="284">
        <f>IFERROR(SUMIF($C:$C,$V417,F:F),0)</f>
        <v>0</v>
      </c>
      <c r="AA417" s="283"/>
      <c r="AB417" s="291">
        <f t="shared" si="123"/>
        <v>0</v>
      </c>
      <c r="AC417" s="284">
        <f>IFERROR(SUMIF($C:$C,$V417,I:I),0)</f>
        <v>0</v>
      </c>
      <c r="AD417" s="292"/>
      <c r="AE417" s="291">
        <f t="shared" si="134"/>
        <v>0</v>
      </c>
      <c r="AF417" s="284">
        <f>IFERROR(SUMIF($C:$C,$V417,L:L),0)</f>
        <v>0</v>
      </c>
      <c r="AG417" s="285">
        <f t="shared" si="127"/>
        <v>0</v>
      </c>
      <c r="AH417" s="286">
        <f t="shared" si="127"/>
        <v>0</v>
      </c>
      <c r="AI417" s="287">
        <f t="shared" si="132"/>
        <v>0</v>
      </c>
      <c r="AJ417" s="292"/>
      <c r="AK417" s="286">
        <f t="shared" si="128"/>
        <v>0</v>
      </c>
      <c r="AL417" s="284">
        <f>IFERROR(SUMIF($C:$C,$V417,Q:Q),0)</f>
        <v>0</v>
      </c>
      <c r="AM417" s="288">
        <f t="shared" si="130"/>
        <v>0</v>
      </c>
      <c r="AN417" s="286">
        <f t="shared" si="131"/>
        <v>0</v>
      </c>
      <c r="AO417" s="293">
        <f t="shared" si="133"/>
        <v>0</v>
      </c>
      <c r="AP417" s="250"/>
      <c r="AQ417" s="250"/>
      <c r="AR417" s="14"/>
      <c r="AS417" s="250"/>
      <c r="AT417" s="250"/>
      <c r="AU417" s="250"/>
      <c r="AV417" s="250"/>
      <c r="AW417" s="250"/>
      <c r="AX417" s="250"/>
      <c r="AY417" s="250"/>
      <c r="AZ417" s="250"/>
      <c r="BA417" s="250"/>
      <c r="BB417" s="250"/>
      <c r="BC417" s="250"/>
      <c r="BD417" s="250"/>
      <c r="BE417" s="250"/>
      <c r="BF417" s="250"/>
      <c r="BG417" s="250"/>
      <c r="BH417" s="250"/>
      <c r="BI417" s="250"/>
    </row>
    <row r="418" spans="1:61" ht="15.75" customHeight="1">
      <c r="A418" t="s">
        <v>39</v>
      </c>
      <c r="B418" s="7"/>
      <c r="C418" s="519" t="s">
        <v>470</v>
      </c>
      <c r="V418" s="300" t="s">
        <v>39</v>
      </c>
      <c r="W418" s="301"/>
      <c r="X418" s="302">
        <f>Z418/Z406</f>
        <v>0.24598983664296489</v>
      </c>
      <c r="Y418" s="301"/>
      <c r="Z418" s="303">
        <f>SUM(Z408:Z417)</f>
        <v>145572.84080242587</v>
      </c>
      <c r="AA418" s="302">
        <f>AC418/AC406</f>
        <v>0.24598983664296489</v>
      </c>
      <c r="AB418" s="301"/>
      <c r="AC418" s="303">
        <f>SUM(AC408:AC417)</f>
        <v>145572.84080242587</v>
      </c>
      <c r="AD418" s="304">
        <f>AF418/AF406</f>
        <v>0.18310235523826957</v>
      </c>
      <c r="AE418" s="301"/>
      <c r="AF418" s="303">
        <f>SUM(AF408:AF417)</f>
        <v>120034.57999999999</v>
      </c>
      <c r="AG418" s="305"/>
      <c r="AH418" s="306">
        <f>AF418-AC418</f>
        <v>-25538.260802425881</v>
      </c>
      <c r="AI418" s="302">
        <f>AH418/AC418</f>
        <v>-0.17543286688405618</v>
      </c>
      <c r="AJ418" s="304">
        <f>IF($AL$406=0,0,AL418/$AL$406)</f>
        <v>0.23991546704977651</v>
      </c>
      <c r="AK418" s="301"/>
      <c r="AL418" s="303">
        <f>SUM(AL408:AL417)</f>
        <v>168010.46000000002</v>
      </c>
      <c r="AM418" s="307"/>
      <c r="AN418" s="306">
        <f t="shared" si="131"/>
        <v>-47975.880000000034</v>
      </c>
      <c r="AO418" s="281">
        <f>IF(AL418=0,0,AN418/AL418)</f>
        <v>-0.28555293521605757</v>
      </c>
      <c r="AP418" s="250"/>
      <c r="AQ418" s="250"/>
      <c r="AR418" s="14"/>
      <c r="AS418" s="250"/>
      <c r="AT418" s="250"/>
      <c r="AU418" s="250"/>
      <c r="AV418" s="250"/>
      <c r="AW418" s="250"/>
      <c r="AX418" s="250"/>
      <c r="AY418" s="250"/>
      <c r="AZ418" s="250"/>
      <c r="BA418" s="250"/>
      <c r="BB418" s="250"/>
      <c r="BC418" s="250"/>
      <c r="BD418" s="250"/>
      <c r="BE418" s="250"/>
      <c r="BF418" s="250"/>
      <c r="BG418" s="250"/>
      <c r="BH418" s="250"/>
      <c r="BI418" s="250"/>
    </row>
    <row r="419" spans="1:61" ht="15.75" customHeight="1">
      <c r="A419" t="s">
        <v>142</v>
      </c>
      <c r="B419" s="7"/>
      <c r="C419" s="519" t="s">
        <v>470</v>
      </c>
      <c r="V419" s="105" t="s">
        <v>142</v>
      </c>
      <c r="W419" s="290" t="s">
        <v>143</v>
      </c>
      <c r="X419" s="283"/>
      <c r="Y419" s="283"/>
      <c r="Z419" s="284">
        <v>15497.547546666668</v>
      </c>
      <c r="AA419" s="283"/>
      <c r="AB419" s="283"/>
      <c r="AC419" s="284">
        <v>15497.547546666668</v>
      </c>
      <c r="AD419" s="292"/>
      <c r="AE419" s="291"/>
      <c r="AF419" s="284">
        <v>17045.7</v>
      </c>
      <c r="AG419" s="285"/>
      <c r="AH419" s="286">
        <f t="shared" ref="AH419:AH450" si="135">AF419-AC419</f>
        <v>1548.1524533333322</v>
      </c>
      <c r="AI419" s="287">
        <f>IF(AC419=0,0,AH419/AC419)</f>
        <v>9.9896609361674174E-2</v>
      </c>
      <c r="AJ419" s="292"/>
      <c r="AK419" s="283"/>
      <c r="AL419" s="284">
        <v>11182.41</v>
      </c>
      <c r="AM419" s="288"/>
      <c r="AN419" s="286">
        <f t="shared" si="131"/>
        <v>5863.2900000000009</v>
      </c>
      <c r="AO419" s="293">
        <f t="shared" ref="AO419:AO430" si="136">IF(AL419=0,0,AN419/AL419)</f>
        <v>0.52433151708799808</v>
      </c>
      <c r="AP419" s="250"/>
      <c r="AQ419" s="250"/>
      <c r="AR419" s="250"/>
      <c r="AS419" s="250"/>
      <c r="AT419" s="250"/>
      <c r="AU419" s="250"/>
      <c r="AV419" s="250"/>
      <c r="AW419" s="250"/>
      <c r="AX419" s="250"/>
      <c r="AY419" s="250"/>
      <c r="AZ419" s="250"/>
      <c r="BA419" s="250"/>
      <c r="BB419" s="250"/>
      <c r="BC419" s="250"/>
      <c r="BD419" s="250"/>
      <c r="BE419" s="250"/>
      <c r="BF419" s="250"/>
      <c r="BG419" s="250"/>
      <c r="BH419" s="250"/>
      <c r="BI419" s="250"/>
    </row>
    <row r="420" spans="1:61" ht="15.75" customHeight="1">
      <c r="A420" t="s">
        <v>42</v>
      </c>
      <c r="B420" s="7"/>
      <c r="C420" s="519" t="s">
        <v>470</v>
      </c>
      <c r="V420" s="105" t="s">
        <v>42</v>
      </c>
      <c r="W420" s="290" t="s">
        <v>144</v>
      </c>
      <c r="X420" s="283"/>
      <c r="Y420" s="283"/>
      <c r="Z420" s="284">
        <f>+SUMIF($C:$C,$V420,F:F)</f>
        <v>38467.750957854405</v>
      </c>
      <c r="AA420" s="283"/>
      <c r="AB420" s="283"/>
      <c r="AC420" s="284">
        <f>+SUMIF($C:$C,$V420,I:I)</f>
        <v>38467.750957854405</v>
      </c>
      <c r="AD420" s="292"/>
      <c r="AE420" s="291"/>
      <c r="AF420" s="284">
        <f>+SUMIF($C:$C,$V420,L:L)</f>
        <v>46020.369999999995</v>
      </c>
      <c r="AG420" s="285"/>
      <c r="AH420" s="286">
        <f t="shared" si="135"/>
        <v>7552.6190421455904</v>
      </c>
      <c r="AI420" s="287">
        <f t="shared" ref="AI420:AI431" si="137">IF(AC420=0,0,AH420/AC420)</f>
        <v>0.19633638188050828</v>
      </c>
      <c r="AJ420" s="292"/>
      <c r="AK420" s="283"/>
      <c r="AL420" s="284">
        <f>+SUMIF($C:$C,$V420,Q:Q)</f>
        <v>43261.47</v>
      </c>
      <c r="AM420" s="288"/>
      <c r="AN420" s="286">
        <f t="shared" si="131"/>
        <v>2758.8999999999942</v>
      </c>
      <c r="AO420" s="293">
        <f t="shared" si="136"/>
        <v>6.3772682712815679E-2</v>
      </c>
      <c r="AP420" s="250"/>
      <c r="AQ420" s="250"/>
      <c r="AR420" s="250"/>
      <c r="AS420" s="250"/>
      <c r="AT420" s="250"/>
      <c r="AU420" s="250"/>
      <c r="AV420" s="250"/>
      <c r="AW420" s="250"/>
      <c r="AX420" s="250"/>
      <c r="AY420" s="250"/>
      <c r="AZ420" s="250"/>
      <c r="BA420" s="250"/>
      <c r="BB420" s="250"/>
      <c r="BC420" s="250"/>
      <c r="BD420" s="250"/>
      <c r="BE420" s="250"/>
      <c r="BF420" s="250"/>
      <c r="BG420" s="250"/>
      <c r="BH420" s="250"/>
      <c r="BI420" s="250"/>
    </row>
    <row r="421" spans="1:61" ht="15.75" customHeight="1">
      <c r="A421" t="s">
        <v>43</v>
      </c>
      <c r="B421" s="7"/>
      <c r="C421" s="519" t="s">
        <v>470</v>
      </c>
      <c r="V421" s="106" t="s">
        <v>43</v>
      </c>
      <c r="W421" s="294" t="s">
        <v>145</v>
      </c>
      <c r="X421" s="267"/>
      <c r="Y421" s="267"/>
      <c r="Z421" s="268">
        <f>+SUMIF($C:$C,$V421,F:F)</f>
        <v>26732.282612567054</v>
      </c>
      <c r="AA421" s="267"/>
      <c r="AB421" s="267"/>
      <c r="AC421" s="268">
        <f>+SUMIF($C:$C,$V421,I:I)</f>
        <v>26732.282612567054</v>
      </c>
      <c r="AD421" s="296"/>
      <c r="AE421" s="295"/>
      <c r="AF421" s="268">
        <f>+SUMIF($C:$C,$V421,L:L)</f>
        <v>20662.32</v>
      </c>
      <c r="AG421" s="269"/>
      <c r="AH421" s="270">
        <f t="shared" si="135"/>
        <v>-6069.9626125670547</v>
      </c>
      <c r="AI421" s="297">
        <f t="shared" si="137"/>
        <v>-0.22706488258183827</v>
      </c>
      <c r="AJ421" s="296"/>
      <c r="AK421" s="267"/>
      <c r="AL421" s="268">
        <f>+SUMIF($C:$C,$V421,Q:Q)</f>
        <v>25556.820000000003</v>
      </c>
      <c r="AM421" s="272"/>
      <c r="AN421" s="270">
        <f t="shared" si="131"/>
        <v>-4894.5000000000036</v>
      </c>
      <c r="AO421" s="273">
        <f t="shared" si="136"/>
        <v>-0.19151443724219222</v>
      </c>
      <c r="AP421" s="250"/>
      <c r="AQ421" s="250"/>
      <c r="AR421" s="250"/>
      <c r="AS421" s="250"/>
      <c r="AT421" s="250"/>
      <c r="AU421" s="250"/>
      <c r="AV421" s="250"/>
      <c r="AW421" s="250"/>
      <c r="AX421" s="250"/>
      <c r="AY421" s="250"/>
      <c r="AZ421" s="250"/>
      <c r="BA421" s="250"/>
      <c r="BB421" s="250"/>
      <c r="BC421" s="250"/>
      <c r="BD421" s="250"/>
      <c r="BE421" s="250"/>
      <c r="BF421" s="250"/>
      <c r="BG421" s="250"/>
      <c r="BH421" s="250"/>
      <c r="BI421" s="250"/>
    </row>
    <row r="422" spans="1:61" ht="15.75" customHeight="1">
      <c r="A422" t="s">
        <v>44</v>
      </c>
      <c r="B422" s="7"/>
      <c r="C422" s="519" t="s">
        <v>470</v>
      </c>
      <c r="V422" s="105" t="s">
        <v>44</v>
      </c>
      <c r="W422" s="290" t="s">
        <v>146</v>
      </c>
      <c r="X422" s="283"/>
      <c r="Y422" s="283"/>
      <c r="Z422" s="284">
        <f>+SUMIF($C:$C,$V422,F:F)</f>
        <v>56911.548926896547</v>
      </c>
      <c r="AA422" s="283"/>
      <c r="AB422" s="283"/>
      <c r="AC422" s="284">
        <f>+SUMIF($C:$C,$V422,I:I)</f>
        <v>56911.548926896547</v>
      </c>
      <c r="AD422" s="292"/>
      <c r="AE422" s="291"/>
      <c r="AF422" s="284">
        <f>+SUMIF($C:$C,$V422,L:L)</f>
        <v>57282.28</v>
      </c>
      <c r="AG422" s="285"/>
      <c r="AH422" s="286">
        <f t="shared" si="135"/>
        <v>370.73107310345222</v>
      </c>
      <c r="AI422" s="287">
        <f t="shared" si="137"/>
        <v>6.5141624168349377E-3</v>
      </c>
      <c r="AJ422" s="292"/>
      <c r="AK422" s="283"/>
      <c r="AL422" s="284">
        <f>+SUMIF($C:$C,$V422,Q:Q)</f>
        <v>55732.75</v>
      </c>
      <c r="AM422" s="288"/>
      <c r="AN422" s="286">
        <f t="shared" si="131"/>
        <v>1549.5299999999988</v>
      </c>
      <c r="AO422" s="293">
        <f t="shared" si="136"/>
        <v>2.7802862769197623E-2</v>
      </c>
      <c r="AP422" s="250"/>
      <c r="AQ422" s="250"/>
      <c r="AR422" s="250"/>
      <c r="AS422" s="250"/>
      <c r="AT422" s="250"/>
      <c r="AU422" s="250"/>
      <c r="AV422" s="250"/>
      <c r="AW422" s="250"/>
      <c r="AX422" s="250"/>
      <c r="AY422" s="250"/>
      <c r="AZ422" s="250"/>
      <c r="BA422" s="250"/>
      <c r="BB422" s="250"/>
      <c r="BC422" s="250"/>
      <c r="BD422" s="250"/>
      <c r="BE422" s="250"/>
      <c r="BF422" s="250"/>
      <c r="BG422" s="250"/>
      <c r="BH422" s="250"/>
      <c r="BI422" s="250"/>
    </row>
    <row r="423" spans="1:61" ht="15.75" customHeight="1">
      <c r="A423" t="s">
        <v>45</v>
      </c>
      <c r="B423" s="7"/>
      <c r="C423" s="519" t="s">
        <v>470</v>
      </c>
      <c r="V423" s="105" t="s">
        <v>45</v>
      </c>
      <c r="W423" s="290" t="s">
        <v>147</v>
      </c>
      <c r="X423" s="283"/>
      <c r="Y423" s="283"/>
      <c r="Z423" s="284">
        <f>+SUMIF($C:$C,$V423,F:F)</f>
        <v>29995.648333885685</v>
      </c>
      <c r="AA423" s="283"/>
      <c r="AB423" s="283"/>
      <c r="AC423" s="284">
        <f>+SUMIF($C:$C,$V423,I:I)</f>
        <v>29995.648333885685</v>
      </c>
      <c r="AD423" s="292"/>
      <c r="AE423" s="291"/>
      <c r="AF423" s="284">
        <f>+SUMIF($C:$C,$V423,L:L)</f>
        <v>31665.18</v>
      </c>
      <c r="AG423" s="285"/>
      <c r="AH423" s="286">
        <f t="shared" si="135"/>
        <v>1669.5316661143152</v>
      </c>
      <c r="AI423" s="287">
        <f t="shared" si="137"/>
        <v>5.5659129202027195E-2</v>
      </c>
      <c r="AJ423" s="292"/>
      <c r="AK423" s="283"/>
      <c r="AL423" s="284">
        <f>+SUMIF($C:$C,$V423,Q:Q)</f>
        <v>21437.190000000002</v>
      </c>
      <c r="AM423" s="288"/>
      <c r="AN423" s="286">
        <f t="shared" si="131"/>
        <v>10227.989999999998</v>
      </c>
      <c r="AO423" s="293">
        <f t="shared" si="136"/>
        <v>0.47711430462667898</v>
      </c>
      <c r="AP423" s="250"/>
      <c r="AQ423" s="250"/>
      <c r="AR423" s="250"/>
      <c r="AS423" s="250"/>
      <c r="AT423" s="250"/>
      <c r="AU423" s="250"/>
      <c r="AV423" s="250"/>
      <c r="AW423" s="250"/>
      <c r="AX423" s="250"/>
      <c r="AY423" s="250"/>
      <c r="AZ423" s="250"/>
      <c r="BA423" s="250"/>
      <c r="BB423" s="250"/>
      <c r="BC423" s="250"/>
      <c r="BD423" s="250"/>
      <c r="BE423" s="250"/>
      <c r="BF423" s="250"/>
      <c r="BG423" s="250"/>
      <c r="BH423" s="250"/>
      <c r="BI423" s="250"/>
    </row>
    <row r="424" spans="1:61" ht="15.75" hidden="1" customHeight="1">
      <c r="A424" t="s">
        <v>21</v>
      </c>
      <c r="B424" s="7"/>
      <c r="C424" s="519" t="s">
        <v>470</v>
      </c>
      <c r="V424" s="105" t="s">
        <v>21</v>
      </c>
      <c r="W424" s="290"/>
      <c r="X424" s="283"/>
      <c r="Y424" s="283"/>
      <c r="Z424" s="284">
        <f>IFERROR(SUMIF($C:$C,$V424,F:F),0)</f>
        <v>0</v>
      </c>
      <c r="AA424" s="283"/>
      <c r="AB424" s="283"/>
      <c r="AC424" s="284">
        <f>IFERROR(SUMIF($C:$C,$V424,I:I),0)</f>
        <v>0</v>
      </c>
      <c r="AD424" s="292"/>
      <c r="AE424" s="291"/>
      <c r="AF424" s="284">
        <f>IFERROR(SUMIF($C:$C,$V424,L:L),0)</f>
        <v>0</v>
      </c>
      <c r="AG424" s="285"/>
      <c r="AH424" s="286">
        <f t="shared" si="135"/>
        <v>0</v>
      </c>
      <c r="AI424" s="287">
        <f t="shared" si="137"/>
        <v>0</v>
      </c>
      <c r="AJ424" s="292"/>
      <c r="AK424" s="283"/>
      <c r="AL424" s="284">
        <f>IFERROR(SUMIF($C:$C,$V424,Q:Q),0)</f>
        <v>0</v>
      </c>
      <c r="AM424" s="288"/>
      <c r="AN424" s="286">
        <f t="shared" si="131"/>
        <v>0</v>
      </c>
      <c r="AO424" s="293">
        <f t="shared" si="136"/>
        <v>0</v>
      </c>
      <c r="AP424" s="250"/>
      <c r="AQ424" s="250"/>
      <c r="AR424" s="250"/>
      <c r="AS424" s="250"/>
      <c r="AT424" s="250"/>
      <c r="AU424" s="250"/>
      <c r="AV424" s="250"/>
      <c r="AW424" s="250"/>
      <c r="AX424" s="250"/>
      <c r="AY424" s="250"/>
      <c r="AZ424" s="250"/>
      <c r="BA424" s="250"/>
      <c r="BB424" s="250"/>
      <c r="BC424" s="250"/>
      <c r="BD424" s="250"/>
      <c r="BE424" s="250"/>
      <c r="BF424" s="250"/>
      <c r="BG424" s="250"/>
      <c r="BH424" s="250"/>
      <c r="BI424" s="250"/>
    </row>
    <row r="425" spans="1:61" ht="15.75" hidden="1" customHeight="1">
      <c r="A425" t="s">
        <v>21</v>
      </c>
      <c r="B425" s="7"/>
      <c r="C425" s="519" t="s">
        <v>470</v>
      </c>
      <c r="V425" s="105" t="s">
        <v>21</v>
      </c>
      <c r="W425" s="290"/>
      <c r="X425" s="283"/>
      <c r="Y425" s="283"/>
      <c r="Z425" s="284">
        <f>IFERROR(SUMIF($C:$C,$V425,F:F),0)</f>
        <v>0</v>
      </c>
      <c r="AA425" s="283"/>
      <c r="AB425" s="283"/>
      <c r="AC425" s="284">
        <f>IFERROR(SUMIF($C:$C,$V425,I:I),0)</f>
        <v>0</v>
      </c>
      <c r="AD425" s="292"/>
      <c r="AE425" s="291"/>
      <c r="AF425" s="284">
        <f>IFERROR(SUMIF($C:$C,$V425,L:L),0)</f>
        <v>0</v>
      </c>
      <c r="AG425" s="285"/>
      <c r="AH425" s="286">
        <f t="shared" si="135"/>
        <v>0</v>
      </c>
      <c r="AI425" s="287">
        <f t="shared" si="137"/>
        <v>0</v>
      </c>
      <c r="AJ425" s="292"/>
      <c r="AK425" s="283"/>
      <c r="AL425" s="284">
        <f>IFERROR(SUMIF($C:$C,$V425,Q:Q),0)</f>
        <v>0</v>
      </c>
      <c r="AM425" s="288"/>
      <c r="AN425" s="286">
        <f t="shared" si="131"/>
        <v>0</v>
      </c>
      <c r="AO425" s="293">
        <f t="shared" si="136"/>
        <v>0</v>
      </c>
      <c r="AP425" s="250"/>
      <c r="AQ425" s="250"/>
      <c r="AR425" s="250"/>
      <c r="AS425" s="250"/>
      <c r="AT425" s="250"/>
      <c r="AU425" s="250"/>
      <c r="AV425" s="250"/>
      <c r="AW425" s="250"/>
      <c r="AX425" s="250"/>
      <c r="AY425" s="250"/>
      <c r="AZ425" s="250"/>
      <c r="BA425" s="250"/>
      <c r="BB425" s="250"/>
      <c r="BC425" s="250"/>
      <c r="BD425" s="250"/>
      <c r="BE425" s="250"/>
      <c r="BF425" s="250"/>
      <c r="BG425" s="250"/>
      <c r="BH425" s="250"/>
      <c r="BI425" s="250"/>
    </row>
    <row r="426" spans="1:61" ht="15.75" hidden="1" customHeight="1">
      <c r="A426" t="s">
        <v>21</v>
      </c>
      <c r="B426" s="7"/>
      <c r="C426" s="519" t="s">
        <v>470</v>
      </c>
      <c r="V426" s="105" t="s">
        <v>21</v>
      </c>
      <c r="W426" s="290"/>
      <c r="X426" s="283"/>
      <c r="Y426" s="283"/>
      <c r="Z426" s="284">
        <f>IFERROR(SUMIF($C:$C,$V426,F:F),0)</f>
        <v>0</v>
      </c>
      <c r="AA426" s="283"/>
      <c r="AB426" s="283"/>
      <c r="AC426" s="284">
        <f>IFERROR(SUMIF($C:$C,$V426,I:I),0)</f>
        <v>0</v>
      </c>
      <c r="AD426" s="292"/>
      <c r="AE426" s="291"/>
      <c r="AF426" s="284">
        <f>IFERROR(SUMIF($C:$C,$V426,L:L),0)</f>
        <v>0</v>
      </c>
      <c r="AG426" s="285"/>
      <c r="AH426" s="286">
        <f t="shared" si="135"/>
        <v>0</v>
      </c>
      <c r="AI426" s="287">
        <f t="shared" si="137"/>
        <v>0</v>
      </c>
      <c r="AJ426" s="292"/>
      <c r="AK426" s="283"/>
      <c r="AL426" s="284">
        <f>IFERROR(SUMIF($C:$C,$V426,Q:Q),0)</f>
        <v>0</v>
      </c>
      <c r="AM426" s="288"/>
      <c r="AN426" s="286">
        <f t="shared" si="131"/>
        <v>0</v>
      </c>
      <c r="AO426" s="293">
        <f t="shared" si="136"/>
        <v>0</v>
      </c>
      <c r="AP426" s="250"/>
      <c r="AQ426" s="250"/>
      <c r="AR426" s="250"/>
      <c r="AS426" s="250"/>
      <c r="AT426" s="250"/>
      <c r="AU426" s="250"/>
      <c r="AV426" s="250"/>
      <c r="AW426" s="250"/>
      <c r="AX426" s="250"/>
      <c r="AY426" s="250"/>
      <c r="AZ426" s="250"/>
      <c r="BA426" s="250"/>
      <c r="BB426" s="250"/>
      <c r="BC426" s="250"/>
      <c r="BD426" s="250"/>
      <c r="BE426" s="250"/>
      <c r="BF426" s="250"/>
      <c r="BG426" s="250"/>
      <c r="BH426" s="250"/>
      <c r="BI426" s="250"/>
    </row>
    <row r="427" spans="1:61" ht="15.75" customHeight="1">
      <c r="A427" t="s">
        <v>46</v>
      </c>
      <c r="B427" s="7"/>
      <c r="C427" s="519" t="s">
        <v>470</v>
      </c>
      <c r="V427" s="106" t="s">
        <v>46</v>
      </c>
      <c r="W427" s="294" t="s">
        <v>148</v>
      </c>
      <c r="X427" s="267"/>
      <c r="Y427" s="267"/>
      <c r="Z427" s="268">
        <f>+SUMIF($C:$C,$V427,F:F)</f>
        <v>39074.315709122791</v>
      </c>
      <c r="AA427" s="267"/>
      <c r="AB427" s="267"/>
      <c r="AC427" s="268">
        <f>+SUMIF($C:$C,$V427,I:I)</f>
        <v>39074.315709122791</v>
      </c>
      <c r="AD427" s="296"/>
      <c r="AE427" s="295"/>
      <c r="AF427" s="268">
        <f>+SUMIF($C:$C,$V427,L:L)</f>
        <v>39163.659999999996</v>
      </c>
      <c r="AG427" s="269"/>
      <c r="AH427" s="270">
        <f t="shared" si="135"/>
        <v>89.344290877204912</v>
      </c>
      <c r="AI427" s="297">
        <f t="shared" si="137"/>
        <v>2.2865222142929415E-3</v>
      </c>
      <c r="AJ427" s="296"/>
      <c r="AK427" s="267"/>
      <c r="AL427" s="268">
        <f>+SUMIF($C:$C,$V427,Q:Q)</f>
        <v>49494.959999999992</v>
      </c>
      <c r="AM427" s="272"/>
      <c r="AN427" s="270">
        <f t="shared" si="131"/>
        <v>-10331.299999999996</v>
      </c>
      <c r="AO427" s="298">
        <f t="shared" si="136"/>
        <v>-0.20873438426862043</v>
      </c>
      <c r="AP427" s="250"/>
      <c r="AQ427" s="250"/>
      <c r="AR427" s="250"/>
      <c r="AS427" s="250"/>
      <c r="AT427" s="250"/>
      <c r="AU427" s="250"/>
      <c r="AV427" s="250"/>
      <c r="AW427" s="250"/>
      <c r="AX427" s="250"/>
      <c r="AY427" s="250"/>
      <c r="AZ427" s="250"/>
      <c r="BA427" s="250"/>
      <c r="BB427" s="250"/>
      <c r="BC427" s="250"/>
      <c r="BD427" s="250"/>
      <c r="BE427" s="250"/>
      <c r="BF427" s="250"/>
      <c r="BG427" s="250"/>
      <c r="BH427" s="250"/>
      <c r="BI427" s="250"/>
    </row>
    <row r="428" spans="1:61" ht="15.75" customHeight="1">
      <c r="A428" t="s">
        <v>47</v>
      </c>
      <c r="B428" s="7"/>
      <c r="C428" s="519" t="s">
        <v>470</v>
      </c>
      <c r="V428" s="105" t="s">
        <v>47</v>
      </c>
      <c r="W428" s="290" t="s">
        <v>149</v>
      </c>
      <c r="X428" s="283"/>
      <c r="Y428" s="283"/>
      <c r="Z428" s="284">
        <f>+SUMIF($C:$C,$V428,F:F)</f>
        <v>34995.055058743899</v>
      </c>
      <c r="AA428" s="283"/>
      <c r="AB428" s="283"/>
      <c r="AC428" s="284">
        <f>+SUMIF($C:$C,$V428,I:I)</f>
        <v>34995.055058743899</v>
      </c>
      <c r="AD428" s="292"/>
      <c r="AE428" s="291"/>
      <c r="AF428" s="284">
        <f>+SUMIF($C:$C,$V428,L:L)</f>
        <v>35549.219999999994</v>
      </c>
      <c r="AG428" s="285"/>
      <c r="AH428" s="286">
        <f t="shared" si="135"/>
        <v>554.16494125609461</v>
      </c>
      <c r="AI428" s="287">
        <f t="shared" si="137"/>
        <v>1.583552134225405E-2</v>
      </c>
      <c r="AJ428" s="292"/>
      <c r="AK428" s="283"/>
      <c r="AL428" s="284">
        <f>+SUMIF($C:$C,$V428,Q:Q)</f>
        <v>31979.820000000003</v>
      </c>
      <c r="AM428" s="288"/>
      <c r="AN428" s="286">
        <f t="shared" si="131"/>
        <v>3569.3999999999905</v>
      </c>
      <c r="AO428" s="293">
        <f t="shared" si="136"/>
        <v>0.11161413666493401</v>
      </c>
      <c r="AP428" s="250"/>
      <c r="AQ428" s="250"/>
      <c r="AR428" s="250"/>
      <c r="AS428" s="250"/>
      <c r="AT428" s="250"/>
      <c r="AU428" s="250"/>
      <c r="AV428" s="250"/>
      <c r="AW428" s="250"/>
      <c r="AX428" s="250"/>
      <c r="AY428" s="250"/>
      <c r="AZ428" s="250"/>
      <c r="BA428" s="250"/>
      <c r="BB428" s="250"/>
      <c r="BC428" s="250"/>
      <c r="BD428" s="250"/>
      <c r="BE428" s="250"/>
      <c r="BF428" s="250"/>
      <c r="BG428" s="250"/>
      <c r="BH428" s="250"/>
      <c r="BI428" s="250"/>
    </row>
    <row r="429" spans="1:61" ht="15.75" customHeight="1">
      <c r="A429" t="s">
        <v>48</v>
      </c>
      <c r="B429" s="7"/>
      <c r="C429" s="519" t="s">
        <v>470</v>
      </c>
      <c r="V429" s="105" t="s">
        <v>48</v>
      </c>
      <c r="W429" s="290" t="s">
        <v>150</v>
      </c>
      <c r="X429" s="283"/>
      <c r="Y429" s="283"/>
      <c r="Z429" s="284">
        <f>+SUMIF($C:$C,$V429,F:F)</f>
        <v>27790.190781943689</v>
      </c>
      <c r="AA429" s="283"/>
      <c r="AB429" s="283"/>
      <c r="AC429" s="284">
        <f>+SUMIF($C:$C,$V429,I:I)</f>
        <v>27790.190781943689</v>
      </c>
      <c r="AD429" s="292"/>
      <c r="AE429" s="291"/>
      <c r="AF429" s="284">
        <f>+SUMIF($C:$C,$V429,L:L)</f>
        <v>12358.810000000001</v>
      </c>
      <c r="AG429" s="285"/>
      <c r="AH429" s="286">
        <f t="shared" si="135"/>
        <v>-15431.380781943688</v>
      </c>
      <c r="AI429" s="287">
        <f t="shared" si="137"/>
        <v>-0.55528157050184856</v>
      </c>
      <c r="AJ429" s="292"/>
      <c r="AK429" s="283"/>
      <c r="AL429" s="284">
        <f>+SUMIF($C:$C,$V429,Q:Q)</f>
        <v>25087.850000000002</v>
      </c>
      <c r="AM429" s="288"/>
      <c r="AN429" s="286">
        <f t="shared" si="131"/>
        <v>-12729.04</v>
      </c>
      <c r="AO429" s="293">
        <f t="shared" si="136"/>
        <v>-0.50737867134888004</v>
      </c>
      <c r="AP429" s="250"/>
      <c r="AQ429" s="250"/>
      <c r="AR429" s="250"/>
      <c r="AS429" s="250"/>
      <c r="AT429" s="250"/>
      <c r="AU429" s="250"/>
      <c r="AV429" s="250"/>
      <c r="AW429" s="250"/>
      <c r="AX429" s="250"/>
      <c r="AY429" s="250"/>
      <c r="AZ429" s="250"/>
      <c r="BA429" s="250"/>
      <c r="BB429" s="250"/>
      <c r="BC429" s="250"/>
      <c r="BD429" s="250"/>
      <c r="BE429" s="250"/>
      <c r="BF429" s="250"/>
      <c r="BG429" s="250"/>
      <c r="BH429" s="250"/>
      <c r="BI429" s="250"/>
    </row>
    <row r="430" spans="1:61" ht="15.75" customHeight="1">
      <c r="A430" t="s">
        <v>49</v>
      </c>
      <c r="B430" s="7"/>
      <c r="C430" s="519" t="s">
        <v>470</v>
      </c>
      <c r="V430" s="105" t="s">
        <v>49</v>
      </c>
      <c r="W430" s="290"/>
      <c r="X430" s="283"/>
      <c r="Y430" s="283"/>
      <c r="Z430" s="284">
        <f>+SUMIF($C:$C,$V430,F:F)</f>
        <v>11321.929577828911</v>
      </c>
      <c r="AA430" s="283"/>
      <c r="AB430" s="283"/>
      <c r="AC430" s="284">
        <f>+SUMIF($C:$C,$V430,I:I)</f>
        <v>11321.929577828911</v>
      </c>
      <c r="AD430" s="292"/>
      <c r="AE430" s="291"/>
      <c r="AF430" s="284">
        <f>+SUMIF($C:$C,$V430,L:L)</f>
        <v>16909.14</v>
      </c>
      <c r="AG430" s="285"/>
      <c r="AH430" s="286">
        <f t="shared" si="135"/>
        <v>5587.2104221710888</v>
      </c>
      <c r="AI430" s="310">
        <f t="shared" si="137"/>
        <v>0.49348570698692601</v>
      </c>
      <c r="AJ430" s="292"/>
      <c r="AK430" s="283"/>
      <c r="AL430" s="284">
        <f>+SUMIF($C:$C,$V430,Q:Q)</f>
        <v>8860.86</v>
      </c>
      <c r="AM430" s="288"/>
      <c r="AN430" s="286">
        <f t="shared" si="131"/>
        <v>8048.2799999999988</v>
      </c>
      <c r="AO430" s="293">
        <f t="shared" si="136"/>
        <v>0.90829558304724356</v>
      </c>
      <c r="AP430" s="250"/>
      <c r="AQ430" s="250"/>
      <c r="AR430" s="250"/>
      <c r="AS430" s="250"/>
      <c r="AT430" s="250"/>
      <c r="AU430" s="250"/>
      <c r="AV430" s="250"/>
      <c r="AW430" s="250"/>
      <c r="AX430" s="250"/>
      <c r="AY430" s="250"/>
      <c r="AZ430" s="250"/>
      <c r="BA430" s="250"/>
      <c r="BB430" s="250"/>
      <c r="BC430" s="250"/>
      <c r="BD430" s="250"/>
      <c r="BE430" s="250"/>
      <c r="BF430" s="250"/>
      <c r="BG430" s="250"/>
      <c r="BH430" s="250"/>
      <c r="BI430" s="250"/>
    </row>
    <row r="431" spans="1:61" ht="15.75" hidden="1" customHeight="1">
      <c r="A431" t="s">
        <v>21</v>
      </c>
      <c r="B431" s="7"/>
      <c r="C431" s="519" t="s">
        <v>470</v>
      </c>
      <c r="V431" s="30" t="s">
        <v>21</v>
      </c>
      <c r="W431" s="290"/>
      <c r="X431" s="283"/>
      <c r="Y431" s="291"/>
      <c r="Z431" s="284">
        <f>IFERROR(SUMIF($C:$C,$V431,F:F),0)</f>
        <v>0</v>
      </c>
      <c r="AA431" s="283"/>
      <c r="AB431" s="283"/>
      <c r="AC431" s="284">
        <f>IFERROR(SUMIF($C:$C,$V431,I:I),0)</f>
        <v>0</v>
      </c>
      <c r="AD431" s="292"/>
      <c r="AE431" s="291"/>
      <c r="AF431" s="284">
        <f>IFERROR(SUMIF($C:$C,$V431,L:L),0)</f>
        <v>0</v>
      </c>
      <c r="AG431" s="285"/>
      <c r="AH431" s="286">
        <f t="shared" si="135"/>
        <v>0</v>
      </c>
      <c r="AI431" s="287">
        <f t="shared" si="137"/>
        <v>0</v>
      </c>
      <c r="AJ431" s="292"/>
      <c r="AK431" s="283"/>
      <c r="AL431" s="284">
        <f>IFERROR(SUMIF($C:$C,$V431,Q:Q),0)</f>
        <v>0</v>
      </c>
      <c r="AM431" s="288"/>
      <c r="AN431" s="286"/>
      <c r="AO431" s="298"/>
      <c r="AP431" s="250"/>
      <c r="AQ431" s="250"/>
      <c r="AR431" s="250"/>
      <c r="AS431" s="250"/>
      <c r="AT431" s="250"/>
      <c r="AU431" s="250"/>
      <c r="AV431" s="250"/>
      <c r="AW431" s="250"/>
      <c r="AX431" s="250"/>
      <c r="AY431" s="250"/>
      <c r="AZ431" s="250"/>
      <c r="BA431" s="250"/>
      <c r="BB431" s="250"/>
      <c r="BC431" s="250"/>
      <c r="BD431" s="250"/>
      <c r="BE431" s="250"/>
      <c r="BF431" s="250"/>
      <c r="BG431" s="250"/>
      <c r="BH431" s="250"/>
      <c r="BI431" s="250"/>
    </row>
    <row r="432" spans="1:61" ht="15.75" customHeight="1">
      <c r="A432" t="s">
        <v>50</v>
      </c>
      <c r="B432" s="7"/>
      <c r="C432" s="519" t="s">
        <v>470</v>
      </c>
      <c r="V432" s="300" t="s">
        <v>50</v>
      </c>
      <c r="W432" s="301"/>
      <c r="X432" s="302">
        <f>Z432/Z406</f>
        <v>0.47447427821369287</v>
      </c>
      <c r="Y432" s="301"/>
      <c r="Z432" s="303">
        <f>SUM(Z419:Z431)</f>
        <v>280786.26950550964</v>
      </c>
      <c r="AA432" s="302">
        <f>AC432/AC406</f>
        <v>0.47447427821369287</v>
      </c>
      <c r="AB432" s="301"/>
      <c r="AC432" s="303">
        <f>SUM(AC419:AC431)</f>
        <v>280786.26950550964</v>
      </c>
      <c r="AD432" s="304">
        <f>AF432/AF406</f>
        <v>0.42201580328268962</v>
      </c>
      <c r="AE432" s="311"/>
      <c r="AF432" s="303">
        <f>SUM(AF419:AF431)</f>
        <v>276656.68</v>
      </c>
      <c r="AG432" s="312"/>
      <c r="AH432" s="306">
        <f t="shared" si="135"/>
        <v>-4129.589505509648</v>
      </c>
      <c r="AI432" s="302">
        <f>AH432/AC432</f>
        <v>-1.4707234484016023E-2</v>
      </c>
      <c r="AJ432" s="304">
        <f>IF($AL$406=0,0,AL432/$AL$406)</f>
        <v>0.3892587878991432</v>
      </c>
      <c r="AK432" s="301"/>
      <c r="AL432" s="303">
        <f>SUM(AL419:AL431)</f>
        <v>272594.13</v>
      </c>
      <c r="AM432" s="313"/>
      <c r="AN432" s="306">
        <f t="shared" ref="AN432:AN450" si="138">AF432-AL432</f>
        <v>4062.5499999999884</v>
      </c>
      <c r="AO432" s="281">
        <f>IF(AL432=0,0,AN432/AL432)</f>
        <v>1.490329230493697E-2</v>
      </c>
      <c r="AP432" s="250"/>
      <c r="AQ432" s="250"/>
      <c r="AR432" s="250"/>
      <c r="AS432" s="250"/>
      <c r="AT432" s="250"/>
      <c r="AU432" s="250"/>
      <c r="AV432" s="250"/>
      <c r="AW432" s="250"/>
      <c r="AX432" s="250"/>
      <c r="AY432" s="250"/>
      <c r="AZ432" s="250"/>
      <c r="BA432" s="250"/>
      <c r="BB432" s="250"/>
      <c r="BC432" s="250"/>
      <c r="BD432" s="250"/>
      <c r="BE432" s="250"/>
      <c r="BF432" s="250"/>
      <c r="BG432" s="250"/>
      <c r="BH432" s="250"/>
      <c r="BI432" s="250"/>
    </row>
    <row r="433" spans="1:62" ht="15.75" customHeight="1">
      <c r="A433" t="s">
        <v>51</v>
      </c>
      <c r="B433" s="7"/>
      <c r="C433" s="519" t="s">
        <v>470</v>
      </c>
      <c r="V433" s="214" t="s">
        <v>51</v>
      </c>
      <c r="W433" s="315" t="s">
        <v>140</v>
      </c>
      <c r="X433" s="316"/>
      <c r="Y433" s="316"/>
      <c r="Z433" s="317">
        <f t="shared" ref="Z433:Z447" si="139">+SUMIF($C:$C,$V433,F:F)</f>
        <v>10644.25</v>
      </c>
      <c r="AA433" s="316"/>
      <c r="AB433" s="316"/>
      <c r="AC433" s="317">
        <f t="shared" ref="AC433:AC447" si="140">+SUMIF($C:$C,$V433,I:I)</f>
        <v>10644.25</v>
      </c>
      <c r="AD433" s="318"/>
      <c r="AE433" s="319"/>
      <c r="AF433" s="317">
        <f t="shared" ref="AF433:AF447" si="141">+SUMIF($C:$C,$V433,L:L)</f>
        <v>17192.330000000002</v>
      </c>
      <c r="AG433" s="318"/>
      <c r="AH433" s="320">
        <f t="shared" si="135"/>
        <v>6548.0800000000017</v>
      </c>
      <c r="AI433" s="321">
        <f>IF(AC433=0,0,AH433/AC433)</f>
        <v>0.61517532940319908</v>
      </c>
      <c r="AJ433" s="318"/>
      <c r="AK433" s="316"/>
      <c r="AL433" s="317">
        <f t="shared" ref="AL433:AL446" si="142">+SUMIF($C:$C,$V433,Q:Q)</f>
        <v>9005.19</v>
      </c>
      <c r="AM433" s="322"/>
      <c r="AN433" s="320">
        <f t="shared" si="138"/>
        <v>8187.1400000000012</v>
      </c>
      <c r="AO433" s="289">
        <f t="shared" ref="AO433:AO450" si="143">IF(AL433=0,0,AN433/AL433)</f>
        <v>0.90915794114283</v>
      </c>
      <c r="AP433" s="250"/>
      <c r="AQ433" s="250"/>
      <c r="AR433" s="250"/>
      <c r="AS433" s="250"/>
      <c r="AT433" s="250"/>
      <c r="AU433" s="250"/>
      <c r="AV433" s="250"/>
      <c r="AW433" s="250"/>
      <c r="AX433" s="250"/>
      <c r="AY433" s="250"/>
      <c r="AZ433" s="250"/>
      <c r="BA433" s="250"/>
      <c r="BB433" s="250"/>
      <c r="BC433" s="250"/>
      <c r="BD433" s="250"/>
      <c r="BE433" s="250"/>
      <c r="BF433" s="250"/>
      <c r="BG433" s="250"/>
      <c r="BH433" s="250"/>
      <c r="BI433" s="250"/>
    </row>
    <row r="434" spans="1:62" ht="15.75" customHeight="1">
      <c r="A434" t="s">
        <v>52</v>
      </c>
      <c r="B434" s="7"/>
      <c r="C434" s="519" t="s">
        <v>470</v>
      </c>
      <c r="V434" s="105" t="s">
        <v>52</v>
      </c>
      <c r="W434" s="290" t="s">
        <v>151</v>
      </c>
      <c r="X434" s="283"/>
      <c r="Y434" s="283"/>
      <c r="Z434" s="284">
        <f t="shared" si="139"/>
        <v>2644.9571535311065</v>
      </c>
      <c r="AA434" s="283"/>
      <c r="AB434" s="283"/>
      <c r="AC434" s="284">
        <f t="shared" si="140"/>
        <v>2644.9571535311065</v>
      </c>
      <c r="AD434" s="292"/>
      <c r="AE434" s="291"/>
      <c r="AF434" s="284">
        <f t="shared" si="141"/>
        <v>6052.67</v>
      </c>
      <c r="AG434" s="285"/>
      <c r="AH434" s="286">
        <f t="shared" si="135"/>
        <v>3407.7128464688935</v>
      </c>
      <c r="AI434" s="287">
        <f t="shared" ref="AI434:AI450" si="144">IF(AC434=0,0,AH434/AC434)</f>
        <v>1.2883811149528386</v>
      </c>
      <c r="AJ434" s="292"/>
      <c r="AK434" s="283"/>
      <c r="AL434" s="284">
        <f t="shared" si="142"/>
        <v>6750.8899999999994</v>
      </c>
      <c r="AM434" s="288"/>
      <c r="AN434" s="286">
        <f t="shared" si="138"/>
        <v>-698.21999999999935</v>
      </c>
      <c r="AO434" s="293">
        <f t="shared" si="143"/>
        <v>-0.10342636304250245</v>
      </c>
      <c r="AP434" s="250"/>
      <c r="AQ434" s="250"/>
      <c r="AR434" s="250"/>
      <c r="AS434" s="250"/>
      <c r="AT434" s="250"/>
      <c r="AU434" s="250"/>
      <c r="AV434" s="250"/>
      <c r="AW434" s="250"/>
      <c r="AX434" s="250"/>
      <c r="AY434" s="250"/>
      <c r="AZ434" s="250"/>
      <c r="BA434" s="250"/>
      <c r="BB434" s="250"/>
      <c r="BC434" s="250"/>
      <c r="BD434" s="250"/>
      <c r="BE434" s="250"/>
      <c r="BF434" s="250"/>
      <c r="BG434" s="250"/>
      <c r="BH434" s="250"/>
      <c r="BI434" s="250"/>
    </row>
    <row r="435" spans="1:62" ht="15.75" customHeight="1">
      <c r="A435" t="s">
        <v>53</v>
      </c>
      <c r="B435" s="7"/>
      <c r="C435" s="519" t="s">
        <v>470</v>
      </c>
      <c r="U435" s="525"/>
      <c r="V435" s="106" t="s">
        <v>53</v>
      </c>
      <c r="W435" s="294" t="s">
        <v>152</v>
      </c>
      <c r="X435" s="267"/>
      <c r="Y435" s="267"/>
      <c r="Z435" s="268">
        <f t="shared" si="139"/>
        <v>18534.004444444443</v>
      </c>
      <c r="AA435" s="267"/>
      <c r="AB435" s="267"/>
      <c r="AC435" s="268">
        <f t="shared" si="140"/>
        <v>18534.004444444443</v>
      </c>
      <c r="AD435" s="296"/>
      <c r="AE435" s="295"/>
      <c r="AF435" s="268">
        <f t="shared" si="141"/>
        <v>28055.82</v>
      </c>
      <c r="AG435" s="269"/>
      <c r="AH435" s="270">
        <f t="shared" si="135"/>
        <v>9521.8155555555568</v>
      </c>
      <c r="AI435" s="297">
        <f t="shared" si="144"/>
        <v>0.51374842301873491</v>
      </c>
      <c r="AJ435" s="296"/>
      <c r="AK435" s="267"/>
      <c r="AL435" s="268">
        <f t="shared" si="142"/>
        <v>24663.93</v>
      </c>
      <c r="AM435" s="272"/>
      <c r="AN435" s="270">
        <f t="shared" si="138"/>
        <v>3391.8899999999994</v>
      </c>
      <c r="AO435" s="273">
        <f t="shared" si="143"/>
        <v>0.13752431181891933</v>
      </c>
      <c r="AP435" s="250"/>
      <c r="AQ435" s="250"/>
      <c r="AR435" s="250"/>
      <c r="AS435" s="250"/>
      <c r="AT435" s="250"/>
      <c r="AU435" s="250"/>
      <c r="AV435" s="250"/>
      <c r="AW435" s="250"/>
      <c r="AX435" s="250"/>
      <c r="AY435" s="250"/>
      <c r="AZ435" s="250"/>
      <c r="BA435" s="250"/>
      <c r="BB435" s="250"/>
      <c r="BC435" s="250"/>
      <c r="BD435" s="250"/>
      <c r="BE435" s="250"/>
      <c r="BF435" s="250"/>
      <c r="BG435" s="250"/>
      <c r="BH435" s="250"/>
      <c r="BI435" s="250"/>
      <c r="BJ435" s="250"/>
    </row>
    <row r="436" spans="1:62" ht="15.75" customHeight="1">
      <c r="A436" t="s">
        <v>54</v>
      </c>
      <c r="B436" s="7"/>
      <c r="C436" s="519" t="s">
        <v>470</v>
      </c>
      <c r="U436" s="525"/>
      <c r="V436" s="105" t="s">
        <v>54</v>
      </c>
      <c r="W436" s="290" t="s">
        <v>153</v>
      </c>
      <c r="X436" s="283"/>
      <c r="Y436" s="283"/>
      <c r="Z436" s="284">
        <f t="shared" si="139"/>
        <v>20034.212666666666</v>
      </c>
      <c r="AA436" s="283"/>
      <c r="AB436" s="283"/>
      <c r="AC436" s="284">
        <f t="shared" si="140"/>
        <v>20034.212666666666</v>
      </c>
      <c r="AD436" s="292"/>
      <c r="AE436" s="291"/>
      <c r="AF436" s="284">
        <f t="shared" si="141"/>
        <v>22731.840000000004</v>
      </c>
      <c r="AG436" s="285"/>
      <c r="AH436" s="286">
        <f t="shared" si="135"/>
        <v>2697.6273333333374</v>
      </c>
      <c r="AI436" s="287">
        <f t="shared" si="144"/>
        <v>0.1346510281295808</v>
      </c>
      <c r="AJ436" s="292"/>
      <c r="AK436" s="283"/>
      <c r="AL436" s="284">
        <f t="shared" si="142"/>
        <v>15644.72</v>
      </c>
      <c r="AM436" s="288"/>
      <c r="AN436" s="286">
        <f t="shared" si="138"/>
        <v>7087.1200000000044</v>
      </c>
      <c r="AO436" s="293">
        <f t="shared" si="143"/>
        <v>0.45300395277128674</v>
      </c>
      <c r="AP436" s="250"/>
      <c r="AQ436" s="250"/>
      <c r="AR436" s="250"/>
      <c r="AS436" s="250"/>
      <c r="AT436" s="250"/>
      <c r="AU436" s="250"/>
      <c r="AV436" s="250"/>
      <c r="AW436" s="250"/>
      <c r="AX436" s="250"/>
      <c r="AY436" s="250"/>
      <c r="AZ436" s="250"/>
      <c r="BA436" s="250"/>
      <c r="BB436" s="250"/>
      <c r="BC436" s="250"/>
      <c r="BD436" s="250"/>
      <c r="BE436" s="250"/>
      <c r="BF436" s="250"/>
      <c r="BG436" s="250"/>
      <c r="BH436" s="250"/>
      <c r="BI436" s="250"/>
      <c r="BJ436" s="250"/>
    </row>
    <row r="437" spans="1:62" ht="15.75" customHeight="1">
      <c r="A437" t="s">
        <v>55</v>
      </c>
      <c r="B437" s="7"/>
      <c r="C437" s="519" t="s">
        <v>470</v>
      </c>
      <c r="U437" s="525"/>
      <c r="V437" s="105" t="s">
        <v>55</v>
      </c>
      <c r="W437" s="290" t="s">
        <v>154</v>
      </c>
      <c r="X437" s="283"/>
      <c r="Y437" s="283"/>
      <c r="Z437" s="284">
        <f t="shared" si="139"/>
        <v>2475.4431250000002</v>
      </c>
      <c r="AA437" s="283"/>
      <c r="AB437" s="283"/>
      <c r="AC437" s="284">
        <f t="shared" si="140"/>
        <v>2475.4431250000002</v>
      </c>
      <c r="AD437" s="292"/>
      <c r="AE437" s="291"/>
      <c r="AF437" s="284">
        <f t="shared" si="141"/>
        <v>4327.88</v>
      </c>
      <c r="AG437" s="285"/>
      <c r="AH437" s="286">
        <f t="shared" si="135"/>
        <v>1852.4368749999999</v>
      </c>
      <c r="AI437" s="287">
        <f t="shared" si="144"/>
        <v>0.74832536295900542</v>
      </c>
      <c r="AJ437" s="292"/>
      <c r="AK437" s="283"/>
      <c r="AL437" s="284">
        <f t="shared" si="142"/>
        <v>944.67</v>
      </c>
      <c r="AM437" s="288"/>
      <c r="AN437" s="286">
        <f t="shared" si="138"/>
        <v>3383.21</v>
      </c>
      <c r="AO437" s="293">
        <f t="shared" si="143"/>
        <v>3.5813670382249887</v>
      </c>
      <c r="AP437" s="250"/>
      <c r="AQ437" s="250"/>
      <c r="AR437" s="250"/>
      <c r="AS437" s="250"/>
      <c r="AT437" s="250"/>
      <c r="AU437" s="250"/>
      <c r="AV437" s="250"/>
      <c r="AW437" s="250"/>
      <c r="AX437" s="250"/>
      <c r="AY437" s="250"/>
      <c r="AZ437" s="250"/>
      <c r="BA437" s="250"/>
      <c r="BB437" s="250"/>
      <c r="BC437" s="250"/>
      <c r="BD437" s="250"/>
      <c r="BE437" s="250"/>
      <c r="BF437" s="250"/>
      <c r="BG437" s="250"/>
      <c r="BH437" s="250"/>
      <c r="BI437" s="250"/>
      <c r="BJ437" s="250"/>
    </row>
    <row r="438" spans="1:62" ht="15.75" customHeight="1">
      <c r="A438" t="s">
        <v>56</v>
      </c>
      <c r="B438" s="7"/>
      <c r="C438" s="519" t="s">
        <v>470</v>
      </c>
      <c r="V438" s="105" t="s">
        <v>56</v>
      </c>
      <c r="W438" s="290" t="s">
        <v>155</v>
      </c>
      <c r="X438" s="283"/>
      <c r="Y438" s="283"/>
      <c r="Z438" s="284">
        <f t="shared" si="139"/>
        <v>19272.323455555557</v>
      </c>
      <c r="AA438" s="283"/>
      <c r="AB438" s="283"/>
      <c r="AC438" s="284">
        <f t="shared" si="140"/>
        <v>19272.323455555557</v>
      </c>
      <c r="AD438" s="292"/>
      <c r="AE438" s="291"/>
      <c r="AF438" s="284">
        <f t="shared" si="141"/>
        <v>20041.339999999997</v>
      </c>
      <c r="AG438" s="285"/>
      <c r="AH438" s="286">
        <f t="shared" si="135"/>
        <v>769.01654444443921</v>
      </c>
      <c r="AI438" s="287">
        <f t="shared" si="144"/>
        <v>3.9902637905486059E-2</v>
      </c>
      <c r="AJ438" s="292"/>
      <c r="AK438" s="283"/>
      <c r="AL438" s="284">
        <f t="shared" si="142"/>
        <v>15007.17</v>
      </c>
      <c r="AM438" s="288"/>
      <c r="AN438" s="286">
        <f t="shared" si="138"/>
        <v>5034.1699999999964</v>
      </c>
      <c r="AO438" s="293">
        <f t="shared" si="143"/>
        <v>0.33545098776118326</v>
      </c>
      <c r="AP438" s="250"/>
      <c r="AQ438" s="250"/>
      <c r="AR438" s="250"/>
      <c r="AS438" s="250"/>
      <c r="AT438" s="250"/>
      <c r="AU438" s="250"/>
      <c r="AV438" s="250"/>
      <c r="AW438" s="250"/>
      <c r="AX438" s="250"/>
      <c r="AY438" s="250"/>
      <c r="AZ438" s="250"/>
      <c r="BA438" s="250"/>
      <c r="BB438" s="250"/>
      <c r="BC438" s="250"/>
      <c r="BD438" s="250"/>
      <c r="BE438" s="250"/>
      <c r="BF438" s="250"/>
      <c r="BG438" s="250"/>
      <c r="BH438" s="250"/>
      <c r="BI438" s="250"/>
      <c r="BJ438" s="250"/>
    </row>
    <row r="439" spans="1:62" ht="15.75" customHeight="1">
      <c r="B439" s="7"/>
      <c r="C439" s="519" t="s">
        <v>470</v>
      </c>
      <c r="V439" s="215" t="s">
        <v>99</v>
      </c>
      <c r="W439" s="323"/>
      <c r="X439" s="324"/>
      <c r="Y439" s="324"/>
      <c r="Z439" s="325">
        <f t="shared" si="139"/>
        <v>0</v>
      </c>
      <c r="AA439" s="324"/>
      <c r="AB439" s="324"/>
      <c r="AC439" s="325">
        <f t="shared" si="140"/>
        <v>0</v>
      </c>
      <c r="AD439" s="326"/>
      <c r="AE439" s="327"/>
      <c r="AF439" s="325">
        <f t="shared" si="141"/>
        <v>0</v>
      </c>
      <c r="AG439" s="328"/>
      <c r="AH439" s="329">
        <f t="shared" si="135"/>
        <v>0</v>
      </c>
      <c r="AI439" s="330">
        <f t="shared" si="144"/>
        <v>0</v>
      </c>
      <c r="AJ439" s="326"/>
      <c r="AK439" s="324"/>
      <c r="AL439" s="325">
        <f t="shared" si="142"/>
        <v>0</v>
      </c>
      <c r="AM439" s="331"/>
      <c r="AN439" s="329">
        <f t="shared" si="138"/>
        <v>0</v>
      </c>
      <c r="AO439" s="332">
        <f t="shared" si="143"/>
        <v>0</v>
      </c>
      <c r="AP439" s="250"/>
      <c r="AQ439" s="250"/>
      <c r="AR439" s="250"/>
      <c r="AS439" s="250"/>
      <c r="AT439" s="250"/>
      <c r="AU439" s="250"/>
      <c r="AV439" s="250"/>
      <c r="AW439" s="250"/>
      <c r="AX439" s="250"/>
      <c r="AY439" s="250"/>
      <c r="AZ439" s="250"/>
      <c r="BA439" s="250"/>
      <c r="BB439" s="250"/>
      <c r="BC439" s="250"/>
      <c r="BD439" s="250"/>
      <c r="BE439" s="250"/>
      <c r="BF439" s="250"/>
      <c r="BG439" s="250"/>
      <c r="BH439" s="250"/>
      <c r="BI439" s="250"/>
      <c r="BJ439" s="250"/>
    </row>
    <row r="440" spans="1:62" ht="15.75" customHeight="1">
      <c r="A440" t="s">
        <v>57</v>
      </c>
      <c r="B440" s="7"/>
      <c r="C440" s="519" t="s">
        <v>470</v>
      </c>
      <c r="V440" s="105" t="s">
        <v>57</v>
      </c>
      <c r="W440" s="290" t="s">
        <v>156</v>
      </c>
      <c r="X440" s="283"/>
      <c r="Y440" s="291"/>
      <c r="Z440" s="284">
        <f t="shared" si="139"/>
        <v>1419.8491780294185</v>
      </c>
      <c r="AA440" s="283"/>
      <c r="AB440" s="291"/>
      <c r="AC440" s="284">
        <f t="shared" si="140"/>
        <v>1419.8491780294185</v>
      </c>
      <c r="AD440" s="292"/>
      <c r="AE440" s="291"/>
      <c r="AF440" s="284">
        <f t="shared" si="141"/>
        <v>2319.44</v>
      </c>
      <c r="AG440" s="285"/>
      <c r="AH440" s="286">
        <f t="shared" si="135"/>
        <v>899.5908219705816</v>
      </c>
      <c r="AI440" s="287">
        <f t="shared" si="144"/>
        <v>0.63358195778167548</v>
      </c>
      <c r="AJ440" s="292"/>
      <c r="AK440" s="283"/>
      <c r="AL440" s="284">
        <f t="shared" si="142"/>
        <v>1347.5099999999998</v>
      </c>
      <c r="AM440" s="288"/>
      <c r="AN440" s="286">
        <f t="shared" si="138"/>
        <v>971.93000000000029</v>
      </c>
      <c r="AO440" s="293">
        <f t="shared" si="143"/>
        <v>0.72127850628195744</v>
      </c>
      <c r="AP440" s="250"/>
      <c r="AQ440" s="250"/>
      <c r="AR440" s="250"/>
      <c r="AS440" s="250"/>
      <c r="AT440" s="250"/>
      <c r="AU440" s="250"/>
      <c r="AV440" s="250"/>
      <c r="AW440" s="250"/>
      <c r="AX440" s="250"/>
      <c r="AY440" s="250"/>
      <c r="AZ440" s="250"/>
      <c r="BA440" s="250"/>
      <c r="BB440" s="250"/>
      <c r="BC440" s="250"/>
      <c r="BD440" s="250"/>
      <c r="BE440" s="250"/>
      <c r="BF440" s="250"/>
      <c r="BG440" s="250"/>
      <c r="BH440" s="250"/>
      <c r="BI440" s="250"/>
      <c r="BJ440" s="250"/>
    </row>
    <row r="441" spans="1:62" ht="15.75" customHeight="1">
      <c r="A441" t="s">
        <v>58</v>
      </c>
      <c r="B441" s="7"/>
      <c r="C441" s="519" t="s">
        <v>470</v>
      </c>
      <c r="U441" s="250"/>
      <c r="V441" s="105" t="s">
        <v>58</v>
      </c>
      <c r="W441" s="290" t="s">
        <v>157</v>
      </c>
      <c r="X441" s="283"/>
      <c r="Y441" s="283"/>
      <c r="Z441" s="284">
        <f t="shared" si="139"/>
        <v>754.47052851933779</v>
      </c>
      <c r="AA441" s="283"/>
      <c r="AB441" s="283"/>
      <c r="AC441" s="284">
        <f t="shared" si="140"/>
        <v>754.47052851933779</v>
      </c>
      <c r="AD441" s="292"/>
      <c r="AE441" s="291"/>
      <c r="AF441" s="284">
        <f t="shared" si="141"/>
        <v>518.92999999999995</v>
      </c>
      <c r="AG441" s="285"/>
      <c r="AH441" s="286">
        <f t="shared" si="135"/>
        <v>-235.54052851933784</v>
      </c>
      <c r="AI441" s="310">
        <f t="shared" si="144"/>
        <v>-0.31219314687028321</v>
      </c>
      <c r="AJ441" s="292"/>
      <c r="AK441" s="283"/>
      <c r="AL441" s="284">
        <f t="shared" si="142"/>
        <v>652.11</v>
      </c>
      <c r="AM441" s="288"/>
      <c r="AN441" s="286">
        <f t="shared" si="138"/>
        <v>-133.18000000000006</v>
      </c>
      <c r="AO441" s="293">
        <f t="shared" si="143"/>
        <v>-0.20422934780941876</v>
      </c>
      <c r="AP441" s="250"/>
      <c r="AQ441" s="250"/>
      <c r="AR441" s="250"/>
      <c r="AS441" s="250"/>
      <c r="AT441" s="250"/>
      <c r="AU441" s="250"/>
      <c r="AV441" s="250"/>
      <c r="AW441" s="250"/>
      <c r="AX441" s="250"/>
      <c r="AY441" s="250"/>
      <c r="AZ441" s="250"/>
      <c r="BA441" s="250"/>
      <c r="BB441" s="250"/>
      <c r="BC441" s="250"/>
      <c r="BD441" s="250"/>
      <c r="BE441" s="250"/>
      <c r="BF441" s="250"/>
      <c r="BG441" s="250"/>
      <c r="BH441" s="250"/>
      <c r="BI441" s="250"/>
      <c r="BJ441" s="250"/>
    </row>
    <row r="442" spans="1:62" ht="15.75" customHeight="1">
      <c r="A442" t="s">
        <v>59</v>
      </c>
      <c r="B442" s="7"/>
      <c r="C442" s="519" t="s">
        <v>470</v>
      </c>
      <c r="T442" s="250"/>
      <c r="U442" s="250"/>
      <c r="V442" s="105" t="s">
        <v>59</v>
      </c>
      <c r="W442" s="290" t="s">
        <v>158</v>
      </c>
      <c r="X442" s="283"/>
      <c r="Y442" s="283"/>
      <c r="Z442" s="284">
        <f t="shared" si="139"/>
        <v>2040.2009999999998</v>
      </c>
      <c r="AA442" s="283"/>
      <c r="AB442" s="283"/>
      <c r="AC442" s="284">
        <f t="shared" si="140"/>
        <v>2040.2009999999998</v>
      </c>
      <c r="AD442" s="292"/>
      <c r="AE442" s="291"/>
      <c r="AF442" s="284">
        <f t="shared" si="141"/>
        <v>2824.5299999999997</v>
      </c>
      <c r="AG442" s="285"/>
      <c r="AH442" s="286">
        <f t="shared" si="135"/>
        <v>784.32899999999995</v>
      </c>
      <c r="AI442" s="287">
        <f t="shared" si="144"/>
        <v>0.38443712163654464</v>
      </c>
      <c r="AJ442" s="292"/>
      <c r="AK442" s="283"/>
      <c r="AL442" s="284">
        <f t="shared" si="142"/>
        <v>1331.42</v>
      </c>
      <c r="AM442" s="288"/>
      <c r="AN442" s="286">
        <f t="shared" si="138"/>
        <v>1493.1099999999997</v>
      </c>
      <c r="AO442" s="293">
        <f t="shared" si="143"/>
        <v>1.1214417689384264</v>
      </c>
      <c r="AP442" s="250"/>
      <c r="AQ442" s="250"/>
      <c r="AR442" s="250"/>
      <c r="AS442" s="250"/>
      <c r="AT442" s="250"/>
      <c r="AU442" s="250"/>
      <c r="AV442" s="250"/>
      <c r="AW442" s="250"/>
      <c r="AX442" s="250"/>
      <c r="AY442" s="250"/>
      <c r="AZ442" s="250"/>
      <c r="BA442" s="250"/>
      <c r="BB442" s="250"/>
      <c r="BC442" s="250"/>
      <c r="BD442" s="250"/>
      <c r="BE442" s="250"/>
      <c r="BF442" s="250"/>
      <c r="BG442" s="250"/>
      <c r="BH442" s="250"/>
      <c r="BI442" s="250"/>
      <c r="BJ442" s="250"/>
    </row>
    <row r="443" spans="1:62" ht="15.75" customHeight="1">
      <c r="A443" t="s">
        <v>60</v>
      </c>
      <c r="B443" s="7"/>
      <c r="C443" s="519" t="s">
        <v>470</v>
      </c>
      <c r="T443" s="250"/>
      <c r="U443" s="250"/>
      <c r="V443" s="105" t="s">
        <v>60</v>
      </c>
      <c r="W443" s="290" t="s">
        <v>159</v>
      </c>
      <c r="X443" s="283"/>
      <c r="Y443" s="283"/>
      <c r="Z443" s="284">
        <f t="shared" si="139"/>
        <v>942.07664583333337</v>
      </c>
      <c r="AA443" s="283"/>
      <c r="AB443" s="283"/>
      <c r="AC443" s="284">
        <f t="shared" si="140"/>
        <v>942.07664583333337</v>
      </c>
      <c r="AD443" s="292"/>
      <c r="AE443" s="291"/>
      <c r="AF443" s="284">
        <f t="shared" si="141"/>
        <v>673.82999999999993</v>
      </c>
      <c r="AG443" s="285"/>
      <c r="AH443" s="286">
        <f t="shared" si="135"/>
        <v>-268.24664583333345</v>
      </c>
      <c r="AI443" s="310">
        <f t="shared" si="144"/>
        <v>-0.28473972581716039</v>
      </c>
      <c r="AJ443" s="292"/>
      <c r="AK443" s="283"/>
      <c r="AL443" s="284">
        <f t="shared" si="142"/>
        <v>1554.45</v>
      </c>
      <c r="AM443" s="288"/>
      <c r="AN443" s="286">
        <f t="shared" si="138"/>
        <v>-880.62000000000012</v>
      </c>
      <c r="AO443" s="293">
        <f t="shared" si="143"/>
        <v>-0.56651548779311012</v>
      </c>
      <c r="AP443" s="250"/>
      <c r="AQ443" s="250"/>
      <c r="AR443" s="250"/>
      <c r="AS443" s="250"/>
      <c r="AT443" s="250"/>
      <c r="AU443" s="250"/>
      <c r="AV443" s="250"/>
      <c r="AW443" s="250"/>
      <c r="AX443" s="250"/>
      <c r="AY443" s="250"/>
      <c r="AZ443" s="250"/>
      <c r="BA443" s="250"/>
      <c r="BB443" s="250"/>
      <c r="BC443" s="250"/>
      <c r="BD443" s="250"/>
      <c r="BE443" s="250"/>
      <c r="BF443" s="250"/>
      <c r="BG443" s="250"/>
      <c r="BH443" s="250"/>
      <c r="BI443" s="250"/>
      <c r="BJ443" s="250"/>
    </row>
    <row r="444" spans="1:62" ht="15.75" customHeight="1">
      <c r="A444" t="s">
        <v>61</v>
      </c>
      <c r="B444" s="7"/>
      <c r="C444" s="519" t="s">
        <v>470</v>
      </c>
      <c r="T444" s="250"/>
      <c r="U444" s="250"/>
      <c r="V444" s="105" t="s">
        <v>61</v>
      </c>
      <c r="W444" s="290" t="s">
        <v>160</v>
      </c>
      <c r="X444" s="283"/>
      <c r="Y444" s="283"/>
      <c r="Z444" s="284">
        <f t="shared" si="139"/>
        <v>502.86585416666657</v>
      </c>
      <c r="AA444" s="283"/>
      <c r="AB444" s="283"/>
      <c r="AC444" s="284">
        <f t="shared" si="140"/>
        <v>502.86585416666657</v>
      </c>
      <c r="AD444" s="292"/>
      <c r="AE444" s="291"/>
      <c r="AF444" s="284">
        <f t="shared" si="141"/>
        <v>500.63</v>
      </c>
      <c r="AG444" s="285"/>
      <c r="AH444" s="286">
        <f t="shared" si="135"/>
        <v>-2.2358541666665701</v>
      </c>
      <c r="AI444" s="287">
        <f t="shared" si="144"/>
        <v>-4.4462238748975251E-3</v>
      </c>
      <c r="AJ444" s="292"/>
      <c r="AK444" s="283"/>
      <c r="AL444" s="284">
        <f t="shared" si="142"/>
        <v>347.99000000000007</v>
      </c>
      <c r="AM444" s="288"/>
      <c r="AN444" s="286">
        <f t="shared" si="138"/>
        <v>152.63999999999993</v>
      </c>
      <c r="AO444" s="293">
        <f t="shared" si="143"/>
        <v>0.43863329406017387</v>
      </c>
      <c r="AP444" s="250"/>
      <c r="AQ444" s="250"/>
      <c r="AR444" s="250"/>
      <c r="AS444" s="250"/>
      <c r="AT444" s="250"/>
      <c r="AU444" s="250"/>
      <c r="AV444" s="250"/>
      <c r="AW444" s="250"/>
      <c r="AX444" s="250"/>
      <c r="AY444" s="250"/>
      <c r="AZ444" s="250"/>
      <c r="BA444" s="250"/>
      <c r="BB444" s="250"/>
      <c r="BC444" s="250"/>
      <c r="BD444" s="250"/>
      <c r="BE444" s="250"/>
      <c r="BF444" s="250"/>
      <c r="BG444" s="250"/>
      <c r="BH444" s="250"/>
      <c r="BI444" s="250"/>
      <c r="BJ444" s="250"/>
    </row>
    <row r="445" spans="1:62" ht="15.75" customHeight="1">
      <c r="A445" t="s">
        <v>62</v>
      </c>
      <c r="B445" s="7"/>
      <c r="C445" s="519" t="s">
        <v>470</v>
      </c>
      <c r="T445" s="250"/>
      <c r="U445" s="250"/>
      <c r="V445" s="105" t="s">
        <v>62</v>
      </c>
      <c r="W445" s="290" t="s">
        <v>161</v>
      </c>
      <c r="X445" s="283"/>
      <c r="Y445" s="291"/>
      <c r="Z445" s="284">
        <f t="shared" si="139"/>
        <v>2425.729979166666</v>
      </c>
      <c r="AA445" s="283"/>
      <c r="AB445" s="291"/>
      <c r="AC445" s="284">
        <f t="shared" si="140"/>
        <v>2425.729979166666</v>
      </c>
      <c r="AD445" s="292"/>
      <c r="AE445" s="291"/>
      <c r="AF445" s="284">
        <f t="shared" si="141"/>
        <v>473.67999999999995</v>
      </c>
      <c r="AG445" s="285"/>
      <c r="AH445" s="286">
        <f t="shared" si="135"/>
        <v>-1952.0499791666662</v>
      </c>
      <c r="AI445" s="310">
        <f t="shared" si="144"/>
        <v>-0.80472682282521502</v>
      </c>
      <c r="AJ445" s="292"/>
      <c r="AK445" s="283"/>
      <c r="AL445" s="284">
        <f t="shared" si="142"/>
        <v>3153.96</v>
      </c>
      <c r="AM445" s="288"/>
      <c r="AN445" s="286">
        <f t="shared" si="138"/>
        <v>-2680.28</v>
      </c>
      <c r="AO445" s="293">
        <f t="shared" si="143"/>
        <v>-0.84981420182881207</v>
      </c>
      <c r="AP445" s="250"/>
      <c r="AQ445" s="250"/>
      <c r="AR445" s="250"/>
      <c r="AS445" s="250"/>
      <c r="AT445" s="250"/>
      <c r="AU445" s="250"/>
      <c r="AV445" s="250"/>
      <c r="AW445" s="250"/>
      <c r="AX445" s="250"/>
      <c r="AY445" s="250"/>
      <c r="AZ445" s="250"/>
      <c r="BA445" s="250"/>
      <c r="BB445" s="250"/>
      <c r="BC445" s="250"/>
      <c r="BD445" s="250"/>
      <c r="BE445" s="250"/>
      <c r="BF445" s="250"/>
      <c r="BG445" s="250"/>
      <c r="BH445" s="250"/>
      <c r="BI445" s="250"/>
      <c r="BJ445" s="250"/>
    </row>
    <row r="446" spans="1:62" ht="15.75" customHeight="1">
      <c r="A446" t="s">
        <v>63</v>
      </c>
      <c r="B446" s="7"/>
      <c r="C446" s="519" t="s">
        <v>470</v>
      </c>
      <c r="T446" s="250"/>
      <c r="U446" s="250"/>
      <c r="V446" s="105" t="s">
        <v>63</v>
      </c>
      <c r="W446" s="290" t="s">
        <v>162</v>
      </c>
      <c r="X446" s="283"/>
      <c r="Y446" s="291"/>
      <c r="Z446" s="284">
        <f t="shared" si="139"/>
        <v>3603.9258333333332</v>
      </c>
      <c r="AA446" s="283"/>
      <c r="AB446" s="291"/>
      <c r="AC446" s="284">
        <f t="shared" si="140"/>
        <v>3603.9258333333332</v>
      </c>
      <c r="AD446" s="292"/>
      <c r="AE446" s="291"/>
      <c r="AF446" s="284">
        <f t="shared" si="141"/>
        <v>2488.7400000000002</v>
      </c>
      <c r="AG446" s="285"/>
      <c r="AH446" s="286">
        <f t="shared" si="135"/>
        <v>-1115.185833333333</v>
      </c>
      <c r="AI446" s="287">
        <f t="shared" si="144"/>
        <v>-0.30943639933396699</v>
      </c>
      <c r="AJ446" s="292"/>
      <c r="AK446" s="283"/>
      <c r="AL446" s="284">
        <f t="shared" si="142"/>
        <v>3781.8799999999997</v>
      </c>
      <c r="AM446" s="288"/>
      <c r="AN446" s="286">
        <f t="shared" si="138"/>
        <v>-1293.1399999999994</v>
      </c>
      <c r="AO446" s="293">
        <f t="shared" si="143"/>
        <v>-0.34193046844426567</v>
      </c>
      <c r="AQ446" s="14"/>
      <c r="AR446" s="14"/>
      <c r="AS446" s="495" t="s">
        <v>496</v>
      </c>
      <c r="AT446" s="250"/>
      <c r="AU446" s="250"/>
      <c r="AV446" s="250"/>
      <c r="AW446" s="250"/>
      <c r="AX446" s="250"/>
      <c r="AY446" s="250"/>
      <c r="AZ446" s="250"/>
      <c r="BA446" s="250"/>
      <c r="BB446" s="250"/>
      <c r="BC446" s="250"/>
      <c r="BD446" s="250"/>
      <c r="BE446" s="250"/>
      <c r="BF446" s="250"/>
      <c r="BG446" s="250"/>
      <c r="BH446" s="250"/>
      <c r="BI446" s="250"/>
      <c r="BJ446" s="250"/>
    </row>
    <row r="447" spans="1:62" ht="15.75" customHeight="1">
      <c r="A447" t="s">
        <v>64</v>
      </c>
      <c r="B447" s="7"/>
      <c r="C447" s="519" t="s">
        <v>470</v>
      </c>
      <c r="T447" s="250"/>
      <c r="U447" s="250"/>
      <c r="V447" s="105" t="s">
        <v>64</v>
      </c>
      <c r="W447" s="290" t="s">
        <v>163</v>
      </c>
      <c r="X447" s="283"/>
      <c r="Y447" s="291"/>
      <c r="Z447" s="284">
        <f t="shared" si="139"/>
        <v>4772.8874573503599</v>
      </c>
      <c r="AA447" s="283"/>
      <c r="AB447" s="291"/>
      <c r="AC447" s="284">
        <f t="shared" si="140"/>
        <v>4772.8874573503599</v>
      </c>
      <c r="AD447" s="292"/>
      <c r="AE447" s="291"/>
      <c r="AF447" s="284">
        <f t="shared" si="141"/>
        <v>7641.83</v>
      </c>
      <c r="AG447" s="285"/>
      <c r="AH447" s="286">
        <f t="shared" si="135"/>
        <v>2868.94254264964</v>
      </c>
      <c r="AI447" s="287">
        <f t="shared" si="144"/>
        <v>0.60109159670869683</v>
      </c>
      <c r="AJ447" s="292"/>
      <c r="AK447" s="283"/>
      <c r="AL447" s="284">
        <v>6478.41</v>
      </c>
      <c r="AM447" s="288"/>
      <c r="AN447" s="286">
        <f t="shared" si="138"/>
        <v>1163.42</v>
      </c>
      <c r="AO447" s="293">
        <f t="shared" si="143"/>
        <v>0.17958418809553581</v>
      </c>
      <c r="AQ447" s="499" t="s">
        <v>497</v>
      </c>
      <c r="AR447" s="497"/>
      <c r="AS447" s="500">
        <v>43488.75</v>
      </c>
      <c r="AT447" s="250"/>
      <c r="AU447" s="250"/>
      <c r="AV447" s="250"/>
      <c r="AW447" s="250"/>
      <c r="AX447" s="250"/>
      <c r="AY447" s="250"/>
      <c r="AZ447" s="250"/>
      <c r="BA447" s="250"/>
      <c r="BB447" s="250"/>
      <c r="BC447" s="250"/>
      <c r="BD447" s="250"/>
      <c r="BE447" s="250"/>
      <c r="BF447" s="250"/>
      <c r="BG447" s="250"/>
      <c r="BH447" s="250"/>
      <c r="BI447" s="250"/>
      <c r="BJ447" s="250"/>
    </row>
    <row r="448" spans="1:62" ht="15.75" hidden="1" customHeight="1">
      <c r="A448" t="s">
        <v>21</v>
      </c>
      <c r="B448" s="7"/>
      <c r="C448" s="519" t="s">
        <v>470</v>
      </c>
      <c r="T448" s="250"/>
      <c r="U448" s="250"/>
      <c r="V448" s="105" t="s">
        <v>21</v>
      </c>
      <c r="W448" s="290"/>
      <c r="X448" s="283"/>
      <c r="Y448" s="291"/>
      <c r="Z448" s="284">
        <f>IFERROR(SUMIF($C:$C,$V448,F:F),0)</f>
        <v>0</v>
      </c>
      <c r="AA448" s="283"/>
      <c r="AB448" s="283"/>
      <c r="AC448" s="284">
        <f>IFERROR(SUMIF($C:$C,$V448,I:I),0)</f>
        <v>0</v>
      </c>
      <c r="AD448" s="292"/>
      <c r="AE448" s="291"/>
      <c r="AF448" s="284">
        <f>IFERROR(SUMIF($C:$C,$V448,L:L),0)</f>
        <v>0</v>
      </c>
      <c r="AG448" s="285"/>
      <c r="AH448" s="286">
        <f t="shared" si="135"/>
        <v>0</v>
      </c>
      <c r="AI448" s="287">
        <f t="shared" si="144"/>
        <v>0</v>
      </c>
      <c r="AJ448" s="292"/>
      <c r="AK448" s="283"/>
      <c r="AL448" s="284">
        <f>IFERROR(SUMIF($C:$C,$V448,Q:Q),0)</f>
        <v>0</v>
      </c>
      <c r="AM448" s="288"/>
      <c r="AN448" s="286">
        <f t="shared" si="138"/>
        <v>0</v>
      </c>
      <c r="AO448" s="293">
        <f t="shared" si="143"/>
        <v>0</v>
      </c>
      <c r="AP448" s="250"/>
      <c r="AQ448" s="250"/>
      <c r="AR448" s="250"/>
      <c r="AS448" s="250"/>
      <c r="AT448" s="250"/>
      <c r="AU448" s="250"/>
      <c r="AV448" s="250"/>
      <c r="AW448" s="250"/>
      <c r="AX448" s="250"/>
      <c r="AY448" s="250"/>
      <c r="AZ448" s="250"/>
      <c r="BA448" s="250"/>
      <c r="BB448" s="250"/>
      <c r="BC448" s="250"/>
      <c r="BD448" s="250"/>
      <c r="BE448" s="250"/>
      <c r="BF448" s="250"/>
      <c r="BG448" s="250"/>
      <c r="BH448" s="250"/>
      <c r="BI448" s="250"/>
      <c r="BJ448" s="250"/>
    </row>
    <row r="449" spans="1:62" ht="15.75" hidden="1" customHeight="1">
      <c r="A449" t="s">
        <v>21</v>
      </c>
      <c r="B449" s="7"/>
      <c r="C449" s="519" t="s">
        <v>470</v>
      </c>
      <c r="T449" s="250"/>
      <c r="U449" s="250"/>
      <c r="V449" s="105" t="s">
        <v>21</v>
      </c>
      <c r="W449" s="290"/>
      <c r="X449" s="283"/>
      <c r="Y449" s="291"/>
      <c r="Z449" s="284">
        <f>IFERROR(SUMIF($C:$C,$V449,F:F),0)</f>
        <v>0</v>
      </c>
      <c r="AA449" s="283"/>
      <c r="AB449" s="283"/>
      <c r="AC449" s="284">
        <f>IFERROR(SUMIF($C:$C,$V449,I:I),0)</f>
        <v>0</v>
      </c>
      <c r="AD449" s="292"/>
      <c r="AE449" s="291"/>
      <c r="AF449" s="284">
        <f>IFERROR(SUMIF($C:$C,$V449,L:L),0)</f>
        <v>0</v>
      </c>
      <c r="AG449" s="285"/>
      <c r="AH449" s="286">
        <f t="shared" si="135"/>
        <v>0</v>
      </c>
      <c r="AI449" s="287">
        <f t="shared" si="144"/>
        <v>0</v>
      </c>
      <c r="AJ449" s="292"/>
      <c r="AK449" s="283"/>
      <c r="AL449" s="284">
        <f>IFERROR(SUMIF($C:$C,$V449,Q:Q),0)</f>
        <v>0</v>
      </c>
      <c r="AM449" s="288"/>
      <c r="AN449" s="286">
        <f t="shared" si="138"/>
        <v>0</v>
      </c>
      <c r="AO449" s="293">
        <f t="shared" si="143"/>
        <v>0</v>
      </c>
      <c r="AP449" s="250"/>
      <c r="AQ449" s="250"/>
      <c r="AR449" s="250"/>
      <c r="AS449" s="250"/>
      <c r="AT449" s="250"/>
      <c r="AU449" s="250"/>
      <c r="AV449" s="250"/>
      <c r="AW449" s="250"/>
      <c r="AX449" s="250"/>
      <c r="AY449" s="250"/>
      <c r="AZ449" s="250"/>
      <c r="BA449" s="250"/>
      <c r="BB449" s="250"/>
      <c r="BC449" s="250"/>
      <c r="BD449" s="250"/>
      <c r="BE449" s="250"/>
      <c r="BF449" s="250"/>
      <c r="BG449" s="250"/>
      <c r="BH449" s="250"/>
      <c r="BI449" s="250"/>
      <c r="BJ449" s="250"/>
    </row>
    <row r="450" spans="1:62" ht="15.75" hidden="1" customHeight="1">
      <c r="A450" t="s">
        <v>21</v>
      </c>
      <c r="B450" s="7"/>
      <c r="C450" s="519" t="s">
        <v>470</v>
      </c>
      <c r="T450" s="250"/>
      <c r="U450" s="250"/>
      <c r="V450" s="105" t="s">
        <v>21</v>
      </c>
      <c r="W450" s="290"/>
      <c r="X450" s="283"/>
      <c r="Y450" s="291"/>
      <c r="Z450" s="284">
        <f>IFERROR(SUMIF($C:$C,$V450,F:F),0)</f>
        <v>0</v>
      </c>
      <c r="AA450" s="283"/>
      <c r="AB450" s="283"/>
      <c r="AC450" s="284">
        <f>IFERROR(SUMIF($C:$C,$V450,I:I),0)</f>
        <v>0</v>
      </c>
      <c r="AD450" s="292"/>
      <c r="AE450" s="291"/>
      <c r="AF450" s="284">
        <f>IFERROR(SUMIF($C:$C,$V450,L:L),0)</f>
        <v>0</v>
      </c>
      <c r="AG450" s="285"/>
      <c r="AH450" s="286">
        <f t="shared" si="135"/>
        <v>0</v>
      </c>
      <c r="AI450" s="287">
        <f t="shared" si="144"/>
        <v>0</v>
      </c>
      <c r="AJ450" s="292"/>
      <c r="AK450" s="283"/>
      <c r="AL450" s="284">
        <f>IFERROR(SUMIF($C:$C,$V450,Q:Q),0)</f>
        <v>0</v>
      </c>
      <c r="AM450" s="288"/>
      <c r="AN450" s="286">
        <f t="shared" si="138"/>
        <v>0</v>
      </c>
      <c r="AO450" s="293">
        <f t="shared" si="143"/>
        <v>0</v>
      </c>
      <c r="AP450" s="250"/>
      <c r="AQ450" s="250"/>
      <c r="AR450" s="250"/>
      <c r="AS450" s="250"/>
      <c r="AT450" s="250"/>
      <c r="AU450" s="250"/>
      <c r="AV450" s="250"/>
      <c r="AW450" s="250"/>
      <c r="AX450" s="250"/>
      <c r="AY450" s="250"/>
      <c r="AZ450" s="250"/>
      <c r="BA450" s="250"/>
      <c r="BB450" s="250"/>
      <c r="BC450" s="250"/>
      <c r="BD450" s="250"/>
      <c r="BE450" s="250"/>
      <c r="BF450" s="250"/>
      <c r="BG450" s="250"/>
      <c r="BH450" s="250"/>
      <c r="BI450" s="250"/>
      <c r="BJ450" s="250"/>
    </row>
    <row r="451" spans="1:62" ht="15.75" customHeight="1">
      <c r="A451" t="s">
        <v>65</v>
      </c>
      <c r="B451" s="7"/>
      <c r="C451" s="519" t="s">
        <v>470</v>
      </c>
      <c r="T451" s="250"/>
      <c r="U451" s="250"/>
      <c r="V451" s="300" t="s">
        <v>65</v>
      </c>
      <c r="W451" s="334"/>
      <c r="X451" s="302">
        <f>Z451/+Z406</f>
        <v>0.15219607609429911</v>
      </c>
      <c r="Y451" s="301"/>
      <c r="Z451" s="303">
        <f>+SUM(Z433:Z450)</f>
        <v>90067.197321596861</v>
      </c>
      <c r="AA451" s="302">
        <f>AC451/+AC406</f>
        <v>0.15219607609429911</v>
      </c>
      <c r="AB451" s="301"/>
      <c r="AC451" s="303">
        <f>+SUM(AC433:AC450)</f>
        <v>90067.197321596861</v>
      </c>
      <c r="AD451" s="304">
        <f>AF451/AF406</f>
        <v>0.17670921044603088</v>
      </c>
      <c r="AE451" s="301"/>
      <c r="AF451" s="303">
        <f>+SUM(AF433:AF450)</f>
        <v>115843.49</v>
      </c>
      <c r="AG451" s="312"/>
      <c r="AH451" s="335">
        <f>+SUM(AH433:AH450)</f>
        <v>25776.292678403115</v>
      </c>
      <c r="AI451" s="302">
        <f>AH451/AC451</f>
        <v>0.28618957228529546</v>
      </c>
      <c r="AJ451" s="304">
        <f>IF($AL$406=0,0,AL451/$AL$406)</f>
        <v>0.12946674795867502</v>
      </c>
      <c r="AK451" s="302"/>
      <c r="AL451" s="303">
        <f>+SUM(AL433:AL450)</f>
        <v>90664.300000000017</v>
      </c>
      <c r="AM451" s="313"/>
      <c r="AN451" s="306">
        <f>+SUM(AN433:AN450)</f>
        <v>25179.19000000001</v>
      </c>
      <c r="AO451" s="336">
        <f>IF(AL451=0,0,AN451/AL451)</f>
        <v>0.27771890369197144</v>
      </c>
      <c r="AP451" s="250"/>
      <c r="AQ451" s="250"/>
      <c r="AR451" s="250"/>
      <c r="AS451" s="250"/>
      <c r="AT451" s="250"/>
      <c r="AU451" s="250"/>
      <c r="AV451" s="250"/>
      <c r="AW451" s="250"/>
      <c r="AX451" s="250"/>
      <c r="AY451" s="250"/>
      <c r="AZ451" s="250"/>
      <c r="BA451" s="250"/>
      <c r="BB451" s="250"/>
      <c r="BC451" s="250"/>
      <c r="BD451" s="250"/>
      <c r="BE451" s="250"/>
      <c r="BF451" s="250"/>
      <c r="BG451" s="250"/>
      <c r="BH451" s="250"/>
      <c r="BI451" s="250"/>
      <c r="BJ451" s="250"/>
    </row>
    <row r="452" spans="1:62" ht="15.75" customHeight="1">
      <c r="A452" t="s">
        <v>164</v>
      </c>
      <c r="B452" s="7"/>
      <c r="C452" s="519" t="s">
        <v>470</v>
      </c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105" t="s">
        <v>164</v>
      </c>
      <c r="W452" s="290" t="s">
        <v>165</v>
      </c>
      <c r="X452" s="283"/>
      <c r="Y452" s="291"/>
      <c r="Z452" s="284">
        <v>26000</v>
      </c>
      <c r="AA452" s="283"/>
      <c r="AB452" s="291"/>
      <c r="AC452" s="284">
        <v>26000</v>
      </c>
      <c r="AD452" s="292"/>
      <c r="AE452" s="291"/>
      <c r="AF452" s="284">
        <v>26000</v>
      </c>
      <c r="AG452" s="285"/>
      <c r="AH452" s="286">
        <f t="shared" ref="AH452:AH460" si="145">AF452-AC452</f>
        <v>0</v>
      </c>
      <c r="AI452" s="287">
        <f>IF(AC452=0,0,AH452/AC452)</f>
        <v>0</v>
      </c>
      <c r="AJ452" s="292"/>
      <c r="AK452" s="283"/>
      <c r="AL452" s="284">
        <v>26000</v>
      </c>
      <c r="AM452" s="288"/>
      <c r="AN452" s="286">
        <f t="shared" ref="AN452:AN460" si="146">AF452-AL452</f>
        <v>0</v>
      </c>
      <c r="AO452" s="293">
        <f t="shared" ref="AO452:AO460" si="147">IF(AL452=0,0,AN452/AL452)</f>
        <v>0</v>
      </c>
      <c r="AP452" s="250"/>
      <c r="AQ452" s="250"/>
      <c r="AR452" s="250"/>
      <c r="AS452" s="250"/>
      <c r="AT452" s="250"/>
      <c r="AU452" s="250"/>
      <c r="AV452" s="250"/>
      <c r="AW452" s="250"/>
      <c r="AX452" s="250"/>
      <c r="AY452" s="250"/>
      <c r="AZ452" s="250"/>
      <c r="BA452" s="250"/>
      <c r="BB452" s="250"/>
      <c r="BC452" s="250"/>
      <c r="BD452" s="250"/>
      <c r="BE452" s="250"/>
      <c r="BF452" s="250"/>
      <c r="BG452" s="250"/>
      <c r="BH452" s="250"/>
      <c r="BI452" s="250"/>
      <c r="BJ452" s="250"/>
    </row>
    <row r="453" spans="1:62" ht="15.75" customHeight="1">
      <c r="A453" t="s">
        <v>166</v>
      </c>
      <c r="B453" s="7"/>
      <c r="C453" s="519" t="s">
        <v>470</v>
      </c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105" t="s">
        <v>166</v>
      </c>
      <c r="W453" s="290" t="s">
        <v>167</v>
      </c>
      <c r="X453" s="283"/>
      <c r="Y453" s="291"/>
      <c r="Z453" s="284">
        <v>4930.2499999999991</v>
      </c>
      <c r="AA453" s="283"/>
      <c r="AB453" s="291"/>
      <c r="AC453" s="284">
        <v>4930.2499999999991</v>
      </c>
      <c r="AD453" s="292"/>
      <c r="AE453" s="291"/>
      <c r="AF453" s="284">
        <v>4930</v>
      </c>
      <c r="AG453" s="285"/>
      <c r="AH453" s="286">
        <f t="shared" si="145"/>
        <v>-0.24999999999909051</v>
      </c>
      <c r="AI453" s="287">
        <f t="shared" ref="AI453:AI460" si="148">IF(AC453=0,0,AH453/AC453)</f>
        <v>-5.0707367780354051E-5</v>
      </c>
      <c r="AJ453" s="292"/>
      <c r="AK453" s="283"/>
      <c r="AL453" s="284">
        <v>4810</v>
      </c>
      <c r="AM453" s="288"/>
      <c r="AN453" s="286">
        <f t="shared" si="146"/>
        <v>120</v>
      </c>
      <c r="AO453" s="293">
        <f t="shared" si="147"/>
        <v>2.4948024948024949E-2</v>
      </c>
      <c r="AP453" s="250"/>
      <c r="AQ453" s="250"/>
      <c r="AR453" s="250"/>
      <c r="AS453" s="250"/>
      <c r="AT453" s="250"/>
      <c r="AU453" s="250"/>
      <c r="AV453" s="250"/>
      <c r="AW453" s="250"/>
      <c r="AX453" s="250"/>
      <c r="AY453" s="250"/>
      <c r="AZ453" s="250"/>
      <c r="BA453" s="250"/>
      <c r="BB453" s="250"/>
      <c r="BC453" s="250"/>
      <c r="BD453" s="250"/>
      <c r="BE453" s="250"/>
      <c r="BF453" s="250"/>
      <c r="BG453" s="250"/>
      <c r="BH453" s="250"/>
      <c r="BI453" s="250"/>
      <c r="BJ453" s="250"/>
    </row>
    <row r="454" spans="1:62" ht="15.75" customHeight="1">
      <c r="A454" t="s">
        <v>168</v>
      </c>
      <c r="B454" s="7"/>
      <c r="C454" s="519" t="s">
        <v>470</v>
      </c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106" t="s">
        <v>168</v>
      </c>
      <c r="W454" s="294" t="s">
        <v>169</v>
      </c>
      <c r="X454" s="267"/>
      <c r="Y454" s="295"/>
      <c r="Z454" s="268">
        <v>3279.9999999999995</v>
      </c>
      <c r="AA454" s="267"/>
      <c r="AB454" s="295"/>
      <c r="AC454" s="268">
        <v>3279.9999999999995</v>
      </c>
      <c r="AD454" s="296"/>
      <c r="AE454" s="295"/>
      <c r="AF454" s="268">
        <v>3279.9999999999995</v>
      </c>
      <c r="AG454" s="269"/>
      <c r="AH454" s="270">
        <f t="shared" si="145"/>
        <v>0</v>
      </c>
      <c r="AI454" s="297">
        <f t="shared" si="148"/>
        <v>0</v>
      </c>
      <c r="AJ454" s="296"/>
      <c r="AK454" s="267"/>
      <c r="AL454" s="268">
        <v>3200</v>
      </c>
      <c r="AM454" s="272"/>
      <c r="AN454" s="270">
        <f t="shared" si="146"/>
        <v>79.999999999999545</v>
      </c>
      <c r="AO454" s="273">
        <f t="shared" si="147"/>
        <v>2.4999999999999859E-2</v>
      </c>
      <c r="AP454" s="250"/>
      <c r="AQ454" s="250"/>
      <c r="AR454" s="250"/>
      <c r="AS454" s="250"/>
      <c r="AT454" s="250"/>
      <c r="AU454" s="250"/>
      <c r="AV454" s="250"/>
      <c r="AW454" s="250"/>
      <c r="AX454" s="250"/>
      <c r="AY454" s="250"/>
      <c r="AZ454" s="250"/>
      <c r="BA454" s="250"/>
      <c r="BB454" s="250"/>
      <c r="BC454" s="250"/>
      <c r="BD454" s="250"/>
      <c r="BE454" s="250"/>
      <c r="BF454" s="250"/>
      <c r="BG454" s="250"/>
      <c r="BH454" s="250"/>
      <c r="BI454" s="250"/>
      <c r="BJ454" s="250"/>
    </row>
    <row r="455" spans="1:62" ht="15.75" customHeight="1">
      <c r="A455" t="s">
        <v>170</v>
      </c>
      <c r="B455" s="7"/>
      <c r="C455" s="519" t="s">
        <v>470</v>
      </c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105" t="s">
        <v>170</v>
      </c>
      <c r="W455" s="290"/>
      <c r="X455" s="283"/>
      <c r="Y455" s="291"/>
      <c r="Z455" s="284">
        <v>0</v>
      </c>
      <c r="AA455" s="283"/>
      <c r="AB455" s="291"/>
      <c r="AC455" s="284">
        <v>0</v>
      </c>
      <c r="AD455" s="292"/>
      <c r="AE455" s="291"/>
      <c r="AF455" s="284">
        <v>0</v>
      </c>
      <c r="AG455" s="285"/>
      <c r="AH455" s="286">
        <f t="shared" si="145"/>
        <v>0</v>
      </c>
      <c r="AI455" s="287">
        <f t="shared" si="148"/>
        <v>0</v>
      </c>
      <c r="AJ455" s="292"/>
      <c r="AK455" s="283"/>
      <c r="AL455" s="284">
        <v>0</v>
      </c>
      <c r="AM455" s="288"/>
      <c r="AN455" s="286">
        <f t="shared" si="146"/>
        <v>0</v>
      </c>
      <c r="AO455" s="293">
        <f t="shared" si="147"/>
        <v>0</v>
      </c>
      <c r="AP455" s="250"/>
      <c r="AQ455" s="250"/>
      <c r="AR455" s="250"/>
      <c r="AS455" s="250"/>
      <c r="AT455" s="250"/>
      <c r="AU455" s="250"/>
      <c r="AV455" s="250"/>
      <c r="AW455" s="250"/>
      <c r="AX455" s="250"/>
      <c r="AY455" s="250"/>
      <c r="AZ455" s="250"/>
      <c r="BA455" s="250"/>
      <c r="BB455" s="250"/>
      <c r="BC455" s="250"/>
      <c r="BD455" s="250"/>
      <c r="BE455" s="250"/>
      <c r="BF455" s="250"/>
      <c r="BG455" s="250"/>
      <c r="BH455" s="250"/>
      <c r="BI455" s="250"/>
      <c r="BJ455" s="250"/>
    </row>
    <row r="456" spans="1:62" ht="15.75" customHeight="1">
      <c r="A456" t="s">
        <v>171</v>
      </c>
      <c r="B456" s="7"/>
      <c r="C456" s="519" t="s">
        <v>470</v>
      </c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106" t="s">
        <v>171</v>
      </c>
      <c r="W456" s="294" t="s">
        <v>172</v>
      </c>
      <c r="X456" s="267"/>
      <c r="Y456" s="295"/>
      <c r="Z456" s="268">
        <v>4270.5833333333321</v>
      </c>
      <c r="AA456" s="267"/>
      <c r="AB456" s="295"/>
      <c r="AC456" s="268">
        <v>4270.5833333333321</v>
      </c>
      <c r="AD456" s="296"/>
      <c r="AE456" s="295"/>
      <c r="AF456" s="268">
        <v>4271</v>
      </c>
      <c r="AG456" s="269"/>
      <c r="AH456" s="270">
        <f t="shared" si="145"/>
        <v>0.41666666666787933</v>
      </c>
      <c r="AI456" s="297">
        <f t="shared" si="148"/>
        <v>9.7566686830732595E-5</v>
      </c>
      <c r="AJ456" s="296"/>
      <c r="AK456" s="267"/>
      <c r="AL456" s="268">
        <v>3708.11</v>
      </c>
      <c r="AM456" s="272"/>
      <c r="AN456" s="270">
        <f t="shared" si="146"/>
        <v>562.88999999999987</v>
      </c>
      <c r="AO456" s="273">
        <f t="shared" si="147"/>
        <v>0.15179970389227931</v>
      </c>
      <c r="AP456" s="250"/>
      <c r="AQ456" s="250"/>
      <c r="AR456" s="250"/>
      <c r="AS456" s="250"/>
      <c r="AT456" s="250"/>
      <c r="AU456" s="250"/>
      <c r="AV456" s="250"/>
      <c r="AW456" s="250"/>
      <c r="AX456" s="250"/>
      <c r="AY456" s="250"/>
      <c r="AZ456" s="250"/>
      <c r="BA456" s="250"/>
      <c r="BB456" s="250"/>
      <c r="BC456" s="250"/>
      <c r="BD456" s="250"/>
      <c r="BE456" s="250"/>
      <c r="BF456" s="250"/>
      <c r="BG456" s="250"/>
      <c r="BH456" s="250"/>
      <c r="BI456" s="250"/>
      <c r="BJ456" s="250"/>
    </row>
    <row r="457" spans="1:62" ht="15.75" customHeight="1">
      <c r="A457" t="s">
        <v>173</v>
      </c>
      <c r="B457" s="7"/>
      <c r="C457" s="519" t="s">
        <v>470</v>
      </c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105" t="s">
        <v>173</v>
      </c>
      <c r="W457" s="290" t="s">
        <v>174</v>
      </c>
      <c r="X457" s="337"/>
      <c r="Y457" s="338"/>
      <c r="Z457" s="284">
        <v>2838.4863750000004</v>
      </c>
      <c r="AA457" s="337"/>
      <c r="AB457" s="338"/>
      <c r="AC457" s="284">
        <v>2838.4863750000004</v>
      </c>
      <c r="AD457" s="292"/>
      <c r="AE457" s="291"/>
      <c r="AF457" s="529">
        <v>0</v>
      </c>
      <c r="AG457" s="285"/>
      <c r="AH457" s="286">
        <f t="shared" si="145"/>
        <v>-2838.4863750000004</v>
      </c>
      <c r="AI457" s="287">
        <f t="shared" si="148"/>
        <v>-1</v>
      </c>
      <c r="AJ457" s="292"/>
      <c r="AK457" s="283"/>
      <c r="AL457" s="284">
        <v>3810.29</v>
      </c>
      <c r="AM457" s="288"/>
      <c r="AN457" s="286">
        <f t="shared" si="146"/>
        <v>-3810.29</v>
      </c>
      <c r="AO457" s="293">
        <f t="shared" si="147"/>
        <v>-1</v>
      </c>
      <c r="AP457" s="250"/>
      <c r="AQ457" s="250"/>
      <c r="AR457" s="250"/>
      <c r="AS457" s="250"/>
      <c r="AT457" s="250"/>
      <c r="AU457" s="250"/>
      <c r="AV457" s="250"/>
      <c r="AW457" s="250"/>
      <c r="AX457" s="250"/>
      <c r="AY457" s="250"/>
      <c r="AZ457" s="250"/>
      <c r="BA457" s="250"/>
      <c r="BB457" s="250"/>
      <c r="BC457" s="250"/>
      <c r="BD457" s="250"/>
      <c r="BE457" s="250"/>
      <c r="BF457" s="250"/>
      <c r="BG457" s="250"/>
      <c r="BH457" s="250"/>
      <c r="BI457" s="250"/>
      <c r="BJ457" s="250"/>
    </row>
    <row r="458" spans="1:62" ht="15.75" customHeight="1">
      <c r="A458" t="s">
        <v>175</v>
      </c>
      <c r="B458" s="7"/>
      <c r="C458" s="519" t="s">
        <v>470</v>
      </c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105" t="s">
        <v>175</v>
      </c>
      <c r="W458" s="290" t="s">
        <v>176</v>
      </c>
      <c r="X458" s="283"/>
      <c r="Y458" s="291"/>
      <c r="Z458" s="284">
        <v>6122.833333333333</v>
      </c>
      <c r="AA458" s="283"/>
      <c r="AB458" s="291"/>
      <c r="AC458" s="284">
        <v>6122.833333333333</v>
      </c>
      <c r="AD458" s="292"/>
      <c r="AE458" s="291"/>
      <c r="AF458" s="284">
        <v>6123.33</v>
      </c>
      <c r="AG458" s="285"/>
      <c r="AH458" s="286">
        <f t="shared" si="145"/>
        <v>0.49666666666689707</v>
      </c>
      <c r="AI458" s="287">
        <f t="shared" si="148"/>
        <v>8.1117129869106967E-5</v>
      </c>
      <c r="AJ458" s="292"/>
      <c r="AK458" s="283"/>
      <c r="AL458" s="284">
        <v>6613.59</v>
      </c>
      <c r="AM458" s="288"/>
      <c r="AN458" s="286">
        <f t="shared" si="146"/>
        <v>-490.26000000000022</v>
      </c>
      <c r="AO458" s="293">
        <f t="shared" si="147"/>
        <v>-7.4129179462289044E-2</v>
      </c>
      <c r="AP458" s="250"/>
      <c r="AQ458" s="250"/>
      <c r="AR458" s="250"/>
      <c r="AS458" s="250"/>
      <c r="AT458" s="250"/>
      <c r="AU458" s="250"/>
      <c r="AV458" s="250"/>
      <c r="AW458" s="250"/>
      <c r="AX458" s="250"/>
      <c r="AY458" s="250"/>
      <c r="AZ458" s="250"/>
      <c r="BA458" s="250"/>
      <c r="BB458" s="250"/>
      <c r="BC458" s="250"/>
      <c r="BD458" s="250"/>
      <c r="BE458" s="250"/>
      <c r="BF458" s="250"/>
      <c r="BG458" s="250"/>
      <c r="BH458" s="250"/>
      <c r="BI458" s="250"/>
      <c r="BJ458" s="250"/>
    </row>
    <row r="459" spans="1:62" ht="15.75" customHeight="1">
      <c r="A459" t="s">
        <v>177</v>
      </c>
      <c r="B459" s="7"/>
      <c r="C459" s="519" t="s">
        <v>470</v>
      </c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106" t="s">
        <v>177</v>
      </c>
      <c r="W459" s="294" t="s">
        <v>178</v>
      </c>
      <c r="X459" s="267"/>
      <c r="Y459" s="295"/>
      <c r="Z459" s="268">
        <v>1188.8599166666665</v>
      </c>
      <c r="AA459" s="267"/>
      <c r="AB459" s="295"/>
      <c r="AC459" s="268">
        <v>1188.8599166666665</v>
      </c>
      <c r="AD459" s="296"/>
      <c r="AE459" s="295"/>
      <c r="AF459" s="268">
        <v>1606.3</v>
      </c>
      <c r="AG459" s="269"/>
      <c r="AH459" s="270">
        <f t="shared" si="145"/>
        <v>417.4400833333334</v>
      </c>
      <c r="AI459" s="297">
        <f t="shared" si="148"/>
        <v>0.35112638375743604</v>
      </c>
      <c r="AJ459" s="296"/>
      <c r="AK459" s="267"/>
      <c r="AL459" s="268">
        <v>1159.5</v>
      </c>
      <c r="AM459" s="272"/>
      <c r="AN459" s="270">
        <f t="shared" si="146"/>
        <v>446.79999999999995</v>
      </c>
      <c r="AO459" s="273">
        <f t="shared" si="147"/>
        <v>0.38533850797757652</v>
      </c>
      <c r="AP459" s="250"/>
      <c r="AQ459" s="250"/>
      <c r="AR459" s="250"/>
      <c r="AS459" s="250"/>
      <c r="AT459" s="250"/>
      <c r="AU459" s="250"/>
      <c r="AV459" s="250"/>
      <c r="AW459" s="250"/>
      <c r="AX459" s="250"/>
      <c r="AY459" s="250"/>
      <c r="AZ459" s="250"/>
      <c r="BA459" s="250"/>
      <c r="BB459" s="250"/>
      <c r="BC459" s="250"/>
      <c r="BD459" s="250"/>
      <c r="BE459" s="250"/>
      <c r="BF459" s="250"/>
      <c r="BG459" s="250"/>
      <c r="BH459" s="250"/>
      <c r="BI459" s="250"/>
      <c r="BJ459" s="250"/>
    </row>
    <row r="460" spans="1:62" ht="15.75" customHeight="1">
      <c r="A460" t="s">
        <v>179</v>
      </c>
      <c r="B460" s="7"/>
      <c r="C460" s="519" t="s">
        <v>470</v>
      </c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339"/>
      <c r="V460" s="105" t="s">
        <v>179</v>
      </c>
      <c r="W460" s="290" t="s">
        <v>180</v>
      </c>
      <c r="X460" s="283"/>
      <c r="Y460" s="291"/>
      <c r="Z460" s="284">
        <v>230.625</v>
      </c>
      <c r="AA460" s="283"/>
      <c r="AB460" s="291"/>
      <c r="AC460" s="284">
        <v>230.625</v>
      </c>
      <c r="AD460" s="292"/>
      <c r="AE460" s="291"/>
      <c r="AF460" s="284">
        <v>0</v>
      </c>
      <c r="AG460" s="285"/>
      <c r="AH460" s="286">
        <f t="shared" si="145"/>
        <v>-230.625</v>
      </c>
      <c r="AI460" s="340">
        <f t="shared" si="148"/>
        <v>-1</v>
      </c>
      <c r="AJ460" s="283"/>
      <c r="AK460" s="283"/>
      <c r="AL460" s="284">
        <v>0</v>
      </c>
      <c r="AM460" s="288"/>
      <c r="AN460" s="286">
        <f t="shared" si="146"/>
        <v>0</v>
      </c>
      <c r="AO460" s="293">
        <f t="shared" si="147"/>
        <v>0</v>
      </c>
      <c r="AP460" s="250"/>
      <c r="AQ460" s="250"/>
      <c r="AR460" s="250"/>
      <c r="AS460" s="250"/>
      <c r="AT460" s="250"/>
      <c r="AU460" s="250"/>
      <c r="AV460" s="250"/>
      <c r="AW460" s="250"/>
      <c r="AX460" s="250"/>
      <c r="AY460" s="250"/>
      <c r="AZ460" s="250"/>
      <c r="BA460" s="250"/>
      <c r="BB460" s="250"/>
      <c r="BC460" s="250"/>
      <c r="BD460" s="250"/>
      <c r="BE460" s="250"/>
      <c r="BF460" s="250"/>
      <c r="BG460" s="250"/>
      <c r="BH460" s="250"/>
      <c r="BI460" s="250"/>
      <c r="BJ460" s="250"/>
    </row>
    <row r="461" spans="1:62" ht="15.75" customHeight="1">
      <c r="A461" t="s">
        <v>181</v>
      </c>
      <c r="B461" s="7"/>
      <c r="C461" s="519" t="s">
        <v>470</v>
      </c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339"/>
      <c r="V461" s="105" t="s">
        <v>181</v>
      </c>
      <c r="W461" s="290" t="s">
        <v>182</v>
      </c>
      <c r="X461" s="283"/>
      <c r="Y461" s="291"/>
      <c r="Z461" s="284">
        <v>0</v>
      </c>
      <c r="AA461" s="283"/>
      <c r="AB461" s="291"/>
      <c r="AC461" s="284">
        <v>0</v>
      </c>
      <c r="AD461" s="292"/>
      <c r="AE461" s="291"/>
      <c r="AF461" s="284">
        <v>0</v>
      </c>
      <c r="AG461" s="285"/>
      <c r="AH461" s="286">
        <v>0</v>
      </c>
      <c r="AI461" s="310">
        <v>0</v>
      </c>
      <c r="AJ461" s="283"/>
      <c r="AK461" s="283"/>
      <c r="AL461" s="284">
        <v>0</v>
      </c>
      <c r="AM461" s="288"/>
      <c r="AN461" s="286">
        <v>0</v>
      </c>
      <c r="AO461" s="293">
        <v>0</v>
      </c>
      <c r="AP461" s="250"/>
      <c r="AQ461" s="250"/>
      <c r="AR461" s="250"/>
      <c r="AS461" s="250"/>
      <c r="AT461" s="250"/>
      <c r="AU461" s="250"/>
      <c r="AV461" s="250"/>
      <c r="AW461" s="250"/>
      <c r="AX461" s="250"/>
      <c r="AY461" s="250"/>
      <c r="AZ461" s="250"/>
      <c r="BA461" s="250"/>
      <c r="BB461" s="250"/>
      <c r="BC461" s="250"/>
      <c r="BD461" s="250"/>
      <c r="BE461" s="250"/>
      <c r="BF461" s="250"/>
      <c r="BG461" s="250"/>
      <c r="BH461" s="250"/>
      <c r="BI461" s="250"/>
      <c r="BJ461" s="250"/>
    </row>
    <row r="462" spans="1:62" ht="15.75" hidden="1" customHeight="1">
      <c r="A462" t="s">
        <v>21</v>
      </c>
      <c r="B462" s="7"/>
      <c r="C462" s="519" t="s">
        <v>470</v>
      </c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339"/>
      <c r="V462" s="105" t="s">
        <v>21</v>
      </c>
      <c r="W462" s="290"/>
      <c r="X462" s="283"/>
      <c r="Y462" s="291"/>
      <c r="Z462" s="284">
        <f>IFERROR(SUMIF($C:$C,$V462,F:F),0)</f>
        <v>0</v>
      </c>
      <c r="AA462" s="283"/>
      <c r="AB462" s="283"/>
      <c r="AC462" s="284">
        <f>IFERROR(SUMIF($C:$C,$V462,I:I),0)</f>
        <v>0</v>
      </c>
      <c r="AD462" s="292"/>
      <c r="AE462" s="291"/>
      <c r="AF462" s="284">
        <f>IFERROR(SUMIF($C:$C,$V462,L:L),0)</f>
        <v>0</v>
      </c>
      <c r="AG462" s="285"/>
      <c r="AH462" s="286">
        <f t="shared" ref="AH462:AH464" si="149">AF462-AC462</f>
        <v>0</v>
      </c>
      <c r="AI462" s="287">
        <f t="shared" ref="AI462:AI464" si="150">IF(AC462=0,0,AH462/AC462)</f>
        <v>0</v>
      </c>
      <c r="AJ462" s="292"/>
      <c r="AK462" s="283"/>
      <c r="AL462" s="284">
        <f>IFERROR(SUMIF($C:$C,$V462,Q:Q),0)</f>
        <v>0</v>
      </c>
      <c r="AM462" s="288"/>
      <c r="AN462" s="286">
        <v>0</v>
      </c>
      <c r="AO462" s="293">
        <v>1</v>
      </c>
      <c r="AP462" s="250"/>
      <c r="AQ462" s="250"/>
      <c r="AR462" s="250"/>
      <c r="AS462" s="250"/>
      <c r="AT462" s="250"/>
      <c r="AU462" s="250"/>
      <c r="AV462" s="250"/>
      <c r="AW462" s="250"/>
      <c r="AX462" s="250"/>
      <c r="AY462" s="250"/>
      <c r="AZ462" s="250"/>
      <c r="BA462" s="250"/>
      <c r="BB462" s="250"/>
      <c r="BC462" s="250"/>
      <c r="BD462" s="250"/>
      <c r="BE462" s="250"/>
      <c r="BF462" s="250"/>
      <c r="BG462" s="250"/>
      <c r="BH462" s="250"/>
      <c r="BI462" s="250"/>
      <c r="BJ462" s="250"/>
    </row>
    <row r="463" spans="1:62" ht="15.75" hidden="1" customHeight="1">
      <c r="A463" t="s">
        <v>21</v>
      </c>
      <c r="B463" s="7"/>
      <c r="C463" s="519" t="s">
        <v>470</v>
      </c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339"/>
      <c r="V463" s="105" t="s">
        <v>21</v>
      </c>
      <c r="W463" s="290"/>
      <c r="X463" s="283"/>
      <c r="Y463" s="291"/>
      <c r="Z463" s="284">
        <f>IFERROR(SUMIF($C:$C,$V463,F:F),0)</f>
        <v>0</v>
      </c>
      <c r="AA463" s="283"/>
      <c r="AB463" s="283"/>
      <c r="AC463" s="284">
        <f>IFERROR(SUMIF($C:$C,$V463,I:I),0)</f>
        <v>0</v>
      </c>
      <c r="AD463" s="292"/>
      <c r="AE463" s="291"/>
      <c r="AF463" s="284">
        <f>IFERROR(SUMIF($C:$C,$V463,L:L),0)</f>
        <v>0</v>
      </c>
      <c r="AG463" s="285"/>
      <c r="AH463" s="286">
        <f t="shared" si="149"/>
        <v>0</v>
      </c>
      <c r="AI463" s="287">
        <f t="shared" si="150"/>
        <v>0</v>
      </c>
      <c r="AJ463" s="292"/>
      <c r="AK463" s="283"/>
      <c r="AL463" s="284">
        <f>IFERROR(SUMIF($C:$C,$V463,Q:Q),0)</f>
        <v>0</v>
      </c>
      <c r="AM463" s="288"/>
      <c r="AN463" s="286">
        <v>0</v>
      </c>
      <c r="AO463" s="293">
        <v>2</v>
      </c>
      <c r="AP463" s="250"/>
      <c r="AQ463" s="250"/>
      <c r="AR463" s="250"/>
      <c r="AS463" s="250"/>
      <c r="AT463" s="250"/>
      <c r="AU463" s="250"/>
      <c r="AV463" s="250"/>
      <c r="AW463" s="250"/>
      <c r="AX463" s="250"/>
      <c r="AY463" s="250"/>
      <c r="AZ463" s="250"/>
      <c r="BA463" s="250"/>
      <c r="BB463" s="250"/>
      <c r="BC463" s="250"/>
      <c r="BD463" s="250"/>
      <c r="BE463" s="250"/>
      <c r="BF463" s="250"/>
      <c r="BG463" s="250"/>
      <c r="BH463" s="250"/>
      <c r="BI463" s="250"/>
      <c r="BJ463" s="250"/>
    </row>
    <row r="464" spans="1:62" ht="15.75" hidden="1" customHeight="1">
      <c r="A464" t="s">
        <v>21</v>
      </c>
      <c r="B464" s="7"/>
      <c r="C464" s="519" t="s">
        <v>470</v>
      </c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105" t="s">
        <v>21</v>
      </c>
      <c r="W464" s="290"/>
      <c r="X464" s="283"/>
      <c r="Y464" s="291"/>
      <c r="Z464" s="284">
        <f>IFERROR(SUMIF($C:$C,$V464,F:F),0)</f>
        <v>0</v>
      </c>
      <c r="AA464" s="283"/>
      <c r="AB464" s="283"/>
      <c r="AC464" s="284">
        <f>IFERROR(SUMIF($C:$C,$V464,I:I),0)</f>
        <v>0</v>
      </c>
      <c r="AD464" s="292"/>
      <c r="AE464" s="291"/>
      <c r="AF464" s="284">
        <f>IFERROR(SUMIF($C:$C,$V464,L:L),0)</f>
        <v>0</v>
      </c>
      <c r="AG464" s="285"/>
      <c r="AH464" s="286">
        <f t="shared" si="149"/>
        <v>0</v>
      </c>
      <c r="AI464" s="287">
        <f t="shared" si="150"/>
        <v>0</v>
      </c>
      <c r="AJ464" s="292"/>
      <c r="AK464" s="283"/>
      <c r="AL464" s="284">
        <f>IFERROR(SUMIF($C:$C,$V464,Q:Q),0)</f>
        <v>0</v>
      </c>
      <c r="AM464" s="288"/>
      <c r="AN464" s="286">
        <v>0</v>
      </c>
      <c r="AO464" s="293">
        <v>3</v>
      </c>
      <c r="AP464" s="250"/>
      <c r="AQ464" s="250"/>
      <c r="AR464" s="250"/>
      <c r="AS464" s="250"/>
      <c r="AT464" s="250"/>
      <c r="AU464" s="250"/>
      <c r="AV464" s="250"/>
      <c r="AW464" s="250"/>
      <c r="AX464" s="250"/>
      <c r="AY464" s="250"/>
      <c r="AZ464" s="250"/>
      <c r="BA464" s="250"/>
      <c r="BB464" s="250"/>
      <c r="BC464" s="250"/>
      <c r="BD464" s="250"/>
      <c r="BE464" s="250"/>
      <c r="BF464" s="250"/>
      <c r="BG464" s="250"/>
      <c r="BH464" s="250"/>
      <c r="BI464" s="250"/>
      <c r="BJ464" s="250"/>
    </row>
    <row r="465" spans="1:62" ht="15.75" customHeight="1">
      <c r="A465" t="s">
        <v>183</v>
      </c>
      <c r="B465" s="7"/>
      <c r="C465" s="519" t="s">
        <v>470</v>
      </c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300" t="s">
        <v>183</v>
      </c>
      <c r="W465" s="301"/>
      <c r="X465" s="302">
        <f>Z465/+Z406</f>
        <v>8.256668121075654E-2</v>
      </c>
      <c r="Y465" s="301"/>
      <c r="Z465" s="303">
        <f>SUM(Z452:Z464)</f>
        <v>48861.637958333333</v>
      </c>
      <c r="AA465" s="302">
        <f>AC465/+AC406</f>
        <v>8.256668121075654E-2</v>
      </c>
      <c r="AB465" s="301"/>
      <c r="AC465" s="303">
        <f>SUM(AC452:AC464)</f>
        <v>48861.637958333333</v>
      </c>
      <c r="AD465" s="304">
        <f>AF465/AF406</f>
        <v>7.0490313624992376E-2</v>
      </c>
      <c r="AE465" s="301"/>
      <c r="AF465" s="303">
        <f>SUM(AF452:AF464)</f>
        <v>46210.630000000005</v>
      </c>
      <c r="AG465" s="312"/>
      <c r="AH465" s="530">
        <f>SUM(AH452:AH464)</f>
        <v>-2651.0079583333313</v>
      </c>
      <c r="AI465" s="531">
        <f>IF(AC465=0,0,AH465/AC465)</f>
        <v>-5.4255405039715883E-2</v>
      </c>
      <c r="AJ465" s="304">
        <f>IF($AL$406=0,0,AL465/$AL$406)</f>
        <v>7.0401509522680233E-2</v>
      </c>
      <c r="AK465" s="302"/>
      <c r="AL465" s="303">
        <f>SUM(AL452:AL464)</f>
        <v>49301.490000000005</v>
      </c>
      <c r="AM465" s="313"/>
      <c r="AN465" s="306">
        <f>SUM(AN452:AN464)</f>
        <v>-3090.8600000000006</v>
      </c>
      <c r="AO465" s="336">
        <f>IF(AL465=0,0,AN465/AL465)</f>
        <v>-6.269303422675461E-2</v>
      </c>
      <c r="AP465" s="250"/>
      <c r="AQ465" s="250"/>
      <c r="AR465" s="250"/>
      <c r="AS465" s="250"/>
      <c r="AT465" s="250"/>
      <c r="AU465" s="250"/>
      <c r="AV465" s="250"/>
      <c r="AW465" s="250"/>
      <c r="AX465" s="250"/>
      <c r="AY465" s="250"/>
      <c r="AZ465" s="250"/>
      <c r="BA465" s="250"/>
      <c r="BB465" s="250"/>
      <c r="BC465" s="250"/>
      <c r="BD465" s="250"/>
      <c r="BE465" s="250"/>
      <c r="BF465" s="250"/>
      <c r="BG465" s="250"/>
      <c r="BH465" s="250"/>
      <c r="BI465" s="250"/>
      <c r="BJ465" s="250"/>
    </row>
    <row r="466" spans="1:62" ht="15.75" customHeight="1">
      <c r="A466" t="s">
        <v>472</v>
      </c>
      <c r="B466" s="7"/>
      <c r="C466" s="519" t="s">
        <v>470</v>
      </c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105"/>
      <c r="W466" s="283"/>
      <c r="X466" s="283"/>
      <c r="Y466" s="283"/>
      <c r="Z466" s="342"/>
      <c r="AA466" s="283"/>
      <c r="AB466" s="283"/>
      <c r="AC466" s="342"/>
      <c r="AD466" s="292"/>
      <c r="AE466" s="283"/>
      <c r="AF466" s="342"/>
      <c r="AG466" s="292"/>
      <c r="AH466" s="286">
        <f t="shared" ref="AH466:AH480" si="151">AF466-AC466</f>
        <v>0</v>
      </c>
      <c r="AI466" s="287"/>
      <c r="AJ466" s="292"/>
      <c r="AK466" s="283"/>
      <c r="AL466" s="342"/>
      <c r="AM466" s="343"/>
      <c r="AN466" s="286">
        <f t="shared" ref="AN466:AN482" si="152">AF466-AL466</f>
        <v>0</v>
      </c>
      <c r="AO466" s="344">
        <f>IF(AL466=0,0,AN466/AL466)</f>
        <v>0</v>
      </c>
      <c r="AP466" s="250"/>
      <c r="AQ466" s="250"/>
      <c r="AR466" s="250"/>
      <c r="AS466" s="250"/>
      <c r="AT466" s="250"/>
      <c r="AU466" s="250"/>
      <c r="AV466" s="250"/>
      <c r="AW466" s="250"/>
      <c r="AX466" s="250"/>
      <c r="AY466" s="250"/>
      <c r="AZ466" s="250"/>
      <c r="BA466" s="250"/>
      <c r="BB466" s="250"/>
      <c r="BC466" s="250"/>
      <c r="BD466" s="250"/>
      <c r="BE466" s="250"/>
      <c r="BF466" s="250"/>
      <c r="BG466" s="250"/>
      <c r="BH466" s="250"/>
      <c r="BI466" s="250"/>
      <c r="BJ466" s="250"/>
    </row>
    <row r="467" spans="1:62" ht="15.75" customHeight="1">
      <c r="A467" t="s">
        <v>66</v>
      </c>
      <c r="B467" s="7"/>
      <c r="C467" s="519" t="s">
        <v>470</v>
      </c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300" t="s">
        <v>66</v>
      </c>
      <c r="W467" s="301"/>
      <c r="X467" s="302">
        <f>Z467/+Z406</f>
        <v>0.95522687216171331</v>
      </c>
      <c r="Y467" s="301"/>
      <c r="Z467" s="303">
        <f>Z418+Z432+Z451+Z465</f>
        <v>565287.94558786566</v>
      </c>
      <c r="AA467" s="302">
        <f>AC467/+AC406</f>
        <v>0.95522687216171331</v>
      </c>
      <c r="AB467" s="301"/>
      <c r="AC467" s="303">
        <f>AC418+AC432+AC451+AC465</f>
        <v>565287.94558786566</v>
      </c>
      <c r="AD467" s="304">
        <f>AF467/AF406</f>
        <v>0.85231768259198248</v>
      </c>
      <c r="AE467" s="301"/>
      <c r="AF467" s="303">
        <f>AF418+AF432+AF451+AF465</f>
        <v>558745.38</v>
      </c>
      <c r="AG467" s="312"/>
      <c r="AH467" s="306">
        <f t="shared" si="151"/>
        <v>-6542.5655878656544</v>
      </c>
      <c r="AI467" s="302">
        <f>AH467/AC467</f>
        <v>-1.1573863619295433E-2</v>
      </c>
      <c r="AJ467" s="304">
        <f>IF($AL$406=0,0,AL467/$AL$406)</f>
        <v>0.82904251243027494</v>
      </c>
      <c r="AK467" s="302"/>
      <c r="AL467" s="303">
        <f>AL418+AL432+AL451+AL465</f>
        <v>580570.38</v>
      </c>
      <c r="AM467" s="313"/>
      <c r="AN467" s="306">
        <f t="shared" si="152"/>
        <v>-21825</v>
      </c>
      <c r="AO467" s="281">
        <f>IF(AL467=0,0,AN467/AL467)</f>
        <v>-3.7592341517664059E-2</v>
      </c>
      <c r="AP467" s="250"/>
      <c r="AQ467" s="250"/>
      <c r="AR467" s="250"/>
      <c r="AS467" s="250"/>
      <c r="AT467" s="250"/>
      <c r="AU467" s="250"/>
      <c r="AV467" s="250"/>
      <c r="AW467" s="250"/>
      <c r="AX467" s="250"/>
      <c r="AY467" s="250"/>
      <c r="AZ467" s="250"/>
      <c r="BA467" s="250"/>
      <c r="BB467" s="250"/>
      <c r="BC467" s="250"/>
      <c r="BD467" s="250"/>
      <c r="BE467" s="250"/>
      <c r="BF467" s="250"/>
      <c r="BG467" s="250"/>
      <c r="BH467" s="250"/>
      <c r="BI467" s="250"/>
      <c r="BJ467" s="250"/>
    </row>
    <row r="468" spans="1:62" ht="15.75" customHeight="1">
      <c r="A468" t="s">
        <v>184</v>
      </c>
      <c r="B468" s="7"/>
      <c r="C468" s="519" t="s">
        <v>470</v>
      </c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105" t="s">
        <v>184</v>
      </c>
      <c r="W468" s="338"/>
      <c r="X468" s="338"/>
      <c r="Y468" s="283"/>
      <c r="Z468" s="317">
        <v>176.08</v>
      </c>
      <c r="AA468" s="345"/>
      <c r="AB468" s="346"/>
      <c r="AC468" s="317">
        <v>176.08</v>
      </c>
      <c r="AD468" s="347"/>
      <c r="AE468" s="346"/>
      <c r="AF468" s="284">
        <v>304.64</v>
      </c>
      <c r="AG468" s="348"/>
      <c r="AH468" s="286">
        <f t="shared" si="151"/>
        <v>128.55999999999997</v>
      </c>
      <c r="AI468" s="340">
        <f t="shared" ref="AI468:AI475" si="153">IF(AH468=0,0,AH468/AC468)</f>
        <v>0.73012267151294841</v>
      </c>
      <c r="AJ468" s="347"/>
      <c r="AK468" s="345"/>
      <c r="AL468" s="349">
        <v>-7346.98</v>
      </c>
      <c r="AM468" s="350"/>
      <c r="AN468" s="286">
        <f t="shared" si="152"/>
        <v>7651.62</v>
      </c>
      <c r="AO468" s="293">
        <f>IF(AL468=0,0,AN468/AL468)</f>
        <v>-1.0414646562260956</v>
      </c>
      <c r="AP468" s="250"/>
      <c r="AQ468" s="250"/>
      <c r="AR468" s="250"/>
      <c r="AS468" s="250"/>
      <c r="AT468" s="250"/>
      <c r="AU468" s="250"/>
      <c r="AV468" s="250"/>
      <c r="AW468" s="250"/>
      <c r="AX468" s="250"/>
      <c r="AY468" s="250"/>
      <c r="AZ468" s="250"/>
      <c r="BA468" s="250"/>
      <c r="BB468" s="250"/>
      <c r="BC468" s="250"/>
      <c r="BD468" s="250"/>
      <c r="BE468" s="250"/>
      <c r="BF468" s="250"/>
      <c r="BG468" s="250"/>
      <c r="BH468" s="250"/>
      <c r="BI468" s="250"/>
      <c r="BJ468" s="250"/>
    </row>
    <row r="469" spans="1:62" ht="18">
      <c r="A469" t="s">
        <v>70</v>
      </c>
      <c r="B469" s="7"/>
      <c r="C469" s="519" t="s">
        <v>470</v>
      </c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105" t="s">
        <v>70</v>
      </c>
      <c r="W469" s="283"/>
      <c r="X469" s="283"/>
      <c r="Y469" s="283"/>
      <c r="Z469" s="284">
        <f t="shared" ref="Z469:Z475" si="154">+SUMIF($C:$C,$V469,F:F)</f>
        <v>75315.39657831323</v>
      </c>
      <c r="AA469" s="337"/>
      <c r="AB469" s="286"/>
      <c r="AC469" s="284">
        <f t="shared" ref="AC469:AC475" si="155">+SUMIF($C:$C,$V469,I:I)</f>
        <v>75315.39657831323</v>
      </c>
      <c r="AD469" s="354"/>
      <c r="AE469" s="532"/>
      <c r="AF469" s="284">
        <f t="shared" ref="AF469:AF475" si="156">+SUMIF($C:$C,$V469,L:L)</f>
        <v>62788</v>
      </c>
      <c r="AG469" s="352"/>
      <c r="AH469" s="286">
        <f t="shared" si="151"/>
        <v>-12527.39657831323</v>
      </c>
      <c r="AI469" s="310">
        <f>IF(AC469=0,0,AH469/AC469)</f>
        <v>-0.16633247844997001</v>
      </c>
      <c r="AJ469" s="351"/>
      <c r="AK469" s="337"/>
      <c r="AL469" s="353">
        <f t="shared" ref="AL469:AL475" si="157">+SUMIF($C:$C,$V469,Q:Q)</f>
        <v>82259.7</v>
      </c>
      <c r="AM469" s="354"/>
      <c r="AN469" s="286">
        <f t="shared" si="152"/>
        <v>-19471.699999999997</v>
      </c>
      <c r="AO469" s="293">
        <f>IF(AL469=0,0,AN469/AL469)</f>
        <v>-0.23671007796041071</v>
      </c>
      <c r="AP469" s="250"/>
      <c r="AQ469" s="250"/>
      <c r="AR469" s="250"/>
      <c r="AS469" s="250"/>
      <c r="AT469" s="250"/>
      <c r="AU469" s="250"/>
      <c r="AV469" s="250"/>
      <c r="AW469" s="250"/>
      <c r="AX469" s="250"/>
      <c r="AY469" s="250"/>
      <c r="AZ469" s="250"/>
      <c r="BA469" s="250"/>
      <c r="BB469" s="250"/>
      <c r="BC469" s="250"/>
      <c r="BD469" s="250"/>
      <c r="BE469" s="250"/>
      <c r="BF469" s="250"/>
      <c r="BG469" s="250"/>
      <c r="BH469" s="250"/>
      <c r="BI469" s="250"/>
      <c r="BJ469" s="250"/>
    </row>
    <row r="470" spans="1:62" ht="15.75" customHeight="1">
      <c r="A470" t="s">
        <v>200</v>
      </c>
      <c r="B470" s="7"/>
      <c r="C470" s="519" t="s">
        <v>470</v>
      </c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105" t="s">
        <v>200</v>
      </c>
      <c r="W470" s="283"/>
      <c r="X470" s="283"/>
      <c r="Y470" s="283"/>
      <c r="Z470" s="284">
        <f t="shared" si="154"/>
        <v>19143.900000000001</v>
      </c>
      <c r="AA470" s="337"/>
      <c r="AB470" s="338"/>
      <c r="AC470" s="284">
        <f t="shared" si="155"/>
        <v>19143.900000000001</v>
      </c>
      <c r="AD470" s="351"/>
      <c r="AF470" s="284">
        <f t="shared" si="156"/>
        <v>0</v>
      </c>
      <c r="AG470" s="352"/>
      <c r="AH470" s="286">
        <f t="shared" si="151"/>
        <v>-19143.900000000001</v>
      </c>
      <c r="AI470" s="310">
        <f t="shared" si="153"/>
        <v>-1</v>
      </c>
      <c r="AJ470" s="351"/>
      <c r="AK470" s="337"/>
      <c r="AL470" s="353">
        <f t="shared" si="157"/>
        <v>8500</v>
      </c>
      <c r="AM470" s="354"/>
      <c r="AN470" s="286">
        <f t="shared" si="152"/>
        <v>-8500</v>
      </c>
      <c r="AO470" s="293">
        <f t="shared" ref="AO470:AO479" si="158">IF(AL470=0,0,AN470/AL470)</f>
        <v>-1</v>
      </c>
      <c r="AP470" s="250"/>
      <c r="AQ470" s="250"/>
      <c r="AR470" s="250"/>
      <c r="AS470" s="250"/>
      <c r="AT470" s="250"/>
      <c r="AU470" s="250"/>
      <c r="AV470" s="250"/>
      <c r="AW470" s="250"/>
      <c r="AX470" s="250"/>
      <c r="AY470" s="250"/>
      <c r="AZ470" s="250"/>
      <c r="BA470" s="250"/>
      <c r="BB470" s="250"/>
      <c r="BC470" s="250"/>
      <c r="BD470" s="250"/>
      <c r="BE470" s="250"/>
      <c r="BF470" s="250"/>
      <c r="BG470" s="250"/>
      <c r="BH470" s="250"/>
      <c r="BI470" s="250"/>
      <c r="BJ470" s="250"/>
    </row>
    <row r="471" spans="1:62" ht="15.75" customHeight="1">
      <c r="A471" t="s">
        <v>197</v>
      </c>
      <c r="B471" s="7"/>
      <c r="C471" s="519" t="s">
        <v>470</v>
      </c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105" t="s">
        <v>197</v>
      </c>
      <c r="W471" s="283"/>
      <c r="X471" s="283"/>
      <c r="Y471" s="283"/>
      <c r="Z471" s="284">
        <f t="shared" si="154"/>
        <v>0</v>
      </c>
      <c r="AA471" s="337"/>
      <c r="AB471" s="338"/>
      <c r="AC471" s="284">
        <f t="shared" si="155"/>
        <v>0</v>
      </c>
      <c r="AD471" s="351"/>
      <c r="AE471" s="338"/>
      <c r="AF471" s="284">
        <f t="shared" si="156"/>
        <v>0</v>
      </c>
      <c r="AG471" s="352"/>
      <c r="AH471" s="286">
        <f t="shared" si="151"/>
        <v>0</v>
      </c>
      <c r="AI471" s="310">
        <f t="shared" si="153"/>
        <v>0</v>
      </c>
      <c r="AJ471" s="351"/>
      <c r="AK471" s="337"/>
      <c r="AL471" s="353">
        <f t="shared" si="157"/>
        <v>0</v>
      </c>
      <c r="AM471" s="354"/>
      <c r="AN471" s="286">
        <f t="shared" si="152"/>
        <v>0</v>
      </c>
      <c r="AO471" s="293">
        <f t="shared" si="158"/>
        <v>0</v>
      </c>
      <c r="AP471" s="250"/>
      <c r="AQ471" s="250"/>
      <c r="AR471" s="250"/>
      <c r="AS471" s="250"/>
      <c r="AT471" s="250"/>
      <c r="AU471" s="250"/>
      <c r="AV471" s="250"/>
      <c r="AW471" s="250"/>
      <c r="AX471" s="250"/>
      <c r="AY471" s="250"/>
      <c r="AZ471" s="250"/>
      <c r="BA471" s="250"/>
      <c r="BB471" s="250"/>
      <c r="BC471" s="250"/>
      <c r="BD471" s="250"/>
      <c r="BE471" s="250"/>
      <c r="BF471" s="250"/>
      <c r="BG471" s="250"/>
      <c r="BH471" s="250"/>
      <c r="BI471" s="250"/>
      <c r="BJ471" s="250"/>
    </row>
    <row r="472" spans="1:62" ht="15.75" customHeight="1">
      <c r="A472" t="s">
        <v>69</v>
      </c>
      <c r="B472" s="7"/>
      <c r="C472" s="519" t="s">
        <v>470</v>
      </c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105" t="s">
        <v>69</v>
      </c>
      <c r="W472" s="283"/>
      <c r="X472" s="283"/>
      <c r="Y472" s="283"/>
      <c r="Z472" s="284">
        <f t="shared" si="154"/>
        <v>0</v>
      </c>
      <c r="AA472" s="337"/>
      <c r="AB472" s="338"/>
      <c r="AC472" s="284">
        <f t="shared" si="155"/>
        <v>0</v>
      </c>
      <c r="AD472" s="351"/>
      <c r="AE472" s="338"/>
      <c r="AF472" s="284">
        <f t="shared" si="156"/>
        <v>0</v>
      </c>
      <c r="AG472" s="352"/>
      <c r="AH472" s="286">
        <f t="shared" si="151"/>
        <v>0</v>
      </c>
      <c r="AI472" s="310">
        <f t="shared" si="153"/>
        <v>0</v>
      </c>
      <c r="AJ472" s="351"/>
      <c r="AK472" s="337"/>
      <c r="AL472" s="353">
        <f t="shared" si="157"/>
        <v>0</v>
      </c>
      <c r="AM472" s="354"/>
      <c r="AN472" s="286">
        <f t="shared" si="152"/>
        <v>0</v>
      </c>
      <c r="AO472" s="293">
        <f t="shared" si="158"/>
        <v>0</v>
      </c>
      <c r="AP472" s="250"/>
      <c r="AQ472" s="250"/>
      <c r="AR472" s="250"/>
      <c r="AS472" s="250"/>
      <c r="AT472" s="250"/>
      <c r="AU472" s="250"/>
      <c r="AV472" s="250"/>
      <c r="AW472" s="250"/>
      <c r="AX472" s="250"/>
      <c r="AY472" s="250"/>
      <c r="AZ472" s="250"/>
      <c r="BA472" s="250"/>
      <c r="BB472" s="250"/>
      <c r="BC472" s="250"/>
      <c r="BD472" s="250"/>
      <c r="BE472" s="250"/>
      <c r="BF472" s="250"/>
      <c r="BG472" s="250"/>
      <c r="BH472" s="250"/>
      <c r="BI472" s="250"/>
      <c r="BJ472" s="250"/>
    </row>
    <row r="473" spans="1:62" ht="15.75" customHeight="1">
      <c r="A473" t="s">
        <v>215</v>
      </c>
      <c r="B473" s="7"/>
      <c r="C473" s="519" t="s">
        <v>470</v>
      </c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105" t="s">
        <v>215</v>
      </c>
      <c r="W473" s="283"/>
      <c r="X473" s="283"/>
      <c r="Y473" s="283"/>
      <c r="Z473" s="284">
        <f t="shared" si="154"/>
        <v>0</v>
      </c>
      <c r="AA473" s="337"/>
      <c r="AB473" s="338"/>
      <c r="AC473" s="284">
        <f t="shared" si="155"/>
        <v>0</v>
      </c>
      <c r="AD473" s="351"/>
      <c r="AE473" s="338"/>
      <c r="AF473" s="284">
        <f t="shared" si="156"/>
        <v>0</v>
      </c>
      <c r="AG473" s="352"/>
      <c r="AH473" s="286">
        <f t="shared" si="151"/>
        <v>0</v>
      </c>
      <c r="AI473" s="310">
        <f t="shared" si="153"/>
        <v>0</v>
      </c>
      <c r="AJ473" s="351"/>
      <c r="AK473" s="337"/>
      <c r="AL473" s="353">
        <f t="shared" si="157"/>
        <v>0</v>
      </c>
      <c r="AM473" s="354"/>
      <c r="AN473" s="286">
        <f t="shared" si="152"/>
        <v>0</v>
      </c>
      <c r="AO473" s="293">
        <f t="shared" si="158"/>
        <v>0</v>
      </c>
      <c r="AP473" s="250"/>
      <c r="AQ473" s="250"/>
      <c r="AR473" s="250"/>
      <c r="AS473" s="250"/>
      <c r="AT473" s="250"/>
      <c r="AU473" s="250"/>
      <c r="AV473" s="250"/>
      <c r="AW473" s="250"/>
      <c r="AX473" s="250"/>
      <c r="AY473" s="250"/>
      <c r="AZ473" s="250"/>
      <c r="BA473" s="250"/>
      <c r="BB473" s="250"/>
      <c r="BC473" s="250"/>
      <c r="BD473" s="250"/>
      <c r="BE473" s="250"/>
      <c r="BF473" s="250"/>
      <c r="BG473" s="250"/>
      <c r="BH473" s="250"/>
      <c r="BI473" s="250"/>
      <c r="BJ473" s="250"/>
    </row>
    <row r="474" spans="1:62" ht="15.75" customHeight="1">
      <c r="A474" t="s">
        <v>82</v>
      </c>
      <c r="B474" s="7"/>
      <c r="C474" s="519" t="s">
        <v>470</v>
      </c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105" t="s">
        <v>82</v>
      </c>
      <c r="W474" s="283"/>
      <c r="X474" s="283"/>
      <c r="Y474" s="283"/>
      <c r="Z474" s="284">
        <f t="shared" si="154"/>
        <v>0</v>
      </c>
      <c r="AA474" s="337"/>
      <c r="AB474" s="338"/>
      <c r="AC474" s="284">
        <f t="shared" si="155"/>
        <v>0</v>
      </c>
      <c r="AD474" s="351"/>
      <c r="AE474" s="338"/>
      <c r="AF474" s="284">
        <f t="shared" si="156"/>
        <v>0</v>
      </c>
      <c r="AG474" s="352"/>
      <c r="AH474" s="286">
        <f t="shared" si="151"/>
        <v>0</v>
      </c>
      <c r="AI474" s="310">
        <f t="shared" si="153"/>
        <v>0</v>
      </c>
      <c r="AJ474" s="351"/>
      <c r="AK474" s="337"/>
      <c r="AL474" s="353">
        <f t="shared" si="157"/>
        <v>0</v>
      </c>
      <c r="AM474" s="354"/>
      <c r="AN474" s="286">
        <f t="shared" si="152"/>
        <v>0</v>
      </c>
      <c r="AO474" s="293">
        <f t="shared" si="158"/>
        <v>0</v>
      </c>
      <c r="AP474" s="250"/>
      <c r="AQ474" s="250"/>
      <c r="AR474" s="250"/>
      <c r="AS474" s="250"/>
      <c r="AT474" s="250"/>
      <c r="AU474" s="250"/>
      <c r="AV474" s="250"/>
      <c r="AW474" s="250"/>
      <c r="AX474" s="250"/>
      <c r="AY474" s="250"/>
      <c r="AZ474" s="250"/>
      <c r="BA474" s="250"/>
      <c r="BB474" s="250"/>
      <c r="BC474" s="250"/>
      <c r="BD474" s="250"/>
      <c r="BE474" s="250"/>
      <c r="BF474" s="250"/>
      <c r="BG474" s="250"/>
      <c r="BH474" s="250"/>
      <c r="BI474" s="250"/>
      <c r="BJ474" s="250"/>
    </row>
    <row r="475" spans="1:62" ht="15.75" customHeight="1">
      <c r="A475" t="s">
        <v>83</v>
      </c>
      <c r="B475" s="7"/>
      <c r="C475" s="519" t="s">
        <v>470</v>
      </c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105" t="s">
        <v>83</v>
      </c>
      <c r="W475" s="283"/>
      <c r="X475" s="283"/>
      <c r="Y475" s="283"/>
      <c r="Z475" s="284">
        <f t="shared" si="154"/>
        <v>0</v>
      </c>
      <c r="AA475" s="337"/>
      <c r="AB475" s="338"/>
      <c r="AC475" s="284">
        <f t="shared" si="155"/>
        <v>0</v>
      </c>
      <c r="AD475" s="351"/>
      <c r="AE475" s="338"/>
      <c r="AF475" s="284">
        <f t="shared" si="156"/>
        <v>0</v>
      </c>
      <c r="AG475" s="352"/>
      <c r="AH475" s="286">
        <f t="shared" si="151"/>
        <v>0</v>
      </c>
      <c r="AI475" s="310">
        <f t="shared" si="153"/>
        <v>0</v>
      </c>
      <c r="AJ475" s="351"/>
      <c r="AK475" s="337"/>
      <c r="AL475" s="353">
        <f t="shared" si="157"/>
        <v>0</v>
      </c>
      <c r="AM475" s="354"/>
      <c r="AN475" s="286">
        <f t="shared" si="152"/>
        <v>0</v>
      </c>
      <c r="AO475" s="293">
        <f t="shared" si="158"/>
        <v>0</v>
      </c>
      <c r="AP475" s="250"/>
      <c r="AQ475" s="250"/>
      <c r="AR475" s="250"/>
      <c r="AS475" s="250"/>
      <c r="AT475" s="250"/>
      <c r="AU475" s="250"/>
      <c r="AV475" s="250"/>
      <c r="AW475" s="250"/>
      <c r="AX475" s="250"/>
      <c r="AY475" s="250"/>
      <c r="AZ475" s="250"/>
      <c r="BA475" s="250"/>
      <c r="BB475" s="250"/>
      <c r="BC475" s="250"/>
      <c r="BD475" s="250"/>
      <c r="BE475" s="250"/>
      <c r="BF475" s="250"/>
      <c r="BG475" s="250"/>
      <c r="BH475" s="250"/>
      <c r="BI475" s="250"/>
      <c r="BJ475" s="250"/>
    </row>
    <row r="476" spans="1:62" ht="15.75" hidden="1" customHeight="1">
      <c r="A476" t="s">
        <v>21</v>
      </c>
      <c r="B476" s="7"/>
      <c r="C476" s="519" t="s">
        <v>470</v>
      </c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105" t="s">
        <v>21</v>
      </c>
      <c r="W476" s="283"/>
      <c r="X476" s="283"/>
      <c r="Y476" s="283"/>
      <c r="Z476" s="284">
        <f>IFERROR(SUMIF($C:$C,$V476,F:F),0)</f>
        <v>0</v>
      </c>
      <c r="AA476" s="283"/>
      <c r="AB476" s="283"/>
      <c r="AC476" s="284">
        <f>IFERROR(SUMIF($C:$C,$V476,I:I),0)</f>
        <v>0</v>
      </c>
      <c r="AD476" s="292"/>
      <c r="AE476" s="291"/>
      <c r="AF476" s="284">
        <f>IFERROR(SUMIF($C:$C,$V476,L:L),0)</f>
        <v>0</v>
      </c>
      <c r="AG476" s="285"/>
      <c r="AH476" s="286">
        <f t="shared" si="151"/>
        <v>0</v>
      </c>
      <c r="AI476" s="287">
        <f t="shared" ref="AI476:AI478" si="159">IF(AC476=0,0,AH476/AC476)</f>
        <v>0</v>
      </c>
      <c r="AJ476" s="292"/>
      <c r="AK476" s="283"/>
      <c r="AL476" s="284">
        <f>IFERROR(SUMIF($C:$C,$V476,Q:Q),0)</f>
        <v>0</v>
      </c>
      <c r="AM476" s="354"/>
      <c r="AN476" s="286">
        <f t="shared" si="152"/>
        <v>0</v>
      </c>
      <c r="AO476" s="293">
        <f t="shared" si="158"/>
        <v>0</v>
      </c>
      <c r="AP476" s="250"/>
      <c r="AQ476" s="250"/>
      <c r="AR476" s="250"/>
      <c r="AS476" s="250"/>
      <c r="AT476" s="250"/>
      <c r="AU476" s="250"/>
      <c r="AV476" s="250"/>
      <c r="AW476" s="250"/>
      <c r="AX476" s="250"/>
      <c r="AY476" s="250"/>
      <c r="AZ476" s="250"/>
      <c r="BA476" s="250"/>
      <c r="BB476" s="250"/>
      <c r="BC476" s="250"/>
      <c r="BD476" s="250"/>
      <c r="BE476" s="250"/>
      <c r="BF476" s="250"/>
      <c r="BG476" s="250"/>
      <c r="BH476" s="250"/>
      <c r="BI476" s="250"/>
      <c r="BJ476" s="250"/>
    </row>
    <row r="477" spans="1:62" ht="15.75" hidden="1" customHeight="1">
      <c r="A477" t="s">
        <v>21</v>
      </c>
      <c r="B477" s="7"/>
      <c r="C477" s="519" t="s">
        <v>470</v>
      </c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105" t="s">
        <v>21</v>
      </c>
      <c r="W477" s="283"/>
      <c r="X477" s="283"/>
      <c r="Y477" s="283"/>
      <c r="Z477" s="284">
        <f>IFERROR(SUMIF($C:$C,$V477,F:F),0)</f>
        <v>0</v>
      </c>
      <c r="AA477" s="283"/>
      <c r="AB477" s="283"/>
      <c r="AC477" s="284">
        <f>IFERROR(SUMIF($C:$C,$V477,I:I),0)</f>
        <v>0</v>
      </c>
      <c r="AD477" s="292"/>
      <c r="AE477" s="291"/>
      <c r="AF477" s="284">
        <f>IFERROR(SUMIF($C:$C,$V477,L:L),0)</f>
        <v>0</v>
      </c>
      <c r="AG477" s="285"/>
      <c r="AH477" s="286">
        <f t="shared" si="151"/>
        <v>0</v>
      </c>
      <c r="AI477" s="287">
        <f t="shared" si="159"/>
        <v>0</v>
      </c>
      <c r="AJ477" s="292"/>
      <c r="AK477" s="283"/>
      <c r="AL477" s="284">
        <f>IFERROR(SUMIF($C:$C,$V477,Q:Q),0)</f>
        <v>0</v>
      </c>
      <c r="AM477" s="354"/>
      <c r="AN477" s="286">
        <f t="shared" si="152"/>
        <v>0</v>
      </c>
      <c r="AO477" s="293">
        <f t="shared" si="158"/>
        <v>0</v>
      </c>
      <c r="AP477" s="250"/>
      <c r="AQ477" s="250"/>
      <c r="AR477" s="250"/>
      <c r="AS477" s="250"/>
      <c r="AT477" s="250"/>
      <c r="AU477" s="250"/>
      <c r="AV477" s="250"/>
      <c r="AW477" s="250"/>
      <c r="AX477" s="250"/>
      <c r="AY477" s="250"/>
      <c r="AZ477" s="250"/>
      <c r="BA477" s="250"/>
      <c r="BB477" s="250"/>
      <c r="BC477" s="250"/>
      <c r="BD477" s="250"/>
      <c r="BE477" s="250"/>
      <c r="BF477" s="250"/>
      <c r="BG477" s="250"/>
      <c r="BH477" s="250"/>
      <c r="BI477" s="250"/>
      <c r="BJ477" s="250"/>
    </row>
    <row r="478" spans="1:62" ht="15.75" hidden="1" customHeight="1">
      <c r="A478" t="s">
        <v>21</v>
      </c>
      <c r="B478" s="7"/>
      <c r="C478" s="519" t="s">
        <v>470</v>
      </c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105" t="s">
        <v>21</v>
      </c>
      <c r="W478" s="283"/>
      <c r="X478" s="283"/>
      <c r="Y478" s="283"/>
      <c r="Z478" s="284">
        <f>IFERROR(SUMIF($C:$C,$V478,F:F),0)</f>
        <v>0</v>
      </c>
      <c r="AA478" s="283"/>
      <c r="AB478" s="283"/>
      <c r="AC478" s="284">
        <f>IFERROR(SUMIF($C:$C,$V478,I:I),0)</f>
        <v>0</v>
      </c>
      <c r="AD478" s="292"/>
      <c r="AE478" s="291"/>
      <c r="AF478" s="284">
        <f>IFERROR(SUMIF($C:$C,$V478,L:L),0)</f>
        <v>0</v>
      </c>
      <c r="AG478" s="285"/>
      <c r="AH478" s="286">
        <f t="shared" si="151"/>
        <v>0</v>
      </c>
      <c r="AI478" s="287">
        <f t="shared" si="159"/>
        <v>0</v>
      </c>
      <c r="AJ478" s="292"/>
      <c r="AK478" s="283"/>
      <c r="AL478" s="284">
        <f>IFERROR(SUMIF($C:$C,$V478,Q:Q),0)</f>
        <v>0</v>
      </c>
      <c r="AM478" s="354"/>
      <c r="AN478" s="286">
        <f t="shared" si="152"/>
        <v>0</v>
      </c>
      <c r="AO478" s="293">
        <f t="shared" si="158"/>
        <v>0</v>
      </c>
      <c r="AP478" s="250"/>
      <c r="AQ478" s="250"/>
      <c r="AR478" s="250"/>
      <c r="AS478" s="250"/>
      <c r="AT478" s="250"/>
      <c r="AU478" s="250"/>
      <c r="AV478" s="250"/>
      <c r="AW478" s="250"/>
      <c r="AX478" s="250"/>
      <c r="AY478" s="250"/>
      <c r="AZ478" s="250"/>
      <c r="BA478" s="250"/>
      <c r="BB478" s="250"/>
      <c r="BC478" s="250"/>
      <c r="BD478" s="250"/>
      <c r="BE478" s="250"/>
      <c r="BF478" s="250"/>
      <c r="BG478" s="250"/>
      <c r="BH478" s="250"/>
      <c r="BI478" s="250"/>
      <c r="BJ478" s="250"/>
    </row>
    <row r="479" spans="1:62" ht="15.75" customHeight="1">
      <c r="A479" t="s">
        <v>71</v>
      </c>
      <c r="B479" s="7"/>
      <c r="C479" s="519" t="s">
        <v>470</v>
      </c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106" t="s">
        <v>71</v>
      </c>
      <c r="W479" s="283"/>
      <c r="X479" s="283"/>
      <c r="Y479" s="283"/>
      <c r="Z479" s="284">
        <f>+SUMIF($C:$C,$V479,F:F)</f>
        <v>38572.870878744812</v>
      </c>
      <c r="AA479" s="337"/>
      <c r="AB479" s="338"/>
      <c r="AC479" s="284">
        <f>+SUMIF($C:$C,$V479,I:I)</f>
        <v>38572.870878744812</v>
      </c>
      <c r="AD479" s="533">
        <f>AF479/399</f>
        <v>78.538847117794489</v>
      </c>
      <c r="AE479" s="534">
        <f>(AF479/399)/(J13+J15+J96)</f>
        <v>0.93498627521183919</v>
      </c>
      <c r="AF479" s="284">
        <f>+SUMIF($C:$C,$V479,L:L)</f>
        <v>31337</v>
      </c>
      <c r="AG479" s="352"/>
      <c r="AH479" s="286">
        <f t="shared" si="151"/>
        <v>-7235.8708787448122</v>
      </c>
      <c r="AI479" s="310">
        <f>IF(AH479=0,0,AH479/AC479)</f>
        <v>-0.18758963784394034</v>
      </c>
      <c r="AJ479" s="351"/>
      <c r="AK479" s="337"/>
      <c r="AL479" s="353">
        <f>+SUMIF($C:$C,$V479,Q:Q)</f>
        <v>41565.699999999997</v>
      </c>
      <c r="AM479" s="354"/>
      <c r="AN479" s="286">
        <f t="shared" si="152"/>
        <v>-10228.699999999997</v>
      </c>
      <c r="AO479" s="293">
        <f t="shared" si="158"/>
        <v>-0.24608511344690448</v>
      </c>
      <c r="AP479" s="250"/>
      <c r="AQ479" s="250"/>
      <c r="AR479" s="250"/>
      <c r="AS479" s="250"/>
      <c r="AT479" s="250"/>
      <c r="AU479" s="250"/>
      <c r="AV479" s="250"/>
      <c r="AW479" s="250"/>
      <c r="AX479" s="250"/>
      <c r="AY479" s="250"/>
      <c r="AZ479" s="250"/>
      <c r="BA479" s="250"/>
      <c r="BB479" s="250"/>
      <c r="BC479" s="250"/>
      <c r="BD479" s="250"/>
      <c r="BE479" s="250"/>
      <c r="BF479" s="250"/>
      <c r="BG479" s="250"/>
      <c r="BH479" s="250"/>
      <c r="BI479" s="250"/>
      <c r="BJ479" s="250"/>
    </row>
    <row r="480" spans="1:62" ht="15.75" customHeight="1">
      <c r="A480" t="s">
        <v>185</v>
      </c>
      <c r="B480" s="7"/>
      <c r="C480" s="519" t="s">
        <v>470</v>
      </c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300" t="s">
        <v>185</v>
      </c>
      <c r="W480" s="301"/>
      <c r="X480" s="302">
        <f>Z480/+Z406</f>
        <v>0.22509607458942507</v>
      </c>
      <c r="Y480" s="334"/>
      <c r="Z480" s="303">
        <f>SUM(Z468:Z479)</f>
        <v>133208.24745705805</v>
      </c>
      <c r="AA480" s="302">
        <f>AC480/+AC406</f>
        <v>0.22509607458942507</v>
      </c>
      <c r="AB480" s="334"/>
      <c r="AC480" s="303">
        <f>SUM(AC468:AC479)</f>
        <v>133208.24745705805</v>
      </c>
      <c r="AD480" s="302">
        <f>AF480/+AF406</f>
        <v>0.1440442369882238</v>
      </c>
      <c r="AE480" s="334"/>
      <c r="AF480" s="303">
        <f>SUM(AF468:AF479)</f>
        <v>94429.64</v>
      </c>
      <c r="AG480" s="312"/>
      <c r="AH480" s="306">
        <f t="shared" si="151"/>
        <v>-38778.607457058053</v>
      </c>
      <c r="AI480" s="302">
        <f>AH480/AC480</f>
        <v>-0.29111266154566739</v>
      </c>
      <c r="AJ480" s="355"/>
      <c r="AK480" s="356"/>
      <c r="AL480" s="303">
        <f>SUM(AL468:AL479)</f>
        <v>124978.42</v>
      </c>
      <c r="AM480" s="357"/>
      <c r="AN480" s="306">
        <f t="shared" si="152"/>
        <v>-30548.78</v>
      </c>
      <c r="AO480" s="336">
        <f>IF(AL480=0,0,AN480/AL480)</f>
        <v>-0.24443243881623722</v>
      </c>
      <c r="AP480" s="250"/>
      <c r="AQ480" s="250"/>
      <c r="AR480" s="250"/>
      <c r="AS480" s="250"/>
      <c r="AT480" s="250"/>
      <c r="AU480" s="250"/>
      <c r="AV480" s="250"/>
      <c r="AW480" s="250"/>
      <c r="AX480" s="250"/>
      <c r="AY480" s="250"/>
      <c r="AZ480" s="250"/>
      <c r="BA480" s="250"/>
      <c r="BB480" s="250"/>
      <c r="BC480" s="250"/>
      <c r="BD480" s="250"/>
      <c r="BE480" s="250"/>
      <c r="BF480" s="250"/>
      <c r="BG480" s="250"/>
      <c r="BH480" s="250"/>
      <c r="BI480" s="250"/>
      <c r="BJ480" s="250"/>
    </row>
    <row r="481" spans="1:62" ht="15.75" customHeight="1" thickBot="1">
      <c r="A481" t="s">
        <v>472</v>
      </c>
      <c r="B481" s="7"/>
      <c r="C481" s="519" t="s">
        <v>470</v>
      </c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359"/>
      <c r="W481" s="360"/>
      <c r="X481" s="360"/>
      <c r="Y481" s="361"/>
      <c r="Z481" s="362"/>
      <c r="AA481" s="360"/>
      <c r="AB481" s="363"/>
      <c r="AC481" s="362"/>
      <c r="AD481" s="360"/>
      <c r="AE481" s="363"/>
      <c r="AF481" s="364"/>
      <c r="AG481" s="365"/>
      <c r="AH481" s="366"/>
      <c r="AI481" s="367"/>
      <c r="AJ481" s="368"/>
      <c r="AK481" s="369"/>
      <c r="AL481" s="364"/>
      <c r="AM481" s="370"/>
      <c r="AN481" s="366">
        <f t="shared" si="152"/>
        <v>0</v>
      </c>
      <c r="AO481" s="371">
        <f t="shared" ref="AO481" si="160">IF(AL481=0,0,AN481/AL481)</f>
        <v>0</v>
      </c>
      <c r="AP481" s="250"/>
      <c r="AQ481" s="250"/>
      <c r="AR481" s="250"/>
      <c r="AS481" s="250"/>
      <c r="AT481" s="250"/>
      <c r="AU481" s="250"/>
      <c r="AV481" s="250"/>
      <c r="AW481" s="250"/>
      <c r="AX481" s="250"/>
      <c r="AY481" s="250"/>
      <c r="AZ481" s="250"/>
      <c r="BA481" s="250"/>
      <c r="BB481" s="250"/>
      <c r="BC481" s="250"/>
      <c r="BD481" s="250"/>
      <c r="BE481" s="250"/>
      <c r="BF481" s="250"/>
      <c r="BG481" s="250"/>
      <c r="BH481" s="250"/>
      <c r="BI481" s="250"/>
      <c r="BJ481" s="250"/>
    </row>
    <row r="482" spans="1:62" ht="15.75" customHeight="1" thickTop="1" thickBot="1">
      <c r="A482" t="s">
        <v>186</v>
      </c>
      <c r="B482" s="7"/>
      <c r="C482" s="519" t="s">
        <v>470</v>
      </c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372" t="s">
        <v>186</v>
      </c>
      <c r="W482" s="373"/>
      <c r="X482" s="374" t="s">
        <v>187</v>
      </c>
      <c r="Y482" s="375">
        <f>Z482/Z405</f>
        <v>3.4528608844520553E-2</v>
      </c>
      <c r="Z482" s="376">
        <f>Z406-Z467+Z480</f>
        <v>159704.26656084554</v>
      </c>
      <c r="AA482" s="374" t="s">
        <v>187</v>
      </c>
      <c r="AB482" s="375">
        <f>AC482/AC405</f>
        <v>3.4528608844520553E-2</v>
      </c>
      <c r="AC482" s="376">
        <f>AC406-AC467+AC480</f>
        <v>159704.26656084554</v>
      </c>
      <c r="AD482" s="374" t="s">
        <v>187</v>
      </c>
      <c r="AE482" s="375">
        <f>AF482/AF405</f>
        <v>3.7670268692609893E-2</v>
      </c>
      <c r="AF482" s="377">
        <f>AF406-AF467+AF480</f>
        <v>191244.26</v>
      </c>
      <c r="AG482" s="378"/>
      <c r="AH482" s="378">
        <f>AF482-AC482</f>
        <v>31539.993439154467</v>
      </c>
      <c r="AI482" s="379">
        <f>AH482/AC482</f>
        <v>0.19748998645028737</v>
      </c>
      <c r="AJ482" s="380" t="s">
        <v>187</v>
      </c>
      <c r="AK482" s="375">
        <f>IF($AL$405=0,0,AL482/$AL$405)</f>
        <v>4.1968334773458724E-2</v>
      </c>
      <c r="AL482" s="377">
        <f>AL406-AL467+AL480</f>
        <v>244698.27999999974</v>
      </c>
      <c r="AM482" s="381"/>
      <c r="AN482" s="377">
        <f t="shared" si="152"/>
        <v>-53454.019999999728</v>
      </c>
      <c r="AO482" s="382">
        <f>IF(AL482=0,0,AN482/AL482)</f>
        <v>-0.2184486952666761</v>
      </c>
      <c r="AP482" s="250"/>
      <c r="AQ482" s="250"/>
      <c r="AR482" s="250"/>
      <c r="AS482" s="250"/>
      <c r="AT482" s="250"/>
      <c r="AU482" s="250"/>
      <c r="AV482" s="250"/>
      <c r="AW482" s="250"/>
      <c r="AX482" s="250"/>
      <c r="AY482" s="250"/>
      <c r="AZ482" s="250"/>
      <c r="BA482" s="250"/>
      <c r="BB482" s="250"/>
      <c r="BC482" s="250"/>
      <c r="BD482" s="250"/>
      <c r="BE482" s="250"/>
      <c r="BF482" s="250"/>
      <c r="BG482" s="250"/>
      <c r="BH482" s="250"/>
      <c r="BI482" s="250"/>
      <c r="BJ482" s="250"/>
    </row>
    <row r="483" spans="1:62" ht="15.75" customHeight="1" thickTop="1">
      <c r="A483" t="s">
        <v>472</v>
      </c>
      <c r="B483" s="7"/>
      <c r="C483" s="519" t="s">
        <v>470</v>
      </c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83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0"/>
      <c r="AQ483" s="250"/>
      <c r="AR483" s="250"/>
      <c r="AS483" s="250"/>
      <c r="AT483" s="250"/>
      <c r="AU483" s="250"/>
      <c r="AV483" s="250"/>
      <c r="AW483" s="250"/>
      <c r="AX483" s="250"/>
      <c r="AY483" s="250"/>
      <c r="AZ483" s="250"/>
      <c r="BA483" s="250"/>
      <c r="BB483" s="250"/>
      <c r="BC483" s="250"/>
      <c r="BD483" s="250"/>
      <c r="BE483" s="250"/>
      <c r="BF483" s="250"/>
      <c r="BG483" s="250"/>
      <c r="BH483" s="250"/>
      <c r="BI483" s="250"/>
      <c r="BJ483" s="250"/>
    </row>
    <row r="484" spans="1:62" ht="35.25" customHeight="1">
      <c r="A484" t="s">
        <v>227</v>
      </c>
      <c r="B484" s="7"/>
      <c r="C484" s="519" t="s">
        <v>470</v>
      </c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59"/>
      <c r="AK484" s="2"/>
      <c r="AL484" s="1"/>
      <c r="AM484" s="6"/>
      <c r="AN484" s="6"/>
      <c r="AO484" s="5" t="str">
        <f>$S$1</f>
        <v>Réalisé, Septembre 2022</v>
      </c>
      <c r="AP484" s="250"/>
      <c r="AQ484" s="250"/>
      <c r="AR484" s="250"/>
      <c r="AS484" s="250"/>
      <c r="AT484" s="250"/>
      <c r="AU484" s="250"/>
      <c r="AV484" s="250"/>
      <c r="AW484" s="250"/>
      <c r="AX484" s="250"/>
      <c r="AY484" s="250"/>
      <c r="AZ484" s="250"/>
      <c r="BA484" s="250"/>
      <c r="BB484" s="250"/>
      <c r="BC484" s="250"/>
      <c r="BD484" s="250"/>
      <c r="BE484" s="250"/>
      <c r="BF484" s="250"/>
      <c r="BG484" s="250"/>
      <c r="BH484" s="250"/>
      <c r="BI484" s="250"/>
      <c r="BJ484" s="250"/>
    </row>
    <row r="485" spans="1:62" ht="15.75" customHeight="1">
      <c r="A485" t="s">
        <v>472</v>
      </c>
      <c r="B485" s="7"/>
      <c r="C485" s="519" t="s">
        <v>470</v>
      </c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83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0"/>
      <c r="AQ485" s="250"/>
      <c r="AR485" s="250"/>
      <c r="AS485" s="250"/>
      <c r="AT485" s="250"/>
      <c r="AU485" s="250"/>
      <c r="AV485" s="250"/>
      <c r="AW485" s="250"/>
      <c r="AX485" s="250"/>
      <c r="AY485" s="250"/>
      <c r="AZ485" s="250"/>
      <c r="BA485" s="250"/>
      <c r="BB485" s="250"/>
      <c r="BC485" s="250"/>
      <c r="BD485" s="250"/>
      <c r="BE485" s="250"/>
      <c r="BF485" s="250"/>
      <c r="BG485" s="250"/>
      <c r="BH485" s="250"/>
      <c r="BI485" s="250"/>
      <c r="BJ485" s="250"/>
    </row>
    <row r="486" spans="1:62" ht="15.75" customHeight="1">
      <c r="A486" t="s">
        <v>472</v>
      </c>
      <c r="B486" s="7"/>
      <c r="C486" s="519" t="s">
        <v>470</v>
      </c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83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0"/>
      <c r="AQ486" s="250"/>
      <c r="AR486" s="250"/>
      <c r="AS486" s="250"/>
      <c r="AT486" s="250"/>
      <c r="AU486" s="250"/>
      <c r="AV486" s="250"/>
      <c r="AW486" s="250"/>
      <c r="AX486" s="250"/>
      <c r="AY486" s="250"/>
      <c r="AZ486" s="250"/>
      <c r="BA486" s="250"/>
      <c r="BB486" s="250"/>
      <c r="BC486" s="250"/>
      <c r="BD486" s="250"/>
      <c r="BE486" s="250"/>
      <c r="BF486" s="250"/>
      <c r="BG486" s="250"/>
      <c r="BH486" s="250"/>
      <c r="BI486" s="250"/>
      <c r="BJ486" s="250"/>
    </row>
    <row r="487" spans="1:62" ht="15.75" customHeight="1" thickBot="1">
      <c r="A487" t="s">
        <v>472</v>
      </c>
      <c r="B487" s="7"/>
      <c r="C487" s="519" t="s">
        <v>470</v>
      </c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83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0"/>
      <c r="AQ487" s="250"/>
      <c r="AR487" s="250"/>
      <c r="AS487" s="250"/>
      <c r="AT487" s="250"/>
      <c r="AU487" s="250"/>
      <c r="AV487" s="250"/>
      <c r="AW487" s="250"/>
      <c r="AX487" s="250"/>
      <c r="AY487" s="250"/>
      <c r="AZ487" s="250"/>
      <c r="BA487" s="250"/>
      <c r="BB487" s="250"/>
      <c r="BC487" s="250"/>
      <c r="BD487" s="250"/>
      <c r="BE487" s="250"/>
      <c r="BF487" s="250"/>
      <c r="BG487" s="250"/>
      <c r="BH487" s="250"/>
      <c r="BI487" s="250"/>
      <c r="BJ487" s="250"/>
    </row>
    <row r="488" spans="1:62" ht="15.75" customHeight="1" thickTop="1" thickBot="1">
      <c r="A488" t="s">
        <v>186</v>
      </c>
      <c r="B488" s="7"/>
      <c r="C488" s="519" t="s">
        <v>470</v>
      </c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384" t="s">
        <v>186</v>
      </c>
      <c r="W488" s="385"/>
      <c r="X488" s="386" t="s">
        <v>187</v>
      </c>
      <c r="Y488" s="387">
        <f>Z488/Z405</f>
        <v>3.4528608844520553E-2</v>
      </c>
      <c r="Z488" s="388">
        <f>Z482</f>
        <v>159704.26656084554</v>
      </c>
      <c r="AA488" s="386" t="s">
        <v>187</v>
      </c>
      <c r="AB488" s="387">
        <f>AC488/AC405</f>
        <v>3.4528608844520553E-2</v>
      </c>
      <c r="AC488" s="388">
        <f>AC482</f>
        <v>159704.26656084554</v>
      </c>
      <c r="AD488" s="386" t="s">
        <v>187</v>
      </c>
      <c r="AE488" s="387">
        <f>AF488/AF405</f>
        <v>3.7670268692609893E-2</v>
      </c>
      <c r="AF488" s="388">
        <f>AF482</f>
        <v>191244.26</v>
      </c>
      <c r="AG488" s="389"/>
      <c r="AH488" s="378">
        <f>AF488-AC488</f>
        <v>31539.993439154467</v>
      </c>
      <c r="AI488" s="379">
        <f>AH488/AC488</f>
        <v>0.19748998645028737</v>
      </c>
      <c r="AJ488" s="386" t="s">
        <v>187</v>
      </c>
      <c r="AK488" s="387">
        <f>IF($AL$405=0,0,AL488/$AL$405)</f>
        <v>4.1968334773458724E-2</v>
      </c>
      <c r="AL488" s="390">
        <f>AL482</f>
        <v>244698.27999999974</v>
      </c>
      <c r="AM488" s="391"/>
      <c r="AN488" s="392">
        <f>AF488-AL488</f>
        <v>-53454.019999999728</v>
      </c>
      <c r="AO488" s="393">
        <f>IF(AL488=0,0,AN488/AL488)</f>
        <v>-0.2184486952666761</v>
      </c>
      <c r="AP488" s="250"/>
      <c r="AQ488" s="250"/>
      <c r="AR488" s="250"/>
      <c r="AS488" s="250"/>
      <c r="AT488" s="250"/>
      <c r="AU488" s="250"/>
      <c r="AV488" s="250"/>
      <c r="AW488" s="250"/>
      <c r="AX488" s="250"/>
      <c r="AY488" s="250"/>
      <c r="AZ488" s="250"/>
      <c r="BA488" s="250"/>
      <c r="BB488" s="250"/>
      <c r="BC488" s="250"/>
      <c r="BD488" s="250"/>
      <c r="BE488" s="250"/>
      <c r="BF488" s="250"/>
      <c r="BG488" s="250"/>
      <c r="BH488" s="250"/>
      <c r="BI488" s="250"/>
      <c r="BJ488" s="250"/>
    </row>
    <row r="489" spans="1:62" ht="15.75" customHeight="1" thickTop="1">
      <c r="A489" t="s">
        <v>472</v>
      </c>
      <c r="B489" s="7"/>
      <c r="C489" s="519" t="s">
        <v>470</v>
      </c>
      <c r="D489" s="250"/>
      <c r="E489" s="250"/>
      <c r="F489" s="314"/>
      <c r="G489" s="250"/>
      <c r="H489" s="250"/>
      <c r="I489" s="314"/>
      <c r="J489" s="250"/>
      <c r="K489" s="250"/>
      <c r="L489" s="250"/>
      <c r="M489" s="314"/>
      <c r="N489" s="250"/>
      <c r="O489" s="250"/>
      <c r="P489" s="250"/>
      <c r="Q489" s="314"/>
      <c r="R489" s="314"/>
      <c r="S489" s="314"/>
      <c r="T489" s="339"/>
      <c r="U489" s="339"/>
      <c r="V489" s="394"/>
      <c r="W489" s="250"/>
      <c r="X489" s="250"/>
      <c r="Y489" s="250"/>
      <c r="Z489" s="395"/>
      <c r="AA489" s="250"/>
      <c r="AB489" s="250"/>
      <c r="AC489" s="396"/>
      <c r="AD489" s="250"/>
      <c r="AE489" s="250"/>
      <c r="AF489" s="396"/>
      <c r="AG489" s="250"/>
      <c r="AH489" s="250"/>
      <c r="AI489" s="396"/>
      <c r="AJ489" s="250"/>
      <c r="AK489" s="250"/>
      <c r="AL489" s="397"/>
      <c r="AM489" s="398"/>
      <c r="AN489" s="250"/>
      <c r="AO489" s="399"/>
      <c r="AP489" s="250"/>
      <c r="AQ489" s="250"/>
      <c r="AR489" s="250"/>
      <c r="AS489" s="250"/>
      <c r="AT489" s="250"/>
      <c r="AU489" s="250"/>
      <c r="AV489" s="250"/>
      <c r="AW489" s="250"/>
      <c r="AX489" s="250"/>
      <c r="AY489" s="250"/>
      <c r="AZ489" s="250"/>
      <c r="BA489" s="250"/>
      <c r="BB489" s="250"/>
      <c r="BC489" s="250"/>
      <c r="BD489" s="250"/>
      <c r="BE489" s="250"/>
      <c r="BF489" s="250"/>
      <c r="BG489" s="250"/>
      <c r="BH489" s="250"/>
      <c r="BI489" s="250"/>
      <c r="BJ489" s="250"/>
    </row>
    <row r="490" spans="1:62" ht="15.75" customHeight="1">
      <c r="A490" t="s">
        <v>189</v>
      </c>
      <c r="B490" s="7"/>
      <c r="C490" s="519" t="s">
        <v>470</v>
      </c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105" t="s">
        <v>189</v>
      </c>
      <c r="W490" s="290"/>
      <c r="X490" s="283"/>
      <c r="Y490" s="291"/>
      <c r="Z490" s="284">
        <v>7468.25</v>
      </c>
      <c r="AA490" s="283"/>
      <c r="AB490" s="291"/>
      <c r="AC490" s="284">
        <v>7468.25</v>
      </c>
      <c r="AD490" s="283"/>
      <c r="AE490" s="291"/>
      <c r="AF490" s="284">
        <v>4314.5</v>
      </c>
      <c r="AG490" s="283"/>
      <c r="AH490" s="286">
        <f t="shared" ref="AH490:AH496" si="161">AF490-AC490</f>
        <v>-3153.75</v>
      </c>
      <c r="AI490" s="310">
        <f>IF(AC490=0,0,AH490/AC490)</f>
        <v>-0.42228768453118198</v>
      </c>
      <c r="AJ490" s="283"/>
      <c r="AK490" s="283"/>
      <c r="AL490" s="284">
        <v>4314.5</v>
      </c>
      <c r="AM490" s="288"/>
      <c r="AN490" s="286">
        <f t="shared" ref="AN490:AN496" si="162">AF490-AL490</f>
        <v>0</v>
      </c>
      <c r="AO490" s="293">
        <f>IF(AL490=0,0,AN490/AL490)</f>
        <v>0</v>
      </c>
      <c r="AP490" s="250"/>
      <c r="AQ490" s="250"/>
      <c r="AR490" s="250"/>
      <c r="AS490" s="250"/>
      <c r="AT490" s="250"/>
      <c r="AU490" s="250"/>
      <c r="AV490" s="250"/>
      <c r="AW490" s="250"/>
      <c r="AX490" s="250"/>
      <c r="AY490" s="250"/>
      <c r="AZ490" s="250"/>
      <c r="BA490" s="250"/>
      <c r="BB490" s="250"/>
      <c r="BC490" s="250"/>
      <c r="BD490" s="250"/>
      <c r="BE490" s="250"/>
      <c r="BF490" s="250"/>
      <c r="BG490" s="250"/>
      <c r="BH490" s="250"/>
      <c r="BI490" s="250"/>
      <c r="BJ490" s="250"/>
    </row>
    <row r="491" spans="1:62" ht="15.75" customHeight="1">
      <c r="A491" t="s">
        <v>190</v>
      </c>
      <c r="B491" s="7"/>
      <c r="C491" s="519" t="s">
        <v>470</v>
      </c>
      <c r="D491" s="250"/>
      <c r="E491" s="250"/>
      <c r="F491" s="314"/>
      <c r="G491" s="250"/>
      <c r="H491" s="250"/>
      <c r="I491" s="314"/>
      <c r="J491" s="250"/>
      <c r="K491" s="250"/>
      <c r="L491" s="250"/>
      <c r="M491" s="314"/>
      <c r="N491" s="250"/>
      <c r="O491" s="250"/>
      <c r="P491" s="250"/>
      <c r="Q491" s="314"/>
      <c r="R491" s="314"/>
      <c r="S491" s="314"/>
      <c r="T491" s="250"/>
      <c r="U491" s="250"/>
      <c r="V491" s="105" t="s">
        <v>190</v>
      </c>
      <c r="W491" s="11"/>
      <c r="X491" s="11"/>
      <c r="Y491" s="11"/>
      <c r="Z491" s="284">
        <v>0</v>
      </c>
      <c r="AA491" s="11"/>
      <c r="AB491" s="11"/>
      <c r="AC491" s="284">
        <v>0</v>
      </c>
      <c r="AD491" s="11"/>
      <c r="AE491" s="14"/>
      <c r="AF491" s="284">
        <v>0</v>
      </c>
      <c r="AG491" s="11"/>
      <c r="AH491" s="286">
        <f t="shared" si="161"/>
        <v>0</v>
      </c>
      <c r="AI491" s="310">
        <f t="shared" ref="AI491:AI496" si="163">IF(AC491=0,0,AH491/AC491)</f>
        <v>0</v>
      </c>
      <c r="AJ491" s="11"/>
      <c r="AK491" s="11"/>
      <c r="AL491" s="284">
        <v>-40.97</v>
      </c>
      <c r="AM491" s="400"/>
      <c r="AN491" s="286">
        <f t="shared" si="162"/>
        <v>40.97</v>
      </c>
      <c r="AO491" s="293">
        <f t="shared" ref="AO491:AO496" si="164">IF(AL491=0,0,AN491/AL491)</f>
        <v>-1</v>
      </c>
      <c r="AP491" s="250"/>
      <c r="AQ491" s="250"/>
      <c r="AR491" s="250"/>
      <c r="AS491" s="250"/>
      <c r="AT491" s="250"/>
      <c r="AU491" s="250"/>
      <c r="AV491" s="250"/>
      <c r="AW491" s="250"/>
      <c r="AX491" s="250"/>
      <c r="AY491" s="250"/>
      <c r="AZ491" s="250"/>
      <c r="BA491" s="250"/>
      <c r="BB491" s="250"/>
      <c r="BC491" s="250"/>
      <c r="BD491" s="250"/>
      <c r="BE491" s="250"/>
      <c r="BF491" s="250"/>
      <c r="BG491" s="250"/>
      <c r="BH491" s="250"/>
      <c r="BI491" s="250"/>
      <c r="BJ491" s="250"/>
    </row>
    <row r="492" spans="1:62" ht="15.75" customHeight="1">
      <c r="A492" t="s">
        <v>191</v>
      </c>
      <c r="B492" s="7"/>
      <c r="C492" s="519" t="s">
        <v>470</v>
      </c>
      <c r="D492" s="250"/>
      <c r="E492" s="250"/>
      <c r="F492" s="314"/>
      <c r="G492" s="250"/>
      <c r="H492" s="250"/>
      <c r="I492" s="314"/>
      <c r="J492" s="250"/>
      <c r="K492" s="250"/>
      <c r="L492" s="250"/>
      <c r="M492" s="314"/>
      <c r="N492" s="250"/>
      <c r="O492" s="250"/>
      <c r="P492" s="250"/>
      <c r="Q492" s="314"/>
      <c r="R492" s="314"/>
      <c r="S492" s="314"/>
      <c r="T492" s="250"/>
      <c r="U492" s="250"/>
      <c r="V492" s="105" t="s">
        <v>191</v>
      </c>
      <c r="W492" s="14"/>
      <c r="X492" s="14"/>
      <c r="Y492" s="14"/>
      <c r="Z492" s="284">
        <v>415.81</v>
      </c>
      <c r="AA492" s="11"/>
      <c r="AB492" s="11"/>
      <c r="AC492" s="284">
        <v>415.81</v>
      </c>
      <c r="AD492" s="11"/>
      <c r="AE492" s="14"/>
      <c r="AF492" s="284">
        <v>426.79</v>
      </c>
      <c r="AG492" s="11"/>
      <c r="AH492" s="286">
        <f t="shared" si="161"/>
        <v>10.980000000000018</v>
      </c>
      <c r="AI492" s="310">
        <f t="shared" si="163"/>
        <v>2.6406291334984771E-2</v>
      </c>
      <c r="AJ492" s="11"/>
      <c r="AK492" s="11"/>
      <c r="AL492" s="284">
        <v>570.58999999999992</v>
      </c>
      <c r="AM492" s="400"/>
      <c r="AN492" s="286">
        <f t="shared" si="162"/>
        <v>-143.7999999999999</v>
      </c>
      <c r="AO492" s="293">
        <f t="shared" si="164"/>
        <v>-0.25201983911389952</v>
      </c>
      <c r="AP492" s="250"/>
      <c r="AQ492" s="250"/>
      <c r="AR492" s="250"/>
      <c r="AS492" s="250"/>
      <c r="AT492" s="250"/>
      <c r="AU492" s="250"/>
      <c r="AV492" s="250"/>
      <c r="AW492" s="250"/>
      <c r="AX492" s="250"/>
      <c r="AY492" s="250"/>
      <c r="AZ492" s="250"/>
      <c r="BA492" s="250"/>
      <c r="BB492" s="250"/>
      <c r="BC492" s="250"/>
      <c r="BD492" s="250"/>
      <c r="BE492" s="250"/>
      <c r="BF492" s="250"/>
      <c r="BG492" s="250"/>
      <c r="BH492" s="250"/>
      <c r="BI492" s="250"/>
      <c r="BJ492" s="250"/>
    </row>
    <row r="493" spans="1:62" ht="15.75" customHeight="1" thickBot="1">
      <c r="A493" t="s">
        <v>192</v>
      </c>
      <c r="B493" s="7"/>
      <c r="C493" s="519" t="s">
        <v>470</v>
      </c>
      <c r="D493" s="250"/>
      <c r="E493" s="250"/>
      <c r="F493" s="314"/>
      <c r="G493" s="250"/>
      <c r="H493" s="250"/>
      <c r="I493" s="314"/>
      <c r="J493" s="250"/>
      <c r="K493" s="250"/>
      <c r="L493" s="250"/>
      <c r="M493" s="314"/>
      <c r="N493" s="250"/>
      <c r="O493" s="250"/>
      <c r="P493" s="250"/>
      <c r="Q493" s="314"/>
      <c r="R493" s="314"/>
      <c r="S493" s="314"/>
      <c r="T493" s="250"/>
      <c r="U493" s="250"/>
      <c r="V493" s="105" t="s">
        <v>192</v>
      </c>
      <c r="W493" s="14"/>
      <c r="X493" s="14"/>
      <c r="Y493" s="14"/>
      <c r="Z493" s="284">
        <v>0</v>
      </c>
      <c r="AA493" s="11"/>
      <c r="AB493" s="11"/>
      <c r="AC493" s="284">
        <v>0</v>
      </c>
      <c r="AD493" s="11"/>
      <c r="AE493" s="14"/>
      <c r="AF493" s="284">
        <v>0</v>
      </c>
      <c r="AG493" s="11"/>
      <c r="AH493" s="286">
        <f t="shared" si="161"/>
        <v>0</v>
      </c>
      <c r="AI493" s="310">
        <f t="shared" si="163"/>
        <v>0</v>
      </c>
      <c r="AJ493" s="11"/>
      <c r="AK493" s="11"/>
      <c r="AL493" s="284">
        <v>0</v>
      </c>
      <c r="AM493" s="400"/>
      <c r="AN493" s="286">
        <f t="shared" si="162"/>
        <v>0</v>
      </c>
      <c r="AO493" s="293">
        <f t="shared" si="164"/>
        <v>0</v>
      </c>
      <c r="AP493" s="250"/>
      <c r="AQ493" s="250"/>
      <c r="AR493" s="250"/>
      <c r="AS493" s="250"/>
      <c r="AT493" s="250"/>
      <c r="AU493" s="250"/>
      <c r="AV493" s="250"/>
      <c r="AW493" s="250"/>
      <c r="AX493" s="250"/>
      <c r="AY493" s="250"/>
      <c r="AZ493" s="250"/>
      <c r="BA493" s="250"/>
      <c r="BB493" s="250"/>
      <c r="BC493" s="250"/>
      <c r="BD493" s="250"/>
      <c r="BE493" s="250"/>
      <c r="BF493" s="250"/>
      <c r="BG493" s="250"/>
      <c r="BH493" s="250"/>
      <c r="BI493" s="250"/>
      <c r="BJ493" s="250"/>
    </row>
    <row r="494" spans="1:62" ht="15.75" hidden="1" customHeight="1">
      <c r="A494" t="s">
        <v>21</v>
      </c>
      <c r="B494" s="7"/>
      <c r="C494" s="519" t="s">
        <v>470</v>
      </c>
      <c r="D494" s="250"/>
      <c r="E494" s="250"/>
      <c r="F494" s="314"/>
      <c r="G494" s="250"/>
      <c r="H494" s="250"/>
      <c r="I494" s="314"/>
      <c r="J494" s="250"/>
      <c r="K494" s="250"/>
      <c r="L494" s="250"/>
      <c r="M494" s="314"/>
      <c r="N494" s="250"/>
      <c r="O494" s="250"/>
      <c r="P494" s="250"/>
      <c r="Q494" s="314"/>
      <c r="R494" s="314"/>
      <c r="S494" s="314"/>
      <c r="T494" s="250"/>
      <c r="U494" s="250"/>
      <c r="V494" s="105" t="s">
        <v>21</v>
      </c>
      <c r="W494" s="14"/>
      <c r="X494" s="14"/>
      <c r="Y494" s="14"/>
      <c r="Z494" s="284">
        <f>IFERROR(SUMIF($C:$C,$V494,F:F),0)</f>
        <v>0</v>
      </c>
      <c r="AA494" s="283"/>
      <c r="AB494" s="283"/>
      <c r="AC494" s="284">
        <f>IFERROR(SUMIF($C:$C,$V494,I:I),0)</f>
        <v>0</v>
      </c>
      <c r="AD494" s="292"/>
      <c r="AE494" s="291"/>
      <c r="AF494" s="284">
        <f>IFERROR(SUMIF($C:$C,$V494,L:L),0)</f>
        <v>0</v>
      </c>
      <c r="AG494" s="285"/>
      <c r="AH494" s="286">
        <f t="shared" si="161"/>
        <v>0</v>
      </c>
      <c r="AI494" s="287">
        <f t="shared" si="163"/>
        <v>0</v>
      </c>
      <c r="AJ494" s="292"/>
      <c r="AK494" s="283"/>
      <c r="AL494" s="284">
        <f>IFERROR(SUMIF($C:$C,$V494,Q:Q),0)</f>
        <v>0</v>
      </c>
      <c r="AM494" s="400"/>
      <c r="AN494" s="286">
        <f t="shared" si="162"/>
        <v>0</v>
      </c>
      <c r="AO494" s="293">
        <f t="shared" si="164"/>
        <v>0</v>
      </c>
      <c r="AP494" s="250"/>
      <c r="AQ494" s="250"/>
      <c r="AR494" s="250"/>
      <c r="AS494" s="250"/>
      <c r="AT494" s="250"/>
      <c r="AU494" s="250"/>
      <c r="AV494" s="250"/>
      <c r="AW494" s="250"/>
      <c r="AX494" s="250"/>
      <c r="AY494" s="250"/>
      <c r="AZ494" s="250"/>
      <c r="BA494" s="250"/>
      <c r="BB494" s="250"/>
      <c r="BC494" s="250"/>
      <c r="BD494" s="250"/>
      <c r="BE494" s="250"/>
      <c r="BF494" s="250"/>
      <c r="BG494" s="250"/>
      <c r="BH494" s="250"/>
      <c r="BI494" s="250"/>
      <c r="BJ494" s="250"/>
    </row>
    <row r="495" spans="1:62" ht="15.75" hidden="1" customHeight="1">
      <c r="A495" t="s">
        <v>21</v>
      </c>
      <c r="B495" s="7"/>
      <c r="C495" s="519" t="s">
        <v>470</v>
      </c>
      <c r="D495" s="250"/>
      <c r="E495" s="250"/>
      <c r="F495" s="314"/>
      <c r="G495" s="250"/>
      <c r="H495" s="250"/>
      <c r="I495" s="314"/>
      <c r="J495" s="250"/>
      <c r="K495" s="250"/>
      <c r="L495" s="250"/>
      <c r="M495" s="314"/>
      <c r="N495" s="250"/>
      <c r="O495" s="250"/>
      <c r="P495" s="250"/>
      <c r="Q495" s="314"/>
      <c r="R495" s="314"/>
      <c r="S495" s="314"/>
      <c r="T495" s="250"/>
      <c r="U495" s="250"/>
      <c r="V495" s="105" t="s">
        <v>21</v>
      </c>
      <c r="W495" s="14"/>
      <c r="X495" s="14"/>
      <c r="Y495" s="14"/>
      <c r="Z495" s="284">
        <f>IFERROR(SUMIF($C:$C,$V495,F:F),0)</f>
        <v>0</v>
      </c>
      <c r="AA495" s="283"/>
      <c r="AB495" s="283"/>
      <c r="AC495" s="284">
        <f>IFERROR(SUMIF($C:$C,$V495,I:I),0)</f>
        <v>0</v>
      </c>
      <c r="AD495" s="292"/>
      <c r="AE495" s="291"/>
      <c r="AF495" s="284">
        <f>IFERROR(SUMIF($C:$C,$V495,L:L),0)</f>
        <v>0</v>
      </c>
      <c r="AG495" s="285"/>
      <c r="AH495" s="286">
        <f t="shared" si="161"/>
        <v>0</v>
      </c>
      <c r="AI495" s="287">
        <f t="shared" si="163"/>
        <v>0</v>
      </c>
      <c r="AJ495" s="292"/>
      <c r="AK495" s="283"/>
      <c r="AL495" s="284">
        <f>IFERROR(SUMIF($C:$C,$V495,Q:Q),0)</f>
        <v>0</v>
      </c>
      <c r="AM495" s="400"/>
      <c r="AN495" s="286">
        <f t="shared" si="162"/>
        <v>0</v>
      </c>
      <c r="AO495" s="293">
        <f t="shared" si="164"/>
        <v>0</v>
      </c>
      <c r="AP495" s="250"/>
      <c r="AQ495" s="250"/>
      <c r="AR495" s="250"/>
      <c r="AS495" s="250"/>
      <c r="AT495" s="250"/>
      <c r="AU495" s="250"/>
      <c r="AV495" s="250"/>
      <c r="AW495" s="250"/>
      <c r="AX495" s="250"/>
      <c r="AY495" s="250"/>
      <c r="AZ495" s="250"/>
      <c r="BA495" s="250"/>
      <c r="BB495" s="250"/>
      <c r="BC495" s="250"/>
      <c r="BD495" s="250"/>
      <c r="BE495" s="250"/>
      <c r="BF495" s="250"/>
      <c r="BG495" s="250"/>
      <c r="BH495" s="250"/>
      <c r="BI495" s="250"/>
      <c r="BJ495" s="250"/>
    </row>
    <row r="496" spans="1:62" ht="15.75" hidden="1" customHeight="1" thickBot="1">
      <c r="A496" t="s">
        <v>21</v>
      </c>
      <c r="B496" s="7"/>
      <c r="C496" s="519" t="s">
        <v>470</v>
      </c>
      <c r="D496" s="250"/>
      <c r="E496" s="250"/>
      <c r="F496" s="314"/>
      <c r="G496" s="250"/>
      <c r="H496" s="250"/>
      <c r="I496" s="314"/>
      <c r="J496" s="250"/>
      <c r="K496" s="250"/>
      <c r="L496" s="250"/>
      <c r="M496" s="314"/>
      <c r="N496" s="250"/>
      <c r="O496" s="250"/>
      <c r="P496" s="250"/>
      <c r="Q496" s="314"/>
      <c r="R496" s="314"/>
      <c r="S496" s="314"/>
      <c r="T496" s="250"/>
      <c r="U496" s="250"/>
      <c r="V496" s="105" t="s">
        <v>21</v>
      </c>
      <c r="W496" s="14"/>
      <c r="X496" s="250"/>
      <c r="Y496" s="14"/>
      <c r="Z496" s="284">
        <f>IFERROR(SUMIF($C:$C,$V496,F:F),0)</f>
        <v>0</v>
      </c>
      <c r="AA496" s="283"/>
      <c r="AB496" s="283"/>
      <c r="AC496" s="284">
        <f>IFERROR(SUMIF($C:$C,$V496,I:I),0)</f>
        <v>0</v>
      </c>
      <c r="AD496" s="292"/>
      <c r="AE496" s="291"/>
      <c r="AF496" s="284">
        <f>IFERROR(SUMIF($C:$C,$V496,L:L),0)</f>
        <v>0</v>
      </c>
      <c r="AG496" s="285"/>
      <c r="AH496" s="286">
        <f t="shared" si="161"/>
        <v>0</v>
      </c>
      <c r="AI496" s="287">
        <f t="shared" si="163"/>
        <v>0</v>
      </c>
      <c r="AJ496" s="292"/>
      <c r="AK496" s="283"/>
      <c r="AL496" s="284">
        <f>IFERROR(SUMIF($C:$C,$V496,Q:Q),0)</f>
        <v>0</v>
      </c>
      <c r="AM496" s="400"/>
      <c r="AN496" s="286">
        <f t="shared" si="162"/>
        <v>0</v>
      </c>
      <c r="AO496" s="293">
        <f t="shared" si="164"/>
        <v>0</v>
      </c>
      <c r="AP496" s="250"/>
      <c r="AQ496" s="250"/>
      <c r="AR496" s="250"/>
      <c r="AS496" s="250"/>
      <c r="AT496" s="250"/>
      <c r="AU496" s="250"/>
      <c r="AV496" s="250"/>
      <c r="AW496" s="250"/>
      <c r="AX496" s="250"/>
      <c r="AY496" s="250"/>
      <c r="AZ496" s="250"/>
      <c r="BA496" s="250"/>
      <c r="BB496" s="250"/>
      <c r="BC496" s="250"/>
      <c r="BD496" s="250"/>
      <c r="BE496" s="250"/>
      <c r="BF496" s="250"/>
      <c r="BG496" s="250"/>
      <c r="BH496" s="250"/>
      <c r="BI496" s="250"/>
      <c r="BJ496" s="250"/>
    </row>
    <row r="497" spans="1:62" ht="15.75" customHeight="1" thickTop="1" thickBot="1">
      <c r="A497" t="s">
        <v>194</v>
      </c>
      <c r="B497" s="7"/>
      <c r="C497" s="519" t="s">
        <v>470</v>
      </c>
      <c r="D497" s="250"/>
      <c r="E497" s="250"/>
      <c r="F497" s="314"/>
      <c r="G497" s="250"/>
      <c r="H497" s="250"/>
      <c r="I497" s="314"/>
      <c r="J497" s="250"/>
      <c r="K497" s="250"/>
      <c r="L497" s="250"/>
      <c r="M497" s="314"/>
      <c r="N497" s="250"/>
      <c r="O497" s="250"/>
      <c r="P497" s="250"/>
      <c r="Q497" s="314"/>
      <c r="R497" s="314"/>
      <c r="S497" s="314"/>
      <c r="T497" s="250"/>
      <c r="U497" s="250"/>
      <c r="V497" s="372" t="s">
        <v>194</v>
      </c>
      <c r="W497" s="373"/>
      <c r="X497" s="374" t="s">
        <v>187</v>
      </c>
      <c r="Y497" s="375">
        <f>Z497/Z405</f>
        <v>3.2824048097904457E-2</v>
      </c>
      <c r="Z497" s="376">
        <f>Z488-Z490-Z491-Z492-Z496</f>
        <v>151820.20656084555</v>
      </c>
      <c r="AA497" s="374" t="s">
        <v>187</v>
      </c>
      <c r="AB497" s="375">
        <f>AC497/AC405</f>
        <v>3.2824048097904457E-2</v>
      </c>
      <c r="AC497" s="376">
        <f>AC488-AC490-AC491-AC492-AC496</f>
        <v>151820.20656084555</v>
      </c>
      <c r="AD497" s="374" t="s">
        <v>187</v>
      </c>
      <c r="AE497" s="375">
        <f>AF497/AF405</f>
        <v>3.673635481592892E-2</v>
      </c>
      <c r="AF497" s="377">
        <f>AF488-AF490-AF491-AF492-AF496</f>
        <v>186502.97</v>
      </c>
      <c r="AG497" s="378"/>
      <c r="AH497" s="378">
        <f>AF497-AC497</f>
        <v>34682.763439154456</v>
      </c>
      <c r="AI497" s="379">
        <f>AH497/AC497</f>
        <v>0.22844629331507671</v>
      </c>
      <c r="AJ497" s="380" t="s">
        <v>187</v>
      </c>
      <c r="AK497" s="375">
        <f>IF($AL$405=0,0,AL497/$AL$405)</f>
        <v>4.1137517123891236E-2</v>
      </c>
      <c r="AL497" s="377">
        <f>AL488-AL490-AL491-AL492-AL496</f>
        <v>239854.15999999974</v>
      </c>
      <c r="AM497" s="381"/>
      <c r="AN497" s="377">
        <f>AF497-AL497</f>
        <v>-53351.18999999974</v>
      </c>
      <c r="AO497" s="401">
        <f>IF(AL497=0,0,AN497/AL497)</f>
        <v>-0.22243178938401484</v>
      </c>
      <c r="AP497" s="250"/>
      <c r="AQ497" s="250"/>
      <c r="AR497" s="250"/>
      <c r="AS497" s="250"/>
      <c r="AT497" s="250"/>
      <c r="AU497" s="250"/>
      <c r="AV497" s="250"/>
      <c r="AW497" s="250"/>
      <c r="AX497" s="250"/>
      <c r="AY497" s="250"/>
      <c r="AZ497" s="250"/>
      <c r="BA497" s="250"/>
      <c r="BB497" s="250"/>
      <c r="BC497" s="250"/>
      <c r="BD497" s="250"/>
      <c r="BE497" s="250"/>
      <c r="BF497" s="250"/>
      <c r="BG497" s="250"/>
      <c r="BH497" s="250"/>
      <c r="BI497" s="250"/>
      <c r="BJ497" s="250"/>
    </row>
    <row r="498" spans="1:62" ht="15.75" customHeight="1" thickTop="1">
      <c r="A498" t="s">
        <v>472</v>
      </c>
      <c r="B498" s="7"/>
      <c r="C498" s="250"/>
      <c r="D498" s="250"/>
      <c r="E498" s="250"/>
      <c r="F498" s="314"/>
      <c r="G498" s="250"/>
      <c r="H498" s="250"/>
      <c r="I498" s="314"/>
      <c r="J498" s="250"/>
      <c r="K498" s="250"/>
      <c r="L498" s="250"/>
      <c r="M498" s="314"/>
      <c r="N498" s="250"/>
      <c r="O498" s="250"/>
      <c r="P498" s="250"/>
      <c r="Q498" s="314"/>
      <c r="R498" s="314"/>
      <c r="S498" s="314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402"/>
      <c r="AF498" s="403"/>
      <c r="AG498" s="250"/>
      <c r="AH498" s="250"/>
      <c r="AI498" s="250"/>
      <c r="AJ498" s="250"/>
      <c r="AK498" s="250"/>
      <c r="AL498" s="250"/>
      <c r="AM498" s="250"/>
      <c r="AN498" s="250"/>
      <c r="AO498" s="250"/>
      <c r="AP498" s="250"/>
      <c r="AQ498" s="250"/>
      <c r="AR498" s="250"/>
      <c r="AS498" s="250"/>
      <c r="AT498" s="250"/>
      <c r="AU498" s="250"/>
      <c r="AV498" s="250"/>
      <c r="AW498" s="250"/>
      <c r="AX498" s="250"/>
      <c r="AY498" s="250"/>
      <c r="AZ498" s="250"/>
      <c r="BA498" s="250"/>
      <c r="BB498" s="250"/>
      <c r="BC498" s="250"/>
      <c r="BD498" s="250"/>
      <c r="BE498" s="250"/>
      <c r="BF498" s="250"/>
      <c r="BG498" s="250"/>
      <c r="BH498" s="250"/>
      <c r="BI498" s="250"/>
      <c r="BJ498" s="250"/>
    </row>
    <row r="499" spans="1:62" ht="15.75" customHeight="1" thickBot="1">
      <c r="B499" s="7"/>
      <c r="T499" s="250"/>
      <c r="U499" s="250"/>
      <c r="V499" s="250"/>
      <c r="W499" s="250"/>
      <c r="X499" s="250"/>
      <c r="Y499" s="250"/>
      <c r="Z499" s="314">
        <f>Z497</f>
        <v>151820.20656084555</v>
      </c>
      <c r="AA499" s="250"/>
      <c r="AB499" s="250"/>
      <c r="AC499" s="314">
        <f>Z499</f>
        <v>151820.20656084555</v>
      </c>
      <c r="AD499" s="250"/>
      <c r="AE499" s="250"/>
      <c r="AF499" s="536">
        <f>AF497</f>
        <v>186502.97</v>
      </c>
      <c r="AG499" s="250"/>
      <c r="AH499" s="250"/>
      <c r="AI499" s="250"/>
      <c r="AJ499" s="250"/>
      <c r="AK499" s="545">
        <v>44469</v>
      </c>
      <c r="AL499" s="250">
        <v>239854.15999999974</v>
      </c>
      <c r="AM499" s="250"/>
      <c r="AN499" s="250"/>
      <c r="AO499" s="250"/>
      <c r="AP499" s="250"/>
      <c r="AQ499" s="250"/>
      <c r="AR499" s="250"/>
      <c r="AS499" s="250"/>
      <c r="AT499" s="250"/>
      <c r="AU499" s="250"/>
      <c r="AV499" s="250"/>
      <c r="AW499" s="250"/>
      <c r="AX499" s="250"/>
      <c r="AY499" s="250"/>
      <c r="AZ499" s="250"/>
      <c r="BA499" s="250"/>
      <c r="BB499" s="250"/>
      <c r="BC499" s="250"/>
      <c r="BD499" s="250"/>
      <c r="BE499" s="250"/>
      <c r="BF499" s="250"/>
      <c r="BG499" s="250"/>
      <c r="BH499" s="250"/>
      <c r="BI499" s="250"/>
      <c r="BJ499" s="250"/>
    </row>
    <row r="500" spans="1:62" ht="15.75" customHeight="1" thickBot="1">
      <c r="B500" s="7"/>
      <c r="C500" s="250"/>
      <c r="D500" s="537" t="s">
        <v>473</v>
      </c>
      <c r="E500" s="538"/>
      <c r="F500" s="539"/>
      <c r="G500" s="540"/>
      <c r="H500" s="283"/>
      <c r="I500" s="286"/>
      <c r="J500" s="541" t="s">
        <v>474</v>
      </c>
      <c r="K500" s="542"/>
      <c r="O500" s="541" t="s">
        <v>475</v>
      </c>
      <c r="P500" s="250"/>
      <c r="Q500" s="314"/>
      <c r="R500" s="314"/>
      <c r="S500" s="314"/>
      <c r="W500" s="250"/>
      <c r="X500" s="250"/>
      <c r="Y500" s="250"/>
      <c r="Z500" s="314">
        <f>Z497-Z499</f>
        <v>0</v>
      </c>
      <c r="AA500" s="250"/>
      <c r="AB500" s="250"/>
      <c r="AC500" s="314">
        <f>AC497-AC499</f>
        <v>0</v>
      </c>
      <c r="AD500" s="250"/>
      <c r="AE500" s="250"/>
      <c r="AF500" s="543">
        <f>AF497-AF499</f>
        <v>0</v>
      </c>
      <c r="AG500" s="250"/>
      <c r="AH500" s="250"/>
      <c r="AI500" s="250"/>
      <c r="AJ500" s="250"/>
      <c r="AK500" s="250"/>
      <c r="AL500" s="404">
        <f>AL497-AL499</f>
        <v>0</v>
      </c>
      <c r="AM500" s="250"/>
      <c r="AN500" s="250"/>
      <c r="AO500" s="250"/>
      <c r="AP500" s="250"/>
      <c r="AQ500" s="250"/>
      <c r="AR500" s="250"/>
      <c r="AS500" s="250"/>
      <c r="AT500" s="250"/>
      <c r="AU500" s="250"/>
      <c r="AV500" s="250"/>
      <c r="AW500" s="250"/>
      <c r="AX500" s="250"/>
      <c r="AY500" s="250"/>
      <c r="AZ500" s="250"/>
      <c r="BA500" s="250"/>
      <c r="BB500" s="250"/>
      <c r="BC500" s="250"/>
      <c r="BD500" s="250"/>
      <c r="BE500" s="250"/>
      <c r="BF500" s="250"/>
      <c r="BG500" s="250"/>
      <c r="BH500" s="250"/>
      <c r="BI500" s="250"/>
      <c r="BJ500" s="250"/>
    </row>
    <row r="501" spans="1:62" ht="15.75" customHeight="1">
      <c r="B501" s="7"/>
      <c r="C501" s="283"/>
      <c r="D501" s="283" t="s">
        <v>476</v>
      </c>
      <c r="E501" s="283"/>
      <c r="F501" s="286"/>
      <c r="G501" s="283"/>
      <c r="H501" s="283"/>
      <c r="I501" s="286"/>
      <c r="J501" s="283"/>
      <c r="K501" s="283"/>
      <c r="L501" s="283"/>
      <c r="M501" s="283"/>
      <c r="N501" s="283"/>
      <c r="O501" s="283"/>
      <c r="P501" s="283"/>
      <c r="Q501" s="286"/>
      <c r="R501" s="286"/>
      <c r="W501" s="250"/>
      <c r="X501" s="250"/>
      <c r="Y501" s="250"/>
      <c r="AM501" s="250"/>
      <c r="AN501" s="250"/>
      <c r="AO501" s="250"/>
      <c r="AP501" s="250"/>
      <c r="AQ501" s="250"/>
      <c r="AR501" s="250"/>
      <c r="AS501" s="250"/>
      <c r="AT501" s="250"/>
      <c r="AU501" s="250"/>
      <c r="AV501" s="250"/>
      <c r="AW501" s="250"/>
      <c r="AX501" s="250"/>
      <c r="AY501" s="250"/>
      <c r="AZ501" s="250"/>
      <c r="BA501" s="250"/>
      <c r="BB501" s="250"/>
      <c r="BC501" s="250"/>
      <c r="BD501" s="250"/>
      <c r="BE501" s="250"/>
      <c r="BF501" s="250"/>
      <c r="BG501" s="250"/>
      <c r="BH501" s="250"/>
      <c r="BI501" s="250"/>
      <c r="BJ501" s="250"/>
    </row>
    <row r="502" spans="1:62" ht="15.75" customHeight="1">
      <c r="B502" s="7"/>
      <c r="C502" s="283"/>
      <c r="D502" s="542">
        <v>4423</v>
      </c>
      <c r="E502" s="283" t="e">
        <v>#N/A</v>
      </c>
      <c r="F502" s="286"/>
      <c r="G502" s="283"/>
      <c r="H502" s="283"/>
      <c r="I502" s="286"/>
      <c r="J502" s="544" t="e">
        <v>#N/A</v>
      </c>
      <c r="K502" s="283"/>
      <c r="L502" s="283"/>
      <c r="M502" s="283"/>
      <c r="N502" s="283"/>
      <c r="O502" s="544" t="e">
        <v>#N/A</v>
      </c>
      <c r="P502" s="283"/>
      <c r="Q502" s="286"/>
      <c r="R502" s="286"/>
      <c r="W502" s="250"/>
      <c r="X502" s="250"/>
      <c r="Y502" s="250"/>
      <c r="Z502" s="250"/>
      <c r="AA502" s="250"/>
      <c r="AB502" s="250"/>
      <c r="AC502" s="250"/>
      <c r="AD502" s="250"/>
      <c r="AE502" s="545"/>
      <c r="AF502" s="309"/>
      <c r="AG502" s="250"/>
      <c r="AH502" s="250"/>
      <c r="AI502" s="250"/>
      <c r="AJ502" s="250"/>
      <c r="AK502" s="250"/>
      <c r="AL502" s="250"/>
      <c r="AM502" s="250"/>
      <c r="AN502" s="250"/>
      <c r="AO502" s="250"/>
      <c r="AP502" s="250"/>
      <c r="AQ502" s="250"/>
      <c r="AR502" s="250"/>
      <c r="AS502" s="250"/>
      <c r="AT502" s="250"/>
      <c r="AU502" s="250"/>
      <c r="AV502" s="250"/>
      <c r="AW502" s="250"/>
      <c r="AX502" s="250"/>
      <c r="AY502" s="250"/>
      <c r="AZ502" s="250"/>
      <c r="BA502" s="250"/>
      <c r="BB502" s="250"/>
      <c r="BC502" s="250"/>
      <c r="BD502" s="250"/>
      <c r="BE502" s="250"/>
      <c r="BF502" s="250"/>
      <c r="BG502" s="250"/>
      <c r="BH502" s="250"/>
      <c r="BI502" s="250"/>
      <c r="BJ502" s="250"/>
    </row>
    <row r="503" spans="1:62" ht="15.75" customHeight="1">
      <c r="B503" s="7"/>
      <c r="C503" s="283"/>
      <c r="D503" s="542">
        <v>5423</v>
      </c>
      <c r="E503" s="283" t="e">
        <v>#N/A</v>
      </c>
      <c r="F503" s="286"/>
      <c r="G503" s="283"/>
      <c r="H503" s="283"/>
      <c r="I503" s="286"/>
      <c r="J503" s="544" t="e">
        <v>#N/A</v>
      </c>
      <c r="K503" s="546" t="e">
        <f>-J503/J502</f>
        <v>#N/A</v>
      </c>
      <c r="L503" s="283"/>
      <c r="M503" s="283"/>
      <c r="N503" s="283"/>
      <c r="O503" s="544" t="e">
        <v>#N/A</v>
      </c>
      <c r="P503" s="546" t="e">
        <f>-O503/O502</f>
        <v>#N/A</v>
      </c>
      <c r="Q503" s="286"/>
      <c r="R503" s="286"/>
      <c r="W503" s="250"/>
      <c r="X503" s="250"/>
      <c r="Y503" s="250"/>
      <c r="Z503" s="250"/>
      <c r="AA503" s="250"/>
      <c r="AB503" s="250"/>
      <c r="AC503" s="250"/>
      <c r="AD503" s="250"/>
      <c r="AE503" s="250"/>
      <c r="AF503" s="309"/>
      <c r="AG503" s="250"/>
      <c r="AH503" s="250"/>
      <c r="AI503" s="250"/>
      <c r="AJ503" s="250"/>
      <c r="AK503" s="250"/>
      <c r="AL503" s="250"/>
      <c r="AM503" s="250"/>
      <c r="AN503" s="250"/>
      <c r="AO503" s="250"/>
      <c r="AP503" s="250"/>
      <c r="AQ503" s="250"/>
      <c r="AR503" s="250"/>
      <c r="AS503" s="250"/>
      <c r="AT503" s="250"/>
      <c r="AU503" s="250"/>
      <c r="AV503" s="250"/>
      <c r="AW503" s="250"/>
      <c r="AX503" s="250"/>
      <c r="AY503" s="250"/>
      <c r="AZ503" s="250"/>
      <c r="BA503" s="250"/>
      <c r="BB503" s="250"/>
      <c r="BC503" s="250"/>
      <c r="BD503" s="250"/>
      <c r="BE503" s="250"/>
      <c r="BF503" s="250"/>
      <c r="BG503" s="250"/>
      <c r="BH503" s="250"/>
      <c r="BI503" s="250"/>
      <c r="BJ503" s="250"/>
    </row>
    <row r="504" spans="1:62" ht="15.75" customHeight="1" thickBot="1">
      <c r="B504" s="7"/>
      <c r="C504" s="283"/>
      <c r="D504" s="542"/>
      <c r="E504" s="283" t="s">
        <v>477</v>
      </c>
      <c r="F504" s="286"/>
      <c r="G504" s="283"/>
      <c r="H504" s="283"/>
      <c r="I504" s="286"/>
      <c r="J504" s="547" t="e">
        <f>SUM(J502:J503)</f>
        <v>#N/A</v>
      </c>
      <c r="K504" s="548" t="e">
        <f>+J504/J502</f>
        <v>#N/A</v>
      </c>
      <c r="L504" s="283"/>
      <c r="M504" s="283"/>
      <c r="N504" s="283"/>
      <c r="O504" s="547" t="e">
        <f>SUM(O502:O503)</f>
        <v>#N/A</v>
      </c>
      <c r="P504" s="548" t="e">
        <f>+O504/O502</f>
        <v>#N/A</v>
      </c>
      <c r="Q504" s="286"/>
      <c r="R504" s="286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  <c r="AH504" s="250"/>
      <c r="AI504" s="250"/>
      <c r="AJ504" s="250"/>
      <c r="AK504" s="250"/>
      <c r="AL504" s="250"/>
      <c r="AM504" s="250"/>
      <c r="AN504" s="250"/>
      <c r="AO504" s="250"/>
      <c r="AP504" s="250"/>
      <c r="AQ504" s="250"/>
      <c r="AR504" s="250"/>
      <c r="AS504" s="250"/>
      <c r="AT504" s="250"/>
      <c r="AU504" s="250"/>
      <c r="AV504" s="250"/>
      <c r="AW504" s="250"/>
      <c r="AX504" s="250"/>
      <c r="AY504" s="250"/>
      <c r="AZ504" s="250"/>
      <c r="BA504" s="250"/>
      <c r="BB504" s="250"/>
      <c r="BC504" s="250"/>
      <c r="BD504" s="250"/>
      <c r="BE504" s="250"/>
      <c r="BF504" s="250"/>
      <c r="BG504" s="250"/>
      <c r="BH504" s="250"/>
      <c r="BI504" s="250"/>
      <c r="BJ504" s="250"/>
    </row>
    <row r="505" spans="1:62" ht="15.75" customHeight="1" thickTop="1">
      <c r="B505" s="7"/>
      <c r="C505" s="283"/>
      <c r="D505" s="542"/>
      <c r="E505" s="283"/>
      <c r="F505" s="286"/>
      <c r="G505" s="283"/>
      <c r="H505" s="283"/>
      <c r="I505" s="286"/>
      <c r="J505" s="542"/>
      <c r="K505" s="283"/>
      <c r="L505" s="283"/>
      <c r="M505" s="283"/>
      <c r="N505" s="283"/>
      <c r="O505" s="542"/>
      <c r="P505" s="283"/>
      <c r="Q505" s="286"/>
      <c r="R505" s="286"/>
      <c r="W505" s="250"/>
      <c r="X505" s="250"/>
      <c r="Y505" s="250"/>
      <c r="Z505" s="250"/>
      <c r="AA505" s="250"/>
      <c r="AB505" s="250"/>
      <c r="AC505" s="250"/>
      <c r="AD505" s="250"/>
      <c r="AE505" s="250"/>
      <c r="AF505" s="549"/>
      <c r="AG505" s="250"/>
      <c r="AH505" s="250"/>
      <c r="AI505" s="250"/>
      <c r="AJ505" s="250"/>
      <c r="AK505" s="250"/>
      <c r="AL505" s="250"/>
      <c r="AM505" s="250"/>
      <c r="AN505" s="250"/>
      <c r="AO505" s="250"/>
      <c r="AP505" s="250"/>
      <c r="AQ505" s="250"/>
      <c r="AR505" s="250"/>
      <c r="AS505" s="250"/>
      <c r="AT505" s="250"/>
      <c r="AU505" s="250"/>
      <c r="AV505" s="250"/>
      <c r="AW505" s="250"/>
      <c r="AX505" s="250"/>
      <c r="AY505" s="250"/>
      <c r="AZ505" s="250"/>
      <c r="BA505" s="250"/>
      <c r="BB505" s="250"/>
      <c r="BC505" s="250"/>
      <c r="BD505" s="250"/>
      <c r="BE505" s="250"/>
      <c r="BF505" s="250"/>
      <c r="BG505" s="250"/>
      <c r="BH505" s="250"/>
      <c r="BI505" s="250"/>
      <c r="BJ505" s="250"/>
    </row>
    <row r="506" spans="1:62" ht="15.75" customHeight="1" thickBot="1">
      <c r="B506" s="7"/>
      <c r="C506" s="283"/>
      <c r="D506" s="542">
        <v>4425</v>
      </c>
      <c r="E506" s="550" t="e">
        <v>#N/A</v>
      </c>
      <c r="F506" s="286"/>
      <c r="G506" s="283"/>
      <c r="H506" s="283"/>
      <c r="I506" s="286"/>
      <c r="J506" s="551" t="e">
        <v>#N/A</v>
      </c>
      <c r="K506" s="283"/>
      <c r="L506" s="283"/>
      <c r="M506" s="283"/>
      <c r="N506" s="283"/>
      <c r="O506" s="551" t="e">
        <v>#N/A</v>
      </c>
      <c r="P506" s="283"/>
      <c r="Q506" s="286"/>
      <c r="R506" s="286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314"/>
      <c r="AG506" s="250"/>
      <c r="AH506" s="250"/>
      <c r="AI506" s="250"/>
      <c r="AJ506" s="250"/>
      <c r="AK506" s="250"/>
      <c r="AL506" s="250"/>
      <c r="AM506" s="250"/>
      <c r="AN506" s="250"/>
      <c r="AO506" s="250"/>
      <c r="AP506" s="250"/>
      <c r="AQ506" s="250"/>
      <c r="AR506" s="250"/>
      <c r="AS506" s="250"/>
      <c r="AT506" s="250"/>
      <c r="AU506" s="250"/>
      <c r="AV506" s="250"/>
      <c r="AW506" s="250"/>
      <c r="AX506" s="250"/>
      <c r="AY506" s="250"/>
      <c r="AZ506" s="250"/>
      <c r="BA506" s="250"/>
      <c r="BB506" s="250"/>
      <c r="BC506" s="250"/>
      <c r="BD506" s="250"/>
      <c r="BE506" s="250"/>
      <c r="BF506" s="250"/>
      <c r="BG506" s="250"/>
      <c r="BH506" s="250"/>
      <c r="BI506" s="250"/>
      <c r="BJ506" s="250"/>
    </row>
    <row r="507" spans="1:62" ht="15.75" customHeight="1" thickTop="1">
      <c r="B507" s="7"/>
      <c r="C507" s="283"/>
      <c r="D507" s="542"/>
      <c r="E507" s="283"/>
      <c r="F507" s="286"/>
      <c r="G507" s="283"/>
      <c r="H507" s="283"/>
      <c r="I507" s="286"/>
      <c r="J507" s="283"/>
      <c r="K507" s="283"/>
      <c r="L507" s="283"/>
      <c r="M507" s="283"/>
      <c r="N507" s="283"/>
      <c r="O507" s="283"/>
      <c r="P507" s="283"/>
      <c r="Q507" s="286"/>
      <c r="R507" s="286"/>
      <c r="W507" s="250"/>
      <c r="X507" s="250"/>
      <c r="Y507" s="250"/>
      <c r="Z507" s="250"/>
      <c r="AA507" s="250"/>
      <c r="AB507" s="250"/>
      <c r="AC507" s="250"/>
      <c r="AD507" s="250"/>
      <c r="AE507" s="250"/>
      <c r="AF507" s="314"/>
      <c r="AG507" s="250"/>
      <c r="AH507" s="250"/>
      <c r="AI507" s="250"/>
      <c r="AJ507" s="250"/>
      <c r="AK507" s="250"/>
      <c r="AL507" s="250"/>
      <c r="AM507" s="250"/>
      <c r="AN507" s="250"/>
      <c r="AO507" s="250"/>
      <c r="AP507" s="250"/>
      <c r="AQ507" s="250"/>
      <c r="AR507" s="250"/>
      <c r="AS507" s="250"/>
      <c r="AT507" s="250"/>
      <c r="AU507" s="250"/>
      <c r="AV507" s="250"/>
      <c r="AW507" s="250"/>
      <c r="AX507" s="250"/>
      <c r="AY507" s="250"/>
      <c r="AZ507" s="250"/>
      <c r="BA507" s="250"/>
      <c r="BB507" s="250"/>
      <c r="BC507" s="250"/>
      <c r="BD507" s="250"/>
      <c r="BE507" s="250"/>
      <c r="BF507" s="250"/>
      <c r="BG507" s="250"/>
      <c r="BH507" s="250"/>
      <c r="BI507" s="250"/>
      <c r="BJ507" s="250"/>
    </row>
    <row r="508" spans="1:62" ht="15.75" customHeight="1">
      <c r="B508" s="7"/>
      <c r="C508" s="283"/>
      <c r="D508" s="542"/>
      <c r="E508" s="283"/>
      <c r="F508" s="286"/>
      <c r="G508" s="283"/>
      <c r="H508" s="283"/>
      <c r="I508" s="286"/>
      <c r="J508" s="283"/>
      <c r="K508" s="283"/>
      <c r="L508" s="283"/>
      <c r="M508" s="283"/>
      <c r="N508" s="283"/>
      <c r="O508" s="283"/>
      <c r="P508" s="283"/>
      <c r="Q508" s="286"/>
      <c r="R508" s="286"/>
      <c r="W508" s="250"/>
      <c r="X508" s="250"/>
      <c r="Y508" s="250"/>
      <c r="Z508" s="250"/>
      <c r="AA508" s="250"/>
      <c r="AB508" s="250"/>
      <c r="AC508" s="250"/>
      <c r="AD508" s="250"/>
      <c r="AE508" s="250"/>
      <c r="AF508" s="250"/>
      <c r="AG508" s="250"/>
      <c r="AH508" s="250"/>
      <c r="AI508" s="250"/>
      <c r="AJ508" s="250"/>
      <c r="AK508" s="250"/>
      <c r="AL508" s="250"/>
      <c r="AM508" s="250"/>
      <c r="AN508" s="250"/>
      <c r="AO508" s="250"/>
      <c r="AP508" s="250"/>
      <c r="AQ508" s="250"/>
      <c r="AR508" s="250"/>
      <c r="AS508" s="250"/>
      <c r="AT508" s="250"/>
      <c r="AU508" s="250"/>
      <c r="AV508" s="250"/>
      <c r="AW508" s="250"/>
      <c r="AX508" s="250"/>
      <c r="AY508" s="250"/>
      <c r="AZ508" s="250"/>
      <c r="BA508" s="250"/>
      <c r="BB508" s="250"/>
      <c r="BC508" s="250"/>
      <c r="BD508" s="250"/>
      <c r="BE508" s="250"/>
      <c r="BF508" s="250"/>
      <c r="BG508" s="250"/>
      <c r="BH508" s="250"/>
      <c r="BI508" s="250"/>
      <c r="BJ508" s="250"/>
    </row>
    <row r="509" spans="1:62" ht="15.75" customHeight="1">
      <c r="B509" s="7"/>
      <c r="C509" s="283"/>
      <c r="D509" s="542">
        <v>4727</v>
      </c>
      <c r="E509" s="283" t="e">
        <v>#N/A</v>
      </c>
      <c r="F509" s="286"/>
      <c r="G509" s="283"/>
      <c r="H509" s="283"/>
      <c r="I509" s="286"/>
      <c r="J509" s="544" t="e">
        <v>#N/A</v>
      </c>
      <c r="K509" s="283"/>
      <c r="L509" s="283"/>
      <c r="M509" s="283"/>
      <c r="N509" s="283"/>
      <c r="O509" s="544" t="e">
        <v>#N/A</v>
      </c>
      <c r="P509" s="283"/>
      <c r="Q509" s="286"/>
      <c r="R509" s="286"/>
      <c r="W509" s="339"/>
      <c r="X509" s="339"/>
      <c r="Y509" s="250"/>
      <c r="Z509" s="250"/>
      <c r="AA509" s="250"/>
      <c r="AB509" s="250"/>
      <c r="AC509" s="250"/>
      <c r="AD509" s="250"/>
      <c r="AE509" s="250"/>
      <c r="AF509" s="250"/>
      <c r="AG509" s="250"/>
      <c r="AH509" s="250"/>
      <c r="AI509" s="250"/>
      <c r="AJ509" s="250"/>
      <c r="AK509" s="250"/>
      <c r="AL509" s="250"/>
      <c r="AM509" s="250"/>
      <c r="AN509" s="250"/>
      <c r="AO509" s="250"/>
      <c r="AP509" s="250"/>
      <c r="AQ509" s="250"/>
      <c r="AR509" s="250"/>
      <c r="AS509" s="250"/>
      <c r="AT509" s="250"/>
      <c r="AU509" s="250"/>
      <c r="AV509" s="250"/>
      <c r="AW509" s="250"/>
      <c r="AX509" s="250"/>
      <c r="AY509" s="250"/>
      <c r="AZ509" s="250"/>
      <c r="BA509" s="250"/>
      <c r="BB509" s="250"/>
      <c r="BC509" s="250"/>
      <c r="BD509" s="250"/>
      <c r="BE509" s="250"/>
      <c r="BF509" s="250"/>
      <c r="BG509" s="250"/>
      <c r="BH509" s="250"/>
      <c r="BI509" s="250"/>
      <c r="BJ509" s="250"/>
    </row>
    <row r="510" spans="1:62" ht="15.75" customHeight="1">
      <c r="B510" s="7"/>
      <c r="C510" s="283"/>
      <c r="D510" s="542">
        <v>5727</v>
      </c>
      <c r="E510" s="283" t="e">
        <v>#N/A</v>
      </c>
      <c r="F510" s="286"/>
      <c r="G510" s="283"/>
      <c r="H510" s="283"/>
      <c r="I510" s="286"/>
      <c r="J510" s="544" t="e">
        <v>#N/A</v>
      </c>
      <c r="K510" s="546" t="e">
        <f>-J510/J509</f>
        <v>#N/A</v>
      </c>
      <c r="L510" s="283"/>
      <c r="M510" s="283"/>
      <c r="N510" s="283"/>
      <c r="O510" s="544" t="e">
        <v>#N/A</v>
      </c>
      <c r="P510" s="546" t="e">
        <f>-O510/O509</f>
        <v>#N/A</v>
      </c>
      <c r="Q510" s="286"/>
      <c r="R510" s="286"/>
      <c r="W510" s="339"/>
      <c r="X510" s="339"/>
      <c r="Y510" s="250"/>
      <c r="Z510" s="250"/>
      <c r="AA510" s="250"/>
      <c r="AB510" s="250"/>
      <c r="AC510" s="250"/>
      <c r="AD510" s="250"/>
      <c r="AE510" s="250"/>
      <c r="AF510" s="250"/>
      <c r="AG510" s="250"/>
      <c r="AH510" s="250"/>
      <c r="AI510" s="250"/>
      <c r="AJ510" s="250"/>
      <c r="AK510" s="250"/>
      <c r="AL510" s="250"/>
      <c r="AM510" s="250"/>
      <c r="AN510" s="250"/>
      <c r="AO510" s="250"/>
      <c r="AP510" s="250"/>
      <c r="AQ510" s="250"/>
      <c r="AR510" s="250"/>
      <c r="AS510" s="250"/>
      <c r="AT510" s="250"/>
      <c r="AU510" s="250"/>
      <c r="AV510" s="250"/>
      <c r="AW510" s="250"/>
      <c r="AX510" s="250"/>
      <c r="AY510" s="250"/>
      <c r="AZ510" s="250"/>
      <c r="BA510" s="250"/>
      <c r="BB510" s="250"/>
      <c r="BC510" s="250"/>
      <c r="BD510" s="250"/>
      <c r="BE510" s="250"/>
      <c r="BF510" s="250"/>
      <c r="BG510" s="250"/>
      <c r="BH510" s="250"/>
      <c r="BI510" s="250"/>
      <c r="BJ510" s="250"/>
    </row>
    <row r="511" spans="1:62" ht="15.75" customHeight="1" thickBot="1">
      <c r="B511" s="7"/>
      <c r="C511" s="283"/>
      <c r="D511" s="283"/>
      <c r="E511" s="283" t="s">
        <v>478</v>
      </c>
      <c r="F511" s="286"/>
      <c r="G511" s="283"/>
      <c r="H511" s="283"/>
      <c r="I511" s="286"/>
      <c r="J511" s="547" t="e">
        <f>SUM(J509:J510)</f>
        <v>#N/A</v>
      </c>
      <c r="K511" s="548" t="e">
        <f>+J511/J509</f>
        <v>#N/A</v>
      </c>
      <c r="L511" s="283"/>
      <c r="M511" s="283"/>
      <c r="N511" s="283"/>
      <c r="O511" s="547" t="e">
        <f>SUM(O509:O510)</f>
        <v>#N/A</v>
      </c>
      <c r="P511" s="548" t="e">
        <f>+O511/O509</f>
        <v>#N/A</v>
      </c>
      <c r="Q511" s="286"/>
      <c r="R511" s="286"/>
      <c r="W511" s="339"/>
      <c r="X511" s="339"/>
      <c r="Y511" s="250"/>
      <c r="Z511" s="250"/>
      <c r="AA511" s="250"/>
      <c r="AB511" s="250"/>
      <c r="AC511" s="250"/>
      <c r="AD511" s="250"/>
      <c r="AE511" s="250"/>
      <c r="AF511" s="250"/>
      <c r="AG511" s="250"/>
      <c r="AH511" s="250"/>
      <c r="AI511" s="250"/>
      <c r="AJ511" s="250"/>
      <c r="AK511" s="250"/>
      <c r="AL511" s="250"/>
      <c r="AM511" s="250"/>
      <c r="AN511" s="250"/>
      <c r="AO511" s="250"/>
      <c r="AP511" s="250"/>
      <c r="AQ511" s="250"/>
      <c r="AR511" s="250"/>
      <c r="AS511" s="250"/>
      <c r="AT511" s="250"/>
      <c r="AU511" s="250"/>
      <c r="AV511" s="250"/>
      <c r="AW511" s="250"/>
      <c r="AX511" s="250"/>
      <c r="AY511" s="250"/>
      <c r="AZ511" s="250"/>
      <c r="BA511" s="250"/>
      <c r="BB511" s="250"/>
      <c r="BC511" s="250"/>
      <c r="BD511" s="250"/>
      <c r="BE511" s="250"/>
      <c r="BF511" s="250"/>
      <c r="BG511" s="250"/>
      <c r="BH511" s="250"/>
      <c r="BI511" s="250"/>
      <c r="BJ511" s="250"/>
    </row>
    <row r="512" spans="1:62" ht="15.75" customHeight="1" thickTop="1">
      <c r="B512" s="7"/>
      <c r="C512" s="283"/>
      <c r="D512" s="542"/>
      <c r="E512" s="283"/>
      <c r="F512" s="286"/>
      <c r="G512" s="283"/>
      <c r="H512" s="283"/>
      <c r="I512" s="286"/>
      <c r="J512" s="542"/>
      <c r="K512" s="283"/>
      <c r="L512" s="283"/>
      <c r="M512" s="283"/>
      <c r="N512" s="283"/>
      <c r="O512" s="542"/>
      <c r="P512" s="283"/>
      <c r="Q512" s="286"/>
      <c r="R512" s="286"/>
      <c r="W512" s="339"/>
      <c r="X512" s="339"/>
      <c r="Y512" s="250"/>
      <c r="Z512" s="250"/>
      <c r="AA512" s="250"/>
      <c r="AB512" s="250"/>
      <c r="AC512" s="250"/>
      <c r="AD512" s="250"/>
      <c r="AE512" s="250"/>
      <c r="AF512" s="250"/>
      <c r="AG512" s="250"/>
      <c r="AH512" s="250"/>
      <c r="AI512" s="250"/>
      <c r="AJ512" s="250"/>
      <c r="AK512" s="250"/>
      <c r="AL512" s="250"/>
      <c r="AM512" s="250"/>
      <c r="AN512" s="250"/>
      <c r="AO512" s="250"/>
      <c r="AP512" s="250"/>
      <c r="AQ512" s="250"/>
      <c r="AR512" s="250"/>
      <c r="AS512" s="250"/>
      <c r="AT512" s="250"/>
      <c r="AU512" s="250"/>
      <c r="AV512" s="250"/>
      <c r="AW512" s="250"/>
      <c r="AX512" s="250"/>
      <c r="AY512" s="250"/>
      <c r="AZ512" s="250"/>
      <c r="BA512" s="250"/>
      <c r="BB512" s="250"/>
      <c r="BC512" s="250"/>
      <c r="BD512" s="250"/>
      <c r="BE512" s="250"/>
      <c r="BF512" s="250"/>
      <c r="BG512" s="250"/>
      <c r="BH512" s="250"/>
      <c r="BI512" s="250"/>
      <c r="BJ512" s="250"/>
    </row>
    <row r="513" spans="2:62" ht="15.75" customHeight="1" thickBot="1">
      <c r="B513" s="7"/>
      <c r="C513" s="283"/>
      <c r="D513" s="542">
        <v>4729</v>
      </c>
      <c r="E513" s="550" t="e">
        <v>#N/A</v>
      </c>
      <c r="F513" s="286"/>
      <c r="G513" s="283"/>
      <c r="H513" s="283"/>
      <c r="I513" s="286"/>
      <c r="J513" s="551" t="e">
        <v>#N/A</v>
      </c>
      <c r="K513" s="283"/>
      <c r="L513" s="283"/>
      <c r="M513" s="283"/>
      <c r="N513" s="283"/>
      <c r="O513" s="551" t="e">
        <v>#N/A</v>
      </c>
      <c r="P513" s="283"/>
      <c r="Q513" s="286"/>
      <c r="R513" s="286"/>
      <c r="W513" s="339"/>
      <c r="X513" s="339"/>
      <c r="Y513" s="250"/>
      <c r="Z513" s="250"/>
      <c r="AA513" s="250"/>
      <c r="AB513" s="250"/>
      <c r="AC513" s="250"/>
      <c r="AD513" s="250"/>
      <c r="AE513" s="250"/>
      <c r="AF513" s="250"/>
      <c r="AG513" s="250"/>
      <c r="AH513" s="250"/>
      <c r="AI513" s="250"/>
      <c r="AJ513" s="250"/>
      <c r="AK513" s="250"/>
      <c r="AL513" s="250"/>
      <c r="AM513" s="250"/>
      <c r="AN513" s="250"/>
      <c r="AO513" s="250"/>
      <c r="AP513" s="250"/>
      <c r="AQ513" s="250"/>
      <c r="AR513" s="250"/>
      <c r="AS513" s="250"/>
      <c r="AT513" s="250"/>
      <c r="AU513" s="250"/>
      <c r="AV513" s="250"/>
      <c r="AW513" s="250"/>
      <c r="AX513" s="250"/>
      <c r="AY513" s="250"/>
      <c r="AZ513" s="250"/>
      <c r="BA513" s="250"/>
      <c r="BB513" s="250"/>
      <c r="BC513" s="250"/>
      <c r="BD513" s="250"/>
      <c r="BE513" s="250"/>
      <c r="BF513" s="250"/>
      <c r="BG513" s="250"/>
      <c r="BH513" s="250"/>
      <c r="BI513" s="250"/>
      <c r="BJ513" s="250"/>
    </row>
    <row r="514" spans="2:62" ht="15.75" customHeight="1" thickTop="1">
      <c r="B514" s="7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6"/>
      <c r="R514" s="286"/>
      <c r="W514" s="339"/>
      <c r="X514" s="339"/>
      <c r="Y514" s="250"/>
      <c r="Z514" s="250"/>
      <c r="AA514" s="250"/>
      <c r="AB514" s="250"/>
      <c r="AC514" s="250"/>
      <c r="AD514" s="250"/>
      <c r="AE514" s="250"/>
      <c r="AF514" s="250"/>
      <c r="AG514" s="250"/>
      <c r="AH514" s="250"/>
      <c r="AI514" s="250"/>
      <c r="AJ514" s="250"/>
      <c r="AK514" s="250"/>
      <c r="AL514" s="250"/>
      <c r="AM514" s="250"/>
      <c r="AN514" s="250"/>
      <c r="AO514" s="250"/>
      <c r="AP514" s="250"/>
      <c r="AQ514" s="250"/>
      <c r="AR514" s="250"/>
      <c r="AS514" s="250"/>
      <c r="AT514" s="250"/>
      <c r="AU514" s="250"/>
      <c r="AV514" s="250"/>
      <c r="AW514" s="250"/>
      <c r="AX514" s="250"/>
      <c r="AY514" s="250"/>
      <c r="AZ514" s="250"/>
      <c r="BA514" s="250"/>
      <c r="BB514" s="250"/>
      <c r="BC514" s="250"/>
      <c r="BD514" s="250"/>
      <c r="BE514" s="250"/>
      <c r="BF514" s="250"/>
      <c r="BG514" s="250"/>
      <c r="BH514" s="250"/>
      <c r="BI514" s="250"/>
      <c r="BJ514" s="250"/>
    </row>
    <row r="515" spans="2:62" ht="15.75" customHeight="1">
      <c r="B515" s="7"/>
      <c r="D515" s="283" t="s">
        <v>479</v>
      </c>
      <c r="E515" s="283"/>
      <c r="F515" s="286"/>
      <c r="G515" s="283"/>
      <c r="H515" s="283"/>
      <c r="I515" s="286"/>
      <c r="J515" s="283"/>
      <c r="K515" s="283"/>
      <c r="L515" s="283"/>
      <c r="M515" s="283"/>
      <c r="N515" s="283"/>
      <c r="O515" s="283"/>
      <c r="P515" s="283"/>
      <c r="W515" s="339"/>
      <c r="X515" s="339"/>
      <c r="Y515" s="250"/>
      <c r="Z515" s="250"/>
      <c r="AA515" s="250"/>
      <c r="AB515" s="250"/>
      <c r="AC515" s="250"/>
      <c r="AD515" s="250"/>
      <c r="AE515" s="250"/>
      <c r="AF515" s="250"/>
      <c r="AG515" s="250"/>
      <c r="AH515" s="250"/>
      <c r="AI515" s="250"/>
      <c r="AJ515" s="250"/>
      <c r="AK515" s="250"/>
      <c r="AL515" s="250"/>
      <c r="AM515" s="250"/>
      <c r="AN515" s="250"/>
      <c r="AO515" s="250"/>
      <c r="AP515" s="250"/>
      <c r="AQ515" s="250"/>
      <c r="AR515" s="250"/>
      <c r="AS515" s="250"/>
      <c r="AT515" s="250"/>
      <c r="AU515" s="250"/>
      <c r="AV515" s="250"/>
      <c r="AW515" s="250"/>
      <c r="AX515" s="250"/>
      <c r="AY515" s="250"/>
      <c r="AZ515" s="250"/>
      <c r="BA515" s="250"/>
      <c r="BB515" s="250"/>
      <c r="BC515" s="250"/>
      <c r="BD515" s="250"/>
      <c r="BE515" s="250"/>
      <c r="BF515" s="250"/>
      <c r="BG515" s="250"/>
      <c r="BH515" s="250"/>
      <c r="BI515" s="250"/>
      <c r="BJ515" s="250"/>
    </row>
    <row r="516" spans="2:62" ht="15.75" customHeight="1">
      <c r="B516" s="7"/>
      <c r="D516" s="542"/>
      <c r="E516" s="283" t="s">
        <v>480</v>
      </c>
      <c r="F516" s="286"/>
      <c r="G516" s="283"/>
      <c r="H516" s="283"/>
      <c r="I516" s="286"/>
      <c r="J516" s="544" t="e">
        <f>+J502</f>
        <v>#N/A</v>
      </c>
      <c r="K516" s="283"/>
      <c r="L516" s="283"/>
      <c r="M516" s="283"/>
      <c r="N516" s="283"/>
      <c r="O516" s="544" t="e">
        <f>+O502</f>
        <v>#N/A</v>
      </c>
      <c r="P516" s="283"/>
      <c r="W516" s="339"/>
      <c r="X516" s="339"/>
      <c r="Y516" s="250"/>
      <c r="Z516" s="250"/>
      <c r="AA516" s="250"/>
      <c r="AB516" s="250"/>
      <c r="AC516" s="250"/>
      <c r="AD516" s="250"/>
      <c r="AE516" s="250"/>
      <c r="AF516" s="250"/>
      <c r="AG516" s="250"/>
      <c r="AH516" s="250"/>
      <c r="AI516" s="250"/>
      <c r="AJ516" s="250"/>
      <c r="AK516" s="250"/>
      <c r="AL516" s="250"/>
      <c r="AM516" s="250"/>
      <c r="AN516" s="250"/>
      <c r="AO516" s="250"/>
      <c r="AP516" s="250"/>
      <c r="AQ516" s="250"/>
      <c r="AR516" s="250"/>
      <c r="AS516" s="250"/>
      <c r="AT516" s="250"/>
      <c r="AU516" s="250"/>
      <c r="AV516" s="250"/>
      <c r="AW516" s="250"/>
      <c r="AX516" s="250"/>
      <c r="AY516" s="250"/>
      <c r="AZ516" s="250"/>
      <c r="BA516" s="250"/>
      <c r="BB516" s="250"/>
      <c r="BC516" s="250"/>
      <c r="BD516" s="250"/>
      <c r="BE516" s="250"/>
      <c r="BF516" s="250"/>
      <c r="BG516" s="250"/>
      <c r="BH516" s="250"/>
      <c r="BI516" s="250"/>
      <c r="BJ516" s="250"/>
    </row>
    <row r="517" spans="2:62" ht="15.75" customHeight="1">
      <c r="B517" s="7"/>
      <c r="D517" s="542"/>
      <c r="E517" s="283" t="s">
        <v>481</v>
      </c>
      <c r="F517" s="286"/>
      <c r="G517" s="283"/>
      <c r="H517" s="283"/>
      <c r="I517" s="286"/>
      <c r="J517" s="544" t="e">
        <f>+J503</f>
        <v>#N/A</v>
      </c>
      <c r="K517" s="546" t="e">
        <f>-J517/J516</f>
        <v>#N/A</v>
      </c>
      <c r="L517" s="283"/>
      <c r="M517" s="283"/>
      <c r="N517" s="283"/>
      <c r="O517" s="544" t="e">
        <f>+O503</f>
        <v>#N/A</v>
      </c>
      <c r="P517" s="546" t="e">
        <f>-O517/O516</f>
        <v>#N/A</v>
      </c>
      <c r="W517" s="339"/>
      <c r="X517" s="339"/>
      <c r="Y517" s="250"/>
      <c r="Z517" s="250"/>
      <c r="AA517" s="250"/>
      <c r="AB517" s="250"/>
      <c r="AC517" s="250"/>
      <c r="AD517" s="250"/>
      <c r="AE517" s="250"/>
      <c r="AF517" s="250"/>
      <c r="AG517" s="250"/>
      <c r="AH517" s="250"/>
      <c r="AI517" s="250"/>
      <c r="AJ517" s="250"/>
      <c r="AK517" s="250"/>
      <c r="AL517" s="250"/>
      <c r="AM517" s="250"/>
      <c r="AN517" s="250"/>
      <c r="AO517" s="250"/>
      <c r="AP517" s="250"/>
      <c r="AQ517" s="250"/>
      <c r="AR517" s="250"/>
      <c r="AS517" s="250"/>
      <c r="AT517" s="250"/>
      <c r="AU517" s="250"/>
      <c r="AV517" s="250"/>
      <c r="AW517" s="250"/>
      <c r="AX517" s="250"/>
      <c r="AY517" s="250"/>
      <c r="AZ517" s="250"/>
      <c r="BA517" s="250"/>
      <c r="BB517" s="250"/>
      <c r="BC517" s="250"/>
      <c r="BD517" s="250"/>
      <c r="BE517" s="250"/>
      <c r="BF517" s="250"/>
      <c r="BG517" s="250"/>
      <c r="BH517" s="250"/>
      <c r="BI517" s="250"/>
      <c r="BJ517" s="250"/>
    </row>
    <row r="518" spans="2:62" ht="15.75" customHeight="1" thickBot="1">
      <c r="B518" s="7"/>
      <c r="D518" s="542"/>
      <c r="E518" s="283"/>
      <c r="F518" s="286"/>
      <c r="G518" s="283"/>
      <c r="H518" s="283"/>
      <c r="I518" s="286"/>
      <c r="J518" s="547" t="e">
        <f>SUM(J516:J517)</f>
        <v>#N/A</v>
      </c>
      <c r="K518" s="548" t="e">
        <f>+J518/J516</f>
        <v>#N/A</v>
      </c>
      <c r="L518" s="283"/>
      <c r="M518" s="283"/>
      <c r="N518" s="283"/>
      <c r="O518" s="547" t="e">
        <f>SUM(O516:O517)</f>
        <v>#N/A</v>
      </c>
      <c r="P518" s="548" t="e">
        <f>+O518/O516</f>
        <v>#N/A</v>
      </c>
      <c r="W518" s="339"/>
      <c r="X518" s="339"/>
      <c r="Y518" s="250"/>
      <c r="Z518" s="250"/>
      <c r="AA518" s="250"/>
      <c r="AB518" s="250"/>
      <c r="AC518" s="250"/>
      <c r="AD518" s="250"/>
      <c r="AE518" s="250"/>
      <c r="AF518" s="250"/>
      <c r="AG518" s="250"/>
      <c r="AH518" s="250"/>
      <c r="AI518" s="250"/>
      <c r="AJ518" s="250"/>
      <c r="AK518" s="250"/>
      <c r="AL518" s="250"/>
      <c r="AM518" s="250"/>
      <c r="AN518" s="250"/>
      <c r="AO518" s="250"/>
      <c r="AP518" s="250"/>
      <c r="AQ518" s="250"/>
      <c r="AR518" s="250"/>
      <c r="AS518" s="250"/>
      <c r="AT518" s="250"/>
      <c r="AU518" s="250"/>
      <c r="AV518" s="250"/>
      <c r="AW518" s="250"/>
      <c r="AX518" s="250"/>
      <c r="AY518" s="250"/>
      <c r="AZ518" s="250"/>
      <c r="BA518" s="250"/>
      <c r="BB518" s="250"/>
      <c r="BC518" s="250"/>
      <c r="BD518" s="250"/>
      <c r="BE518" s="250"/>
      <c r="BF518" s="250"/>
      <c r="BG518" s="250"/>
      <c r="BH518" s="250"/>
      <c r="BI518" s="250"/>
      <c r="BJ518" s="250"/>
    </row>
    <row r="519" spans="2:62" ht="15.75" customHeight="1" thickTop="1">
      <c r="B519" s="7"/>
      <c r="D519" s="542"/>
      <c r="E519" s="283"/>
      <c r="F519" s="286"/>
      <c r="G519" s="283"/>
      <c r="H519" s="283"/>
      <c r="I519" s="552"/>
      <c r="J519" s="283"/>
      <c r="K519" s="283"/>
      <c r="L519" s="283"/>
      <c r="M519" s="283"/>
      <c r="N519" s="552"/>
      <c r="O519" s="283"/>
      <c r="P519" s="283"/>
      <c r="W519" s="339"/>
      <c r="X519" s="339"/>
      <c r="Y519" s="250"/>
      <c r="Z519" s="250"/>
      <c r="AA519" s="250"/>
      <c r="AB519" s="250"/>
      <c r="AC519" s="250"/>
      <c r="AD519" s="250"/>
      <c r="AE519" s="250"/>
      <c r="AF519" s="250"/>
      <c r="AG519" s="250"/>
      <c r="AH519" s="250"/>
      <c r="AI519" s="250"/>
      <c r="AJ519" s="250"/>
      <c r="AK519" s="250"/>
      <c r="AL519" s="250"/>
      <c r="AM519" s="250"/>
      <c r="AN519" s="250"/>
      <c r="AO519" s="250"/>
      <c r="AP519" s="250"/>
      <c r="AQ519" s="250"/>
      <c r="AR519" s="250"/>
      <c r="AS519" s="250"/>
      <c r="AT519" s="250"/>
      <c r="AU519" s="250"/>
      <c r="AV519" s="250"/>
      <c r="AW519" s="250"/>
      <c r="AX519" s="250"/>
      <c r="AY519" s="250"/>
      <c r="AZ519" s="250"/>
      <c r="BA519" s="250"/>
      <c r="BB519" s="250"/>
      <c r="BC519" s="250"/>
      <c r="BD519" s="250"/>
      <c r="BE519" s="250"/>
      <c r="BF519" s="250"/>
      <c r="BG519" s="250"/>
      <c r="BH519" s="250"/>
      <c r="BI519" s="250"/>
      <c r="BJ519" s="250"/>
    </row>
    <row r="520" spans="2:62" ht="15.75" customHeight="1" thickBot="1">
      <c r="B520" s="7"/>
      <c r="D520" s="542"/>
      <c r="E520" s="283" t="s">
        <v>482</v>
      </c>
      <c r="F520" s="286"/>
      <c r="G520" s="283"/>
      <c r="H520" s="283"/>
      <c r="I520" s="286"/>
      <c r="J520" s="553" t="e">
        <f>+J506+J513</f>
        <v>#N/A</v>
      </c>
      <c r="K520" s="283"/>
      <c r="L520" s="283"/>
      <c r="M520" s="283"/>
      <c r="N520" s="283"/>
      <c r="O520" s="553" t="e">
        <f>+O506+O513</f>
        <v>#N/A</v>
      </c>
      <c r="P520" s="283"/>
      <c r="W520" s="339"/>
      <c r="X520" s="339"/>
      <c r="Y520" s="250"/>
      <c r="Z520" s="250"/>
      <c r="AA520" s="250"/>
      <c r="AB520" s="250"/>
      <c r="AC520" s="250"/>
      <c r="AD520" s="250"/>
      <c r="AE520" s="250"/>
      <c r="AF520" s="250"/>
      <c r="AG520" s="250"/>
      <c r="AH520" s="250"/>
      <c r="AI520" s="250"/>
      <c r="AJ520" s="250"/>
      <c r="AK520" s="250"/>
      <c r="AL520" s="250"/>
      <c r="AM520" s="250"/>
      <c r="AN520" s="250"/>
      <c r="AO520" s="250"/>
      <c r="AP520" s="250"/>
      <c r="AQ520" s="250"/>
      <c r="AR520" s="250"/>
      <c r="AS520" s="250"/>
      <c r="AT520" s="250"/>
      <c r="AU520" s="250"/>
      <c r="AV520" s="250"/>
      <c r="AW520" s="250"/>
      <c r="AX520" s="250"/>
      <c r="AY520" s="250"/>
      <c r="AZ520" s="250"/>
      <c r="BA520" s="250"/>
      <c r="BB520" s="250"/>
      <c r="BC520" s="250"/>
      <c r="BD520" s="250"/>
      <c r="BE520" s="250"/>
      <c r="BF520" s="250"/>
      <c r="BG520" s="250"/>
      <c r="BH520" s="250"/>
      <c r="BI520" s="250"/>
      <c r="BJ520" s="250"/>
    </row>
    <row r="521" spans="2:62" ht="15.75" customHeight="1" thickTop="1">
      <c r="B521" s="7"/>
      <c r="D521" s="542"/>
      <c r="E521" s="283"/>
      <c r="F521" s="286"/>
      <c r="G521" s="283"/>
      <c r="H521" s="283"/>
      <c r="I521" s="286"/>
      <c r="J521" s="542"/>
      <c r="K521" s="283"/>
      <c r="L521" s="283"/>
      <c r="M521" s="283"/>
      <c r="N521" s="283"/>
      <c r="O521" s="542"/>
      <c r="P521" s="283"/>
      <c r="W521" s="339"/>
      <c r="X521" s="339"/>
      <c r="Y521" s="250"/>
      <c r="Z521" s="250"/>
      <c r="AA521" s="250"/>
      <c r="AB521" s="250"/>
      <c r="AC521" s="250"/>
      <c r="AD521" s="250"/>
      <c r="AE521" s="250"/>
      <c r="AF521" s="250"/>
      <c r="AG521" s="250"/>
      <c r="AH521" s="250"/>
      <c r="AI521" s="250"/>
      <c r="AJ521" s="250"/>
      <c r="AK521" s="250"/>
      <c r="AL521" s="250"/>
      <c r="AM521" s="250"/>
      <c r="AN521" s="250"/>
      <c r="AO521" s="250"/>
      <c r="AP521" s="250"/>
      <c r="AQ521" s="250"/>
      <c r="AR521" s="250"/>
      <c r="AS521" s="250"/>
      <c r="AT521" s="250"/>
      <c r="AU521" s="250"/>
      <c r="AV521" s="250"/>
      <c r="AW521" s="250"/>
      <c r="AX521" s="250"/>
      <c r="AY521" s="250"/>
      <c r="AZ521" s="250"/>
      <c r="BA521" s="250"/>
      <c r="BB521" s="250"/>
      <c r="BC521" s="250"/>
      <c r="BD521" s="250"/>
      <c r="BE521" s="250"/>
      <c r="BF521" s="250"/>
      <c r="BG521" s="250"/>
      <c r="BH521" s="250"/>
      <c r="BI521" s="250"/>
      <c r="BJ521" s="250"/>
    </row>
    <row r="522" spans="2:62" ht="15.75" customHeight="1" thickBot="1">
      <c r="B522" s="7"/>
      <c r="D522" s="542"/>
      <c r="E522" s="550"/>
      <c r="F522" s="286"/>
      <c r="G522" s="283"/>
      <c r="H522" s="283"/>
      <c r="I522" s="286"/>
      <c r="J522" s="250"/>
      <c r="K522" s="283"/>
      <c r="L522" s="283"/>
      <c r="M522" s="283"/>
      <c r="N522" s="283"/>
      <c r="O522" s="250"/>
      <c r="P522" s="283"/>
      <c r="W522" s="339"/>
      <c r="X522" s="339"/>
      <c r="Y522" s="250"/>
      <c r="Z522" s="250"/>
      <c r="AA522" s="250"/>
      <c r="AB522" s="250"/>
      <c r="AC522" s="250"/>
      <c r="AD522" s="250"/>
      <c r="AE522" s="250"/>
      <c r="AF522" s="250"/>
      <c r="AG522" s="250"/>
      <c r="AH522" s="250"/>
      <c r="AI522" s="250"/>
      <c r="AJ522" s="250"/>
      <c r="AK522" s="250"/>
      <c r="AL522" s="250"/>
      <c r="AM522" s="250"/>
      <c r="AN522" s="250"/>
      <c r="AO522" s="250"/>
      <c r="AP522" s="250"/>
      <c r="AQ522" s="250"/>
      <c r="AR522" s="250"/>
      <c r="AS522" s="250"/>
      <c r="AT522" s="250"/>
      <c r="AU522" s="250"/>
      <c r="AV522" s="250"/>
      <c r="AW522" s="250"/>
      <c r="AX522" s="250"/>
      <c r="AY522" s="250"/>
      <c r="AZ522" s="250"/>
      <c r="BA522" s="250"/>
      <c r="BB522" s="250"/>
      <c r="BC522" s="250"/>
      <c r="BD522" s="250"/>
      <c r="BE522" s="250"/>
      <c r="BF522" s="250"/>
      <c r="BG522" s="250"/>
      <c r="BH522" s="250"/>
      <c r="BI522" s="250"/>
      <c r="BJ522" s="250"/>
    </row>
    <row r="523" spans="2:62" ht="15.75" customHeight="1" thickBot="1">
      <c r="B523" s="7"/>
      <c r="D523" s="537" t="s">
        <v>483</v>
      </c>
      <c r="E523" s="538"/>
      <c r="F523" s="539"/>
      <c r="G523" s="540"/>
      <c r="J523" s="541" t="s">
        <v>474</v>
      </c>
      <c r="O523" s="541" t="s">
        <v>475</v>
      </c>
      <c r="W523" s="339"/>
      <c r="X523" s="339"/>
      <c r="Y523" s="250"/>
      <c r="Z523" s="250"/>
      <c r="AA523" s="250"/>
      <c r="AB523" s="250"/>
      <c r="AC523" s="250"/>
      <c r="AD523" s="250"/>
      <c r="AE523" s="250"/>
      <c r="AF523" s="250"/>
      <c r="AG523" s="250"/>
      <c r="AH523" s="250"/>
      <c r="AI523" s="250"/>
      <c r="AJ523" s="250"/>
      <c r="AK523" s="250"/>
      <c r="AL523" s="250"/>
      <c r="AM523" s="250"/>
      <c r="AN523" s="250"/>
      <c r="AO523" s="250"/>
      <c r="AP523" s="250"/>
      <c r="AQ523" s="250"/>
      <c r="AR523" s="250"/>
      <c r="AS523" s="250"/>
      <c r="AT523" s="250"/>
      <c r="AU523" s="250"/>
      <c r="AV523" s="250"/>
      <c r="AW523" s="250"/>
      <c r="AX523" s="250"/>
      <c r="AY523" s="250"/>
      <c r="AZ523" s="250"/>
      <c r="BA523" s="250"/>
      <c r="BB523" s="250"/>
      <c r="BC523" s="250"/>
      <c r="BD523" s="250"/>
      <c r="BE523" s="250"/>
      <c r="BF523" s="250"/>
      <c r="BG523" s="250"/>
      <c r="BH523" s="250"/>
      <c r="BI523" s="250"/>
      <c r="BJ523" s="250"/>
    </row>
    <row r="524" spans="2:62" ht="15.75" customHeight="1">
      <c r="B524" s="7"/>
      <c r="C524" s="283"/>
      <c r="D524" s="283" t="s">
        <v>476</v>
      </c>
      <c r="E524" s="283"/>
      <c r="F524" s="286"/>
      <c r="G524" s="283"/>
      <c r="H524" s="283"/>
      <c r="I524" s="286"/>
      <c r="J524" s="283"/>
      <c r="K524" s="283"/>
      <c r="L524" s="283"/>
      <c r="M524" s="283"/>
      <c r="N524" s="283"/>
      <c r="O524" s="283"/>
      <c r="P524" s="283"/>
      <c r="W524" s="339"/>
      <c r="X524" s="339"/>
      <c r="Y524" s="250"/>
      <c r="Z524" s="250"/>
      <c r="AA524" s="250"/>
      <c r="AB524" s="250"/>
      <c r="AC524" s="250"/>
      <c r="AD524" s="250"/>
      <c r="AE524" s="250"/>
      <c r="AF524" s="250"/>
      <c r="AG524" s="250"/>
      <c r="AH524" s="250"/>
      <c r="AI524" s="250"/>
      <c r="AJ524" s="250"/>
      <c r="AK524" s="250"/>
      <c r="AL524" s="250"/>
      <c r="AM524" s="250"/>
      <c r="AN524" s="250"/>
      <c r="AO524" s="250"/>
      <c r="AP524" s="250"/>
      <c r="AQ524" s="250"/>
      <c r="AR524" s="250"/>
      <c r="AS524" s="250"/>
      <c r="AT524" s="250"/>
      <c r="AU524" s="250"/>
      <c r="AV524" s="250"/>
      <c r="AW524" s="250"/>
      <c r="AX524" s="250"/>
      <c r="AY524" s="250"/>
      <c r="AZ524" s="250"/>
      <c r="BA524" s="250"/>
      <c r="BB524" s="250"/>
      <c r="BC524" s="250"/>
      <c r="BD524" s="250"/>
      <c r="BE524" s="250"/>
      <c r="BF524" s="250"/>
      <c r="BG524" s="250"/>
      <c r="BH524" s="250"/>
      <c r="BI524" s="250"/>
      <c r="BJ524" s="250"/>
    </row>
    <row r="525" spans="2:62" ht="15.75" customHeight="1">
      <c r="B525" s="7"/>
      <c r="C525" s="283"/>
      <c r="D525" s="542">
        <v>4405</v>
      </c>
      <c r="E525" s="283" t="s">
        <v>505</v>
      </c>
      <c r="F525" s="286"/>
      <c r="G525" s="283"/>
      <c r="H525" s="283"/>
      <c r="I525" s="286"/>
      <c r="J525" s="544">
        <v>66920.92</v>
      </c>
      <c r="K525" s="283"/>
      <c r="L525" s="283"/>
      <c r="M525" s="283"/>
      <c r="N525" s="283"/>
      <c r="O525" s="544">
        <v>443691.41</v>
      </c>
      <c r="P525" s="283"/>
      <c r="W525" s="339"/>
      <c r="X525" s="339"/>
      <c r="Y525" s="250"/>
      <c r="Z525" s="250"/>
      <c r="AA525" s="250"/>
      <c r="AB525" s="250"/>
      <c r="AC525" s="250"/>
      <c r="AD525" s="250"/>
      <c r="AE525" s="250"/>
      <c r="AF525" s="250"/>
      <c r="AG525" s="250"/>
      <c r="AH525" s="250"/>
      <c r="AI525" s="250"/>
      <c r="AJ525" s="250"/>
      <c r="AK525" s="250"/>
      <c r="AL525" s="250"/>
      <c r="AM525" s="250"/>
      <c r="AN525" s="250"/>
      <c r="AO525" s="250"/>
      <c r="AP525" s="250"/>
      <c r="AQ525" s="250"/>
      <c r="AR525" s="250"/>
      <c r="AS525" s="250"/>
      <c r="AT525" s="250"/>
      <c r="AU525" s="250"/>
      <c r="AV525" s="250"/>
      <c r="AW525" s="250"/>
      <c r="AX525" s="250"/>
      <c r="AY525" s="250"/>
      <c r="AZ525" s="250"/>
      <c r="BA525" s="250"/>
      <c r="BB525" s="250"/>
      <c r="BC525" s="250"/>
      <c r="BD525" s="250"/>
      <c r="BE525" s="250"/>
      <c r="BF525" s="250"/>
      <c r="BG525" s="250"/>
      <c r="BH525" s="250"/>
      <c r="BI525" s="250"/>
      <c r="BJ525" s="250"/>
    </row>
    <row r="526" spans="2:62" ht="15.75" customHeight="1">
      <c r="B526" s="7"/>
      <c r="C526" s="283"/>
      <c r="D526" s="542">
        <v>5405</v>
      </c>
      <c r="E526" s="283" t="s">
        <v>506</v>
      </c>
      <c r="F526" s="286"/>
      <c r="G526" s="283"/>
      <c r="H526" s="283"/>
      <c r="I526" s="286"/>
      <c r="J526" s="544">
        <v>-17039.8</v>
      </c>
      <c r="K526" s="546">
        <f>-J526/J525</f>
        <v>0.25462590771316351</v>
      </c>
      <c r="L526" s="283"/>
      <c r="M526" s="283"/>
      <c r="N526" s="283"/>
      <c r="O526" s="544">
        <v>-121226.8</v>
      </c>
      <c r="P526" s="546">
        <f>-O526/O525</f>
        <v>0.27322322963160367</v>
      </c>
      <c r="W526" s="339"/>
      <c r="X526" s="339"/>
      <c r="Y526" s="250"/>
      <c r="Z526" s="250"/>
      <c r="AA526" s="250"/>
      <c r="AB526" s="250"/>
      <c r="AC526" s="250"/>
      <c r="AD526" s="250"/>
      <c r="AE526" s="250"/>
      <c r="AF526" s="250"/>
      <c r="AG526" s="250"/>
      <c r="AH526" s="250"/>
      <c r="AI526" s="250"/>
      <c r="AJ526" s="250"/>
      <c r="AK526" s="250"/>
      <c r="AL526" s="250"/>
      <c r="AM526" s="250"/>
      <c r="AN526" s="250"/>
      <c r="AO526" s="250"/>
      <c r="AP526" s="250"/>
      <c r="AQ526" s="250"/>
      <c r="AR526" s="250"/>
      <c r="AS526" s="250"/>
      <c r="AT526" s="250"/>
      <c r="AU526" s="250"/>
      <c r="AV526" s="250"/>
      <c r="AW526" s="250"/>
      <c r="AX526" s="250"/>
      <c r="AY526" s="250"/>
      <c r="AZ526" s="250"/>
      <c r="BA526" s="250"/>
      <c r="BB526" s="250"/>
      <c r="BC526" s="250"/>
      <c r="BD526" s="250"/>
      <c r="BE526" s="250"/>
      <c r="BF526" s="250"/>
      <c r="BG526" s="250"/>
      <c r="BH526" s="250"/>
      <c r="BI526" s="250"/>
      <c r="BJ526" s="250"/>
    </row>
    <row r="527" spans="2:62" ht="15.75" customHeight="1" thickBot="1">
      <c r="B527" s="7"/>
      <c r="C527" s="283"/>
      <c r="D527" s="542"/>
      <c r="E527" s="283" t="s">
        <v>484</v>
      </c>
      <c r="F527" s="286"/>
      <c r="G527" s="283"/>
      <c r="H527" s="283"/>
      <c r="I527" s="286"/>
      <c r="J527" s="547">
        <f>SUM(J525:J526)</f>
        <v>49881.119999999995</v>
      </c>
      <c r="K527" s="548">
        <f>+J527/J525</f>
        <v>0.74537409228683638</v>
      </c>
      <c r="L527" s="283"/>
      <c r="M527" s="283"/>
      <c r="N527" s="283"/>
      <c r="O527" s="547">
        <f>SUM(O525:O526)</f>
        <v>322464.61</v>
      </c>
      <c r="P527" s="548">
        <f>+O527/O525</f>
        <v>0.72677677036839639</v>
      </c>
      <c r="W527" s="339"/>
      <c r="X527" s="339"/>
      <c r="Y527" s="250"/>
      <c r="Z527" s="250"/>
      <c r="AA527" s="250"/>
      <c r="AB527" s="250"/>
      <c r="AC527" s="250"/>
      <c r="AD527" s="250"/>
      <c r="AE527" s="250"/>
      <c r="AF527" s="250"/>
      <c r="AG527" s="250"/>
      <c r="AH527" s="250"/>
      <c r="AI527" s="250"/>
      <c r="AJ527" s="250"/>
      <c r="AK527" s="250"/>
      <c r="AL527" s="250"/>
      <c r="AM527" s="250"/>
      <c r="AN527" s="250"/>
      <c r="AO527" s="250"/>
      <c r="AP527" s="250"/>
      <c r="AQ527" s="250"/>
      <c r="AR527" s="250"/>
      <c r="AS527" s="250"/>
      <c r="AT527" s="250"/>
      <c r="AU527" s="250"/>
      <c r="AV527" s="250"/>
      <c r="AW527" s="250"/>
      <c r="AX527" s="250"/>
      <c r="AY527" s="250"/>
      <c r="AZ527" s="250"/>
      <c r="BA527" s="250"/>
      <c r="BB527" s="250"/>
      <c r="BC527" s="250"/>
      <c r="BD527" s="250"/>
      <c r="BE527" s="250"/>
      <c r="BF527" s="250"/>
      <c r="BG527" s="250"/>
      <c r="BH527" s="250"/>
      <c r="BI527" s="250"/>
      <c r="BJ527" s="250"/>
    </row>
    <row r="528" spans="2:62" ht="15.75" customHeight="1" thickTop="1">
      <c r="B528" s="7"/>
      <c r="C528" s="283"/>
      <c r="D528" s="542"/>
      <c r="E528" s="283"/>
      <c r="F528" s="286"/>
      <c r="G528" s="283"/>
      <c r="H528" s="283"/>
      <c r="I528" s="286"/>
      <c r="J528" s="542"/>
      <c r="K528" s="283"/>
      <c r="L528" s="283"/>
      <c r="M528" s="283"/>
      <c r="N528" s="283"/>
      <c r="O528" s="542"/>
      <c r="P528" s="283"/>
      <c r="W528" s="339"/>
      <c r="X528" s="339"/>
      <c r="Y528" s="250"/>
      <c r="Z528" s="250"/>
      <c r="AA528" s="250"/>
      <c r="AB528" s="250"/>
      <c r="AC528" s="250"/>
      <c r="AD528" s="250"/>
      <c r="AE528" s="250"/>
      <c r="AF528" s="250"/>
      <c r="AG528" s="250"/>
      <c r="AH528" s="250"/>
      <c r="AI528" s="250"/>
      <c r="AJ528" s="250"/>
      <c r="AK528" s="250"/>
      <c r="AL528" s="250"/>
      <c r="AM528" s="250"/>
      <c r="AN528" s="250"/>
      <c r="AO528" s="250"/>
      <c r="AP528" s="250"/>
      <c r="AQ528" s="250"/>
      <c r="AR528" s="250"/>
      <c r="AS528" s="250"/>
      <c r="AT528" s="250"/>
      <c r="AU528" s="250"/>
      <c r="AV528" s="250"/>
      <c r="AW528" s="250"/>
      <c r="AX528" s="250"/>
      <c r="AY528" s="250"/>
      <c r="AZ528" s="250"/>
      <c r="BA528" s="250"/>
      <c r="BB528" s="250"/>
      <c r="BC528" s="250"/>
      <c r="BD528" s="250"/>
      <c r="BE528" s="250"/>
      <c r="BF528" s="250"/>
      <c r="BG528" s="250"/>
      <c r="BH528" s="250"/>
      <c r="BI528" s="250"/>
      <c r="BJ528" s="250"/>
    </row>
    <row r="529" spans="2:62" ht="15.75" customHeight="1">
      <c r="B529" s="7"/>
      <c r="C529" s="283"/>
      <c r="D529" s="542"/>
      <c r="E529" s="283"/>
      <c r="F529" s="286"/>
      <c r="G529" s="283"/>
      <c r="H529" s="283"/>
      <c r="I529" s="286"/>
      <c r="J529" s="283"/>
      <c r="K529" s="283"/>
      <c r="L529" s="283"/>
      <c r="M529" s="283"/>
      <c r="N529" s="283"/>
      <c r="O529" s="283"/>
      <c r="P529" s="283"/>
      <c r="W529" s="339"/>
      <c r="X529" s="339"/>
      <c r="Y529" s="250"/>
      <c r="Z529" s="250"/>
      <c r="AA529" s="250"/>
      <c r="AB529" s="250"/>
      <c r="AC529" s="250"/>
      <c r="AD529" s="250"/>
      <c r="AE529" s="250"/>
      <c r="AF529" s="250"/>
      <c r="AG529" s="250"/>
      <c r="AH529" s="250"/>
      <c r="AI529" s="250"/>
      <c r="AJ529" s="250"/>
      <c r="AK529" s="250"/>
      <c r="AL529" s="250"/>
      <c r="AM529" s="250"/>
      <c r="AN529" s="250"/>
      <c r="AO529" s="250"/>
      <c r="AP529" s="250"/>
      <c r="AQ529" s="250"/>
      <c r="AR529" s="250"/>
      <c r="AS529" s="250"/>
      <c r="AT529" s="250"/>
      <c r="AU529" s="250"/>
      <c r="AV529" s="250"/>
      <c r="AW529" s="250"/>
      <c r="AX529" s="250"/>
      <c r="AY529" s="250"/>
      <c r="AZ529" s="250"/>
      <c r="BA529" s="250"/>
      <c r="BB529" s="250"/>
      <c r="BC529" s="250"/>
      <c r="BD529" s="250"/>
      <c r="BE529" s="250"/>
      <c r="BF529" s="250"/>
      <c r="BG529" s="250"/>
      <c r="BH529" s="250"/>
      <c r="BI529" s="250"/>
      <c r="BJ529" s="250"/>
    </row>
    <row r="530" spans="2:62" ht="15.75" customHeight="1">
      <c r="B530" s="7"/>
      <c r="C530" s="283"/>
      <c r="D530" s="542">
        <v>4705</v>
      </c>
      <c r="E530" s="283" t="s">
        <v>507</v>
      </c>
      <c r="F530" s="286"/>
      <c r="G530" s="283"/>
      <c r="H530" s="283"/>
      <c r="I530" s="286"/>
      <c r="J530" s="544">
        <v>57406.16</v>
      </c>
      <c r="K530" s="283"/>
      <c r="L530" s="283"/>
      <c r="M530" s="283"/>
      <c r="N530" s="283"/>
      <c r="O530" s="544">
        <v>408934.93</v>
      </c>
      <c r="P530" s="283"/>
      <c r="W530" s="339"/>
      <c r="X530" s="339"/>
      <c r="Y530" s="250"/>
      <c r="Z530" s="250"/>
      <c r="AA530" s="250"/>
      <c r="AB530" s="250"/>
      <c r="AC530" s="250"/>
      <c r="AD530" s="250"/>
      <c r="AE530" s="250"/>
      <c r="AF530" s="250"/>
      <c r="AG530" s="250"/>
      <c r="AH530" s="250"/>
      <c r="AI530" s="250"/>
      <c r="AJ530" s="250"/>
      <c r="AK530" s="250"/>
      <c r="AL530" s="250"/>
      <c r="AM530" s="250"/>
      <c r="AN530" s="250"/>
      <c r="AO530" s="250"/>
      <c r="AP530" s="250"/>
      <c r="AQ530" s="250"/>
      <c r="AR530" s="250"/>
      <c r="AS530" s="250"/>
      <c r="AT530" s="250"/>
      <c r="AU530" s="250"/>
      <c r="AV530" s="250"/>
      <c r="AW530" s="250"/>
      <c r="AX530" s="250"/>
      <c r="AY530" s="250"/>
      <c r="AZ530" s="250"/>
      <c r="BA530" s="250"/>
      <c r="BB530" s="250"/>
      <c r="BC530" s="250"/>
      <c r="BD530" s="250"/>
      <c r="BE530" s="250"/>
      <c r="BF530" s="250"/>
      <c r="BG530" s="250"/>
      <c r="BH530" s="250"/>
      <c r="BI530" s="250"/>
      <c r="BJ530" s="250"/>
    </row>
    <row r="531" spans="2:62" ht="15.75" customHeight="1">
      <c r="B531" s="7"/>
      <c r="C531" s="283"/>
      <c r="D531" s="542">
        <v>5705</v>
      </c>
      <c r="E531" s="283" t="s">
        <v>508</v>
      </c>
      <c r="F531" s="286"/>
      <c r="G531" s="283"/>
      <c r="H531" s="283"/>
      <c r="I531" s="286"/>
      <c r="J531" s="544">
        <v>-40484.879999999997</v>
      </c>
      <c r="K531" s="546">
        <f>-J531/J530</f>
        <v>0.70523581441434147</v>
      </c>
      <c r="L531" s="283"/>
      <c r="M531" s="283"/>
      <c r="N531" s="283"/>
      <c r="O531" s="544">
        <v>-279802</v>
      </c>
      <c r="P531" s="546">
        <f>-O531/O530</f>
        <v>0.68422132587206475</v>
      </c>
      <c r="W531" s="339"/>
      <c r="X531" s="339"/>
      <c r="Y531" s="250"/>
      <c r="Z531" s="250"/>
      <c r="AA531" s="250"/>
      <c r="AB531" s="250"/>
      <c r="AC531" s="250"/>
      <c r="AD531" s="250"/>
      <c r="AE531" s="250"/>
      <c r="AF531" s="250"/>
      <c r="AG531" s="250"/>
      <c r="AH531" s="250"/>
      <c r="AI531" s="250"/>
      <c r="AJ531" s="250"/>
      <c r="AK531" s="250"/>
      <c r="AL531" s="250"/>
      <c r="AM531" s="250"/>
      <c r="AN531" s="250"/>
      <c r="AO531" s="250"/>
      <c r="AP531" s="250"/>
      <c r="AQ531" s="250"/>
      <c r="AR531" s="250"/>
      <c r="AS531" s="250"/>
      <c r="AT531" s="250"/>
      <c r="AU531" s="250"/>
      <c r="AV531" s="250"/>
      <c r="AW531" s="250"/>
      <c r="AX531" s="250"/>
      <c r="AY531" s="250"/>
      <c r="AZ531" s="250"/>
      <c r="BA531" s="250"/>
      <c r="BB531" s="250"/>
      <c r="BC531" s="250"/>
      <c r="BD531" s="250"/>
      <c r="BE531" s="250"/>
      <c r="BF531" s="250"/>
      <c r="BG531" s="250"/>
      <c r="BH531" s="250"/>
      <c r="BI531" s="250"/>
      <c r="BJ531" s="250"/>
    </row>
    <row r="532" spans="2:62" ht="15.75" customHeight="1" thickBot="1">
      <c r="B532" s="7"/>
      <c r="C532" s="283"/>
      <c r="D532" s="283"/>
      <c r="E532" s="283" t="s">
        <v>485</v>
      </c>
      <c r="F532" s="286"/>
      <c r="G532" s="283"/>
      <c r="H532" s="283"/>
      <c r="I532" s="286"/>
      <c r="J532" s="547">
        <f>SUM(J530:J531)</f>
        <v>16921.280000000006</v>
      </c>
      <c r="K532" s="548">
        <f>+J532/J530</f>
        <v>0.29476418558565848</v>
      </c>
      <c r="L532" s="283"/>
      <c r="M532" s="283"/>
      <c r="N532" s="283"/>
      <c r="O532" s="547">
        <f>SUM(O530:O531)</f>
        <v>129132.93</v>
      </c>
      <c r="P532" s="548">
        <f>+O532/O530</f>
        <v>0.3157786741279352</v>
      </c>
      <c r="W532" s="339"/>
      <c r="X532" s="339"/>
      <c r="Y532" s="250"/>
      <c r="Z532" s="250"/>
      <c r="AA532" s="250"/>
      <c r="AB532" s="250"/>
      <c r="AC532" s="250"/>
      <c r="AD532" s="250"/>
      <c r="AE532" s="250"/>
      <c r="AF532" s="250"/>
      <c r="AG532" s="250"/>
      <c r="AH532" s="250"/>
      <c r="AI532" s="250"/>
      <c r="AJ532" s="250"/>
      <c r="AK532" s="250"/>
      <c r="AL532" s="250"/>
      <c r="AM532" s="250"/>
      <c r="AN532" s="250"/>
      <c r="AO532" s="250"/>
      <c r="AP532" s="250"/>
      <c r="AQ532" s="250"/>
      <c r="AR532" s="250"/>
      <c r="AS532" s="250"/>
      <c r="AT532" s="250"/>
      <c r="AU532" s="250"/>
      <c r="AV532" s="250"/>
      <c r="AW532" s="250"/>
      <c r="AX532" s="250"/>
      <c r="AY532" s="250"/>
      <c r="AZ532" s="250"/>
      <c r="BA532" s="250"/>
      <c r="BB532" s="250"/>
      <c r="BC532" s="250"/>
      <c r="BD532" s="250"/>
      <c r="BE532" s="250"/>
      <c r="BF532" s="250"/>
      <c r="BG532" s="250"/>
      <c r="BH532" s="250"/>
      <c r="BI532" s="250"/>
      <c r="BJ532" s="250"/>
    </row>
    <row r="533" spans="2:62" ht="15.75" customHeight="1" thickTop="1">
      <c r="B533" s="7"/>
      <c r="C533" s="283"/>
      <c r="D533" s="542"/>
      <c r="E533" s="283"/>
      <c r="F533" s="286"/>
      <c r="G533" s="283"/>
      <c r="H533" s="283"/>
      <c r="I533" s="286"/>
      <c r="J533" s="542"/>
      <c r="K533" s="283"/>
      <c r="L533" s="283"/>
      <c r="M533" s="283"/>
      <c r="N533" s="283"/>
      <c r="O533" s="542"/>
      <c r="P533" s="283"/>
      <c r="W533" s="339"/>
      <c r="X533" s="339"/>
      <c r="Y533" s="250"/>
      <c r="Z533" s="250"/>
      <c r="AA533" s="250"/>
      <c r="AB533" s="250"/>
      <c r="AC533" s="250"/>
      <c r="AD533" s="250"/>
      <c r="AE533" s="250"/>
      <c r="AF533" s="250"/>
      <c r="AG533" s="250"/>
      <c r="AH533" s="250"/>
      <c r="AI533" s="250"/>
      <c r="AJ533" s="250"/>
      <c r="AK533" s="250"/>
      <c r="AL533" s="250"/>
      <c r="AM533" s="250"/>
      <c r="AN533" s="250"/>
      <c r="AO533" s="250"/>
      <c r="AP533" s="250"/>
      <c r="AQ533" s="250"/>
      <c r="AR533" s="250"/>
      <c r="AS533" s="250"/>
      <c r="AT533" s="250"/>
      <c r="AU533" s="250"/>
      <c r="AV533" s="250"/>
      <c r="AW533" s="250"/>
      <c r="AX533" s="250"/>
      <c r="AY533" s="250"/>
      <c r="AZ533" s="250"/>
      <c r="BA533" s="250"/>
      <c r="BB533" s="250"/>
      <c r="BC533" s="250"/>
      <c r="BD533" s="250"/>
      <c r="BE533" s="250"/>
      <c r="BF533" s="250"/>
      <c r="BG533" s="250"/>
      <c r="BH533" s="250"/>
      <c r="BI533" s="250"/>
      <c r="BJ533" s="250"/>
    </row>
    <row r="534" spans="2:62" ht="15.75" customHeight="1">
      <c r="B534" s="7"/>
      <c r="D534" s="283" t="s">
        <v>479</v>
      </c>
      <c r="E534" s="283"/>
      <c r="F534" s="286"/>
      <c r="G534" s="283"/>
      <c r="H534" s="283"/>
      <c r="I534" s="286"/>
      <c r="J534" s="283"/>
      <c r="K534" s="283"/>
      <c r="L534" s="283"/>
      <c r="M534" s="283"/>
      <c r="N534" s="283"/>
      <c r="O534" s="283"/>
      <c r="P534" s="283"/>
      <c r="W534" s="339"/>
      <c r="X534" s="339"/>
      <c r="Y534" s="250"/>
      <c r="Z534" s="250"/>
      <c r="AA534" s="250"/>
      <c r="AB534" s="250"/>
      <c r="AC534" s="250"/>
      <c r="AD534" s="250"/>
      <c r="AE534" s="250"/>
      <c r="AF534" s="250"/>
      <c r="AG534" s="250"/>
      <c r="AH534" s="250"/>
      <c r="AI534" s="250"/>
      <c r="AJ534" s="250"/>
      <c r="AK534" s="250"/>
      <c r="AL534" s="250"/>
      <c r="AM534" s="250"/>
      <c r="AN534" s="250"/>
      <c r="AO534" s="250"/>
      <c r="AP534" s="250"/>
      <c r="AQ534" s="250"/>
      <c r="AR534" s="250"/>
      <c r="AS534" s="250"/>
      <c r="AT534" s="250"/>
      <c r="AU534" s="250"/>
      <c r="AV534" s="250"/>
      <c r="AW534" s="250"/>
      <c r="AX534" s="250"/>
      <c r="AY534" s="250"/>
      <c r="AZ534" s="250"/>
      <c r="BA534" s="250"/>
      <c r="BB534" s="250"/>
      <c r="BC534" s="250"/>
      <c r="BD534" s="250"/>
      <c r="BE534" s="250"/>
      <c r="BF534" s="250"/>
      <c r="BG534" s="250"/>
      <c r="BH534" s="250"/>
      <c r="BI534" s="250"/>
      <c r="BJ534" s="250"/>
    </row>
    <row r="535" spans="2:62" ht="15.75" customHeight="1">
      <c r="B535" s="7"/>
      <c r="D535" s="542"/>
      <c r="E535" s="283" t="s">
        <v>486</v>
      </c>
      <c r="F535" s="286"/>
      <c r="G535" s="283"/>
      <c r="H535" s="283"/>
      <c r="I535" s="286"/>
      <c r="J535" s="544">
        <f>+J525</f>
        <v>66920.92</v>
      </c>
      <c r="K535" s="283"/>
      <c r="L535" s="283"/>
      <c r="M535" s="283"/>
      <c r="N535" s="283"/>
      <c r="O535" s="544">
        <f>+O525</f>
        <v>443691.41</v>
      </c>
      <c r="P535" s="283"/>
      <c r="W535" s="339"/>
      <c r="X535" s="339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  <c r="AI535" s="250"/>
      <c r="AJ535" s="250"/>
      <c r="AK535" s="250"/>
      <c r="AL535" s="250"/>
      <c r="AM535" s="250"/>
      <c r="AN535" s="250"/>
      <c r="AO535" s="250"/>
      <c r="AP535" s="250"/>
      <c r="AQ535" s="250"/>
      <c r="AR535" s="250"/>
      <c r="AS535" s="250"/>
      <c r="AT535" s="250"/>
      <c r="AU535" s="250"/>
      <c r="AV535" s="250"/>
      <c r="AW535" s="250"/>
      <c r="AX535" s="250"/>
      <c r="AY535" s="250"/>
      <c r="AZ535" s="250"/>
      <c r="BA535" s="250"/>
      <c r="BB535" s="250"/>
      <c r="BC535" s="250"/>
      <c r="BD535" s="250"/>
      <c r="BE535" s="250"/>
      <c r="BF535" s="250"/>
      <c r="BG535" s="250"/>
      <c r="BH535" s="250"/>
      <c r="BI535" s="250"/>
      <c r="BJ535" s="250"/>
    </row>
    <row r="536" spans="2:62" ht="15.75" customHeight="1">
      <c r="B536" s="7"/>
      <c r="D536" s="542"/>
      <c r="E536" s="283" t="s">
        <v>487</v>
      </c>
      <c r="F536" s="286"/>
      <c r="G536" s="283"/>
      <c r="H536" s="283"/>
      <c r="I536" s="286"/>
      <c r="J536" s="544">
        <f>+J526</f>
        <v>-17039.8</v>
      </c>
      <c r="K536" s="546">
        <f>-J536/J535</f>
        <v>0.25462590771316351</v>
      </c>
      <c r="L536" s="283"/>
      <c r="M536" s="283"/>
      <c r="N536" s="283"/>
      <c r="O536" s="544">
        <f>+O526</f>
        <v>-121226.8</v>
      </c>
      <c r="P536" s="546">
        <f>-O536/O535</f>
        <v>0.27322322963160367</v>
      </c>
      <c r="W536" s="339"/>
      <c r="X536" s="339"/>
      <c r="Y536" s="250"/>
      <c r="Z536" s="250"/>
      <c r="AA536" s="250"/>
      <c r="AB536" s="250"/>
      <c r="AC536" s="250"/>
      <c r="AD536" s="250"/>
      <c r="AE536" s="250"/>
      <c r="AF536" s="250"/>
      <c r="AG536" s="250"/>
      <c r="AH536" s="250"/>
      <c r="AI536" s="250"/>
      <c r="AJ536" s="250"/>
      <c r="AK536" s="250"/>
      <c r="AL536" s="250"/>
      <c r="AM536" s="250"/>
      <c r="AN536" s="250"/>
      <c r="AO536" s="250"/>
      <c r="AP536" s="250"/>
      <c r="AQ536" s="250"/>
      <c r="AR536" s="250"/>
      <c r="AS536" s="250"/>
      <c r="AT536" s="250"/>
      <c r="AU536" s="250"/>
      <c r="AV536" s="250"/>
      <c r="AW536" s="250"/>
      <c r="AX536" s="250"/>
      <c r="AY536" s="250"/>
      <c r="AZ536" s="250"/>
      <c r="BA536" s="250"/>
      <c r="BB536" s="250"/>
      <c r="BC536" s="250"/>
      <c r="BD536" s="250"/>
      <c r="BE536" s="250"/>
      <c r="BF536" s="250"/>
      <c r="BG536" s="250"/>
      <c r="BH536" s="250"/>
      <c r="BI536" s="250"/>
      <c r="BJ536" s="250"/>
    </row>
    <row r="537" spans="2:62" ht="15.75" customHeight="1" thickBot="1">
      <c r="B537" s="7"/>
      <c r="D537" s="542"/>
      <c r="E537" s="283"/>
      <c r="F537" s="286"/>
      <c r="G537" s="283"/>
      <c r="H537" s="283"/>
      <c r="I537" s="286"/>
      <c r="J537" s="547">
        <f>SUM(J535:J536)</f>
        <v>49881.119999999995</v>
      </c>
      <c r="K537" s="548">
        <f>+J537/J535</f>
        <v>0.74537409228683638</v>
      </c>
      <c r="L537" s="283"/>
      <c r="M537" s="283"/>
      <c r="N537" s="283"/>
      <c r="O537" s="547">
        <f>SUM(O535:O536)</f>
        <v>322464.61</v>
      </c>
      <c r="P537" s="548">
        <f>+O537/O535</f>
        <v>0.72677677036839639</v>
      </c>
      <c r="W537" s="339"/>
      <c r="X537" s="339"/>
      <c r="Y537" s="250"/>
      <c r="Z537" s="250"/>
      <c r="AA537" s="250"/>
      <c r="AB537" s="250"/>
      <c r="AC537" s="250"/>
      <c r="AD537" s="250"/>
      <c r="AE537" s="250"/>
      <c r="AF537" s="250"/>
      <c r="AG537" s="250"/>
      <c r="AH537" s="250"/>
      <c r="AI537" s="250"/>
      <c r="AJ537" s="250"/>
      <c r="AK537" s="250"/>
      <c r="AL537" s="250"/>
      <c r="AM537" s="250"/>
      <c r="AN537" s="250"/>
      <c r="AO537" s="250"/>
      <c r="AP537" s="250"/>
      <c r="AQ537" s="250"/>
      <c r="AR537" s="250"/>
      <c r="AS537" s="250"/>
      <c r="AT537" s="250"/>
      <c r="AU537" s="250"/>
      <c r="AV537" s="250"/>
      <c r="AW537" s="250"/>
      <c r="AX537" s="250"/>
      <c r="AY537" s="250"/>
      <c r="AZ537" s="250"/>
      <c r="BA537" s="250"/>
      <c r="BB537" s="250"/>
      <c r="BC537" s="250"/>
      <c r="BD537" s="250"/>
      <c r="BE537" s="250"/>
      <c r="BF537" s="250"/>
      <c r="BG537" s="250"/>
      <c r="BH537" s="250"/>
      <c r="BI537" s="250"/>
      <c r="BJ537" s="250"/>
    </row>
    <row r="538" spans="2:62" ht="15.75" customHeight="1" thickTop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conditionalFormatting sqref="K291 H168:I168 K168 J168:J17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5 K178:L178 K181:L181 K184:L186 K183 K188:L189 H312:L315 L182 K306:K307 K311 K191:L195 L190 J101:K103 H135:H136 J135:K136 H155:H156 J155:K156 H172:I172 H175:I175 H178:I178 H181:I182 H188:I189 H191:I195 H364:H375 J364:K375 H284:L284 J18:J24 J49:L54 L173 L6:L14 J31:K48 J111:K120 J122:K133 H105:H133 L125:L129 O122:P133 Q125:Q129 H225:H228 J225:K228 H281:H283 J294:K302 L319:L324 J317:K347 H317:H347 J253:K274 H253:H274 H197:H218 J197:K218 J25:L26 H184:I186 I173 J28:L30 J27 L27 J177:J178 J180:J195 L176 I176:J176 L179 I179:J179 L275:L283">
    <cfRule type="expression" dxfId="355" priority="331" stopIfTrue="1">
      <formula>"esterreur(reference)"</formula>
    </cfRule>
  </conditionalFormatting>
  <conditionalFormatting sqref="M95:M96">
    <cfRule type="expression" dxfId="354" priority="332" stopIfTrue="1">
      <formula>"esterreur(reference)"</formula>
    </cfRule>
  </conditionalFormatting>
  <conditionalFormatting sqref="H275:H280 J275:K280">
    <cfRule type="expression" dxfId="353" priority="333" stopIfTrue="1">
      <formula>"esterreur(reference)"</formula>
    </cfRule>
  </conditionalFormatting>
  <conditionalFormatting sqref="H219:H224 J219:K224">
    <cfRule type="expression" dxfId="352" priority="334" stopIfTrue="1">
      <formula>"esterreur(reference)"</formula>
    </cfRule>
  </conditionalFormatting>
  <conditionalFormatting sqref="H141:H147 J141:K147">
    <cfRule type="expression" dxfId="351" priority="335" stopIfTrue="1">
      <formula>"esterreur(reference)"</formula>
    </cfRule>
  </conditionalFormatting>
  <conditionalFormatting sqref="H137:H139 J137:K139">
    <cfRule type="expression" dxfId="350" priority="336" stopIfTrue="1">
      <formula>"esterreur(reference)"</formula>
    </cfRule>
  </conditionalFormatting>
  <conditionalFormatting sqref="H140 J140:K140">
    <cfRule type="expression" dxfId="349" priority="337" stopIfTrue="1">
      <formula>"esterreur(reference)"</formula>
    </cfRule>
  </conditionalFormatting>
  <conditionalFormatting sqref="L82">
    <cfRule type="expression" dxfId="348" priority="311" stopIfTrue="1">
      <formula>"esterreur(reference)"</formula>
    </cfRule>
  </conditionalFormatting>
  <conditionalFormatting sqref="M311">
    <cfRule type="expression" dxfId="347" priority="338" stopIfTrue="1">
      <formula>"esterreur(reference)"</formula>
    </cfRule>
  </conditionalFormatting>
  <conditionalFormatting sqref="R311">
    <cfRule type="expression" dxfId="346" priority="339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345" priority="340" operator="greaterThan">
      <formula>0</formula>
    </cfRule>
  </conditionalFormatting>
  <conditionalFormatting sqref="AH468:AI475 AH479:AI479">
    <cfRule type="cellIs" dxfId="344" priority="341" operator="lessThan">
      <formula>0</formula>
    </cfRule>
  </conditionalFormatting>
  <conditionalFormatting sqref="AH491:AH493">
    <cfRule type="cellIs" dxfId="343" priority="342" operator="greaterThan">
      <formula>0</formula>
    </cfRule>
  </conditionalFormatting>
  <conditionalFormatting sqref="J281:K283">
    <cfRule type="expression" dxfId="342" priority="343" stopIfTrue="1">
      <formula>"esterreur(reference)"</formula>
    </cfRule>
  </conditionalFormatting>
  <conditionalFormatting sqref="K356 J356:J357 H356:I356 L355:L356 H358:L358">
    <cfRule type="expression" dxfId="341" priority="344" stopIfTrue="1">
      <formula>"esterreur(reference)"</formula>
    </cfRule>
  </conditionalFormatting>
  <conditionalFormatting sqref="H396">
    <cfRule type="expression" dxfId="340" priority="345" stopIfTrue="1">
      <formula>"esterreur(reference)"</formula>
    </cfRule>
  </conditionalFormatting>
  <conditionalFormatting sqref="I376:L376 H377:H392 J377:K392">
    <cfRule type="expression" dxfId="339" priority="346" stopIfTrue="1">
      <formula>"esterreur(reference)"</formula>
    </cfRule>
  </conditionalFormatting>
  <conditionalFormatting sqref="H397:L398 I396:L396 H395:L395 H393:H394 J393:K393">
    <cfRule type="expression" dxfId="338" priority="347" stopIfTrue="1">
      <formula>"esterreur(reference)"</formula>
    </cfRule>
  </conditionalFormatting>
  <conditionalFormatting sqref="H360:L362 H359 K359">
    <cfRule type="expression" dxfId="337" priority="348" stopIfTrue="1">
      <formula>"esterreur(reference)"</formula>
    </cfRule>
  </conditionalFormatting>
  <conditionalFormatting sqref="K394">
    <cfRule type="expression" dxfId="336" priority="349" stopIfTrue="1">
      <formula>"esterreur(reference)"</formula>
    </cfRule>
  </conditionalFormatting>
  <conditionalFormatting sqref="H316:L316">
    <cfRule type="expression" dxfId="335" priority="350" stopIfTrue="1">
      <formula>"esterreur(reference)"</formula>
    </cfRule>
  </conditionalFormatting>
  <conditionalFormatting sqref="H196:L196">
    <cfRule type="expression" dxfId="334" priority="351" stopIfTrue="1">
      <formula>"esterreur(reference)"</formula>
    </cfRule>
  </conditionalFormatting>
  <conditionalFormatting sqref="J55:K56 J71:K71">
    <cfRule type="expression" dxfId="333" priority="352" stopIfTrue="1">
      <formula>"esterreur(reference)"</formula>
    </cfRule>
  </conditionalFormatting>
  <conditionalFormatting sqref="J61:K70">
    <cfRule type="expression" dxfId="332" priority="353" stopIfTrue="1">
      <formula>"esterreur(reference)"</formula>
    </cfRule>
  </conditionalFormatting>
  <conditionalFormatting sqref="J57:K59">
    <cfRule type="expression" dxfId="331" priority="354" stopIfTrue="1">
      <formula>"esterreur(reference)"</formula>
    </cfRule>
  </conditionalFormatting>
  <conditionalFormatting sqref="J60:K60">
    <cfRule type="expression" dxfId="330" priority="355" stopIfTrue="1">
      <formula>"esterreur(reference)"</formula>
    </cfRule>
  </conditionalFormatting>
  <conditionalFormatting sqref="L19 L21:L23">
    <cfRule type="expression" dxfId="329" priority="329" stopIfTrue="1">
      <formula>"esterreur(reference)"</formula>
    </cfRule>
  </conditionalFormatting>
  <conditionalFormatting sqref="K98">
    <cfRule type="expression" dxfId="328" priority="356" stopIfTrue="1">
      <formula>"esterreur(reference)"</formula>
    </cfRule>
  </conditionalFormatting>
  <conditionalFormatting sqref="L331:L347">
    <cfRule type="expression" dxfId="327" priority="230" stopIfTrue="1">
      <formula>"esterreur(reference)"</formula>
    </cfRule>
  </conditionalFormatting>
  <conditionalFormatting sqref="L16:L17">
    <cfRule type="expression" dxfId="326" priority="330" stopIfTrue="1">
      <formula>"esterreur(reference)"</formula>
    </cfRule>
  </conditionalFormatting>
  <conditionalFormatting sqref="L20">
    <cfRule type="expression" dxfId="325" priority="328" stopIfTrue="1">
      <formula>"esterreur(reference)"</formula>
    </cfRule>
  </conditionalFormatting>
  <conditionalFormatting sqref="L325">
    <cfRule type="expression" dxfId="324" priority="234" stopIfTrue="1">
      <formula>"esterreur(reference)"</formula>
    </cfRule>
  </conditionalFormatting>
  <conditionalFormatting sqref="L326">
    <cfRule type="expression" dxfId="323" priority="233" stopIfTrue="1">
      <formula>"esterreur(reference)"</formula>
    </cfRule>
  </conditionalFormatting>
  <conditionalFormatting sqref="L327">
    <cfRule type="expression" dxfId="322" priority="232" stopIfTrue="1">
      <formula>"esterreur(reference)"</formula>
    </cfRule>
  </conditionalFormatting>
  <conditionalFormatting sqref="L328">
    <cfRule type="expression" dxfId="321" priority="231" stopIfTrue="1">
      <formula>"esterreur(reference)"</formula>
    </cfRule>
  </conditionalFormatting>
  <conditionalFormatting sqref="L42">
    <cfRule type="expression" dxfId="320" priority="327" stopIfTrue="1">
      <formula>"esterreur(reference)"</formula>
    </cfRule>
  </conditionalFormatting>
  <conditionalFormatting sqref="L43">
    <cfRule type="expression" dxfId="319" priority="326" stopIfTrue="1">
      <formula>"esterreur(reference)"</formula>
    </cfRule>
  </conditionalFormatting>
  <conditionalFormatting sqref="L44">
    <cfRule type="expression" dxfId="318" priority="325" stopIfTrue="1">
      <formula>"esterreur(reference)"</formula>
    </cfRule>
  </conditionalFormatting>
  <conditionalFormatting sqref="L45:L48">
    <cfRule type="expression" dxfId="317" priority="324" stopIfTrue="1">
      <formula>"esterreur(reference)"</formula>
    </cfRule>
  </conditionalFormatting>
  <conditionalFormatting sqref="L55">
    <cfRule type="expression" dxfId="316" priority="323" stopIfTrue="1">
      <formula>"esterreur(reference)"</formula>
    </cfRule>
  </conditionalFormatting>
  <conditionalFormatting sqref="L56">
    <cfRule type="expression" dxfId="315" priority="322" stopIfTrue="1">
      <formula>"esterreur(reference)"</formula>
    </cfRule>
  </conditionalFormatting>
  <conditionalFormatting sqref="L271">
    <cfRule type="expression" dxfId="314" priority="240" stopIfTrue="1">
      <formula>"esterreur(reference)"</formula>
    </cfRule>
  </conditionalFormatting>
  <conditionalFormatting sqref="L58">
    <cfRule type="expression" dxfId="313" priority="321" stopIfTrue="1">
      <formula>"esterreur(reference)"</formula>
    </cfRule>
  </conditionalFormatting>
  <conditionalFormatting sqref="L61">
    <cfRule type="expression" dxfId="312" priority="320" stopIfTrue="1">
      <formula>"esterreur(reference)"</formula>
    </cfRule>
  </conditionalFormatting>
  <conditionalFormatting sqref="L274">
    <cfRule type="expression" dxfId="311" priority="238" stopIfTrue="1">
      <formula>"esterreur(reference)"</formula>
    </cfRule>
  </conditionalFormatting>
  <conditionalFormatting sqref="L63">
    <cfRule type="expression" dxfId="310" priority="319" stopIfTrue="1">
      <formula>"esterreur(reference)"</formula>
    </cfRule>
  </conditionalFormatting>
  <conditionalFormatting sqref="L62">
    <cfRule type="expression" dxfId="309" priority="318" stopIfTrue="1">
      <formula>"esterreur(reference)"</formula>
    </cfRule>
  </conditionalFormatting>
  <conditionalFormatting sqref="L64">
    <cfRule type="expression" dxfId="308" priority="317" stopIfTrue="1">
      <formula>"esterreur(reference)"</formula>
    </cfRule>
  </conditionalFormatting>
  <conditionalFormatting sqref="L65">
    <cfRule type="expression" dxfId="307" priority="316" stopIfTrue="1">
      <formula>"esterreur(reference)"</formula>
    </cfRule>
  </conditionalFormatting>
  <conditionalFormatting sqref="L66:L69">
    <cfRule type="expression" dxfId="306" priority="315" stopIfTrue="1">
      <formula>"esterreur(reference)"</formula>
    </cfRule>
  </conditionalFormatting>
  <conditionalFormatting sqref="L70">
    <cfRule type="expression" dxfId="305" priority="314" stopIfTrue="1">
      <formula>"esterreur(reference)"</formula>
    </cfRule>
  </conditionalFormatting>
  <conditionalFormatting sqref="L76:L77">
    <cfRule type="expression" dxfId="304" priority="313" stopIfTrue="1">
      <formula>"esterreur(reference)"</formula>
    </cfRule>
  </conditionalFormatting>
  <conditionalFormatting sqref="L78:L81">
    <cfRule type="expression" dxfId="303" priority="312" stopIfTrue="1">
      <formula>"esterreur(reference)"</formula>
    </cfRule>
  </conditionalFormatting>
  <conditionalFormatting sqref="L57">
    <cfRule type="expression" dxfId="302" priority="310" stopIfTrue="1">
      <formula>"esterreur(reference)"</formula>
    </cfRule>
  </conditionalFormatting>
  <conditionalFormatting sqref="L94:L95">
    <cfRule type="expression" dxfId="301" priority="309" stopIfTrue="1">
      <formula>"esterreur(reference)"</formula>
    </cfRule>
  </conditionalFormatting>
  <conditionalFormatting sqref="L98">
    <cfRule type="expression" dxfId="300" priority="308" stopIfTrue="1">
      <formula>"esterreur(reference)"</formula>
    </cfRule>
  </conditionalFormatting>
  <conditionalFormatting sqref="L99">
    <cfRule type="expression" dxfId="299" priority="307" stopIfTrue="1">
      <formula>"esterreur(reference)"</formula>
    </cfRule>
  </conditionalFormatting>
  <conditionalFormatting sqref="L101">
    <cfRule type="expression" dxfId="298" priority="306" stopIfTrue="1">
      <formula>"esterreur(reference)"</formula>
    </cfRule>
  </conditionalFormatting>
  <conditionalFormatting sqref="L102">
    <cfRule type="expression" dxfId="297" priority="305" stopIfTrue="1">
      <formula>"esterreur(reference)"</formula>
    </cfRule>
  </conditionalFormatting>
  <conditionalFormatting sqref="L103">
    <cfRule type="expression" dxfId="296" priority="304" stopIfTrue="1">
      <formula>"esterreur(reference)"</formula>
    </cfRule>
  </conditionalFormatting>
  <conditionalFormatting sqref="L111">
    <cfRule type="expression" dxfId="295" priority="303" stopIfTrue="1">
      <formula>"esterreur(reference)"</formula>
    </cfRule>
  </conditionalFormatting>
  <conditionalFormatting sqref="L112">
    <cfRule type="expression" dxfId="294" priority="302" stopIfTrue="1">
      <formula>"esterreur(reference)"</formula>
    </cfRule>
  </conditionalFormatting>
  <conditionalFormatting sqref="L207">
    <cfRule type="expression" dxfId="293" priority="263" stopIfTrue="1">
      <formula>"esterreur(reference)"</formula>
    </cfRule>
  </conditionalFormatting>
  <conditionalFormatting sqref="L114">
    <cfRule type="expression" dxfId="292" priority="301" stopIfTrue="1">
      <formula>"esterreur(reference)"</formula>
    </cfRule>
  </conditionalFormatting>
  <conditionalFormatting sqref="L227">
    <cfRule type="expression" dxfId="291" priority="259" stopIfTrue="1">
      <formula>"esterreur(reference)"</formula>
    </cfRule>
  </conditionalFormatting>
  <conditionalFormatting sqref="L116:L119">
    <cfRule type="expression" dxfId="290" priority="300" stopIfTrue="1">
      <formula>"esterreur(reference)"</formula>
    </cfRule>
  </conditionalFormatting>
  <conditionalFormatting sqref="L120">
    <cfRule type="expression" dxfId="289" priority="299" stopIfTrue="1">
      <formula>"esterreur(reference)"</formula>
    </cfRule>
  </conditionalFormatting>
  <conditionalFormatting sqref="L130">
    <cfRule type="expression" dxfId="288" priority="296" stopIfTrue="1">
      <formula>"esterreur(reference)"</formula>
    </cfRule>
  </conditionalFormatting>
  <conditionalFormatting sqref="L124">
    <cfRule type="expression" dxfId="287" priority="298" stopIfTrue="1">
      <formula>"esterreur(reference)"</formula>
    </cfRule>
  </conditionalFormatting>
  <conditionalFormatting sqref="L123">
    <cfRule type="expression" dxfId="286" priority="297" stopIfTrue="1">
      <formula>"esterreur(reference)"</formula>
    </cfRule>
  </conditionalFormatting>
  <conditionalFormatting sqref="L138">
    <cfRule type="expression" dxfId="285" priority="290" stopIfTrue="1">
      <formula>"esterreur(reference)"</formula>
    </cfRule>
  </conditionalFormatting>
  <conditionalFormatting sqref="L131">
    <cfRule type="expression" dxfId="284" priority="295" stopIfTrue="1">
      <formula>"esterreur(reference)"</formula>
    </cfRule>
  </conditionalFormatting>
  <conditionalFormatting sqref="L132">
    <cfRule type="expression" dxfId="283" priority="294" stopIfTrue="1">
      <formula>"esterreur(reference)"</formula>
    </cfRule>
  </conditionalFormatting>
  <conditionalFormatting sqref="L133">
    <cfRule type="expression" dxfId="282" priority="293" stopIfTrue="1">
      <formula>"esterreur(reference)"</formula>
    </cfRule>
  </conditionalFormatting>
  <conditionalFormatting sqref="L139">
    <cfRule type="expression" dxfId="281" priority="289" stopIfTrue="1">
      <formula>"esterreur(reference)"</formula>
    </cfRule>
  </conditionalFormatting>
  <conditionalFormatting sqref="L136">
    <cfRule type="expression" dxfId="280" priority="292" stopIfTrue="1">
      <formula>"esterreur(reference)"</formula>
    </cfRule>
  </conditionalFormatting>
  <conditionalFormatting sqref="L137">
    <cfRule type="expression" dxfId="279" priority="291" stopIfTrue="1">
      <formula>"esterreur(reference)"</formula>
    </cfRule>
  </conditionalFormatting>
  <conditionalFormatting sqref="L140">
    <cfRule type="expression" dxfId="278" priority="288" stopIfTrue="1">
      <formula>"esterreur(reference)"</formula>
    </cfRule>
  </conditionalFormatting>
  <conditionalFormatting sqref="L141">
    <cfRule type="expression" dxfId="277" priority="287" stopIfTrue="1">
      <formula>"esterreur(reference)"</formula>
    </cfRule>
  </conditionalFormatting>
  <conditionalFormatting sqref="L142">
    <cfRule type="expression" dxfId="276" priority="286" stopIfTrue="1">
      <formula>"esterreur(reference)"</formula>
    </cfRule>
  </conditionalFormatting>
  <conditionalFormatting sqref="L143">
    <cfRule type="expression" dxfId="275" priority="285" stopIfTrue="1">
      <formula>"esterreur(reference)"</formula>
    </cfRule>
  </conditionalFormatting>
  <conditionalFormatting sqref="L144">
    <cfRule type="expression" dxfId="274" priority="284" stopIfTrue="1">
      <formula>"esterreur(reference)"</formula>
    </cfRule>
  </conditionalFormatting>
  <conditionalFormatting sqref="L145">
    <cfRule type="expression" dxfId="273" priority="283" stopIfTrue="1">
      <formula>"esterreur(reference)"</formula>
    </cfRule>
  </conditionalFormatting>
  <conditionalFormatting sqref="L146">
    <cfRule type="expression" dxfId="272" priority="282" stopIfTrue="1">
      <formula>"esterreur(reference)"</formula>
    </cfRule>
  </conditionalFormatting>
  <conditionalFormatting sqref="L147:L148">
    <cfRule type="expression" dxfId="271" priority="281" stopIfTrue="1">
      <formula>"esterreur(reference)"</formula>
    </cfRule>
  </conditionalFormatting>
  <conditionalFormatting sqref="L155">
    <cfRule type="expression" dxfId="270" priority="280" stopIfTrue="1">
      <formula>"esterreur(reference)"</formula>
    </cfRule>
  </conditionalFormatting>
  <conditionalFormatting sqref="L157">
    <cfRule type="expression" dxfId="269" priority="278" stopIfTrue="1">
      <formula>"esterreur(reference)"</formula>
    </cfRule>
  </conditionalFormatting>
  <conditionalFormatting sqref="L156">
    <cfRule type="expression" dxfId="268" priority="279" stopIfTrue="1">
      <formula>"esterreur(reference)"</formula>
    </cfRule>
  </conditionalFormatting>
  <conditionalFormatting sqref="L115">
    <cfRule type="expression" dxfId="267" priority="277" stopIfTrue="1">
      <formula>"esterreur(reference)"</formula>
    </cfRule>
  </conditionalFormatting>
  <conditionalFormatting sqref="L113">
    <cfRule type="expression" dxfId="266" priority="276" stopIfTrue="1">
      <formula>"esterreur(reference)"</formula>
    </cfRule>
  </conditionalFormatting>
  <conditionalFormatting sqref="L171">
    <cfRule type="expression" dxfId="265" priority="275" stopIfTrue="1">
      <formula>"esterreur(reference)"</formula>
    </cfRule>
  </conditionalFormatting>
  <conditionalFormatting sqref="L174">
    <cfRule type="expression" dxfId="264" priority="274" stopIfTrue="1">
      <formula>"esterreur(reference)"</formula>
    </cfRule>
  </conditionalFormatting>
  <conditionalFormatting sqref="L177">
    <cfRule type="expression" dxfId="263" priority="273" stopIfTrue="1">
      <formula>"esterreur(reference)"</formula>
    </cfRule>
  </conditionalFormatting>
  <conditionalFormatting sqref="L187">
    <cfRule type="expression" dxfId="262" priority="272" stopIfTrue="1">
      <formula>"esterreur(reference)"</formula>
    </cfRule>
  </conditionalFormatting>
  <conditionalFormatting sqref="L197">
    <cfRule type="expression" dxfId="261" priority="271" stopIfTrue="1">
      <formula>"esterreur(reference)"</formula>
    </cfRule>
  </conditionalFormatting>
  <conditionalFormatting sqref="L199">
    <cfRule type="expression" dxfId="260" priority="270" stopIfTrue="1">
      <formula>"esterreur(reference)"</formula>
    </cfRule>
  </conditionalFormatting>
  <conditionalFormatting sqref="L198">
    <cfRule type="expression" dxfId="259" priority="269" stopIfTrue="1">
      <formula>"esterreur(reference)"</formula>
    </cfRule>
  </conditionalFormatting>
  <conditionalFormatting sqref="L200">
    <cfRule type="expression" dxfId="258" priority="268" stopIfTrue="1">
      <formula>"esterreur(reference)"</formula>
    </cfRule>
  </conditionalFormatting>
  <conditionalFormatting sqref="L201">
    <cfRule type="expression" dxfId="257" priority="267" stopIfTrue="1">
      <formula>"esterreur(reference)"</formula>
    </cfRule>
  </conditionalFormatting>
  <conditionalFormatting sqref="L202:L204">
    <cfRule type="expression" dxfId="256" priority="266" stopIfTrue="1">
      <formula>"esterreur(reference)"</formula>
    </cfRule>
  </conditionalFormatting>
  <conditionalFormatting sqref="L206">
    <cfRule type="expression" dxfId="255" priority="264" stopIfTrue="1">
      <formula>"esterreur(reference)"</formula>
    </cfRule>
  </conditionalFormatting>
  <conditionalFormatting sqref="L205">
    <cfRule type="expression" dxfId="254" priority="265" stopIfTrue="1">
      <formula>"esterreur(reference)"</formula>
    </cfRule>
  </conditionalFormatting>
  <conditionalFormatting sqref="L208">
    <cfRule type="expression" dxfId="253" priority="262" stopIfTrue="1">
      <formula>"esterreur(reference)"</formula>
    </cfRule>
  </conditionalFormatting>
  <conditionalFormatting sqref="L211:L224">
    <cfRule type="expression" dxfId="252" priority="261" stopIfTrue="1">
      <formula>"esterreur(reference)"</formula>
    </cfRule>
  </conditionalFormatting>
  <conditionalFormatting sqref="L225:L226">
    <cfRule type="expression" dxfId="251" priority="260" stopIfTrue="1">
      <formula>"esterreur(reference)"</formula>
    </cfRule>
  </conditionalFormatting>
  <conditionalFormatting sqref="L180">
    <cfRule type="expression" dxfId="250" priority="258" stopIfTrue="1">
      <formula>"esterreur(reference)"</formula>
    </cfRule>
  </conditionalFormatting>
  <conditionalFormatting sqref="L243">
    <cfRule type="expression" dxfId="249" priority="257" stopIfTrue="1">
      <formula>"esterreur(reference)"</formula>
    </cfRule>
  </conditionalFormatting>
  <conditionalFormatting sqref="L246">
    <cfRule type="expression" dxfId="248" priority="256" stopIfTrue="1">
      <formula>"esterreur(reference)"</formula>
    </cfRule>
  </conditionalFormatting>
  <conditionalFormatting sqref="L253">
    <cfRule type="expression" dxfId="247" priority="255" stopIfTrue="1">
      <formula>"esterreur(reference)"</formula>
    </cfRule>
  </conditionalFormatting>
  <conditionalFormatting sqref="L254">
    <cfRule type="expression" dxfId="246" priority="254" stopIfTrue="1">
      <formula>"esterreur(reference)"</formula>
    </cfRule>
  </conditionalFormatting>
  <conditionalFormatting sqref="L255">
    <cfRule type="expression" dxfId="245" priority="253" stopIfTrue="1">
      <formula>"esterreur(reference)"</formula>
    </cfRule>
  </conditionalFormatting>
  <conditionalFormatting sqref="L256">
    <cfRule type="expression" dxfId="244" priority="252" stopIfTrue="1">
      <formula>"esterreur(reference)"</formula>
    </cfRule>
  </conditionalFormatting>
  <conditionalFormatting sqref="L257">
    <cfRule type="expression" dxfId="243" priority="251" stopIfTrue="1">
      <formula>"esterreur(reference)"</formula>
    </cfRule>
  </conditionalFormatting>
  <conditionalFormatting sqref="L258">
    <cfRule type="expression" dxfId="242" priority="250" stopIfTrue="1">
      <formula>"esterreur(reference)"</formula>
    </cfRule>
  </conditionalFormatting>
  <conditionalFormatting sqref="L259">
    <cfRule type="expression" dxfId="241" priority="249" stopIfTrue="1">
      <formula>"esterreur(reference)"</formula>
    </cfRule>
  </conditionalFormatting>
  <conditionalFormatting sqref="L260">
    <cfRule type="expression" dxfId="240" priority="248" stopIfTrue="1">
      <formula>"esterreur(reference)"</formula>
    </cfRule>
  </conditionalFormatting>
  <conditionalFormatting sqref="L261">
    <cfRule type="expression" dxfId="239" priority="247" stopIfTrue="1">
      <formula>"esterreur(reference)"</formula>
    </cfRule>
  </conditionalFormatting>
  <conditionalFormatting sqref="L262">
    <cfRule type="expression" dxfId="238" priority="246" stopIfTrue="1">
      <formula>"esterreur(reference)"</formula>
    </cfRule>
  </conditionalFormatting>
  <conditionalFormatting sqref="L263:L264">
    <cfRule type="expression" dxfId="237" priority="245" stopIfTrue="1">
      <formula>"esterreur(reference)"</formula>
    </cfRule>
  </conditionalFormatting>
  <conditionalFormatting sqref="L268">
    <cfRule type="expression" dxfId="236" priority="243" stopIfTrue="1">
      <formula>"esterreur(reference)"</formula>
    </cfRule>
  </conditionalFormatting>
  <conditionalFormatting sqref="L267">
    <cfRule type="expression" dxfId="235" priority="244" stopIfTrue="1">
      <formula>"esterreur(reference)"</formula>
    </cfRule>
  </conditionalFormatting>
  <conditionalFormatting sqref="L269">
    <cfRule type="expression" dxfId="234" priority="242" stopIfTrue="1">
      <formula>"esterreur(reference)"</formula>
    </cfRule>
  </conditionalFormatting>
  <conditionalFormatting sqref="L270">
    <cfRule type="expression" dxfId="233" priority="241" stopIfTrue="1">
      <formula>"esterreur(reference)"</formula>
    </cfRule>
  </conditionalFormatting>
  <conditionalFormatting sqref="L272:L273">
    <cfRule type="expression" dxfId="232" priority="239" stopIfTrue="1">
      <formula>"esterreur(reference)"</formula>
    </cfRule>
  </conditionalFormatting>
  <conditionalFormatting sqref="L311">
    <cfRule type="expression" dxfId="231" priority="237" stopIfTrue="1">
      <formula>"esterreur(reference)"</formula>
    </cfRule>
  </conditionalFormatting>
  <conditionalFormatting sqref="L317">
    <cfRule type="expression" dxfId="230" priority="236" stopIfTrue="1">
      <formula>"esterreur(reference)"</formula>
    </cfRule>
  </conditionalFormatting>
  <conditionalFormatting sqref="L318">
    <cfRule type="expression" dxfId="229" priority="235" stopIfTrue="1">
      <formula>"esterreur(reference)"</formula>
    </cfRule>
  </conditionalFormatting>
  <conditionalFormatting sqref="K5">
    <cfRule type="expression" dxfId="228" priority="229" stopIfTrue="1">
      <formula>"esterreur(reference)"</formula>
    </cfRule>
  </conditionalFormatting>
  <conditionalFormatting sqref="L5">
    <cfRule type="expression" dxfId="227" priority="228" stopIfTrue="1">
      <formula>"esterreur(reference)"</formula>
    </cfRule>
  </conditionalFormatting>
  <conditionalFormatting sqref="K182">
    <cfRule type="expression" dxfId="226" priority="227" stopIfTrue="1">
      <formula>"esterreur(reference)"</formula>
    </cfRule>
  </conditionalFormatting>
  <conditionalFormatting sqref="L93">
    <cfRule type="expression" dxfId="225" priority="226" stopIfTrue="1">
      <formula>"esterreur(reference)"</formula>
    </cfRule>
  </conditionalFormatting>
  <conditionalFormatting sqref="K171">
    <cfRule type="expression" dxfId="224" priority="225" stopIfTrue="1">
      <formula>"esterreur(reference)"</formula>
    </cfRule>
  </conditionalFormatting>
  <conditionalFormatting sqref="K174">
    <cfRule type="expression" dxfId="223" priority="224" stopIfTrue="1">
      <formula>"esterreur(reference)"</formula>
    </cfRule>
  </conditionalFormatting>
  <conditionalFormatting sqref="K177">
    <cfRule type="expression" dxfId="222" priority="223" stopIfTrue="1">
      <formula>"esterreur(reference)"</formula>
    </cfRule>
  </conditionalFormatting>
  <conditionalFormatting sqref="K180">
    <cfRule type="expression" dxfId="221" priority="222" stopIfTrue="1">
      <formula>"esterreur(reference)"</formula>
    </cfRule>
  </conditionalFormatting>
  <conditionalFormatting sqref="K240">
    <cfRule type="expression" dxfId="220" priority="221" stopIfTrue="1">
      <formula>"esterreur(reference)"</formula>
    </cfRule>
  </conditionalFormatting>
  <conditionalFormatting sqref="K243">
    <cfRule type="expression" dxfId="219" priority="220" stopIfTrue="1">
      <formula>"esterreur(reference)"</formula>
    </cfRule>
  </conditionalFormatting>
  <conditionalFormatting sqref="K246">
    <cfRule type="expression" dxfId="218" priority="219" stopIfTrue="1">
      <formula>"esterreur(reference)"</formula>
    </cfRule>
  </conditionalFormatting>
  <conditionalFormatting sqref="J306:J307">
    <cfRule type="expression" dxfId="217" priority="218" stopIfTrue="1">
      <formula>"esterreur(reference)"</formula>
    </cfRule>
  </conditionalFormatting>
  <conditionalFormatting sqref="K187">
    <cfRule type="expression" dxfId="216" priority="217" stopIfTrue="1">
      <formula>"esterreur(reference)"</formula>
    </cfRule>
  </conditionalFormatting>
  <conditionalFormatting sqref="K190">
    <cfRule type="expression" dxfId="215" priority="216" stopIfTrue="1">
      <formula>"esterreur(reference)"</formula>
    </cfRule>
  </conditionalFormatting>
  <conditionalFormatting sqref="J311">
    <cfRule type="expression" dxfId="214" priority="215" stopIfTrue="1">
      <formula>"esterreur(reference)"</formula>
    </cfRule>
  </conditionalFormatting>
  <conditionalFormatting sqref="L364:L375">
    <cfRule type="expression" dxfId="213" priority="214" stopIfTrue="1">
      <formula>"esterreur(reference)"</formula>
    </cfRule>
  </conditionalFormatting>
  <conditionalFormatting sqref="L377:L393">
    <cfRule type="expression" dxfId="212" priority="213" stopIfTrue="1">
      <formula>"esterreur(reference)"</formula>
    </cfRule>
  </conditionalFormatting>
  <conditionalFormatting sqref="K93">
    <cfRule type="expression" dxfId="211" priority="212" stopIfTrue="1">
      <formula>"esterreur(reference)"</formula>
    </cfRule>
  </conditionalFormatting>
  <conditionalFormatting sqref="L240">
    <cfRule type="expression" dxfId="210" priority="211" stopIfTrue="1">
      <formula>"esterreur(reference)"</formula>
    </cfRule>
  </conditionalFormatting>
  <conditionalFormatting sqref="K239">
    <cfRule type="expression" dxfId="209" priority="210" stopIfTrue="1">
      <formula>"esterreur(reference)"</formula>
    </cfRule>
  </conditionalFormatting>
  <conditionalFormatting sqref="L239">
    <cfRule type="expression" dxfId="208" priority="209" stopIfTrue="1">
      <formula>"esterreur(reference)"</formula>
    </cfRule>
  </conditionalFormatting>
  <conditionalFormatting sqref="F183">
    <cfRule type="expression" dxfId="207" priority="208" stopIfTrue="1">
      <formula>"esterreur(reference)"</formula>
    </cfRule>
  </conditionalFormatting>
  <conditionalFormatting sqref="J359">
    <cfRule type="expression" dxfId="206" priority="207" stopIfTrue="1">
      <formula>"esterreur(reference)"</formula>
    </cfRule>
  </conditionalFormatting>
  <conditionalFormatting sqref="L359">
    <cfRule type="expression" dxfId="205" priority="206" stopIfTrue="1">
      <formula>"esterreur(reference)"</formula>
    </cfRule>
  </conditionalFormatting>
  <conditionalFormatting sqref="S185">
    <cfRule type="expression" dxfId="204" priority="205" stopIfTrue="1">
      <formula>"esterreur(reference)"</formula>
    </cfRule>
  </conditionalFormatting>
  <conditionalFormatting sqref="K286">
    <cfRule type="expression" dxfId="203" priority="204" stopIfTrue="1">
      <formula>"esterreur(reference)"</formula>
    </cfRule>
  </conditionalFormatting>
  <conditionalFormatting sqref="AO408:AO413">
    <cfRule type="cellIs" dxfId="202" priority="203" operator="greaterThan">
      <formula>0</formula>
    </cfRule>
  </conditionalFormatting>
  <conditionalFormatting sqref="L71">
    <cfRule type="expression" dxfId="201" priority="202" stopIfTrue="1">
      <formula>"esterreur(reference)"</formula>
    </cfRule>
  </conditionalFormatting>
  <conditionalFormatting sqref="L210">
    <cfRule type="expression" dxfId="200" priority="199" stopIfTrue="1">
      <formula>"esterreur(reference)"</formula>
    </cfRule>
  </conditionalFormatting>
  <conditionalFormatting sqref="L122">
    <cfRule type="expression" dxfId="199" priority="201" stopIfTrue="1">
      <formula>"esterreur(reference)"</formula>
    </cfRule>
  </conditionalFormatting>
  <conditionalFormatting sqref="L266">
    <cfRule type="expression" dxfId="198" priority="198" stopIfTrue="1">
      <formula>"esterreur(reference)"</formula>
    </cfRule>
  </conditionalFormatting>
  <conditionalFormatting sqref="L135">
    <cfRule type="expression" dxfId="197" priority="200" stopIfTrue="1">
      <formula>"esterreur(reference)"</formula>
    </cfRule>
  </conditionalFormatting>
  <conditionalFormatting sqref="L330">
    <cfRule type="expression" dxfId="196" priority="197" stopIfTrue="1">
      <formula>"esterreur(reference)"</formula>
    </cfRule>
  </conditionalFormatting>
  <conditionalFormatting sqref="L75">
    <cfRule type="expression" dxfId="195" priority="196" stopIfTrue="1">
      <formula>"esterreur(reference)"</formula>
    </cfRule>
  </conditionalFormatting>
  <conditionalFormatting sqref="L60">
    <cfRule type="expression" dxfId="194" priority="194" stopIfTrue="1">
      <formula>"esterreur(reference)"</formula>
    </cfRule>
  </conditionalFormatting>
  <conditionalFormatting sqref="L59">
    <cfRule type="expression" dxfId="193" priority="195" stopIfTrue="1">
      <formula>"esterreur(reference)"</formula>
    </cfRule>
  </conditionalFormatting>
  <conditionalFormatting sqref="O25:Q26 Q18 O83:Q85 O41:Q41 O72:Q72 Q24 O13:O14 O16 O18:O24 O49:Q54 Q6:Q14 O31:P40 O42:P48 O28:Q30 O27 Q27">
    <cfRule type="expression" dxfId="192" priority="189" stopIfTrue="1">
      <formula>"esterreur(reference)"</formula>
    </cfRule>
  </conditionalFormatting>
  <conditionalFormatting sqref="P5">
    <cfRule type="expression" dxfId="191" priority="166" stopIfTrue="1">
      <formula>"esterreur(reference)"</formula>
    </cfRule>
  </conditionalFormatting>
  <conditionalFormatting sqref="Q32">
    <cfRule type="expression" dxfId="190" priority="184" stopIfTrue="1">
      <formula>"esterreur(reference)"</formula>
    </cfRule>
  </conditionalFormatting>
  <conditionalFormatting sqref="Q35">
    <cfRule type="expression" dxfId="189" priority="183" stopIfTrue="1">
      <formula>"esterreur(reference)"</formula>
    </cfRule>
  </conditionalFormatting>
  <conditionalFormatting sqref="O55:P56 O71:P71">
    <cfRule type="expression" dxfId="188" priority="190" stopIfTrue="1">
      <formula>"esterreur(reference)"</formula>
    </cfRule>
  </conditionalFormatting>
  <conditionalFormatting sqref="O61:P70">
    <cfRule type="expression" dxfId="187" priority="191" stopIfTrue="1">
      <formula>"esterreur(reference)"</formula>
    </cfRule>
  </conditionalFormatting>
  <conditionalFormatting sqref="O57:P59">
    <cfRule type="expression" dxfId="186" priority="192" stopIfTrue="1">
      <formula>"esterreur(reference)"</formula>
    </cfRule>
  </conditionalFormatting>
  <conditionalFormatting sqref="O60:P60">
    <cfRule type="expression" dxfId="185" priority="193" stopIfTrue="1">
      <formula>"esterreur(reference)"</formula>
    </cfRule>
  </conditionalFormatting>
  <conditionalFormatting sqref="Q19 Q21:Q23">
    <cfRule type="expression" dxfId="184" priority="187" stopIfTrue="1">
      <formula>"esterreur(reference)"</formula>
    </cfRule>
  </conditionalFormatting>
  <conditionalFormatting sqref="Q16:Q17">
    <cfRule type="expression" dxfId="183" priority="188" stopIfTrue="1">
      <formula>"esterreur(reference)"</formula>
    </cfRule>
  </conditionalFormatting>
  <conditionalFormatting sqref="Q20">
    <cfRule type="expression" dxfId="182" priority="186" stopIfTrue="1">
      <formula>"esterreur(reference)"</formula>
    </cfRule>
  </conditionalFormatting>
  <conditionalFormatting sqref="Q31 Q33:Q34">
    <cfRule type="expression" dxfId="181" priority="185" stopIfTrue="1">
      <formula>"esterreur(reference)"</formula>
    </cfRule>
  </conditionalFormatting>
  <conditionalFormatting sqref="Q42">
    <cfRule type="expression" dxfId="180" priority="182" stopIfTrue="1">
      <formula>"esterreur(reference)"</formula>
    </cfRule>
  </conditionalFormatting>
  <conditionalFormatting sqref="Q43">
    <cfRule type="expression" dxfId="179" priority="181" stopIfTrue="1">
      <formula>"esterreur(reference)"</formula>
    </cfRule>
  </conditionalFormatting>
  <conditionalFormatting sqref="Q44">
    <cfRule type="expression" dxfId="178" priority="180" stopIfTrue="1">
      <formula>"esterreur(reference)"</formula>
    </cfRule>
  </conditionalFormatting>
  <conditionalFormatting sqref="Q45:Q48">
    <cfRule type="expression" dxfId="177" priority="179" stopIfTrue="1">
      <formula>"esterreur(reference)"</formula>
    </cfRule>
  </conditionalFormatting>
  <conditionalFormatting sqref="Q55">
    <cfRule type="expression" dxfId="176" priority="178" stopIfTrue="1">
      <formula>"esterreur(reference)"</formula>
    </cfRule>
  </conditionalFormatting>
  <conditionalFormatting sqref="Q56">
    <cfRule type="expression" dxfId="175" priority="177" stopIfTrue="1">
      <formula>"esterreur(reference)"</formula>
    </cfRule>
  </conditionalFormatting>
  <conditionalFormatting sqref="Q58">
    <cfRule type="expression" dxfId="174" priority="176" stopIfTrue="1">
      <formula>"esterreur(reference)"</formula>
    </cfRule>
  </conditionalFormatting>
  <conditionalFormatting sqref="Q61">
    <cfRule type="expression" dxfId="173" priority="175" stopIfTrue="1">
      <formula>"esterreur(reference)"</formula>
    </cfRule>
  </conditionalFormatting>
  <conditionalFormatting sqref="Q63">
    <cfRule type="expression" dxfId="172" priority="174" stopIfTrue="1">
      <formula>"esterreur(reference)"</formula>
    </cfRule>
  </conditionalFormatting>
  <conditionalFormatting sqref="Q62">
    <cfRule type="expression" dxfId="171" priority="173" stopIfTrue="1">
      <formula>"esterreur(reference)"</formula>
    </cfRule>
  </conditionalFormatting>
  <conditionalFormatting sqref="Q64">
    <cfRule type="expression" dxfId="170" priority="172" stopIfTrue="1">
      <formula>"esterreur(reference)"</formula>
    </cfRule>
  </conditionalFormatting>
  <conditionalFormatting sqref="Q65">
    <cfRule type="expression" dxfId="169" priority="171" stopIfTrue="1">
      <formula>"esterreur(reference)"</formula>
    </cfRule>
  </conditionalFormatting>
  <conditionalFormatting sqref="Q66:Q69">
    <cfRule type="expression" dxfId="168" priority="170" stopIfTrue="1">
      <formula>"esterreur(reference)"</formula>
    </cfRule>
  </conditionalFormatting>
  <conditionalFormatting sqref="Q70">
    <cfRule type="expression" dxfId="167" priority="169" stopIfTrue="1">
      <formula>"esterreur(reference)"</formula>
    </cfRule>
  </conditionalFormatting>
  <conditionalFormatting sqref="Q75:Q82">
    <cfRule type="expression" dxfId="166" priority="168" stopIfTrue="1">
      <formula>"esterreur(reference)"</formula>
    </cfRule>
  </conditionalFormatting>
  <conditionalFormatting sqref="Q57">
    <cfRule type="expression" dxfId="165" priority="167" stopIfTrue="1">
      <formula>"esterreur(reference)"</formula>
    </cfRule>
  </conditionalFormatting>
  <conditionalFormatting sqref="Q5">
    <cfRule type="expression" dxfId="164" priority="165" stopIfTrue="1">
      <formula>"esterreur(reference)"</formula>
    </cfRule>
  </conditionalFormatting>
  <conditionalFormatting sqref="Q71">
    <cfRule type="expression" dxfId="163" priority="164" stopIfTrue="1">
      <formula>"esterreur(reference)"</formula>
    </cfRule>
  </conditionalFormatting>
  <conditionalFormatting sqref="Q60">
    <cfRule type="expression" dxfId="162" priority="162" stopIfTrue="1">
      <formula>"esterreur(reference)"</formula>
    </cfRule>
  </conditionalFormatting>
  <conditionalFormatting sqref="P98">
    <cfRule type="expression" dxfId="161" priority="161" stopIfTrue="1">
      <formula>"esterreur(reference)"</formula>
    </cfRule>
  </conditionalFormatting>
  <conditionalFormatting sqref="Q59">
    <cfRule type="expression" dxfId="160" priority="163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59" priority="157" stopIfTrue="1">
      <formula>"esterreur(reference)"</formula>
    </cfRule>
  </conditionalFormatting>
  <conditionalFormatting sqref="O141:P147">
    <cfRule type="expression" dxfId="158" priority="158" stopIfTrue="1">
      <formula>"esterreur(reference)"</formula>
    </cfRule>
  </conditionalFormatting>
  <conditionalFormatting sqref="O137:P139">
    <cfRule type="expression" dxfId="157" priority="159" stopIfTrue="1">
      <formula>"esterreur(reference)"</formula>
    </cfRule>
  </conditionalFormatting>
  <conditionalFormatting sqref="O140:P140">
    <cfRule type="expression" dxfId="156" priority="160" stopIfTrue="1">
      <formula>"esterreur(reference)"</formula>
    </cfRule>
  </conditionalFormatting>
  <conditionalFormatting sqref="Q94:Q95">
    <cfRule type="expression" dxfId="155" priority="156" stopIfTrue="1">
      <formula>"esterreur(reference)"</formula>
    </cfRule>
  </conditionalFormatting>
  <conditionalFormatting sqref="Q98">
    <cfRule type="expression" dxfId="154" priority="155" stopIfTrue="1">
      <formula>"esterreur(reference)"</formula>
    </cfRule>
  </conditionalFormatting>
  <conditionalFormatting sqref="Q99">
    <cfRule type="expression" dxfId="153" priority="154" stopIfTrue="1">
      <formula>"esterreur(reference)"</formula>
    </cfRule>
  </conditionalFormatting>
  <conditionalFormatting sqref="Q101">
    <cfRule type="expression" dxfId="152" priority="153" stopIfTrue="1">
      <formula>"esterreur(reference)"</formula>
    </cfRule>
  </conditionalFormatting>
  <conditionalFormatting sqref="Q102">
    <cfRule type="expression" dxfId="151" priority="152" stopIfTrue="1">
      <formula>"esterreur(reference)"</formula>
    </cfRule>
  </conditionalFormatting>
  <conditionalFormatting sqref="Q103">
    <cfRule type="expression" dxfId="150" priority="151" stopIfTrue="1">
      <formula>"esterreur(reference)"</formula>
    </cfRule>
  </conditionalFormatting>
  <conditionalFormatting sqref="Q111">
    <cfRule type="expression" dxfId="149" priority="150" stopIfTrue="1">
      <formula>"esterreur(reference)"</formula>
    </cfRule>
  </conditionalFormatting>
  <conditionalFormatting sqref="Q112">
    <cfRule type="expression" dxfId="148" priority="149" stopIfTrue="1">
      <formula>"esterreur(reference)"</formula>
    </cfRule>
  </conditionalFormatting>
  <conditionalFormatting sqref="Q114">
    <cfRule type="expression" dxfId="147" priority="148" stopIfTrue="1">
      <formula>"esterreur(reference)"</formula>
    </cfRule>
  </conditionalFormatting>
  <conditionalFormatting sqref="Q116:Q119">
    <cfRule type="expression" dxfId="146" priority="147" stopIfTrue="1">
      <formula>"esterreur(reference)"</formula>
    </cfRule>
  </conditionalFormatting>
  <conditionalFormatting sqref="Q120">
    <cfRule type="expression" dxfId="145" priority="146" stopIfTrue="1">
      <formula>"esterreur(reference)"</formula>
    </cfRule>
  </conditionalFormatting>
  <conditionalFormatting sqref="Q130">
    <cfRule type="expression" dxfId="144" priority="143" stopIfTrue="1">
      <formula>"esterreur(reference)"</formula>
    </cfRule>
  </conditionalFormatting>
  <conditionalFormatting sqref="Q124">
    <cfRule type="expression" dxfId="143" priority="145" stopIfTrue="1">
      <formula>"esterreur(reference)"</formula>
    </cfRule>
  </conditionalFormatting>
  <conditionalFormatting sqref="Q123">
    <cfRule type="expression" dxfId="142" priority="144" stopIfTrue="1">
      <formula>"esterreur(reference)"</formula>
    </cfRule>
  </conditionalFormatting>
  <conditionalFormatting sqref="Q139">
    <cfRule type="expression" dxfId="141" priority="136" stopIfTrue="1">
      <formula>"esterreur(reference)"</formula>
    </cfRule>
  </conditionalFormatting>
  <conditionalFormatting sqref="Q131">
    <cfRule type="expression" dxfId="140" priority="142" stopIfTrue="1">
      <formula>"esterreur(reference)"</formula>
    </cfRule>
  </conditionalFormatting>
  <conditionalFormatting sqref="Q132">
    <cfRule type="expression" dxfId="139" priority="141" stopIfTrue="1">
      <formula>"esterreur(reference)"</formula>
    </cfRule>
  </conditionalFormatting>
  <conditionalFormatting sqref="Q133">
    <cfRule type="expression" dxfId="138" priority="140" stopIfTrue="1">
      <formula>"esterreur(reference)"</formula>
    </cfRule>
  </conditionalFormatting>
  <conditionalFormatting sqref="Q141">
    <cfRule type="expression" dxfId="137" priority="134" stopIfTrue="1">
      <formula>"esterreur(reference)"</formula>
    </cfRule>
  </conditionalFormatting>
  <conditionalFormatting sqref="Q136">
    <cfRule type="expression" dxfId="136" priority="139" stopIfTrue="1">
      <formula>"esterreur(reference)"</formula>
    </cfRule>
  </conditionalFormatting>
  <conditionalFormatting sqref="Q137">
    <cfRule type="expression" dxfId="135" priority="138" stopIfTrue="1">
      <formula>"esterreur(reference)"</formula>
    </cfRule>
  </conditionalFormatting>
  <conditionalFormatting sqref="Q138">
    <cfRule type="expression" dxfId="134" priority="137" stopIfTrue="1">
      <formula>"esterreur(reference)"</formula>
    </cfRule>
  </conditionalFormatting>
  <conditionalFormatting sqref="Q143">
    <cfRule type="expression" dxfId="133" priority="132" stopIfTrue="1">
      <formula>"esterreur(reference)"</formula>
    </cfRule>
  </conditionalFormatting>
  <conditionalFormatting sqref="Q140">
    <cfRule type="expression" dxfId="132" priority="135" stopIfTrue="1">
      <formula>"esterreur(reference)"</formula>
    </cfRule>
  </conditionalFormatting>
  <conditionalFormatting sqref="Q142">
    <cfRule type="expression" dxfId="131" priority="133" stopIfTrue="1">
      <formula>"esterreur(reference)"</formula>
    </cfRule>
  </conditionalFormatting>
  <conditionalFormatting sqref="Q144">
    <cfRule type="expression" dxfId="130" priority="131" stopIfTrue="1">
      <formula>"esterreur(reference)"</formula>
    </cfRule>
  </conditionalFormatting>
  <conditionalFormatting sqref="Q145">
    <cfRule type="expression" dxfId="129" priority="130" stopIfTrue="1">
      <formula>"esterreur(reference)"</formula>
    </cfRule>
  </conditionalFormatting>
  <conditionalFormatting sqref="Q146">
    <cfRule type="expression" dxfId="128" priority="129" stopIfTrue="1">
      <formula>"esterreur(reference)"</formula>
    </cfRule>
  </conditionalFormatting>
  <conditionalFormatting sqref="Q147">
    <cfRule type="expression" dxfId="127" priority="128" stopIfTrue="1">
      <formula>"esterreur(reference)"</formula>
    </cfRule>
  </conditionalFormatting>
  <conditionalFormatting sqref="Q113">
    <cfRule type="expression" dxfId="126" priority="125" stopIfTrue="1">
      <formula>"esterreur(reference)"</formula>
    </cfRule>
  </conditionalFormatting>
  <conditionalFormatting sqref="Q155:Q161">
    <cfRule type="expression" dxfId="125" priority="127" stopIfTrue="1">
      <formula>"esterreur(reference)"</formula>
    </cfRule>
  </conditionalFormatting>
  <conditionalFormatting sqref="Q93">
    <cfRule type="expression" dxfId="124" priority="124" stopIfTrue="1">
      <formula>"esterreur(reference)"</formula>
    </cfRule>
  </conditionalFormatting>
  <conditionalFormatting sqref="Q115">
    <cfRule type="expression" dxfId="123" priority="126" stopIfTrue="1">
      <formula>"esterreur(reference)"</formula>
    </cfRule>
  </conditionalFormatting>
  <conditionalFormatting sqref="P93">
    <cfRule type="expression" dxfId="122" priority="123" stopIfTrue="1">
      <formula>"esterreur(reference)"</formula>
    </cfRule>
  </conditionalFormatting>
  <conditionalFormatting sqref="Q122">
    <cfRule type="expression" dxfId="121" priority="122" stopIfTrue="1">
      <formula>"esterreur(reference)"</formula>
    </cfRule>
  </conditionalFormatting>
  <conditionalFormatting sqref="Q135">
    <cfRule type="expression" dxfId="120" priority="121" stopIfTrue="1">
      <formula>"esterreur(reference)"</formula>
    </cfRule>
  </conditionalFormatting>
  <conditionalFormatting sqref="O231:Q231 O232:P232 P172:Q172 P175:Q175 P178:Q178 P181:Q181 P184:Q186 P183 P188:Q189 Q182 P191:Q195 Q190 Q173 O225:P228 O197:P218 Q176 Q179 O171:O195">
    <cfRule type="expression" dxfId="119" priority="118" stopIfTrue="1">
      <formula>"esterreur(reference)"</formula>
    </cfRule>
  </conditionalFormatting>
  <conditionalFormatting sqref="O219:P224">
    <cfRule type="expression" dxfId="118" priority="119" stopIfTrue="1">
      <formula>"esterreur(reference)"</formula>
    </cfRule>
  </conditionalFormatting>
  <conditionalFormatting sqref="O196:Q196">
    <cfRule type="expression" dxfId="117" priority="120" stopIfTrue="1">
      <formula>"esterreur(reference)"</formula>
    </cfRule>
  </conditionalFormatting>
  <conditionalFormatting sqref="Q207">
    <cfRule type="expression" dxfId="116" priority="104" stopIfTrue="1">
      <formula>"esterreur(reference)"</formula>
    </cfRule>
  </conditionalFormatting>
  <conditionalFormatting sqref="Q227">
    <cfRule type="expression" dxfId="115" priority="100" stopIfTrue="1">
      <formula>"esterreur(reference)"</formula>
    </cfRule>
  </conditionalFormatting>
  <conditionalFormatting sqref="Q171">
    <cfRule type="expression" dxfId="114" priority="117" stopIfTrue="1">
      <formula>"esterreur(reference)"</formula>
    </cfRule>
  </conditionalFormatting>
  <conditionalFormatting sqref="Q174">
    <cfRule type="expression" dxfId="113" priority="116" stopIfTrue="1">
      <formula>"esterreur(reference)"</formula>
    </cfRule>
  </conditionalFormatting>
  <conditionalFormatting sqref="Q177">
    <cfRule type="expression" dxfId="112" priority="115" stopIfTrue="1">
      <formula>"esterreur(reference)"</formula>
    </cfRule>
  </conditionalFormatting>
  <conditionalFormatting sqref="Q183">
    <cfRule type="expression" dxfId="111" priority="114" stopIfTrue="1">
      <formula>"esterreur(reference)"</formula>
    </cfRule>
  </conditionalFormatting>
  <conditionalFormatting sqref="Q187">
    <cfRule type="expression" dxfId="110" priority="113" stopIfTrue="1">
      <formula>"esterreur(reference)"</formula>
    </cfRule>
  </conditionalFormatting>
  <conditionalFormatting sqref="Q197">
    <cfRule type="expression" dxfId="109" priority="112" stopIfTrue="1">
      <formula>"esterreur(reference)"</formula>
    </cfRule>
  </conditionalFormatting>
  <conditionalFormatting sqref="Q199">
    <cfRule type="expression" dxfId="108" priority="111" stopIfTrue="1">
      <formula>"esterreur(reference)"</formula>
    </cfRule>
  </conditionalFormatting>
  <conditionalFormatting sqref="Q198">
    <cfRule type="expression" dxfId="107" priority="110" stopIfTrue="1">
      <formula>"esterreur(reference)"</formula>
    </cfRule>
  </conditionalFormatting>
  <conditionalFormatting sqref="Q200">
    <cfRule type="expression" dxfId="106" priority="109" stopIfTrue="1">
      <formula>"esterreur(reference)"</formula>
    </cfRule>
  </conditionalFormatting>
  <conditionalFormatting sqref="Q201">
    <cfRule type="expression" dxfId="105" priority="108" stopIfTrue="1">
      <formula>"esterreur(reference)"</formula>
    </cfRule>
  </conditionalFormatting>
  <conditionalFormatting sqref="Q202:Q204">
    <cfRule type="expression" dxfId="104" priority="107" stopIfTrue="1">
      <formula>"esterreur(reference)"</formula>
    </cfRule>
  </conditionalFormatting>
  <conditionalFormatting sqref="Q206">
    <cfRule type="expression" dxfId="103" priority="105" stopIfTrue="1">
      <formula>"esterreur(reference)"</formula>
    </cfRule>
  </conditionalFormatting>
  <conditionalFormatting sqref="Q205">
    <cfRule type="expression" dxfId="102" priority="106" stopIfTrue="1">
      <formula>"esterreur(reference)"</formula>
    </cfRule>
  </conditionalFormatting>
  <conditionalFormatting sqref="Q208">
    <cfRule type="expression" dxfId="101" priority="103" stopIfTrue="1">
      <formula>"esterreur(reference)"</formula>
    </cfRule>
  </conditionalFormatting>
  <conditionalFormatting sqref="Q211:Q224">
    <cfRule type="expression" dxfId="100" priority="102" stopIfTrue="1">
      <formula>"esterreur(reference)"</formula>
    </cfRule>
  </conditionalFormatting>
  <conditionalFormatting sqref="Q225:Q226">
    <cfRule type="expression" dxfId="99" priority="101" stopIfTrue="1">
      <formula>"esterreur(reference)"</formula>
    </cfRule>
  </conditionalFormatting>
  <conditionalFormatting sqref="Q180">
    <cfRule type="expression" dxfId="98" priority="99" stopIfTrue="1">
      <formula>"esterreur(reference)"</formula>
    </cfRule>
  </conditionalFormatting>
  <conditionalFormatting sqref="P182">
    <cfRule type="expression" dxfId="97" priority="98" stopIfTrue="1">
      <formula>"esterreur(reference)"</formula>
    </cfRule>
  </conditionalFormatting>
  <conditionalFormatting sqref="P171">
    <cfRule type="expression" dxfId="96" priority="97" stopIfTrue="1">
      <formula>"esterreur(reference)"</formula>
    </cfRule>
  </conditionalFormatting>
  <conditionalFormatting sqref="P174">
    <cfRule type="expression" dxfId="95" priority="96" stopIfTrue="1">
      <formula>"esterreur(reference)"</formula>
    </cfRule>
  </conditionalFormatting>
  <conditionalFormatting sqref="P177">
    <cfRule type="expression" dxfId="94" priority="95" stopIfTrue="1">
      <formula>"esterreur(reference)"</formula>
    </cfRule>
  </conditionalFormatting>
  <conditionalFormatting sqref="P180">
    <cfRule type="expression" dxfId="93" priority="94" stopIfTrue="1">
      <formula>"esterreur(reference)"</formula>
    </cfRule>
  </conditionalFormatting>
  <conditionalFormatting sqref="P187">
    <cfRule type="expression" dxfId="92" priority="93" stopIfTrue="1">
      <formula>"esterreur(reference)"</formula>
    </cfRule>
  </conditionalFormatting>
  <conditionalFormatting sqref="P190">
    <cfRule type="expression" dxfId="91" priority="92" stopIfTrue="1">
      <formula>"esterreur(reference)"</formula>
    </cfRule>
  </conditionalFormatting>
  <conditionalFormatting sqref="Q210">
    <cfRule type="expression" dxfId="90" priority="91" stopIfTrue="1">
      <formula>"esterreur(reference)"</formula>
    </cfRule>
  </conditionalFormatting>
  <conditionalFormatting sqref="O287:Q287 O288:P288 O242:Q242 O251:Q252 O284:Q284 Q275:Q283 O253:P274">
    <cfRule type="expression" dxfId="89" priority="88" stopIfTrue="1">
      <formula>"esterreur(reference)"</formula>
    </cfRule>
  </conditionalFormatting>
  <conditionalFormatting sqref="O275:P280">
    <cfRule type="expression" dxfId="88" priority="89" stopIfTrue="1">
      <formula>"esterreur(reference)"</formula>
    </cfRule>
  </conditionalFormatting>
  <conditionalFormatting sqref="O281:P283">
    <cfRule type="expression" dxfId="87" priority="90" stopIfTrue="1">
      <formula>"esterreur(reference)"</formula>
    </cfRule>
  </conditionalFormatting>
  <conditionalFormatting sqref="Q271">
    <cfRule type="expression" dxfId="86" priority="70" stopIfTrue="1">
      <formula>"esterreur(reference)"</formula>
    </cfRule>
  </conditionalFormatting>
  <conditionalFormatting sqref="Q274">
    <cfRule type="expression" dxfId="85" priority="68" stopIfTrue="1">
      <formula>"esterreur(reference)"</formula>
    </cfRule>
  </conditionalFormatting>
  <conditionalFormatting sqref="Q243">
    <cfRule type="expression" dxfId="84" priority="87" stopIfTrue="1">
      <formula>"esterreur(reference)"</formula>
    </cfRule>
  </conditionalFormatting>
  <conditionalFormatting sqref="Q246">
    <cfRule type="expression" dxfId="83" priority="86" stopIfTrue="1">
      <formula>"esterreur(reference)"</formula>
    </cfRule>
  </conditionalFormatting>
  <conditionalFormatting sqref="Q253">
    <cfRule type="expression" dxfId="82" priority="85" stopIfTrue="1">
      <formula>"esterreur(reference)"</formula>
    </cfRule>
  </conditionalFormatting>
  <conditionalFormatting sqref="Q254">
    <cfRule type="expression" dxfId="81" priority="84" stopIfTrue="1">
      <formula>"esterreur(reference)"</formula>
    </cfRule>
  </conditionalFormatting>
  <conditionalFormatting sqref="Q255">
    <cfRule type="expression" dxfId="80" priority="83" stopIfTrue="1">
      <formula>"esterreur(reference)"</formula>
    </cfRule>
  </conditionalFormatting>
  <conditionalFormatting sqref="Q256">
    <cfRule type="expression" dxfId="79" priority="82" stopIfTrue="1">
      <formula>"esterreur(reference)"</formula>
    </cfRule>
  </conditionalFormatting>
  <conditionalFormatting sqref="Q257">
    <cfRule type="expression" dxfId="78" priority="81" stopIfTrue="1">
      <formula>"esterreur(reference)"</formula>
    </cfRule>
  </conditionalFormatting>
  <conditionalFormatting sqref="Q258">
    <cfRule type="expression" dxfId="77" priority="80" stopIfTrue="1">
      <formula>"esterreur(reference)"</formula>
    </cfRule>
  </conditionalFormatting>
  <conditionalFormatting sqref="Q259">
    <cfRule type="expression" dxfId="76" priority="79" stopIfTrue="1">
      <formula>"esterreur(reference)"</formula>
    </cfRule>
  </conditionalFormatting>
  <conditionalFormatting sqref="Q260">
    <cfRule type="expression" dxfId="75" priority="78" stopIfTrue="1">
      <formula>"esterreur(reference)"</formula>
    </cfRule>
  </conditionalFormatting>
  <conditionalFormatting sqref="Q261">
    <cfRule type="expression" dxfId="74" priority="77" stopIfTrue="1">
      <formula>"esterreur(reference)"</formula>
    </cfRule>
  </conditionalFormatting>
  <conditionalFormatting sqref="Q262">
    <cfRule type="expression" dxfId="73" priority="76" stopIfTrue="1">
      <formula>"esterreur(reference)"</formula>
    </cfRule>
  </conditionalFormatting>
  <conditionalFormatting sqref="Q263:Q264">
    <cfRule type="expression" dxfId="72" priority="75" stopIfTrue="1">
      <formula>"esterreur(reference)"</formula>
    </cfRule>
  </conditionalFormatting>
  <conditionalFormatting sqref="Q268">
    <cfRule type="expression" dxfId="71" priority="73" stopIfTrue="1">
      <formula>"esterreur(reference)"</formula>
    </cfRule>
  </conditionalFormatting>
  <conditionalFormatting sqref="Q267">
    <cfRule type="expression" dxfId="70" priority="74" stopIfTrue="1">
      <formula>"esterreur(reference)"</formula>
    </cfRule>
  </conditionalFormatting>
  <conditionalFormatting sqref="Q269">
    <cfRule type="expression" dxfId="69" priority="72" stopIfTrue="1">
      <formula>"esterreur(reference)"</formula>
    </cfRule>
  </conditionalFormatting>
  <conditionalFormatting sqref="Q270">
    <cfRule type="expression" dxfId="68" priority="71" stopIfTrue="1">
      <formula>"esterreur(reference)"</formula>
    </cfRule>
  </conditionalFormatting>
  <conditionalFormatting sqref="Q272:Q273">
    <cfRule type="expression" dxfId="67" priority="69" stopIfTrue="1">
      <formula>"esterreur(reference)"</formula>
    </cfRule>
  </conditionalFormatting>
  <conditionalFormatting sqref="P240">
    <cfRule type="expression" dxfId="66" priority="67" stopIfTrue="1">
      <formula>"esterreur(reference)"</formula>
    </cfRule>
  </conditionalFormatting>
  <conditionalFormatting sqref="P243">
    <cfRule type="expression" dxfId="65" priority="66" stopIfTrue="1">
      <formula>"esterreur(reference)"</formula>
    </cfRule>
  </conditionalFormatting>
  <conditionalFormatting sqref="P246">
    <cfRule type="expression" dxfId="64" priority="65" stopIfTrue="1">
      <formula>"esterreur(reference)"</formula>
    </cfRule>
  </conditionalFormatting>
  <conditionalFormatting sqref="Q240">
    <cfRule type="expression" dxfId="63" priority="64" stopIfTrue="1">
      <formula>"esterreur(reference)"</formula>
    </cfRule>
  </conditionalFormatting>
  <conditionalFormatting sqref="P286">
    <cfRule type="expression" dxfId="62" priority="63" stopIfTrue="1">
      <formula>"esterreur(reference)"</formula>
    </cfRule>
  </conditionalFormatting>
  <conditionalFormatting sqref="Q266">
    <cfRule type="expression" dxfId="61" priority="6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60" priority="60" stopIfTrue="1">
      <formula>"esterreur(reference)"</formula>
    </cfRule>
  </conditionalFormatting>
  <conditionalFormatting sqref="O316:Q316">
    <cfRule type="expression" dxfId="59" priority="61" stopIfTrue="1">
      <formula>"esterreur(reference)"</formula>
    </cfRule>
  </conditionalFormatting>
  <conditionalFormatting sqref="Q331:Q347">
    <cfRule type="expression" dxfId="58" priority="52" stopIfTrue="1">
      <formula>"esterreur(reference)"</formula>
    </cfRule>
  </conditionalFormatting>
  <conditionalFormatting sqref="Q325">
    <cfRule type="expression" dxfId="57" priority="56" stopIfTrue="1">
      <formula>"esterreur(reference)"</formula>
    </cfRule>
  </conditionalFormatting>
  <conditionalFormatting sqref="Q326">
    <cfRule type="expression" dxfId="56" priority="55" stopIfTrue="1">
      <formula>"esterreur(reference)"</formula>
    </cfRule>
  </conditionalFormatting>
  <conditionalFormatting sqref="Q327">
    <cfRule type="expression" dxfId="55" priority="54" stopIfTrue="1">
      <formula>"esterreur(reference)"</formula>
    </cfRule>
  </conditionalFormatting>
  <conditionalFormatting sqref="Q328">
    <cfRule type="expression" dxfId="54" priority="53" stopIfTrue="1">
      <formula>"esterreur(reference)"</formula>
    </cfRule>
  </conditionalFormatting>
  <conditionalFormatting sqref="Q311">
    <cfRule type="expression" dxfId="53" priority="59" stopIfTrue="1">
      <formula>"esterreur(reference)"</formula>
    </cfRule>
  </conditionalFormatting>
  <conditionalFormatting sqref="Q317">
    <cfRule type="expression" dxfId="52" priority="58" stopIfTrue="1">
      <formula>"esterreur(reference)"</formula>
    </cfRule>
  </conditionalFormatting>
  <conditionalFormatting sqref="Q318">
    <cfRule type="expression" dxfId="51" priority="57" stopIfTrue="1">
      <formula>"esterreur(reference)"</formula>
    </cfRule>
  </conditionalFormatting>
  <conditionalFormatting sqref="O306:O307">
    <cfRule type="expression" dxfId="50" priority="51" stopIfTrue="1">
      <formula>"esterreur(reference)"</formula>
    </cfRule>
  </conditionalFormatting>
  <conditionalFormatting sqref="O311">
    <cfRule type="expression" dxfId="49" priority="50" stopIfTrue="1">
      <formula>"esterreur(reference)"</formula>
    </cfRule>
  </conditionalFormatting>
  <conditionalFormatting sqref="Q330">
    <cfRule type="expression" dxfId="48" priority="49" stopIfTrue="1">
      <formula>"esterreur(reference)"</formula>
    </cfRule>
  </conditionalFormatting>
  <conditionalFormatting sqref="O363:Q363 O364:P375">
    <cfRule type="expression" dxfId="47" priority="43" stopIfTrue="1">
      <formula>"esterreur(reference)"</formula>
    </cfRule>
  </conditionalFormatting>
  <conditionalFormatting sqref="O358:Q358">
    <cfRule type="expression" dxfId="46" priority="44" stopIfTrue="1">
      <formula>"esterreur(reference)"</formula>
    </cfRule>
  </conditionalFormatting>
  <conditionalFormatting sqref="O376:Q376 O377:P392">
    <cfRule type="expression" dxfId="45" priority="45" stopIfTrue="1">
      <formula>"esterreur(reference)"</formula>
    </cfRule>
  </conditionalFormatting>
  <conditionalFormatting sqref="O395:Q398 O393:P393">
    <cfRule type="expression" dxfId="44" priority="46" stopIfTrue="1">
      <formula>"esterreur(reference)"</formula>
    </cfRule>
  </conditionalFormatting>
  <conditionalFormatting sqref="O360:Q362 P359">
    <cfRule type="expression" dxfId="43" priority="47" stopIfTrue="1">
      <formula>"esterreur(reference)"</formula>
    </cfRule>
  </conditionalFormatting>
  <conditionalFormatting sqref="P394">
    <cfRule type="expression" dxfId="42" priority="48" stopIfTrue="1">
      <formula>"esterreur(reference)"</formula>
    </cfRule>
  </conditionalFormatting>
  <conditionalFormatting sqref="Q364:Q375">
    <cfRule type="expression" dxfId="41" priority="42" stopIfTrue="1">
      <formula>"esterreur(reference)"</formula>
    </cfRule>
  </conditionalFormatting>
  <conditionalFormatting sqref="Q377:Q393">
    <cfRule type="expression" dxfId="40" priority="41" stopIfTrue="1">
      <formula>"esterreur(reference)"</formula>
    </cfRule>
  </conditionalFormatting>
  <conditionalFormatting sqref="O359">
    <cfRule type="expression" dxfId="39" priority="40" stopIfTrue="1">
      <formula>"esterreur(reference)"</formula>
    </cfRule>
  </conditionalFormatting>
  <conditionalFormatting sqref="Q359">
    <cfRule type="expression" dxfId="38" priority="39" stopIfTrue="1">
      <formula>"esterreur(reference)"</formula>
    </cfRule>
  </conditionalFormatting>
  <conditionalFormatting sqref="Q36:Q40">
    <cfRule type="expression" dxfId="37" priority="38" stopIfTrue="1">
      <formula>"esterreur(reference)"</formula>
    </cfRule>
  </conditionalFormatting>
  <conditionalFormatting sqref="Q149:Q151">
    <cfRule type="expression" dxfId="36" priority="31" stopIfTrue="1">
      <formula>"esterreur(reference)"</formula>
    </cfRule>
  </conditionalFormatting>
  <conditionalFormatting sqref="H148 J148:K148">
    <cfRule type="expression" dxfId="35" priority="37" stopIfTrue="1">
      <formula>"esterreur(reference)"</formula>
    </cfRule>
  </conditionalFormatting>
  <conditionalFormatting sqref="O148:P148">
    <cfRule type="expression" dxfId="34" priority="36" stopIfTrue="1">
      <formula>"esterreur(reference)"</formula>
    </cfRule>
  </conditionalFormatting>
  <conditionalFormatting sqref="Q148">
    <cfRule type="expression" dxfId="33" priority="35" stopIfTrue="1">
      <formula>"esterreur(reference)"</formula>
    </cfRule>
  </conditionalFormatting>
  <conditionalFormatting sqref="H149:H151 J149:K151">
    <cfRule type="expression" dxfId="32" priority="34" stopIfTrue="1">
      <formula>"esterreur(reference)"</formula>
    </cfRule>
  </conditionalFormatting>
  <conditionalFormatting sqref="L149:L151">
    <cfRule type="expression" dxfId="31" priority="33" stopIfTrue="1">
      <formula>"esterreur(reference)"</formula>
    </cfRule>
  </conditionalFormatting>
  <conditionalFormatting sqref="O149:P151">
    <cfRule type="expression" dxfId="30" priority="32" stopIfTrue="1">
      <formula>"esterreur(reference)"</formula>
    </cfRule>
  </conditionalFormatting>
  <conditionalFormatting sqref="L159:L161">
    <cfRule type="expression" dxfId="29" priority="30" stopIfTrue="1">
      <formula>"esterreur(reference)"</formula>
    </cfRule>
  </conditionalFormatting>
  <conditionalFormatting sqref="AG414:AI417">
    <cfRule type="cellIs" dxfId="28" priority="29" operator="greaterThan">
      <formula>0</formula>
    </cfRule>
  </conditionalFormatting>
  <conditionalFormatting sqref="AO414:AO417">
    <cfRule type="cellIs" dxfId="27" priority="28" operator="greaterThan">
      <formula>0</formula>
    </cfRule>
  </conditionalFormatting>
  <conditionalFormatting sqref="G111:G112">
    <cfRule type="expression" dxfId="26" priority="27" stopIfTrue="1">
      <formula>"esterreur(reference)"</formula>
    </cfRule>
  </conditionalFormatting>
  <conditionalFormatting sqref="AH424:AH426">
    <cfRule type="cellIs" dxfId="25" priority="26" operator="greaterThan">
      <formula>0</formula>
    </cfRule>
  </conditionalFormatting>
  <conditionalFormatting sqref="AI431">
    <cfRule type="cellIs" dxfId="24" priority="25" operator="greaterThan">
      <formula>0</formula>
    </cfRule>
  </conditionalFormatting>
  <conditionalFormatting sqref="AH431">
    <cfRule type="cellIs" dxfId="23" priority="24" operator="greaterThan">
      <formula>0</formula>
    </cfRule>
  </conditionalFormatting>
  <conditionalFormatting sqref="AI448:AI450">
    <cfRule type="cellIs" dxfId="22" priority="23" operator="greaterThan">
      <formula>0</formula>
    </cfRule>
  </conditionalFormatting>
  <conditionalFormatting sqref="AH448:AH450">
    <cfRule type="cellIs" dxfId="21" priority="22" operator="greaterThan">
      <formula>0</formula>
    </cfRule>
  </conditionalFormatting>
  <conditionalFormatting sqref="AI462:AI464">
    <cfRule type="cellIs" dxfId="20" priority="21" operator="greaterThan">
      <formula>0</formula>
    </cfRule>
  </conditionalFormatting>
  <conditionalFormatting sqref="AH462:AH464">
    <cfRule type="cellIs" dxfId="19" priority="20" operator="greaterThan">
      <formula>0</formula>
    </cfRule>
  </conditionalFormatting>
  <conditionalFormatting sqref="AI476:AI478">
    <cfRule type="cellIs" dxfId="18" priority="19" operator="greaterThan">
      <formula>0</formula>
    </cfRule>
  </conditionalFormatting>
  <conditionalFormatting sqref="AH476:AH478">
    <cfRule type="cellIs" dxfId="17" priority="18" operator="greaterThan">
      <formula>0</formula>
    </cfRule>
  </conditionalFormatting>
  <conditionalFormatting sqref="AI494:AI496">
    <cfRule type="cellIs" dxfId="16" priority="17" operator="greaterThan">
      <formula>0</formula>
    </cfRule>
  </conditionalFormatting>
  <conditionalFormatting sqref="AH494:AH496">
    <cfRule type="cellIs" dxfId="15" priority="16" operator="greaterThan">
      <formula>0</formula>
    </cfRule>
  </conditionalFormatting>
  <conditionalFormatting sqref="H83:H85 H72 H25:H26 H28:H54">
    <cfRule type="expression" dxfId="14" priority="11" stopIfTrue="1">
      <formula>"esterreur(reference)"</formula>
    </cfRule>
  </conditionalFormatting>
  <conditionalFormatting sqref="H55:H56 H71">
    <cfRule type="expression" dxfId="13" priority="12" stopIfTrue="1">
      <formula>"esterreur(reference)"</formula>
    </cfRule>
  </conditionalFormatting>
  <conditionalFormatting sqref="H61:H70">
    <cfRule type="expression" dxfId="12" priority="13" stopIfTrue="1">
      <formula>"esterreur(reference)"</formula>
    </cfRule>
  </conditionalFormatting>
  <conditionalFormatting sqref="H57:H59">
    <cfRule type="expression" dxfId="11" priority="14" stopIfTrue="1">
      <formula>"esterreur(reference)"</formula>
    </cfRule>
  </conditionalFormatting>
  <conditionalFormatting sqref="H60">
    <cfRule type="expression" dxfId="10" priority="15" stopIfTrue="1">
      <formula>"esterreur(reference)"</formula>
    </cfRule>
  </conditionalFormatting>
  <conditionalFormatting sqref="G31:G32">
    <cfRule type="expression" dxfId="9" priority="10" stopIfTrue="1">
      <formula>"esterreur(reference)"</formula>
    </cfRule>
  </conditionalFormatting>
  <conditionalFormatting sqref="I83:I85 I13:I14 I24:I30 I20 I16:I18">
    <cfRule type="expression" dxfId="8" priority="9" stopIfTrue="1">
      <formula>"esterreur(reference)"</formula>
    </cfRule>
  </conditionalFormatting>
  <conditionalFormatting sqref="F83:F85">
    <cfRule type="expression" dxfId="7" priority="8" stopIfTrue="1">
      <formula>"esterreur(reference)"</formula>
    </cfRule>
  </conditionalFormatting>
  <conditionalFormatting sqref="F5">
    <cfRule type="expression" dxfId="6" priority="7" stopIfTrue="1">
      <formula>"esterreur(reference)"</formula>
    </cfRule>
  </conditionalFormatting>
  <conditionalFormatting sqref="G171:G180">
    <cfRule type="expression" dxfId="5" priority="6" stopIfTrue="1">
      <formula>"esterreur(reference)"</formula>
    </cfRule>
  </conditionalFormatting>
  <conditionalFormatting sqref="D171:D180">
    <cfRule type="expression" dxfId="4" priority="5" stopIfTrue="1">
      <formula>"esterreur(reference)"</formula>
    </cfRule>
  </conditionalFormatting>
  <conditionalFormatting sqref="E185">
    <cfRule type="expression" dxfId="3" priority="4" stopIfTrue="1">
      <formula>"esterreur(reference)"</formula>
    </cfRule>
  </conditionalFormatting>
  <conditionalFormatting sqref="F100">
    <cfRule type="expression" dxfId="2" priority="3" stopIfTrue="1">
      <formula>"esterreur(reference)"</formula>
    </cfRule>
  </conditionalFormatting>
  <conditionalFormatting sqref="L158">
    <cfRule type="expression" dxfId="1" priority="2" stopIfTrue="1">
      <formula>"esterreur(reference)"</formula>
    </cfRule>
  </conditionalFormatting>
  <conditionalFormatting sqref="D111:D112">
    <cfRule type="expression" dxfId="0" priority="1" stopIfTrue="1">
      <formula>"esterreur(reference)"</formula>
    </cfRule>
  </conditionalFormatting>
  <printOptions horizontalCentered="1"/>
  <pageMargins left="0.15748031496062992" right="0.15748031496062992" top="0.47244094488188981" bottom="0.55118110236220474" header="0.31496062992125984" footer="0.31496062992125984"/>
  <pageSetup scale="42" fitToHeight="0" orientation="landscape" r:id="rId1"/>
  <headerFooter>
    <oddFooter>&amp;L&amp;9&amp;F&amp;C&amp;9&amp;P de &amp;N&amp;R&amp;9Imprimé le &amp;D  @ &amp;T</oddFooter>
  </headerFooter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8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VW 2022-07</vt:lpstr>
      <vt:lpstr>VW 2022-08</vt:lpstr>
      <vt:lpstr>VW 2022-09</vt:lpstr>
      <vt:lpstr>END</vt:lpstr>
      <vt:lpstr>Conso!Zone_d_impression</vt:lpstr>
      <vt:lpstr>'VW 2022-07'!Zone_d_impression</vt:lpstr>
      <vt:lpstr>'VW 2022-08'!Zone_d_impression</vt:lpstr>
      <vt:lpstr>'VW 2022-09'!Zone_d_impression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GPA</cp:lastModifiedBy>
  <cp:lastPrinted>2022-07-13T16:00:01Z</cp:lastPrinted>
  <dcterms:created xsi:type="dcterms:W3CDTF">2021-02-12T03:12:48Z</dcterms:created>
  <dcterms:modified xsi:type="dcterms:W3CDTF">2023-01-18T21:15:41Z</dcterms:modified>
</cp:coreProperties>
</file>