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3\"/>
    </mc:Choice>
  </mc:AlternateContent>
  <xr:revisionPtr revIDLastSave="0" documentId="13_ncr:1_{AFC5073D-90AB-4182-90B1-1DA51C07ED3E}" xr6:coauthVersionLast="47" xr6:coauthVersionMax="47" xr10:uidLastSave="{00000000-0000-0000-0000-000000000000}"/>
  <bookViews>
    <workbookView xWindow="-108" yWindow="-108" windowWidth="23256" windowHeight="12576" activeTab="5" xr2:uid="{508BF4A0-C9FC-49F5-A5A9-A2907877ABE5}"/>
  </bookViews>
  <sheets>
    <sheet name="Paramètre" sheetId="2" r:id="rId1"/>
    <sheet name="Conso" sheetId="1" r:id="rId2"/>
    <sheet name="START" sheetId="3" r:id="rId3"/>
    <sheet name="2023-07" sheetId="30" r:id="rId4"/>
    <sheet name="2023-08" sheetId="29" r:id="rId5"/>
    <sheet name="2023-09" sheetId="31" r:id="rId6"/>
    <sheet name="END" sheetId="4" r:id="rId7"/>
  </sheets>
  <externalReferences>
    <externalReference r:id="rId8"/>
    <externalReference r:id="rId9"/>
    <externalReference r:id="rId10"/>
    <externalReference r:id="rId11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3">'2023-07'!$C$1:$S$352,'2023-07'!$V$401:$AO$497</definedName>
    <definedName name="_xlnm.Print_Area" localSheetId="4">'2023-08'!$C$1:$S$352,'2023-08'!$V$401:$AO$497</definedName>
    <definedName name="_xlnm.Print_Area" localSheetId="5">'2023-09'!$C$1:$S$352,'2023-09'!$V$401:$AO$497</definedName>
    <definedName name="_xlnm.Print_Area" localSheetId="1">Conso!$C$1:$S$398,Conso!$V$401:$AO$497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4">#REF!</definedName>
    <definedName name="Ticker" localSheetId="5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87" i="1" l="1"/>
  <c r="AO481" i="1" l="1"/>
  <c r="AN481" i="1"/>
  <c r="AO466" i="1"/>
  <c r="AN466" i="1"/>
  <c r="AH466" i="1"/>
  <c r="N351" i="1"/>
  <c r="R187" i="1"/>
  <c r="R184" i="1"/>
  <c r="R178" i="1"/>
  <c r="N231" i="1"/>
  <c r="M181" i="1"/>
  <c r="R19" i="1"/>
  <c r="Q5" i="1" l="1"/>
  <c r="O6" i="1"/>
  <c r="Q6" i="1"/>
  <c r="O7" i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Q12" i="1"/>
  <c r="O15" i="1"/>
  <c r="Q15" i="1"/>
  <c r="O17" i="1"/>
  <c r="Q17" i="1"/>
  <c r="Q19" i="1"/>
  <c r="Q21" i="1"/>
  <c r="Q22" i="1"/>
  <c r="Q23" i="1"/>
  <c r="Q31" i="1"/>
  <c r="Q32" i="1"/>
  <c r="Q33" i="1"/>
  <c r="Q34" i="1"/>
  <c r="Q35" i="1"/>
  <c r="Q36" i="1"/>
  <c r="Q37" i="1"/>
  <c r="Q38" i="1"/>
  <c r="Q39" i="1"/>
  <c r="P39" i="1" s="1"/>
  <c r="Q40" i="1"/>
  <c r="P40" i="1" s="1"/>
  <c r="Q42" i="1"/>
  <c r="Q43" i="1"/>
  <c r="Q44" i="1"/>
  <c r="Q45" i="1"/>
  <c r="Q46" i="1"/>
  <c r="Q47" i="1"/>
  <c r="Q48" i="1"/>
  <c r="Q49" i="1"/>
  <c r="Q50" i="1"/>
  <c r="Q51" i="1"/>
  <c r="Q52" i="1"/>
  <c r="Q53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5" i="1"/>
  <c r="Q76" i="1"/>
  <c r="Q77" i="1"/>
  <c r="Q78" i="1"/>
  <c r="Q79" i="1"/>
  <c r="Q80" i="1"/>
  <c r="Q81" i="1"/>
  <c r="Q82" i="1"/>
  <c r="P17" i="1" l="1"/>
  <c r="P6" i="1"/>
  <c r="P15" i="1"/>
  <c r="Q13" i="1"/>
  <c r="Q72" i="1"/>
  <c r="Q83" i="1"/>
  <c r="Q54" i="1"/>
  <c r="Q24" i="1"/>
  <c r="Q41" i="1"/>
  <c r="P38" i="1"/>
  <c r="P12" i="1"/>
  <c r="P7" i="1"/>
  <c r="O13" i="1"/>
  <c r="O24" i="1" s="1"/>
  <c r="Q74" i="1" l="1"/>
  <c r="Q27" i="1"/>
  <c r="P54" i="1" s="1"/>
  <c r="P24" i="1"/>
  <c r="P31" i="1"/>
  <c r="P33" i="1"/>
  <c r="P32" i="1"/>
  <c r="P21" i="1"/>
  <c r="P13" i="1"/>
  <c r="P22" i="1"/>
  <c r="O27" i="1"/>
  <c r="P23" i="1"/>
  <c r="P34" i="1"/>
  <c r="P35" i="1"/>
  <c r="P37" i="1"/>
  <c r="P36" i="1"/>
  <c r="P74" i="1" l="1"/>
  <c r="Q85" i="1"/>
  <c r="P72" i="1"/>
  <c r="P41" i="1"/>
  <c r="P27" i="1"/>
  <c r="Z419" i="1" l="1"/>
  <c r="Z439" i="1" l="1"/>
  <c r="AI439" i="1" s="1"/>
  <c r="Z425" i="1"/>
  <c r="AI425" i="1" s="1"/>
  <c r="Z448" i="1"/>
  <c r="AI448" i="1" s="1"/>
  <c r="Z436" i="1"/>
  <c r="Z429" i="1"/>
  <c r="Z444" i="1"/>
  <c r="Z447" i="1"/>
  <c r="Z434" i="1"/>
  <c r="Z441" i="1"/>
  <c r="Z427" i="1"/>
  <c r="Z423" i="1"/>
  <c r="Z435" i="1"/>
  <c r="Z442" i="1"/>
  <c r="Z421" i="1"/>
  <c r="Z445" i="1"/>
  <c r="AF419" i="1"/>
  <c r="AH419" i="1" l="1"/>
  <c r="AI419" i="1" s="1"/>
  <c r="Z449" i="1"/>
  <c r="AI449" i="1" s="1"/>
  <c r="Z424" i="1"/>
  <c r="AI424" i="1" s="1"/>
  <c r="Z426" i="1"/>
  <c r="AI426" i="1" s="1"/>
  <c r="Z450" i="1"/>
  <c r="AI450" i="1" s="1"/>
  <c r="Z446" i="1"/>
  <c r="Z430" i="1"/>
  <c r="Z428" i="1"/>
  <c r="Z437" i="1"/>
  <c r="Z440" i="1"/>
  <c r="Z443" i="1"/>
  <c r="Z433" i="1"/>
  <c r="Z438" i="1"/>
  <c r="Z422" i="1"/>
  <c r="Z408" i="1"/>
  <c r="Z412" i="1"/>
  <c r="Z414" i="1"/>
  <c r="Z41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H443" i="1" l="1"/>
  <c r="AI443" i="1" s="1"/>
  <c r="AH423" i="1"/>
  <c r="AI423" i="1" s="1"/>
  <c r="AH438" i="1"/>
  <c r="AI438" i="1" s="1"/>
  <c r="AH429" i="1"/>
  <c r="AI429" i="1" s="1"/>
  <c r="AH445" i="1"/>
  <c r="AI445" i="1" s="1"/>
  <c r="AH426" i="1"/>
  <c r="AH410" i="1"/>
  <c r="AI410" i="1" s="1"/>
  <c r="AH437" i="1"/>
  <c r="AI437" i="1" s="1"/>
  <c r="AH436" i="1"/>
  <c r="AI436" i="1" s="1"/>
  <c r="AH433" i="1"/>
  <c r="AI433" i="1" s="1"/>
  <c r="AH434" i="1"/>
  <c r="AH448" i="1"/>
  <c r="AH428" i="1"/>
  <c r="AI428" i="1" s="1"/>
  <c r="AH425" i="1"/>
  <c r="AH450" i="1"/>
  <c r="AI430" i="1"/>
  <c r="AH430" i="1"/>
  <c r="AH442" i="1"/>
  <c r="AI442" i="1" s="1"/>
  <c r="AH441" i="1"/>
  <c r="AI441" i="1" s="1"/>
  <c r="AH447" i="1"/>
  <c r="AI447" i="1" s="1"/>
  <c r="AH424" i="1"/>
  <c r="AH411" i="1"/>
  <c r="AI411" i="1" s="1"/>
  <c r="AH421" i="1"/>
  <c r="AI421" i="1" s="1"/>
  <c r="AH449" i="1"/>
  <c r="AH412" i="1"/>
  <c r="AI412" i="1" s="1"/>
  <c r="AH439" i="1"/>
  <c r="AH444" i="1"/>
  <c r="AI444" i="1" s="1"/>
  <c r="AH413" i="1"/>
  <c r="AI413" i="1" s="1"/>
  <c r="AH427" i="1"/>
  <c r="AI427" i="1" s="1"/>
  <c r="AH446" i="1"/>
  <c r="AI446" i="1" s="1"/>
  <c r="Z420" i="1"/>
  <c r="Z409" i="1"/>
  <c r="AH409" i="1" s="1"/>
  <c r="AI409" i="1" s="1"/>
  <c r="Z413" i="1"/>
  <c r="AF420" i="1"/>
  <c r="AF435" i="1"/>
  <c r="AF408" i="1"/>
  <c r="AF440" i="1"/>
  <c r="AF422" i="1"/>
  <c r="AF414" i="1"/>
  <c r="AH440" i="1" l="1"/>
  <c r="AI440" i="1" s="1"/>
  <c r="AH408" i="1"/>
  <c r="AI408" i="1" s="1"/>
  <c r="AH422" i="1"/>
  <c r="AI422" i="1" s="1"/>
  <c r="AH435" i="1"/>
  <c r="AI435" i="1" s="1"/>
  <c r="AH414" i="1"/>
  <c r="AI414" i="1" s="1"/>
  <c r="AH420" i="1"/>
  <c r="AI420" i="1" s="1"/>
  <c r="AH451" i="1"/>
  <c r="AI434" i="1"/>
  <c r="G240" i="1"/>
  <c r="D240" i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AN419" i="1" s="1"/>
  <c r="AO419" i="1" s="1"/>
  <c r="Q310" i="1"/>
  <c r="O310" i="1"/>
  <c r="L310" i="1"/>
  <c r="J310" i="1"/>
  <c r="I310" i="1"/>
  <c r="G310" i="1"/>
  <c r="F310" i="1"/>
  <c r="D310" i="1"/>
  <c r="E310" i="1" l="1"/>
  <c r="P310" i="1"/>
  <c r="H310" i="1"/>
  <c r="K310" i="1"/>
  <c r="AL496" i="1" l="1"/>
  <c r="AO496" i="1" s="1"/>
  <c r="AL495" i="1"/>
  <c r="AO495" i="1" s="1"/>
  <c r="AL494" i="1"/>
  <c r="AO494" i="1" s="1"/>
  <c r="AL493" i="1"/>
  <c r="AO493" i="1" s="1"/>
  <c r="AL492" i="1"/>
  <c r="AL491" i="1"/>
  <c r="AO491" i="1" s="1"/>
  <c r="AL490" i="1"/>
  <c r="AF496" i="1"/>
  <c r="AF495" i="1"/>
  <c r="AF494" i="1"/>
  <c r="AF493" i="1"/>
  <c r="AF492" i="1"/>
  <c r="AF491" i="1"/>
  <c r="AF490" i="1"/>
  <c r="AF489" i="1"/>
  <c r="Z496" i="1"/>
  <c r="AI496" i="1" s="1"/>
  <c r="Z495" i="1"/>
  <c r="AI495" i="1" s="1"/>
  <c r="Z494" i="1"/>
  <c r="AI494" i="1" s="1"/>
  <c r="Z493" i="1"/>
  <c r="AI493" i="1" s="1"/>
  <c r="Z492" i="1"/>
  <c r="Z491" i="1"/>
  <c r="AI491" i="1" s="1"/>
  <c r="Z490" i="1"/>
  <c r="AL468" i="1"/>
  <c r="AF468" i="1"/>
  <c r="Z468" i="1"/>
  <c r="AL464" i="1"/>
  <c r="AL463" i="1"/>
  <c r="AL462" i="1"/>
  <c r="AL461" i="1"/>
  <c r="AL460" i="1"/>
  <c r="AL459" i="1"/>
  <c r="AL458" i="1"/>
  <c r="AL457" i="1"/>
  <c r="AL456" i="1"/>
  <c r="AL455" i="1"/>
  <c r="AO455" i="1" s="1"/>
  <c r="AL454" i="1"/>
  <c r="AL453" i="1"/>
  <c r="AL452" i="1"/>
  <c r="AF464" i="1"/>
  <c r="AH464" i="1" s="1"/>
  <c r="AF463" i="1"/>
  <c r="AH463" i="1" s="1"/>
  <c r="AF462" i="1"/>
  <c r="AF461" i="1"/>
  <c r="AF460" i="1"/>
  <c r="AF459" i="1"/>
  <c r="AF458" i="1"/>
  <c r="AF457" i="1"/>
  <c r="AF456" i="1"/>
  <c r="AF455" i="1"/>
  <c r="AF454" i="1"/>
  <c r="AF453" i="1"/>
  <c r="AF452" i="1"/>
  <c r="Z464" i="1"/>
  <c r="AI464" i="1" s="1"/>
  <c r="Z463" i="1"/>
  <c r="AI463" i="1" s="1"/>
  <c r="Z462" i="1"/>
  <c r="AI462" i="1" s="1"/>
  <c r="Z461" i="1"/>
  <c r="Z460" i="1"/>
  <c r="Z459" i="1"/>
  <c r="Z458" i="1"/>
  <c r="Z457" i="1"/>
  <c r="Z456" i="1"/>
  <c r="Z455" i="1"/>
  <c r="AI455" i="1" s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R307" i="1" s="1"/>
  <c r="Q306" i="1"/>
  <c r="O306" i="1"/>
  <c r="R306" i="1" s="1"/>
  <c r="Q302" i="1"/>
  <c r="O302" i="1"/>
  <c r="Q301" i="1"/>
  <c r="O301" i="1"/>
  <c r="Q300" i="1"/>
  <c r="O300" i="1"/>
  <c r="Q299" i="1"/>
  <c r="O299" i="1"/>
  <c r="Q298" i="1"/>
  <c r="O298" i="1"/>
  <c r="Q297" i="1"/>
  <c r="O297" i="1"/>
  <c r="Q296" i="1"/>
  <c r="O296" i="1"/>
  <c r="R296" i="1" s="1"/>
  <c r="Q295" i="1"/>
  <c r="O295" i="1"/>
  <c r="R295" i="1" s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M311" i="1" s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S247" i="1" s="1"/>
  <c r="P246" i="1"/>
  <c r="O246" i="1"/>
  <c r="R246" i="1" s="1"/>
  <c r="Q243" i="1"/>
  <c r="S244" i="1" s="1"/>
  <c r="P243" i="1"/>
  <c r="O243" i="1"/>
  <c r="R243" i="1" s="1"/>
  <c r="Q240" i="1"/>
  <c r="P240" i="1"/>
  <c r="O240" i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L243" i="1"/>
  <c r="K243" i="1"/>
  <c r="J243" i="1"/>
  <c r="L240" i="1"/>
  <c r="K240" i="1"/>
  <c r="J240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I243" i="1"/>
  <c r="H243" i="1"/>
  <c r="G243" i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F243" i="1"/>
  <c r="E243" i="1"/>
  <c r="D243" i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Q177" i="1"/>
  <c r="P177" i="1"/>
  <c r="O177" i="1"/>
  <c r="Q174" i="1"/>
  <c r="P174" i="1"/>
  <c r="O174" i="1"/>
  <c r="Q171" i="1"/>
  <c r="P171" i="1"/>
  <c r="O171" i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L177" i="1"/>
  <c r="K177" i="1"/>
  <c r="J177" i="1"/>
  <c r="L174" i="1"/>
  <c r="K174" i="1"/>
  <c r="J174" i="1"/>
  <c r="L171" i="1"/>
  <c r="K171" i="1"/>
  <c r="J171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I177" i="1"/>
  <c r="H177" i="1"/>
  <c r="G177" i="1"/>
  <c r="I174" i="1"/>
  <c r="H174" i="1"/>
  <c r="G174" i="1"/>
  <c r="I171" i="1"/>
  <c r="H171" i="1"/>
  <c r="G171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F177" i="1"/>
  <c r="E177" i="1"/>
  <c r="D177" i="1"/>
  <c r="F174" i="1"/>
  <c r="E174" i="1"/>
  <c r="D174" i="1"/>
  <c r="F171" i="1"/>
  <c r="E171" i="1"/>
  <c r="D171" i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AH462" i="1" l="1"/>
  <c r="M187" i="1"/>
  <c r="M240" i="1"/>
  <c r="N261" i="1"/>
  <c r="S261" i="1"/>
  <c r="N278" i="1"/>
  <c r="S278" i="1"/>
  <c r="S240" i="1"/>
  <c r="N240" i="1"/>
  <c r="N241" i="1" s="1"/>
  <c r="S262" i="1"/>
  <c r="N262" i="1"/>
  <c r="N279" i="1"/>
  <c r="S279" i="1"/>
  <c r="N263" i="1"/>
  <c r="S263" i="1"/>
  <c r="N281" i="1"/>
  <c r="S281" i="1"/>
  <c r="M243" i="1"/>
  <c r="S264" i="1"/>
  <c r="N264" i="1"/>
  <c r="N282" i="1"/>
  <c r="S282" i="1"/>
  <c r="R297" i="1"/>
  <c r="S243" i="1"/>
  <c r="N243" i="1"/>
  <c r="N244" i="1" s="1"/>
  <c r="N266" i="1"/>
  <c r="S266" i="1"/>
  <c r="N283" i="1"/>
  <c r="S283" i="1"/>
  <c r="S267" i="1"/>
  <c r="N267" i="1"/>
  <c r="R240" i="1"/>
  <c r="S277" i="1"/>
  <c r="N277" i="1"/>
  <c r="M246" i="1"/>
  <c r="S268" i="1"/>
  <c r="N268" i="1"/>
  <c r="N246" i="1"/>
  <c r="N247" i="1"/>
  <c r="S246" i="1"/>
  <c r="N269" i="1"/>
  <c r="S269" i="1"/>
  <c r="S253" i="1"/>
  <c r="N253" i="1"/>
  <c r="N270" i="1"/>
  <c r="S270" i="1"/>
  <c r="S254" i="1"/>
  <c r="N254" i="1"/>
  <c r="N271" i="1"/>
  <c r="S271" i="1"/>
  <c r="N255" i="1"/>
  <c r="S255" i="1"/>
  <c r="N272" i="1"/>
  <c r="S272" i="1"/>
  <c r="N256" i="1"/>
  <c r="S256" i="1"/>
  <c r="N273" i="1"/>
  <c r="S273" i="1"/>
  <c r="N257" i="1"/>
  <c r="S257" i="1"/>
  <c r="S274" i="1"/>
  <c r="N274" i="1"/>
  <c r="S260" i="1"/>
  <c r="N260" i="1"/>
  <c r="S258" i="1"/>
  <c r="N258" i="1"/>
  <c r="S275" i="1"/>
  <c r="N275" i="1"/>
  <c r="S259" i="1"/>
  <c r="N259" i="1"/>
  <c r="S276" i="1"/>
  <c r="N276" i="1"/>
  <c r="M180" i="1"/>
  <c r="S205" i="1"/>
  <c r="N205" i="1"/>
  <c r="N140" i="1"/>
  <c r="S140" i="1"/>
  <c r="S206" i="1"/>
  <c r="N206" i="1"/>
  <c r="S223" i="1"/>
  <c r="N223" i="1"/>
  <c r="N297" i="1"/>
  <c r="S297" i="1"/>
  <c r="N311" i="1"/>
  <c r="S311" i="1"/>
  <c r="R311" i="1" s="1"/>
  <c r="N333" i="1"/>
  <c r="S333" i="1"/>
  <c r="AH455" i="1"/>
  <c r="AN455" i="1"/>
  <c r="N139" i="1"/>
  <c r="S139" i="1"/>
  <c r="M298" i="1"/>
  <c r="N317" i="1"/>
  <c r="S317" i="1"/>
  <c r="N334" i="1"/>
  <c r="S334" i="1"/>
  <c r="AH456" i="1"/>
  <c r="AN456" i="1"/>
  <c r="AO456" i="1" s="1"/>
  <c r="S207" i="1"/>
  <c r="N207" i="1"/>
  <c r="N123" i="1"/>
  <c r="S123" i="1"/>
  <c r="S142" i="1"/>
  <c r="N142" i="1"/>
  <c r="S183" i="1"/>
  <c r="N183" i="1"/>
  <c r="N208" i="1"/>
  <c r="S208" i="1"/>
  <c r="S226" i="1"/>
  <c r="N226" i="1"/>
  <c r="N298" i="1"/>
  <c r="S298" i="1"/>
  <c r="N318" i="1"/>
  <c r="S318" i="1"/>
  <c r="N335" i="1"/>
  <c r="S335" i="1"/>
  <c r="AH457" i="1"/>
  <c r="AI457" i="1" s="1"/>
  <c r="AN457" i="1"/>
  <c r="AO457" i="1" s="1"/>
  <c r="AH490" i="1"/>
  <c r="AI490" i="1" s="1"/>
  <c r="AN490" i="1"/>
  <c r="AO490" i="1" s="1"/>
  <c r="S225" i="1"/>
  <c r="N225" i="1"/>
  <c r="N124" i="1"/>
  <c r="S124" i="1"/>
  <c r="S143" i="1"/>
  <c r="N143" i="1"/>
  <c r="S155" i="1"/>
  <c r="N155" i="1"/>
  <c r="S210" i="1"/>
  <c r="N210" i="1"/>
  <c r="S227" i="1"/>
  <c r="N227" i="1"/>
  <c r="M299" i="1"/>
  <c r="N319" i="1"/>
  <c r="S319" i="1"/>
  <c r="N336" i="1"/>
  <c r="S336" i="1"/>
  <c r="AH458" i="1"/>
  <c r="AI458" i="1" s="1"/>
  <c r="AN458" i="1"/>
  <c r="AO458" i="1" s="1"/>
  <c r="AH491" i="1"/>
  <c r="AN491" i="1"/>
  <c r="N180" i="1"/>
  <c r="S180" i="1"/>
  <c r="N125" i="1"/>
  <c r="S125" i="1"/>
  <c r="S144" i="1"/>
  <c r="N144" i="1"/>
  <c r="N156" i="1"/>
  <c r="S156" i="1"/>
  <c r="S187" i="1"/>
  <c r="N187" i="1"/>
  <c r="S211" i="1"/>
  <c r="N211" i="1"/>
  <c r="R171" i="1"/>
  <c r="N299" i="1"/>
  <c r="S299" i="1"/>
  <c r="N320" i="1"/>
  <c r="S320" i="1"/>
  <c r="N337" i="1"/>
  <c r="S337" i="1"/>
  <c r="AI456" i="1"/>
  <c r="AH459" i="1"/>
  <c r="AI459" i="1" s="1"/>
  <c r="AN459" i="1"/>
  <c r="AO459" i="1" s="1"/>
  <c r="AN492" i="1"/>
  <c r="AO492" i="1" s="1"/>
  <c r="AH492" i="1"/>
  <c r="AI492" i="1" s="1"/>
  <c r="S111" i="1"/>
  <c r="N111" i="1"/>
  <c r="S126" i="1"/>
  <c r="N126" i="1"/>
  <c r="S145" i="1"/>
  <c r="N145" i="1"/>
  <c r="N157" i="1"/>
  <c r="S157" i="1"/>
  <c r="S212" i="1"/>
  <c r="N212" i="1"/>
  <c r="K300" i="1"/>
  <c r="M300" i="1"/>
  <c r="N321" i="1"/>
  <c r="S321" i="1"/>
  <c r="S338" i="1"/>
  <c r="N338" i="1"/>
  <c r="AN460" i="1"/>
  <c r="AO460" i="1" s="1"/>
  <c r="AH460" i="1"/>
  <c r="AI460" i="1" s="1"/>
  <c r="AN493" i="1"/>
  <c r="AH493" i="1"/>
  <c r="S112" i="1"/>
  <c r="N112" i="1"/>
  <c r="S127" i="1"/>
  <c r="N127" i="1"/>
  <c r="S146" i="1"/>
  <c r="N146" i="1"/>
  <c r="N158" i="1"/>
  <c r="S158" i="1"/>
  <c r="S213" i="1"/>
  <c r="N213" i="1"/>
  <c r="N300" i="1"/>
  <c r="S300" i="1"/>
  <c r="S322" i="1"/>
  <c r="N322" i="1"/>
  <c r="S339" i="1"/>
  <c r="N339" i="1"/>
  <c r="R298" i="1"/>
  <c r="AN494" i="1"/>
  <c r="AH494" i="1"/>
  <c r="S122" i="1"/>
  <c r="N122" i="1"/>
  <c r="N113" i="1"/>
  <c r="S113" i="1"/>
  <c r="S128" i="1"/>
  <c r="N128" i="1"/>
  <c r="S147" i="1"/>
  <c r="N147" i="1"/>
  <c r="S159" i="1"/>
  <c r="N159" i="1"/>
  <c r="M171" i="1"/>
  <c r="S197" i="1"/>
  <c r="N197" i="1"/>
  <c r="S214" i="1"/>
  <c r="N214" i="1"/>
  <c r="R174" i="1"/>
  <c r="S323" i="1"/>
  <c r="N323" i="1"/>
  <c r="N340" i="1"/>
  <c r="S340" i="1"/>
  <c r="AN495" i="1"/>
  <c r="AH495" i="1"/>
  <c r="S114" i="1"/>
  <c r="N114" i="1"/>
  <c r="S129" i="1"/>
  <c r="N129" i="1"/>
  <c r="S149" i="1"/>
  <c r="N149" i="1"/>
  <c r="S160" i="1"/>
  <c r="N160" i="1"/>
  <c r="S171" i="1"/>
  <c r="N171" i="1"/>
  <c r="S198" i="1"/>
  <c r="N198" i="1"/>
  <c r="S215" i="1"/>
  <c r="N215" i="1"/>
  <c r="S301" i="1"/>
  <c r="N301" i="1"/>
  <c r="N324" i="1"/>
  <c r="S324" i="1"/>
  <c r="N341" i="1"/>
  <c r="S341" i="1"/>
  <c r="R299" i="1"/>
  <c r="AH468" i="1"/>
  <c r="AI468" i="1" s="1"/>
  <c r="AN468" i="1"/>
  <c r="AO468" i="1" s="1"/>
  <c r="AN496" i="1"/>
  <c r="AH496" i="1"/>
  <c r="N141" i="1"/>
  <c r="S141" i="1"/>
  <c r="S101" i="1"/>
  <c r="N101" i="1"/>
  <c r="S115" i="1"/>
  <c r="N115" i="1"/>
  <c r="S130" i="1"/>
  <c r="N130" i="1"/>
  <c r="S150" i="1"/>
  <c r="N150" i="1"/>
  <c r="S161" i="1"/>
  <c r="N161" i="1"/>
  <c r="S199" i="1"/>
  <c r="N199" i="1"/>
  <c r="S216" i="1"/>
  <c r="N216" i="1"/>
  <c r="M294" i="1"/>
  <c r="N325" i="1"/>
  <c r="S325" i="1"/>
  <c r="N342" i="1"/>
  <c r="S342" i="1"/>
  <c r="S102" i="1"/>
  <c r="N102" i="1"/>
  <c r="S116" i="1"/>
  <c r="N116" i="1"/>
  <c r="S131" i="1"/>
  <c r="N131" i="1"/>
  <c r="S151" i="1"/>
  <c r="N151" i="1"/>
  <c r="M174" i="1"/>
  <c r="S200" i="1"/>
  <c r="N200" i="1"/>
  <c r="N217" i="1"/>
  <c r="S217" i="1"/>
  <c r="R177" i="1"/>
  <c r="N294" i="1"/>
  <c r="S294" i="1"/>
  <c r="S302" i="1"/>
  <c r="N302" i="1"/>
  <c r="N326" i="1"/>
  <c r="S326" i="1"/>
  <c r="N343" i="1"/>
  <c r="S343" i="1"/>
  <c r="P300" i="1"/>
  <c r="R300" i="1"/>
  <c r="N103" i="1"/>
  <c r="S103" i="1"/>
  <c r="S117" i="1"/>
  <c r="N117" i="1"/>
  <c r="S132" i="1"/>
  <c r="N132" i="1"/>
  <c r="S135" i="1"/>
  <c r="N135" i="1"/>
  <c r="S174" i="1"/>
  <c r="N174" i="1"/>
  <c r="N201" i="1"/>
  <c r="S201" i="1"/>
  <c r="N218" i="1"/>
  <c r="S218" i="1"/>
  <c r="M295" i="1"/>
  <c r="M306" i="1"/>
  <c r="N327" i="1"/>
  <c r="S327" i="1"/>
  <c r="N345" i="1"/>
  <c r="S345" i="1"/>
  <c r="S118" i="1"/>
  <c r="N118" i="1"/>
  <c r="S133" i="1"/>
  <c r="N133" i="1"/>
  <c r="S136" i="1"/>
  <c r="N136" i="1"/>
  <c r="N202" i="1"/>
  <c r="S202" i="1"/>
  <c r="N219" i="1"/>
  <c r="S219" i="1"/>
  <c r="S295" i="1"/>
  <c r="N295" i="1"/>
  <c r="S306" i="1"/>
  <c r="N306" i="1"/>
  <c r="N328" i="1"/>
  <c r="S328" i="1"/>
  <c r="N346" i="1"/>
  <c r="S346" i="1"/>
  <c r="P301" i="1"/>
  <c r="R301" i="1"/>
  <c r="S119" i="1"/>
  <c r="N119" i="1"/>
  <c r="S137" i="1"/>
  <c r="N137" i="1"/>
  <c r="M177" i="1"/>
  <c r="N203" i="1"/>
  <c r="S203" i="1"/>
  <c r="N220" i="1"/>
  <c r="S220" i="1"/>
  <c r="R180" i="1"/>
  <c r="M296" i="1"/>
  <c r="M307" i="1"/>
  <c r="N330" i="1"/>
  <c r="S330" i="1"/>
  <c r="N347" i="1"/>
  <c r="S347" i="1"/>
  <c r="AH452" i="1"/>
  <c r="AI452" i="1" s="1"/>
  <c r="AN452" i="1"/>
  <c r="AO452" i="1" s="1"/>
  <c r="S120" i="1"/>
  <c r="N120" i="1"/>
  <c r="S138" i="1"/>
  <c r="N138" i="1"/>
  <c r="N177" i="1"/>
  <c r="S177" i="1"/>
  <c r="N204" i="1"/>
  <c r="S204" i="1"/>
  <c r="S221" i="1"/>
  <c r="N221" i="1"/>
  <c r="N296" i="1"/>
  <c r="S296" i="1"/>
  <c r="S307" i="1"/>
  <c r="N307" i="1"/>
  <c r="N331" i="1"/>
  <c r="S331" i="1"/>
  <c r="R294" i="1"/>
  <c r="P302" i="1"/>
  <c r="R302" i="1"/>
  <c r="AH453" i="1"/>
  <c r="AI453" i="1" s="1"/>
  <c r="AN453" i="1"/>
  <c r="AO453" i="1" s="1"/>
  <c r="S222" i="1"/>
  <c r="N222" i="1"/>
  <c r="M297" i="1"/>
  <c r="N332" i="1"/>
  <c r="S332" i="1"/>
  <c r="AH454" i="1"/>
  <c r="AI454" i="1" s="1"/>
  <c r="AN454" i="1"/>
  <c r="AO454" i="1" s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81" i="1"/>
  <c r="Q265" i="1"/>
  <c r="P265" i="1" s="1"/>
  <c r="L303" i="1"/>
  <c r="H359" i="1"/>
  <c r="I394" i="1"/>
  <c r="H394" i="1" s="1"/>
  <c r="K359" i="1"/>
  <c r="Q376" i="1"/>
  <c r="P376" i="1" s="1"/>
  <c r="I184" i="1"/>
  <c r="I193" i="1" s="1"/>
  <c r="I354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L99" i="1"/>
  <c r="J99" i="1"/>
  <c r="I99" i="1"/>
  <c r="G99" i="1"/>
  <c r="F99" i="1"/>
  <c r="D99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S241" i="1" l="1"/>
  <c r="L308" i="1"/>
  <c r="S303" i="1"/>
  <c r="S304" i="1" s="1"/>
  <c r="S99" i="1"/>
  <c r="N99" i="1"/>
  <c r="N162" i="1"/>
  <c r="N76" i="1"/>
  <c r="S76" i="1"/>
  <c r="S162" i="1"/>
  <c r="N77" i="1"/>
  <c r="S77" i="1"/>
  <c r="R94" i="1"/>
  <c r="M94" i="1"/>
  <c r="N94" i="1"/>
  <c r="S94" i="1"/>
  <c r="S329" i="1"/>
  <c r="R95" i="1"/>
  <c r="M95" i="1"/>
  <c r="R303" i="1"/>
  <c r="S209" i="1"/>
  <c r="N209" i="1"/>
  <c r="S78" i="1"/>
  <c r="N78" i="1"/>
  <c r="N81" i="1"/>
  <c r="S81" i="1"/>
  <c r="S184" i="1"/>
  <c r="S185" i="1" s="1"/>
  <c r="S79" i="1"/>
  <c r="N79" i="1"/>
  <c r="S95" i="1"/>
  <c r="N95" i="1"/>
  <c r="AN465" i="1"/>
  <c r="R99" i="1"/>
  <c r="M99" i="1"/>
  <c r="N75" i="1"/>
  <c r="N80" i="1"/>
  <c r="S80" i="1"/>
  <c r="AH465" i="1"/>
  <c r="L193" i="1"/>
  <c r="K209" i="1" s="1"/>
  <c r="K193" i="1"/>
  <c r="H98" i="1"/>
  <c r="E98" i="1"/>
  <c r="P98" i="1"/>
  <c r="K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J308" i="1"/>
  <c r="K94" i="1"/>
  <c r="P284" i="1"/>
  <c r="E99" i="1"/>
  <c r="I194" i="1"/>
  <c r="K376" i="1"/>
  <c r="Q250" i="1"/>
  <c r="P361" i="1"/>
  <c r="O308" i="1"/>
  <c r="P303" i="1"/>
  <c r="G308" i="1"/>
  <c r="G313" i="1" s="1"/>
  <c r="H303" i="1"/>
  <c r="I250" i="1"/>
  <c r="H284" i="1"/>
  <c r="Q193" i="1"/>
  <c r="Q185" i="1"/>
  <c r="L185" i="1"/>
  <c r="H209" i="1"/>
  <c r="I18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L23" i="1"/>
  <c r="L22" i="1"/>
  <c r="L21" i="1"/>
  <c r="I23" i="1"/>
  <c r="I22" i="1"/>
  <c r="I21" i="1"/>
  <c r="F23" i="1"/>
  <c r="F22" i="1"/>
  <c r="F21" i="1"/>
  <c r="L19" i="1"/>
  <c r="I19" i="1"/>
  <c r="F19" i="1"/>
  <c r="L17" i="1"/>
  <c r="J17" i="1"/>
  <c r="I17" i="1"/>
  <c r="G17" i="1"/>
  <c r="F17" i="1"/>
  <c r="D17" i="1"/>
  <c r="L15" i="1"/>
  <c r="J15" i="1"/>
  <c r="I15" i="1"/>
  <c r="G15" i="1"/>
  <c r="F15" i="1"/>
  <c r="D15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L5" i="1"/>
  <c r="I5" i="1"/>
  <c r="F5" i="1"/>
  <c r="S96" i="1" l="1"/>
  <c r="L194" i="1"/>
  <c r="R96" i="1"/>
  <c r="N19" i="1"/>
  <c r="S19" i="1"/>
  <c r="N57" i="1"/>
  <c r="S57" i="1"/>
  <c r="N58" i="1"/>
  <c r="S58" i="1"/>
  <c r="S193" i="1"/>
  <c r="S194" i="1" s="1"/>
  <c r="M6" i="1"/>
  <c r="R6" i="1"/>
  <c r="S60" i="1"/>
  <c r="N60" i="1"/>
  <c r="J313" i="1"/>
  <c r="S61" i="1"/>
  <c r="N61" i="1"/>
  <c r="N51" i="1"/>
  <c r="S51" i="1"/>
  <c r="N62" i="1"/>
  <c r="S62" i="1"/>
  <c r="N12" i="1"/>
  <c r="S12" i="1"/>
  <c r="N50" i="1"/>
  <c r="S50" i="1"/>
  <c r="N37" i="1"/>
  <c r="S37" i="1"/>
  <c r="N15" i="1"/>
  <c r="S15" i="1"/>
  <c r="N63" i="1"/>
  <c r="S63" i="1"/>
  <c r="N34" i="1"/>
  <c r="S34" i="1"/>
  <c r="N36" i="1"/>
  <c r="S36" i="1"/>
  <c r="R10" i="1"/>
  <c r="M10" i="1"/>
  <c r="N40" i="1"/>
  <c r="S40" i="1"/>
  <c r="N64" i="1"/>
  <c r="S64" i="1"/>
  <c r="N59" i="1"/>
  <c r="S59" i="1"/>
  <c r="N39" i="1"/>
  <c r="S39" i="1"/>
  <c r="N22" i="1"/>
  <c r="S22" i="1"/>
  <c r="N52" i="1"/>
  <c r="S52" i="1"/>
  <c r="S65" i="1"/>
  <c r="N65" i="1"/>
  <c r="N33" i="1"/>
  <c r="S33" i="1"/>
  <c r="M8" i="1"/>
  <c r="R8" i="1"/>
  <c r="M12" i="1"/>
  <c r="R12" i="1"/>
  <c r="N23" i="1"/>
  <c r="S23" i="1"/>
  <c r="N47" i="1"/>
  <c r="S47" i="1"/>
  <c r="N66" i="1"/>
  <c r="S66" i="1"/>
  <c r="M15" i="1"/>
  <c r="R15" i="1"/>
  <c r="N6" i="1"/>
  <c r="S6" i="1"/>
  <c r="N42" i="1"/>
  <c r="S42" i="1"/>
  <c r="N67" i="1"/>
  <c r="S67" i="1"/>
  <c r="O313" i="1"/>
  <c r="R308" i="1"/>
  <c r="R11" i="1"/>
  <c r="M11" i="1"/>
  <c r="N7" i="1"/>
  <c r="S7" i="1"/>
  <c r="M17" i="1"/>
  <c r="R17" i="1"/>
  <c r="N53" i="1"/>
  <c r="S53" i="1"/>
  <c r="N69" i="1"/>
  <c r="S69" i="1"/>
  <c r="N8" i="1"/>
  <c r="S8" i="1"/>
  <c r="N17" i="1"/>
  <c r="S17" i="1"/>
  <c r="S48" i="1"/>
  <c r="N48" i="1"/>
  <c r="N70" i="1"/>
  <c r="S70" i="1"/>
  <c r="S44" i="1"/>
  <c r="N44" i="1"/>
  <c r="N45" i="1"/>
  <c r="S45" i="1"/>
  <c r="N46" i="1"/>
  <c r="S46" i="1"/>
  <c r="S9" i="1"/>
  <c r="N9" i="1"/>
  <c r="S43" i="1"/>
  <c r="N43" i="1"/>
  <c r="N71" i="1"/>
  <c r="S71" i="1"/>
  <c r="N21" i="1"/>
  <c r="S21" i="1"/>
  <c r="S10" i="1"/>
  <c r="N10" i="1"/>
  <c r="N31" i="1"/>
  <c r="S31" i="1"/>
  <c r="N55" i="1"/>
  <c r="S55" i="1"/>
  <c r="N35" i="1"/>
  <c r="S35" i="1"/>
  <c r="M7" i="1"/>
  <c r="R7" i="1"/>
  <c r="N38" i="1"/>
  <c r="S38" i="1"/>
  <c r="R9" i="1"/>
  <c r="M9" i="1"/>
  <c r="S11" i="1"/>
  <c r="N11" i="1"/>
  <c r="N32" i="1"/>
  <c r="S32" i="1"/>
  <c r="N49" i="1"/>
  <c r="S49" i="1"/>
  <c r="N56" i="1"/>
  <c r="S56" i="1"/>
  <c r="L313" i="1"/>
  <c r="S308" i="1"/>
  <c r="S309" i="1" s="1"/>
  <c r="L398" i="1"/>
  <c r="I398" i="1"/>
  <c r="H286" i="1"/>
  <c r="P286" i="1"/>
  <c r="K308" i="1"/>
  <c r="Q398" i="1"/>
  <c r="Q352" i="1"/>
  <c r="P308" i="1"/>
  <c r="H313" i="1"/>
  <c r="H308" i="1"/>
  <c r="Q194" i="1"/>
  <c r="P209" i="1"/>
  <c r="M13" i="1" l="1"/>
  <c r="S13" i="1"/>
  <c r="S14" i="1" s="1"/>
  <c r="R313" i="1"/>
  <c r="K313" i="1"/>
  <c r="S54" i="1"/>
  <c r="S313" i="1"/>
  <c r="S314" i="1" s="1"/>
  <c r="K329" i="1"/>
  <c r="P313" i="1"/>
  <c r="N54" i="1"/>
  <c r="N13" i="1"/>
  <c r="R13" i="1"/>
  <c r="R14" i="1" s="1"/>
  <c r="AL476" i="1"/>
  <c r="AO476" i="1" s="1"/>
  <c r="AF476" i="1"/>
  <c r="AN476" i="1" l="1"/>
  <c r="AL471" i="1"/>
  <c r="AO471" i="1" s="1"/>
  <c r="Z476" i="1"/>
  <c r="AH476" i="1" s="1"/>
  <c r="AI476" i="1" s="1"/>
  <c r="AF477" i="1" l="1"/>
  <c r="AL479" i="1"/>
  <c r="AL426" i="1" l="1"/>
  <c r="Z470" i="1"/>
  <c r="AL472" i="1"/>
  <c r="AO472" i="1" s="1"/>
  <c r="AL423" i="1"/>
  <c r="AL430" i="1"/>
  <c r="AN430" i="1" s="1"/>
  <c r="AO430" i="1" s="1"/>
  <c r="AL428" i="1"/>
  <c r="AN428" i="1" s="1"/>
  <c r="AO428" i="1" s="1"/>
  <c r="AF473" i="1"/>
  <c r="AL431" i="1"/>
  <c r="Z473" i="1"/>
  <c r="AF475" i="1"/>
  <c r="Z471" i="1"/>
  <c r="AL429" i="1"/>
  <c r="AF469" i="1"/>
  <c r="AF471" i="1"/>
  <c r="Z475" i="1"/>
  <c r="AF431" i="1"/>
  <c r="AF470" i="1"/>
  <c r="Z474" i="1"/>
  <c r="AL470" i="1"/>
  <c r="AF472" i="1"/>
  <c r="Z479" i="1"/>
  <c r="AL427" i="1"/>
  <c r="AN427" i="1" s="1"/>
  <c r="AO427" i="1" s="1"/>
  <c r="AL469" i="1"/>
  <c r="AL420" i="1"/>
  <c r="AN420" i="1" s="1"/>
  <c r="AO420" i="1" s="1"/>
  <c r="Z472" i="1"/>
  <c r="AF474" i="1"/>
  <c r="AL421" i="1"/>
  <c r="AL473" i="1"/>
  <c r="AL474" i="1"/>
  <c r="AO474" i="1" s="1"/>
  <c r="AF478" i="1"/>
  <c r="Z469" i="1"/>
  <c r="AL422" i="1"/>
  <c r="AN422" i="1" s="1"/>
  <c r="AO422" i="1" s="1"/>
  <c r="AH471" i="1" l="1"/>
  <c r="AI471" i="1" s="1"/>
  <c r="AN471" i="1"/>
  <c r="AN474" i="1"/>
  <c r="AH474" i="1"/>
  <c r="AI474" i="1" s="1"/>
  <c r="AO473" i="1"/>
  <c r="AH469" i="1"/>
  <c r="AI469" i="1" s="1"/>
  <c r="AN469" i="1"/>
  <c r="AO469" i="1" s="1"/>
  <c r="AH472" i="1"/>
  <c r="AI472" i="1" s="1"/>
  <c r="AN472" i="1"/>
  <c r="AN423" i="1"/>
  <c r="AO423" i="1" s="1"/>
  <c r="AH470" i="1"/>
  <c r="AI470" i="1" s="1"/>
  <c r="AN470" i="1"/>
  <c r="AO470" i="1" s="1"/>
  <c r="AO426" i="1"/>
  <c r="AN426" i="1"/>
  <c r="AN429" i="1"/>
  <c r="AO429" i="1" s="1"/>
  <c r="AH475" i="1"/>
  <c r="AI475" i="1" s="1"/>
  <c r="AN473" i="1"/>
  <c r="AH473" i="1"/>
  <c r="AI473" i="1" s="1"/>
  <c r="AN421" i="1"/>
  <c r="AO421" i="1" s="1"/>
  <c r="AL475" i="1"/>
  <c r="AO475" i="1" s="1"/>
  <c r="AL478" i="1"/>
  <c r="AO478" i="1" s="1"/>
  <c r="AL425" i="1"/>
  <c r="AL477" i="1"/>
  <c r="AL424" i="1"/>
  <c r="Z478" i="1"/>
  <c r="AH478" i="1" s="1"/>
  <c r="AI478" i="1" s="1"/>
  <c r="Z431" i="1"/>
  <c r="AI431" i="1" s="1"/>
  <c r="O13" i="2"/>
  <c r="AH431" i="1" l="1"/>
  <c r="AO477" i="1"/>
  <c r="AN477" i="1"/>
  <c r="AO425" i="1"/>
  <c r="AN425" i="1"/>
  <c r="AN478" i="1"/>
  <c r="AO424" i="1"/>
  <c r="AN424" i="1"/>
  <c r="AN475" i="1"/>
  <c r="O10" i="2"/>
  <c r="Z481" i="1"/>
  <c r="Z477" i="1"/>
  <c r="AH477" i="1" s="1"/>
  <c r="AI477" i="1" s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E311" i="1"/>
  <c r="A311" i="1"/>
  <c r="A310" i="1"/>
  <c r="A309" i="1"/>
  <c r="A308" i="1"/>
  <c r="E307" i="1"/>
  <c r="A307" i="1"/>
  <c r="A306" i="1"/>
  <c r="A305" i="1"/>
  <c r="A304" i="1"/>
  <c r="A303" i="1"/>
  <c r="E302" i="1"/>
  <c r="A302" i="1"/>
  <c r="A301" i="1"/>
  <c r="A300" i="1"/>
  <c r="E299" i="1"/>
  <c r="A299" i="1"/>
  <c r="E298" i="1"/>
  <c r="A298" i="1"/>
  <c r="A297" i="1"/>
  <c r="E296" i="1"/>
  <c r="A296" i="1"/>
  <c r="A295" i="1"/>
  <c r="A294" i="1"/>
  <c r="A293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L265" i="1"/>
  <c r="A253" i="1"/>
  <c r="A252" i="1"/>
  <c r="A251" i="1"/>
  <c r="A250" i="1"/>
  <c r="A249" i="1"/>
  <c r="A248" i="1"/>
  <c r="F247" i="1"/>
  <c r="A247" i="1"/>
  <c r="L247" i="1"/>
  <c r="A246" i="1"/>
  <c r="A245" i="1"/>
  <c r="A244" i="1"/>
  <c r="K249" i="1"/>
  <c r="A243" i="1"/>
  <c r="A242" i="1"/>
  <c r="A241" i="1"/>
  <c r="A240" i="1"/>
  <c r="A239" i="1"/>
  <c r="A238" i="1"/>
  <c r="A227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F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F178" i="1"/>
  <c r="N178" i="1" s="1"/>
  <c r="A177" i="1"/>
  <c r="A176" i="1"/>
  <c r="A175" i="1"/>
  <c r="A174" i="1"/>
  <c r="E173" i="1"/>
  <c r="A173" i="1"/>
  <c r="A172" i="1"/>
  <c r="A171" i="1"/>
  <c r="A170" i="1"/>
  <c r="L162" i="1"/>
  <c r="A161" i="1"/>
  <c r="A160" i="1"/>
  <c r="A159" i="1"/>
  <c r="A158" i="1"/>
  <c r="A157" i="1"/>
  <c r="A156" i="1"/>
  <c r="Q162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Q152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Q121" i="1"/>
  <c r="A111" i="1"/>
  <c r="A110" i="1"/>
  <c r="A109" i="1"/>
  <c r="A108" i="1"/>
  <c r="A107" i="1"/>
  <c r="A106" i="1"/>
  <c r="A105" i="1"/>
  <c r="L104" i="1"/>
  <c r="A104" i="1"/>
  <c r="E103" i="1"/>
  <c r="A103" i="1"/>
  <c r="H103" i="1" s="1"/>
  <c r="A102" i="1"/>
  <c r="H101" i="1"/>
  <c r="F104" i="1"/>
  <c r="E101" i="1"/>
  <c r="A101" i="1"/>
  <c r="A100" i="1"/>
  <c r="A99" i="1"/>
  <c r="A98" i="1"/>
  <c r="H97" i="1"/>
  <c r="E97" i="1"/>
  <c r="A97" i="1"/>
  <c r="O96" i="1"/>
  <c r="J96" i="1"/>
  <c r="I96" i="1"/>
  <c r="A96" i="1"/>
  <c r="A95" i="1"/>
  <c r="Q96" i="1"/>
  <c r="S97" i="1" s="1"/>
  <c r="L96" i="1"/>
  <c r="G96" i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B40" i="1"/>
  <c r="A40" i="1" s="1"/>
  <c r="K39" i="1"/>
  <c r="B39" i="1"/>
  <c r="B38" i="1"/>
  <c r="A38" i="1"/>
  <c r="B37" i="1"/>
  <c r="A37" i="1" s="1"/>
  <c r="B36" i="1"/>
  <c r="A36" i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K17" i="1"/>
  <c r="E17" i="1"/>
  <c r="B17" i="1"/>
  <c r="A17" i="1" s="1"/>
  <c r="B16" i="1"/>
  <c r="A16" i="1" s="1"/>
  <c r="K15" i="1"/>
  <c r="B15" i="1"/>
  <c r="B14" i="1"/>
  <c r="A14" i="1" s="1"/>
  <c r="J13" i="1"/>
  <c r="B13" i="1"/>
  <c r="A13" i="1" s="1"/>
  <c r="K12" i="1"/>
  <c r="B12" i="1"/>
  <c r="A12" i="1" s="1"/>
  <c r="K11" i="1"/>
  <c r="B11" i="1"/>
  <c r="K10" i="1"/>
  <c r="B10" i="1"/>
  <c r="A10" i="1" s="1"/>
  <c r="K9" i="1"/>
  <c r="B9" i="1"/>
  <c r="K8" i="1"/>
  <c r="B8" i="1"/>
  <c r="A8" i="1" s="1"/>
  <c r="K7" i="1"/>
  <c r="B7" i="1"/>
  <c r="K6" i="1"/>
  <c r="B6" i="1"/>
  <c r="A6" i="1" s="1"/>
  <c r="B5" i="1"/>
  <c r="A5" i="1" s="1"/>
  <c r="AO484" i="1" l="1"/>
  <c r="S167" i="1"/>
  <c r="S290" i="1"/>
  <c r="S235" i="1"/>
  <c r="S265" i="1"/>
  <c r="N96" i="1"/>
  <c r="N97" i="1" s="1"/>
  <c r="J107" i="1"/>
  <c r="N104" i="1"/>
  <c r="N105" i="1" s="1"/>
  <c r="O107" i="1"/>
  <c r="R97" i="1"/>
  <c r="A7" i="1"/>
  <c r="I10" i="2"/>
  <c r="L107" i="1"/>
  <c r="A21" i="1"/>
  <c r="J111" i="1"/>
  <c r="K114" i="1"/>
  <c r="K22" i="1"/>
  <c r="R22" i="1" s="1"/>
  <c r="A23" i="1"/>
  <c r="A33" i="1"/>
  <c r="A15" i="1"/>
  <c r="E361" i="1"/>
  <c r="K96" i="1"/>
  <c r="K23" i="1"/>
  <c r="R23" i="1" s="1"/>
  <c r="K21" i="1"/>
  <c r="R21" i="1" s="1"/>
  <c r="H114" i="1"/>
  <c r="G104" i="1"/>
  <c r="H116" i="1"/>
  <c r="H96" i="1"/>
  <c r="G107" i="1"/>
  <c r="H6" i="1"/>
  <c r="H22" i="1"/>
  <c r="A32" i="1"/>
  <c r="A44" i="1"/>
  <c r="A52" i="1"/>
  <c r="A76" i="1"/>
  <c r="D96" i="1"/>
  <c r="M96" i="1" s="1"/>
  <c r="M97" i="1" s="1"/>
  <c r="E95" i="1"/>
  <c r="V484" i="1"/>
  <c r="A484" i="1" s="1"/>
  <c r="V401" i="1"/>
  <c r="C290" i="1"/>
  <c r="C355" i="1" s="1"/>
  <c r="C235" i="1"/>
  <c r="C167" i="1"/>
  <c r="C89" i="1"/>
  <c r="A81" i="1"/>
  <c r="K101" i="1"/>
  <c r="R101" i="1" s="1"/>
  <c r="K117" i="1"/>
  <c r="A9" i="1"/>
  <c r="H17" i="1"/>
  <c r="E21" i="1"/>
  <c r="I24" i="1"/>
  <c r="E23" i="1"/>
  <c r="J24" i="1"/>
  <c r="A39" i="1"/>
  <c r="A46" i="1"/>
  <c r="F72" i="1"/>
  <c r="A78" i="1"/>
  <c r="P102" i="1"/>
  <c r="O104" i="1"/>
  <c r="P103" i="1"/>
  <c r="P96" i="1"/>
  <c r="P101" i="1"/>
  <c r="K102" i="1"/>
  <c r="R102" i="1" s="1"/>
  <c r="I121" i="1"/>
  <c r="G111" i="1"/>
  <c r="H119" i="1"/>
  <c r="E12" i="1"/>
  <c r="K103" i="1"/>
  <c r="R103" i="1" s="1"/>
  <c r="AO401" i="1"/>
  <c r="S355" i="1"/>
  <c r="A11" i="1"/>
  <c r="A19" i="1"/>
  <c r="F24" i="1"/>
  <c r="H23" i="1"/>
  <c r="J27" i="1"/>
  <c r="L41" i="1"/>
  <c r="A35" i="1"/>
  <c r="A80" i="1"/>
  <c r="E94" i="1"/>
  <c r="Q104" i="1"/>
  <c r="Q107" i="1" s="1"/>
  <c r="J104" i="1"/>
  <c r="H111" i="1"/>
  <c r="H115" i="1"/>
  <c r="A77" i="1"/>
  <c r="F107" i="1"/>
  <c r="H113" i="1"/>
  <c r="K38" i="1"/>
  <c r="A42" i="1"/>
  <c r="A82" i="1"/>
  <c r="S89" i="1"/>
  <c r="H102" i="1"/>
  <c r="L121" i="1"/>
  <c r="H112" i="1"/>
  <c r="E10" i="1"/>
  <c r="A79" i="1"/>
  <c r="K119" i="1"/>
  <c r="P118" i="1"/>
  <c r="P119" i="1"/>
  <c r="K116" i="1"/>
  <c r="P115" i="1"/>
  <c r="K120" i="1"/>
  <c r="K113" i="1"/>
  <c r="P112" i="1"/>
  <c r="K111" i="1"/>
  <c r="K118" i="1"/>
  <c r="P117" i="1"/>
  <c r="K115" i="1"/>
  <c r="P114" i="1"/>
  <c r="P120" i="1"/>
  <c r="P116" i="1"/>
  <c r="E102" i="1"/>
  <c r="P111" i="1"/>
  <c r="K112" i="1"/>
  <c r="P113" i="1"/>
  <c r="H117" i="1"/>
  <c r="H118" i="1"/>
  <c r="L134" i="1"/>
  <c r="E184" i="1"/>
  <c r="M184" i="1" s="1"/>
  <c r="L241" i="1"/>
  <c r="J112" i="1"/>
  <c r="Q134" i="1"/>
  <c r="I152" i="1"/>
  <c r="F172" i="1"/>
  <c r="F134" i="1"/>
  <c r="F249" i="1"/>
  <c r="F244" i="1"/>
  <c r="Q228" i="1"/>
  <c r="F228" i="1"/>
  <c r="M361" i="1"/>
  <c r="F175" i="1"/>
  <c r="E249" i="1"/>
  <c r="E300" i="1"/>
  <c r="S359" i="1"/>
  <c r="N359" i="1"/>
  <c r="F265" i="1"/>
  <c r="N265" i="1" s="1"/>
  <c r="F162" i="1"/>
  <c r="N369" i="1"/>
  <c r="S393" i="1"/>
  <c r="N393" i="1"/>
  <c r="AF465" i="1"/>
  <c r="E297" i="1"/>
  <c r="E306" i="1"/>
  <c r="F348" i="1"/>
  <c r="E359" i="1"/>
  <c r="S366" i="1"/>
  <c r="N373" i="1"/>
  <c r="S374" i="1"/>
  <c r="N378" i="1"/>
  <c r="N386" i="1"/>
  <c r="N367" i="1"/>
  <c r="N375" i="1"/>
  <c r="F376" i="1"/>
  <c r="N372" i="1"/>
  <c r="N377" i="1"/>
  <c r="N379" i="1"/>
  <c r="F394" i="1"/>
  <c r="E394" i="1" s="1"/>
  <c r="E301" i="1"/>
  <c r="F329" i="1"/>
  <c r="N329" i="1" s="1"/>
  <c r="S382" i="1"/>
  <c r="N382" i="1"/>
  <c r="S385" i="1"/>
  <c r="N385" i="1"/>
  <c r="N371" i="1"/>
  <c r="S377" i="1"/>
  <c r="N370" i="1"/>
  <c r="N381" i="1"/>
  <c r="N384" i="1"/>
  <c r="N392" i="1"/>
  <c r="AL465" i="1"/>
  <c r="AO465" i="1" s="1"/>
  <c r="N390" i="1"/>
  <c r="Z465" i="1"/>
  <c r="AI465" i="1" s="1"/>
  <c r="S104" i="1" l="1"/>
  <c r="S105" i="1" s="1"/>
  <c r="R27" i="1"/>
  <c r="R28" i="1" s="1"/>
  <c r="S107" i="1"/>
  <c r="S108" i="1" s="1"/>
  <c r="N107" i="1"/>
  <c r="N108" i="1" s="1"/>
  <c r="S41" i="1"/>
  <c r="S134" i="1"/>
  <c r="N134" i="1"/>
  <c r="R107" i="1"/>
  <c r="R108" i="1" s="1"/>
  <c r="S121" i="1"/>
  <c r="P107" i="1"/>
  <c r="E193" i="1"/>
  <c r="E113" i="1"/>
  <c r="K31" i="1"/>
  <c r="E120" i="1"/>
  <c r="K35" i="1"/>
  <c r="E134" i="1"/>
  <c r="E119" i="1"/>
  <c r="E115" i="1"/>
  <c r="E118" i="1"/>
  <c r="AE410" i="1"/>
  <c r="AL448" i="1"/>
  <c r="AE411" i="1"/>
  <c r="AF416" i="1"/>
  <c r="AL435" i="1"/>
  <c r="AN435" i="1" s="1"/>
  <c r="AO435" i="1" s="1"/>
  <c r="P152" i="1"/>
  <c r="P121" i="1"/>
  <c r="F350" i="1"/>
  <c r="F396" i="1"/>
  <c r="E376" i="1"/>
  <c r="F230" i="1"/>
  <c r="E265" i="1"/>
  <c r="N361" i="1"/>
  <c r="S361" i="1"/>
  <c r="S362" i="1" s="1"/>
  <c r="P134" i="1"/>
  <c r="L244" i="1"/>
  <c r="K265" i="1"/>
  <c r="L249" i="1"/>
  <c r="F250" i="1"/>
  <c r="H12" i="1"/>
  <c r="H15" i="1"/>
  <c r="E111" i="1"/>
  <c r="F121" i="1"/>
  <c r="N121" i="1" s="1"/>
  <c r="I13" i="1"/>
  <c r="AL442" i="1"/>
  <c r="AL434" i="1"/>
  <c r="AL414" i="1"/>
  <c r="AN414" i="1" s="1"/>
  <c r="AO414" i="1" s="1"/>
  <c r="AL433" i="1"/>
  <c r="AL410" i="1"/>
  <c r="AN410" i="1" s="1"/>
  <c r="AO410" i="1" s="1"/>
  <c r="N394" i="1"/>
  <c r="F241" i="1"/>
  <c r="E11" i="1"/>
  <c r="AF415" i="1"/>
  <c r="AL439" i="1"/>
  <c r="AN439" i="1" s="1"/>
  <c r="AO439" i="1" s="1"/>
  <c r="E117" i="1"/>
  <c r="Q230" i="1"/>
  <c r="K134" i="1"/>
  <c r="K33" i="1"/>
  <c r="K36" i="1"/>
  <c r="S376" i="1"/>
  <c r="N376" i="1"/>
  <c r="F184" i="1"/>
  <c r="N184" i="1" s="1"/>
  <c r="N185" i="1" s="1"/>
  <c r="H120" i="1"/>
  <c r="I134" i="1"/>
  <c r="H7" i="1"/>
  <c r="H8" i="1"/>
  <c r="AL409" i="1"/>
  <c r="AL417" i="1"/>
  <c r="AO417" i="1" s="1"/>
  <c r="AL416" i="1"/>
  <c r="AO416" i="1" s="1"/>
  <c r="AL413" i="1"/>
  <c r="AN413" i="1" s="1"/>
  <c r="AO413" i="1" s="1"/>
  <c r="AL449" i="1"/>
  <c r="Q154" i="1"/>
  <c r="P154" i="1" s="1"/>
  <c r="K37" i="1"/>
  <c r="E295" i="1"/>
  <c r="F284" i="1"/>
  <c r="E284" i="1" s="1"/>
  <c r="I228" i="1"/>
  <c r="F188" i="1"/>
  <c r="L13" i="1"/>
  <c r="E7" i="1"/>
  <c r="L54" i="1"/>
  <c r="AL450" i="1"/>
  <c r="AL440" i="1"/>
  <c r="AL445" i="1"/>
  <c r="AN445" i="1" s="1"/>
  <c r="AO445" i="1" s="1"/>
  <c r="AF417" i="1"/>
  <c r="I104" i="1"/>
  <c r="H104" i="1" s="1"/>
  <c r="K34" i="1"/>
  <c r="E15" i="1"/>
  <c r="E6" i="1"/>
  <c r="F303" i="1"/>
  <c r="I350" i="1"/>
  <c r="H350" i="1" s="1"/>
  <c r="AL405" i="1"/>
  <c r="K104" i="1"/>
  <c r="AL436" i="1"/>
  <c r="AN436" i="1" s="1"/>
  <c r="AO436" i="1" s="1"/>
  <c r="AL412" i="1"/>
  <c r="AN412" i="1" s="1"/>
  <c r="AO412" i="1" s="1"/>
  <c r="AL408" i="1"/>
  <c r="AN408" i="1" s="1"/>
  <c r="AO408" i="1" s="1"/>
  <c r="AL446" i="1"/>
  <c r="AL437" i="1"/>
  <c r="AN437" i="1" s="1"/>
  <c r="AO437" i="1" s="1"/>
  <c r="AL444" i="1"/>
  <c r="AN444" i="1" s="1"/>
  <c r="AO444" i="1" s="1"/>
  <c r="K32" i="1"/>
  <c r="E9" i="1"/>
  <c r="G13" i="1"/>
  <c r="E294" i="1"/>
  <c r="D303" i="1"/>
  <c r="M303" i="1" s="1"/>
  <c r="F181" i="1"/>
  <c r="E8" i="1"/>
  <c r="P104" i="1"/>
  <c r="H10" i="1"/>
  <c r="L24" i="1"/>
  <c r="AL438" i="1"/>
  <c r="D107" i="1"/>
  <c r="M107" i="1" s="1"/>
  <c r="M108" i="1" s="1"/>
  <c r="E96" i="1"/>
  <c r="E114" i="1"/>
  <c r="E112" i="1"/>
  <c r="E116" i="1"/>
  <c r="D104" i="1"/>
  <c r="M104" i="1" s="1"/>
  <c r="F41" i="1"/>
  <c r="N41" i="1" s="1"/>
  <c r="K121" i="1"/>
  <c r="S394" i="1"/>
  <c r="F152" i="1"/>
  <c r="E152" i="1" s="1"/>
  <c r="I162" i="1"/>
  <c r="K107" i="1"/>
  <c r="F13" i="1"/>
  <c r="N14" i="1" s="1"/>
  <c r="AL415" i="1"/>
  <c r="AO415" i="1" s="1"/>
  <c r="AL443" i="1"/>
  <c r="AN443" i="1" s="1"/>
  <c r="AO443" i="1" s="1"/>
  <c r="AL411" i="1"/>
  <c r="AN411" i="1" s="1"/>
  <c r="AO411" i="1" s="1"/>
  <c r="AL441" i="1"/>
  <c r="AN441" i="1" s="1"/>
  <c r="AO441" i="1" s="1"/>
  <c r="N249" i="1" l="1"/>
  <c r="N250" i="1" s="1"/>
  <c r="S249" i="1"/>
  <c r="S250" i="1" s="1"/>
  <c r="AN415" i="1"/>
  <c r="AO448" i="1"/>
  <c r="AN448" i="1"/>
  <c r="AN409" i="1"/>
  <c r="AO409" i="1" s="1"/>
  <c r="AN440" i="1"/>
  <c r="AO440" i="1" s="1"/>
  <c r="AO450" i="1"/>
  <c r="AN450" i="1"/>
  <c r="AN446" i="1"/>
  <c r="AO446" i="1" s="1"/>
  <c r="AN433" i="1"/>
  <c r="AN417" i="1"/>
  <c r="AN434" i="1"/>
  <c r="AO434" i="1" s="1"/>
  <c r="AN442" i="1"/>
  <c r="AO442" i="1" s="1"/>
  <c r="AN438" i="1"/>
  <c r="AO438" i="1" s="1"/>
  <c r="S24" i="1"/>
  <c r="S25" i="1" s="1"/>
  <c r="N24" i="1"/>
  <c r="N25" i="1" s="1"/>
  <c r="F308" i="1"/>
  <c r="N308" i="1" s="1"/>
  <c r="N309" i="1" s="1"/>
  <c r="N303" i="1"/>
  <c r="N304" i="1" s="1"/>
  <c r="AO449" i="1"/>
  <c r="AN449" i="1"/>
  <c r="AE416" i="1"/>
  <c r="AN416" i="1"/>
  <c r="K24" i="1"/>
  <c r="N9" i="2"/>
  <c r="N8" i="2" s="1"/>
  <c r="F27" i="1"/>
  <c r="E41" i="1" s="1"/>
  <c r="K13" i="1"/>
  <c r="E107" i="1"/>
  <c r="E104" i="1"/>
  <c r="S398" i="1"/>
  <c r="G27" i="1"/>
  <c r="H13" i="1"/>
  <c r="G24" i="1"/>
  <c r="AE415" i="1"/>
  <c r="AE409" i="1"/>
  <c r="Q164" i="1"/>
  <c r="AK411" i="1"/>
  <c r="I54" i="1"/>
  <c r="G112" i="1"/>
  <c r="I107" i="1"/>
  <c r="H134" i="1" s="1"/>
  <c r="F193" i="1"/>
  <c r="N193" i="1" s="1"/>
  <c r="N194" i="1" s="1"/>
  <c r="F185" i="1"/>
  <c r="P230" i="1"/>
  <c r="Z417" i="1"/>
  <c r="AI417" i="1" s="1"/>
  <c r="I27" i="1"/>
  <c r="I166" i="1" s="1"/>
  <c r="F54" i="1"/>
  <c r="J32" i="1"/>
  <c r="AK412" i="1"/>
  <c r="D13" i="1"/>
  <c r="M14" i="1" s="1"/>
  <c r="AE417" i="1"/>
  <c r="AK413" i="1"/>
  <c r="AK417" i="1"/>
  <c r="H11" i="1"/>
  <c r="AK414" i="1"/>
  <c r="H228" i="1"/>
  <c r="AE414" i="1"/>
  <c r="AE413" i="1"/>
  <c r="L250" i="1"/>
  <c r="AF432" i="1"/>
  <c r="AL432" i="1"/>
  <c r="L27" i="1"/>
  <c r="J31" i="1"/>
  <c r="Z416" i="1"/>
  <c r="AI416" i="1" s="1"/>
  <c r="AK410" i="1"/>
  <c r="F154" i="1"/>
  <c r="E121" i="1"/>
  <c r="H9" i="1"/>
  <c r="AK415" i="1"/>
  <c r="I83" i="1"/>
  <c r="AE408" i="1"/>
  <c r="AF418" i="1"/>
  <c r="Z451" i="1"/>
  <c r="AI451" i="1" s="1"/>
  <c r="Z415" i="1"/>
  <c r="AI415" i="1" s="1"/>
  <c r="E303" i="1"/>
  <c r="D308" i="1"/>
  <c r="AK408" i="1"/>
  <c r="AL418" i="1"/>
  <c r="AK416" i="1"/>
  <c r="S396" i="1"/>
  <c r="N396" i="1"/>
  <c r="I352" i="1"/>
  <c r="F286" i="1"/>
  <c r="E286" i="1" s="1"/>
  <c r="Z480" i="1"/>
  <c r="F83" i="1"/>
  <c r="I41" i="1"/>
  <c r="AK409" i="1"/>
  <c r="AE412" i="1"/>
  <c r="I154" i="1"/>
  <c r="AL480" i="1"/>
  <c r="I230" i="1"/>
  <c r="H230" i="1" s="1"/>
  <c r="E396" i="1"/>
  <c r="F398" i="1"/>
  <c r="M249" i="1" l="1"/>
  <c r="R249" i="1"/>
  <c r="AN432" i="1"/>
  <c r="AO432" i="1" s="1"/>
  <c r="AO433" i="1"/>
  <c r="F313" i="1"/>
  <c r="N27" i="1"/>
  <c r="S27" i="1"/>
  <c r="AN418" i="1"/>
  <c r="AO418" i="1" s="1"/>
  <c r="AH416" i="1"/>
  <c r="D313" i="1"/>
  <c r="M308" i="1"/>
  <c r="AH417" i="1"/>
  <c r="AH415" i="1"/>
  <c r="H39" i="1"/>
  <c r="G42" i="1"/>
  <c r="G55" i="1"/>
  <c r="AF406" i="1"/>
  <c r="E54" i="1"/>
  <c r="E72" i="1"/>
  <c r="H35" i="1"/>
  <c r="K27" i="1"/>
  <c r="H154" i="1"/>
  <c r="H32" i="1"/>
  <c r="E350" i="1"/>
  <c r="E348" i="1"/>
  <c r="Y408" i="1"/>
  <c r="AG408" i="1" s="1"/>
  <c r="Y412" i="1"/>
  <c r="AG412" i="1" s="1"/>
  <c r="E230" i="1"/>
  <c r="H54" i="1"/>
  <c r="Y415" i="1"/>
  <c r="AM415" i="1" s="1"/>
  <c r="K54" i="1"/>
  <c r="Y413" i="1"/>
  <c r="AG413" i="1" s="1"/>
  <c r="Z432" i="1"/>
  <c r="AH432" i="1" s="1"/>
  <c r="AI432" i="1" s="1"/>
  <c r="AL406" i="1"/>
  <c r="Z418" i="1"/>
  <c r="AH418" i="1" s="1"/>
  <c r="AI418" i="1" s="1"/>
  <c r="N398" i="1"/>
  <c r="I74" i="1"/>
  <c r="I85" i="1" s="1"/>
  <c r="H41" i="1"/>
  <c r="E154" i="1"/>
  <c r="F164" i="1"/>
  <c r="Y416" i="1"/>
  <c r="AM416" i="1" s="1"/>
  <c r="I232" i="1"/>
  <c r="G9" i="2"/>
  <c r="G8" i="2" s="1"/>
  <c r="H72" i="1"/>
  <c r="F232" i="1"/>
  <c r="F194" i="1"/>
  <c r="M193" i="1" s="1"/>
  <c r="E228" i="1"/>
  <c r="E209" i="1"/>
  <c r="H33" i="1"/>
  <c r="H40" i="1"/>
  <c r="H24" i="1"/>
  <c r="H37" i="1"/>
  <c r="H38" i="1"/>
  <c r="H34" i="1"/>
  <c r="H31" i="1"/>
  <c r="H36" i="1"/>
  <c r="F74" i="1"/>
  <c r="Y409" i="1"/>
  <c r="AG409" i="1" s="1"/>
  <c r="Q232" i="1"/>
  <c r="P228" i="1"/>
  <c r="K41" i="1"/>
  <c r="D27" i="1"/>
  <c r="M27" i="1" s="1"/>
  <c r="M28" i="1" s="1"/>
  <c r="E13" i="1"/>
  <c r="Y414" i="1"/>
  <c r="AM414" i="1" s="1"/>
  <c r="D24" i="1"/>
  <c r="Y410" i="1"/>
  <c r="Y411" i="1"/>
  <c r="E308" i="1"/>
  <c r="AF405" i="1"/>
  <c r="I164" i="1"/>
  <c r="H121" i="1"/>
  <c r="H152" i="1"/>
  <c r="H107" i="1"/>
  <c r="F288" i="1"/>
  <c r="Y417" i="1"/>
  <c r="AG417" i="1" s="1"/>
  <c r="H27" i="1"/>
  <c r="AG415" i="1" l="1"/>
  <c r="AM409" i="1"/>
  <c r="AM412" i="1"/>
  <c r="AM413" i="1"/>
  <c r="AG416" i="1"/>
  <c r="AG411" i="1"/>
  <c r="AM411" i="1"/>
  <c r="F352" i="1"/>
  <c r="N313" i="1"/>
  <c r="N314" i="1" s="1"/>
  <c r="AM417" i="1"/>
  <c r="AM408" i="1"/>
  <c r="M24" i="1"/>
  <c r="N28" i="1"/>
  <c r="AN406" i="1"/>
  <c r="AO406" i="1" s="1"/>
  <c r="AH406" i="1"/>
  <c r="AI406" i="1" s="1"/>
  <c r="E329" i="1"/>
  <c r="AG414" i="1"/>
  <c r="S28" i="1"/>
  <c r="Z406" i="1"/>
  <c r="X480" i="1" s="1"/>
  <c r="AG410" i="1"/>
  <c r="AM410" i="1"/>
  <c r="Z405" i="1"/>
  <c r="M313" i="1"/>
  <c r="C9" i="2"/>
  <c r="J9" i="2"/>
  <c r="J8" i="2" s="1"/>
  <c r="O9" i="2"/>
  <c r="O8" i="2" s="1"/>
  <c r="E27" i="1"/>
  <c r="X465" i="1"/>
  <c r="X432" i="1"/>
  <c r="X451" i="1"/>
  <c r="AD432" i="1"/>
  <c r="K9" i="2"/>
  <c r="K8" i="2" s="1"/>
  <c r="C10" i="2"/>
  <c r="AJ465" i="1"/>
  <c r="AJ418" i="1"/>
  <c r="AJ432" i="1"/>
  <c r="Z467" i="1"/>
  <c r="X418" i="1"/>
  <c r="E74" i="1"/>
  <c r="F85" i="1"/>
  <c r="E313" i="1"/>
  <c r="AD418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D465" i="1"/>
  <c r="C8" i="2" l="1"/>
  <c r="B9" i="2"/>
  <c r="X467" i="1"/>
  <c r="Z482" i="1"/>
  <c r="H9" i="2" l="1"/>
  <c r="H8" i="2" s="1"/>
  <c r="D9" i="2"/>
  <c r="B10" i="2"/>
  <c r="B8" i="2" s="1"/>
  <c r="Z488" i="1"/>
  <c r="Y482" i="1"/>
  <c r="D10" i="2" l="1"/>
  <c r="D8" i="2" s="1"/>
  <c r="Y488" i="1"/>
  <c r="Z497" i="1"/>
  <c r="I9" i="2" l="1"/>
  <c r="I8" i="2" s="1"/>
  <c r="Y497" i="1"/>
  <c r="E9" i="2"/>
  <c r="E10" i="2" l="1"/>
  <c r="E8" i="2" s="1"/>
  <c r="AF479" i="1"/>
  <c r="L82" i="1"/>
  <c r="N82" i="1" l="1"/>
  <c r="N83" i="1" s="1"/>
  <c r="S82" i="1"/>
  <c r="S83" i="1" s="1"/>
  <c r="AF480" i="1"/>
  <c r="AN479" i="1"/>
  <c r="AO479" i="1" s="1"/>
  <c r="AH479" i="1"/>
  <c r="AI479" i="1" s="1"/>
  <c r="L83" i="1"/>
  <c r="AD480" i="1"/>
  <c r="L224" i="1"/>
  <c r="N224" i="1" l="1"/>
  <c r="S224" i="1"/>
  <c r="AH480" i="1"/>
  <c r="AI480" i="1" s="1"/>
  <c r="AN480" i="1"/>
  <c r="AO480" i="1" s="1"/>
  <c r="L228" i="1"/>
  <c r="L280" i="1"/>
  <c r="L148" i="1"/>
  <c r="L344" i="1"/>
  <c r="L68" i="1"/>
  <c r="N280" i="1" l="1"/>
  <c r="N284" i="1" s="1"/>
  <c r="S280" i="1"/>
  <c r="N68" i="1"/>
  <c r="N72" i="1" s="1"/>
  <c r="N85" i="1" s="1"/>
  <c r="S68" i="1"/>
  <c r="S72" i="1" s="1"/>
  <c r="S85" i="1" s="1"/>
  <c r="N344" i="1"/>
  <c r="N348" i="1" s="1"/>
  <c r="S344" i="1"/>
  <c r="S348" i="1" s="1"/>
  <c r="S228" i="1"/>
  <c r="N228" i="1"/>
  <c r="S148" i="1"/>
  <c r="N148" i="1"/>
  <c r="L72" i="1"/>
  <c r="K228" i="1"/>
  <c r="L230" i="1"/>
  <c r="L348" i="1"/>
  <c r="L11" i="2"/>
  <c r="L284" i="1"/>
  <c r="S284" i="1" s="1"/>
  <c r="L152" i="1"/>
  <c r="S230" i="1" l="1"/>
  <c r="N230" i="1"/>
  <c r="S152" i="1"/>
  <c r="N152" i="1"/>
  <c r="L10" i="2"/>
  <c r="L74" i="1"/>
  <c r="K72" i="1"/>
  <c r="L232" i="1"/>
  <c r="K230" i="1"/>
  <c r="K284" i="1"/>
  <c r="L286" i="1"/>
  <c r="L350" i="1"/>
  <c r="K348" i="1"/>
  <c r="L154" i="1"/>
  <c r="K152" i="1"/>
  <c r="AF451" i="1"/>
  <c r="N286" i="1" l="1"/>
  <c r="S286" i="1"/>
  <c r="S154" i="1"/>
  <c r="N154" i="1"/>
  <c r="N350" i="1"/>
  <c r="S350" i="1"/>
  <c r="N74" i="1"/>
  <c r="S74" i="1"/>
  <c r="S232" i="1"/>
  <c r="N232" i="1"/>
  <c r="K154" i="1"/>
  <c r="L164" i="1"/>
  <c r="M11" i="2"/>
  <c r="K286" i="1"/>
  <c r="L288" i="1"/>
  <c r="K350" i="1"/>
  <c r="L352" i="1"/>
  <c r="AF467" i="1"/>
  <c r="AD451" i="1"/>
  <c r="L85" i="1"/>
  <c r="K74" i="1"/>
  <c r="N288" i="1" l="1"/>
  <c r="S288" i="1"/>
  <c r="N352" i="1"/>
  <c r="S352" i="1"/>
  <c r="N164" i="1"/>
  <c r="S164" i="1"/>
  <c r="AH467" i="1"/>
  <c r="AI467" i="1" s="1"/>
  <c r="M10" i="2"/>
  <c r="AF482" i="1"/>
  <c r="AD467" i="1"/>
  <c r="AH482" i="1" l="1"/>
  <c r="AI482" i="1" s="1"/>
  <c r="AE482" i="1"/>
  <c r="L9" i="2"/>
  <c r="L8" i="2" s="1"/>
  <c r="AF488" i="1"/>
  <c r="AH488" i="1" l="1"/>
  <c r="AI488" i="1" s="1"/>
  <c r="AF497" i="1"/>
  <c r="AE488" i="1"/>
  <c r="AH497" i="1" l="1"/>
  <c r="AI497" i="1" s="1"/>
  <c r="AE497" i="1"/>
  <c r="M9" i="2"/>
  <c r="M8" i="2" s="1"/>
  <c r="AL447" i="1" l="1"/>
  <c r="AL451" i="1" l="1"/>
  <c r="AL467" i="1" s="1"/>
  <c r="AN467" i="1" s="1"/>
  <c r="AO467" i="1" s="1"/>
  <c r="AN447" i="1"/>
  <c r="AJ451" i="1" l="1"/>
  <c r="AO447" i="1"/>
  <c r="AN451" i="1"/>
  <c r="AO451" i="1" s="1"/>
  <c r="AL482" i="1"/>
  <c r="AJ467" i="1"/>
  <c r="AN482" i="1" l="1"/>
  <c r="AO482" i="1" s="1"/>
  <c r="AK482" i="1"/>
  <c r="AL488" i="1"/>
  <c r="AN488" i="1" s="1"/>
  <c r="AO488" i="1" s="1"/>
  <c r="P9" i="2"/>
  <c r="P8" i="2" s="1"/>
  <c r="AL497" i="1" l="1"/>
  <c r="AK488" i="1"/>
  <c r="AN497" i="1" l="1"/>
  <c r="AO497" i="1" s="1"/>
  <c r="AK497" i="1"/>
  <c r="Q9" i="2"/>
  <c r="Q8" i="2" s="1"/>
</calcChain>
</file>

<file path=xl/sharedStrings.xml><?xml version="1.0" encoding="utf-8"?>
<sst xmlns="http://schemas.openxmlformats.org/spreadsheetml/2006/main" count="5660" uniqueCount="485">
  <si>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</si>
  <si>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</si>
  <si>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</si>
  <si>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</si>
  <si>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</si>
  <si>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</si>
  <si>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</si>
  <si>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</si>
  <si>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</si>
  <si>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</si>
  <si>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</si>
  <si>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</si>
  <si>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</si>
  <si>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</si>
  <si>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</si>
  <si>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</si>
  <si>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</si>
  <si>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</si>
  <si>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</si>
  <si>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</si>
  <si>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</si>
  <si>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</si>
  <si>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</si>
  <si>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</si>
  <si>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</si>
  <si>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</si>
  <si>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</si>
  <si>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</si>
  <si>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</si>
  <si>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</si>
  <si>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</si>
  <si>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</si>
  <si>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</si>
  <si>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</si>
  <si>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</si>
  <si>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</si>
  <si>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</si>
  <si>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</si>
  <si>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</si>
  <si>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</si>
  <si>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</si>
  <si>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</si>
  <si>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</si>
  <si>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</si>
  <si>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</si>
  <si>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</si>
  <si>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</si>
  <si>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</si>
  <si>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</si>
  <si>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</si>
  <si>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</si>
  <si>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</si>
  <si>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</si>
  <si>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</si>
  <si>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</si>
  <si>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</si>
  <si>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</si>
  <si>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</si>
  <si>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</si>
  <si>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</si>
  <si>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</si>
  <si>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</si>
  <si>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</si>
  <si>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</si>
  <si>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</si>
  <si>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</si>
  <si>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</si>
  <si>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</si>
  <si>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</si>
  <si>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</si>
  <si>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</si>
  <si>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</si>
  <si>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</si>
  <si>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</si>
  <si>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</si>
  <si>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</si>
  <si>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</si>
  <si>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</si>
  <si>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</si>
  <si>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</si>
  <si>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</si>
  <si>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</si>
  <si>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</si>
  <si>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</si>
  <si>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</si>
  <si>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</si>
  <si>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</si>
  <si>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</si>
  <si>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</si>
  <si>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</si>
  <si>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</si>
  <si>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</si>
  <si>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</si>
  <si>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</si>
  <si>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</si>
  <si>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</si>
  <si>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</si>
  <si>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</si>
  <si>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</si>
  <si>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</si>
  <si>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</si>
  <si>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</si>
  <si>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</si>
  <si>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</si>
  <si>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</si>
  <si>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</si>
  <si>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</si>
  <si>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</si>
  <si>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</si>
  <si>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</si>
  <si>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</si>
  <si>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</si>
  <si>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</si>
  <si>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</si>
  <si>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</si>
  <si>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</si>
  <si>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</si>
  <si>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</si>
  <si>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</si>
  <si>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</si>
  <si>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</si>
  <si>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</si>
  <si>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</si>
  <si>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</si>
  <si>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</si>
  <si>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</si>
  <si>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</si>
  <si>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</si>
  <si>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</si>
  <si>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</si>
  <si>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</si>
  <si>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</si>
  <si>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</si>
  <si>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</si>
  <si>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</si>
  <si>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</si>
  <si>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</si>
  <si>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</si>
  <si>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</si>
  <si>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</si>
  <si>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</si>
  <si>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</si>
  <si>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</si>
  <si>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</si>
  <si>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</si>
  <si>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</si>
  <si>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</si>
  <si>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</si>
  <si>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</si>
  <si>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</si>
  <si>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</si>
  <si>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</si>
  <si>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</si>
  <si>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</si>
  <si>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</si>
  <si>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</si>
  <si>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</si>
  <si>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</si>
  <si>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</si>
  <si>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</si>
  <si>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</si>
  <si>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</si>
  <si>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</si>
  <si>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</si>
  <si>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</si>
  <si>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</si>
  <si>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</si>
  <si>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</si>
  <si>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</si>
  <si>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</si>
  <si>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</si>
  <si>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</si>
  <si>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</si>
  <si>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</si>
  <si>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</si>
  <si>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</si>
  <si>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</si>
  <si>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</si>
  <si>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</si>
  <si>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</si>
  <si>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</si>
  <si>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</si>
  <si>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</si>
  <si>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</si>
  <si>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</si>
  <si>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</si>
  <si>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</si>
  <si>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</si>
  <si>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</si>
  <si>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</si>
  <si>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</si>
  <si>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</si>
  <si>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</si>
  <si>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</si>
  <si>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</si>
  <si>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</si>
  <si>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</si>
  <si>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</si>
  <si>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</si>
  <si>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</si>
  <si>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</si>
  <si>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</si>
  <si>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</si>
  <si>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</si>
  <si>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</si>
  <si>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</si>
  <si>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</si>
  <si>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</si>
  <si>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</si>
  <si>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</si>
  <si>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</si>
  <si>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</si>
  <si>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</si>
  <si>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</si>
  <si>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</si>
  <si>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</si>
  <si>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</si>
  <si>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</si>
  <si>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</si>
  <si>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</si>
  <si>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</si>
  <si>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</si>
  <si>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</si>
  <si>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</si>
  <si>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</si>
  <si>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</si>
  <si>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</si>
  <si>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</si>
  <si>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</si>
  <si>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</si>
  <si>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</si>
  <si>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</si>
  <si>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</si>
  <si>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</si>
  <si>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</si>
  <si>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</si>
  <si>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</si>
  <si>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</si>
  <si>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</si>
  <si>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</si>
  <si>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</si>
  <si>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</si>
  <si>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</si>
  <si>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</si>
  <si>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</si>
  <si>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</si>
  <si>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</si>
  <si>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</si>
  <si>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</si>
  <si>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</si>
  <si>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</si>
  <si>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</si>
  <si>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</si>
  <si>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</si>
  <si>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</si>
  <si>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</si>
  <si>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</si>
  <si>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</si>
  <si>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</si>
  <si>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</si>
  <si>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</si>
  <si>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</si>
  <si>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</si>
  <si>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</si>
  <si>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</si>
  <si>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</si>
  <si>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</si>
  <si>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</si>
  <si>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</si>
  <si>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</si>
  <si>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</si>
  <si>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</si>
  <si>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</si>
  <si>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</si>
  <si>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</si>
  <si>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</si>
  <si>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</si>
  <si>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</si>
  <si>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</si>
  <si>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</si>
  <si>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</si>
  <si>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</si>
  <si>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</si>
  <si>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</si>
  <si>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</si>
  <si>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</si>
  <si>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</si>
  <si>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</si>
  <si>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</si>
  <si>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</si>
  <si>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</si>
  <si>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</si>
  <si>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</si>
  <si>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</si>
  <si>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</si>
  <si>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</si>
  <si>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</si>
  <si>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</si>
  <si>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</si>
  <si>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</si>
  <si>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</si>
  <si>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</si>
  <si>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</si>
  <si>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</si>
  <si>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</si>
  <si>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</si>
  <si>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</si>
  <si>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</si>
  <si>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</si>
  <si>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</si>
  <si>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</si>
  <si>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</si>
  <si>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</si>
  <si>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</si>
  <si>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</si>
  <si>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</si>
  <si>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</si>
  <si>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</si>
  <si>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</si>
  <si>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</si>
  <si>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</si>
  <si>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</si>
  <si>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</si>
  <si>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</si>
  <si>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</si>
  <si>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</si>
  <si>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</si>
  <si>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</si>
  <si>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</si>
  <si>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</si>
  <si>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</si>
  <si>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</si>
  <si>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</si>
  <si>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</si>
  <si>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</si>
  <si>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</si>
  <si>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</si>
  <si>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</si>
  <si>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</si>
  <si>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</si>
  <si>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</si>
  <si>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</si>
  <si>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</si>
  <si>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</si>
  <si>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</si>
  <si>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</si>
  <si>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</si>
  <si>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</si>
  <si>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</si>
  <si>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</si>
  <si>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</si>
  <si>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</si>
  <si>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</si>
  <si>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</si>
  <si>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</si>
  <si>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</si>
  <si>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</si>
  <si>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</si>
  <si>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</si>
  <si>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</si>
  <si>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</si>
  <si>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</si>
  <si>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</si>
  <si>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</si>
  <si>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</si>
  <si>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</si>
  <si>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</si>
  <si>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</si>
  <si>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</si>
  <si>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</si>
  <si>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</si>
  <si>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</si>
  <si>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</si>
  <si>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</si>
  <si>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</si>
  <si>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</si>
  <si>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</si>
  <si>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</si>
  <si>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</si>
  <si>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</si>
  <si>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</si>
  <si>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</si>
  <si>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</si>
  <si>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</si>
  <si>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</si>
  <si>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</si>
  <si>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</si>
  <si>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</si>
  <si>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</si>
  <si>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</si>
  <si>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</si>
  <si>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</si>
  <si>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</si>
  <si>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</si>
  <si>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</si>
  <si>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</si>
  <si>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</si>
  <si>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</si>
  <si>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</si>
  <si>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</si>
  <si>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</si>
  <si>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</si>
  <si>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</si>
  <si>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</si>
  <si>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</si>
  <si>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</si>
  <si>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</si>
  <si>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</si>
  <si>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</si>
  <si>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</si>
  <si>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</si>
  <si>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</si>
  <si>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</si>
  <si>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</si>
  <si>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</si>
  <si>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</si>
  <si>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</si>
  <si>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</si>
  <si>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</si>
  <si>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</si>
  <si>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</si>
  <si>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</si>
  <si>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</si>
  <si>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</si>
  <si>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</si>
  <si>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</si>
  <si>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</si>
  <si>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</si>
  <si>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</si>
  <si>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</si>
  <si>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</si>
  <si>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</si>
  <si>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</si>
  <si>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</si>
  <si>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</si>
  <si>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</si>
  <si>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</si>
  <si>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</si>
  <si>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</si>
  <si>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</si>
  <si>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</si>
  <si>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</si>
  <si>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</si>
  <si>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</si>
  <si>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</si>
  <si>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</si>
  <si>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</si>
  <si>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</si>
  <si>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</si>
  <si>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</si>
  <si>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</si>
  <si>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</si>
  <si>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</si>
  <si>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</si>
  <si>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</si>
  <si>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</si>
  <si>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</si>
  <si>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</si>
  <si>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</si>
  <si>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</si>
  <si>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</si>
  <si>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</si>
  <si>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</si>
  <si>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</si>
  <si>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</si>
  <si>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</si>
  <si>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</si>
  <si>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>&lt;&lt;- F&amp;A total Neuf Usagé Rachat</t>
  </si>
  <si>
    <t>$Ventes</t>
  </si>
  <si>
    <t>*** NE PAS EFFACER / Pour An Précédente ***</t>
  </si>
  <si>
    <t>Garantie (M.O. + Pièces)</t>
  </si>
  <si>
    <t>Marge</t>
  </si>
  <si>
    <t>ÉCART réel / Budget</t>
  </si>
  <si>
    <t>ECART (réel/ Ann.Préc.)</t>
  </si>
  <si>
    <t>UNITÉS</t>
  </si>
  <si>
    <t>$PROFFTS</t>
  </si>
  <si>
    <t>TOTAL DES REVENUS ET DÉPENSES</t>
  </si>
  <si>
    <t>Camion Pièces Complexe 9,8K$ over</t>
  </si>
  <si>
    <t>Pacing du 30</t>
  </si>
  <si>
    <t>Réalisé 2022-04</t>
  </si>
  <si>
    <t>Réalisé 2021-03</t>
  </si>
  <si>
    <t>Volks T3 2023</t>
  </si>
  <si>
    <t>Réalisé, Juillet 2023</t>
  </si>
  <si>
    <t>Réalisé, Août 2023</t>
  </si>
  <si>
    <t>Réalisé, Septembre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</si>
</sst>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4" formatCode="_ * #,##0.00_)\ _$_ ;_ * \(#,##0.00\)\ _$_ ;_ * &quot;-&quot;??_)\ _$_ ;_ @_ "/>
    <numFmt numFmtId="175" formatCode="d/m/yyyy"/>
  </numFmts>
  <fonts count="5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28"/>
      <color rgb="FFFFC000"/>
      <name val="Arial"/>
      <family val="2"/>
    </font>
    <font>
      <b/>
      <sz val="28"/>
      <color rgb="FFFFC000"/>
      <name val="Arial mt"/>
    </font>
    <font>
      <b/>
      <sz val="11"/>
      <color rgb="FFFFFF00"/>
      <name val="Arial"/>
      <family val="2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28"/>
      <color theme="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</fills>
  <borders count="10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28">
    <xf numFmtId="0" fontId="0" fillId="0" borderId="0"/>
    <xf numFmtId="9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7" fillId="0" borderId="0"/>
    <xf numFmtId="0" fontId="37" fillId="0" borderId="0"/>
    <xf numFmtId="172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0" fontId="17" fillId="0" borderId="0"/>
    <xf numFmtId="0" fontId="6" fillId="0" borderId="0"/>
    <xf numFmtId="0" fontId="37" fillId="0" borderId="0"/>
    <xf numFmtId="166" fontId="39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5" fillId="0" borderId="0"/>
    <xf numFmtId="0" fontId="47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68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67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0" xfId="0" applyFont="1"/>
    <xf numFmtId="0" fontId="13" fillId="0" borderId="6" xfId="0" applyFont="1" applyBorder="1"/>
    <xf numFmtId="3" fontId="13" fillId="0" borderId="7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8" xfId="0" applyNumberFormat="1" applyFont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0" fontId="13" fillId="0" borderId="11" xfId="0" applyFont="1" applyBorder="1"/>
    <xf numFmtId="3" fontId="13" fillId="0" borderId="12" xfId="0" applyNumberFormat="1" applyFont="1" applyBorder="1" applyAlignment="1">
      <alignment horizontal="center"/>
    </xf>
    <xf numFmtId="3" fontId="13" fillId="0" borderId="13" xfId="0" applyNumberFormat="1" applyFont="1" applyBorder="1"/>
    <xf numFmtId="0" fontId="13" fillId="0" borderId="14" xfId="0" applyFont="1" applyBorder="1"/>
    <xf numFmtId="3" fontId="13" fillId="0" borderId="15" xfId="0" applyNumberFormat="1" applyFont="1" applyBorder="1"/>
    <xf numFmtId="3" fontId="13" fillId="0" borderId="14" xfId="0" applyNumberFormat="1" applyFont="1" applyBorder="1" applyAlignment="1">
      <alignment horizontal="center"/>
    </xf>
    <xf numFmtId="3" fontId="13" fillId="0" borderId="16" xfId="0" applyNumberFormat="1" applyFont="1" applyBorder="1" applyAlignment="1">
      <alignment horizontal="center"/>
    </xf>
    <xf numFmtId="0" fontId="13" fillId="0" borderId="18" xfId="0" applyFont="1" applyBorder="1"/>
    <xf numFmtId="3" fontId="13" fillId="0" borderId="0" xfId="0" applyNumberFormat="1" applyFont="1"/>
    <xf numFmtId="3" fontId="13" fillId="0" borderId="9" xfId="0" applyNumberFormat="1" applyFont="1" applyBorder="1"/>
    <xf numFmtId="3" fontId="16" fillId="0" borderId="8" xfId="0" applyNumberFormat="1" applyFont="1" applyBorder="1"/>
    <xf numFmtId="3" fontId="13" fillId="0" borderId="8" xfId="0" applyNumberFormat="1" applyFont="1" applyBorder="1"/>
    <xf numFmtId="3" fontId="13" fillId="0" borderId="10" xfId="0" applyNumberFormat="1" applyFont="1" applyBorder="1"/>
    <xf numFmtId="0" fontId="14" fillId="0" borderId="6" xfId="0" applyFont="1" applyBorder="1"/>
    <xf numFmtId="3" fontId="14" fillId="0" borderId="7" xfId="0" applyNumberFormat="1" applyFont="1" applyBorder="1"/>
    <xf numFmtId="3" fontId="14" fillId="0" borderId="19" xfId="0" applyNumberFormat="1" applyFont="1" applyBorder="1"/>
    <xf numFmtId="3" fontId="14" fillId="0" borderId="20" xfId="0" applyNumberFormat="1" applyFont="1" applyBorder="1"/>
    <xf numFmtId="0" fontId="13" fillId="0" borderId="8" xfId="0" applyFont="1" applyBorder="1"/>
    <xf numFmtId="0" fontId="13" fillId="0" borderId="9" xfId="0" applyFont="1" applyBorder="1"/>
    <xf numFmtId="168" fontId="14" fillId="0" borderId="9" xfId="0" applyNumberFormat="1" applyFont="1" applyBorder="1"/>
    <xf numFmtId="168" fontId="14" fillId="0" borderId="8" xfId="0" applyNumberFormat="1" applyFont="1" applyBorder="1"/>
    <xf numFmtId="168" fontId="14" fillId="0" borderId="10" xfId="0" applyNumberFormat="1" applyFont="1" applyBorder="1"/>
    <xf numFmtId="0" fontId="14" fillId="0" borderId="22" xfId="0" applyFont="1" applyBorder="1"/>
    <xf numFmtId="3" fontId="13" fillId="0" borderId="23" xfId="0" applyNumberFormat="1" applyFont="1" applyBorder="1"/>
    <xf numFmtId="3" fontId="13" fillId="0" borderId="12" xfId="0" applyNumberFormat="1" applyFont="1" applyBorder="1"/>
    <xf numFmtId="3" fontId="13" fillId="0" borderId="16" xfId="0" applyNumberFormat="1" applyFont="1" applyBorder="1"/>
    <xf numFmtId="3" fontId="14" fillId="0" borderId="14" xfId="0" applyNumberFormat="1" applyFont="1" applyBorder="1"/>
    <xf numFmtId="3" fontId="14" fillId="0" borderId="12" xfId="0" applyNumberFormat="1" applyFont="1" applyBorder="1"/>
    <xf numFmtId="3" fontId="13" fillId="0" borderId="14" xfId="0" applyNumberFormat="1" applyFont="1" applyBorder="1"/>
    <xf numFmtId="3" fontId="13" fillId="0" borderId="17" xfId="0" applyNumberFormat="1" applyFont="1" applyBorder="1"/>
    <xf numFmtId="0" fontId="14" fillId="0" borderId="18" xfId="0" applyFont="1" applyBorder="1"/>
    <xf numFmtId="3" fontId="13" fillId="0" borderId="7" xfId="0" applyNumberFormat="1" applyFont="1" applyBorder="1"/>
    <xf numFmtId="3" fontId="13" fillId="0" borderId="19" xfId="0" applyNumberFormat="1" applyFont="1" applyBorder="1"/>
    <xf numFmtId="3" fontId="13" fillId="0" borderId="20" xfId="0" applyNumberFormat="1" applyFont="1" applyBorder="1"/>
    <xf numFmtId="3" fontId="14" fillId="0" borderId="9" xfId="0" applyNumberFormat="1" applyFont="1" applyBorder="1"/>
    <xf numFmtId="37" fontId="13" fillId="0" borderId="8" xfId="0" applyNumberFormat="1" applyFont="1" applyBorder="1"/>
    <xf numFmtId="37" fontId="13" fillId="0" borderId="9" xfId="0" applyNumberFormat="1" applyFont="1" applyBorder="1"/>
    <xf numFmtId="0" fontId="13" fillId="0" borderId="10" xfId="0" applyFont="1" applyBorder="1"/>
    <xf numFmtId="0" fontId="14" fillId="2" borderId="24" xfId="0" applyFont="1" applyFill="1" applyBorder="1"/>
    <xf numFmtId="37" fontId="14" fillId="2" borderId="25" xfId="0" applyNumberFormat="1" applyFont="1" applyFill="1" applyBorder="1"/>
    <xf numFmtId="3" fontId="14" fillId="2" borderId="25" xfId="0" applyNumberFormat="1" applyFont="1" applyFill="1" applyBorder="1"/>
    <xf numFmtId="37" fontId="14" fillId="2" borderId="26" xfId="0" applyNumberFormat="1" applyFont="1" applyFill="1" applyBorder="1"/>
    <xf numFmtId="37" fontId="14" fillId="2" borderId="27" xfId="0" applyNumberFormat="1" applyFont="1" applyFill="1" applyBorder="1"/>
    <xf numFmtId="169" fontId="14" fillId="2" borderId="25" xfId="0" applyNumberFormat="1" applyFont="1" applyFill="1" applyBorder="1"/>
    <xf numFmtId="0" fontId="14" fillId="2" borderId="28" xfId="0" applyFont="1" applyFill="1" applyBorder="1"/>
    <xf numFmtId="0" fontId="14" fillId="2" borderId="29" xfId="0" applyFont="1" applyFill="1" applyBorder="1"/>
    <xf numFmtId="0" fontId="14" fillId="2" borderId="30" xfId="0" applyFont="1" applyFill="1" applyBorder="1"/>
    <xf numFmtId="0" fontId="14" fillId="2" borderId="31" xfId="0" applyFont="1" applyFill="1" applyBorder="1"/>
    <xf numFmtId="168" fontId="14" fillId="2" borderId="31" xfId="0" applyNumberFormat="1" applyFont="1" applyFill="1" applyBorder="1"/>
    <xf numFmtId="168" fontId="14" fillId="2" borderId="30" xfId="0" applyNumberFormat="1" applyFont="1" applyFill="1" applyBorder="1"/>
    <xf numFmtId="168" fontId="14" fillId="2" borderId="32" xfId="0" applyNumberFormat="1" applyFont="1" applyFill="1" applyBorder="1"/>
    <xf numFmtId="0" fontId="14" fillId="0" borderId="0" xfId="0" applyFont="1"/>
    <xf numFmtId="0" fontId="14" fillId="0" borderId="8" xfId="0" applyFont="1" applyBorder="1"/>
    <xf numFmtId="0" fontId="14" fillId="0" borderId="9" xfId="0" applyFont="1" applyBorder="1"/>
    <xf numFmtId="0" fontId="14" fillId="0" borderId="1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37" fontId="13" fillId="0" borderId="0" xfId="0" applyNumberFormat="1" applyFont="1"/>
    <xf numFmtId="0" fontId="13" fillId="0" borderId="9" xfId="0" applyFont="1" applyBorder="1" applyAlignment="1">
      <alignment horizontal="right"/>
    </xf>
    <xf numFmtId="168" fontId="13" fillId="0" borderId="9" xfId="1" applyNumberFormat="1" applyFont="1" applyFill="1" applyBorder="1"/>
    <xf numFmtId="37" fontId="13" fillId="0" borderId="10" xfId="0" applyNumberFormat="1" applyFont="1" applyBorder="1"/>
    <xf numFmtId="3" fontId="12" fillId="0" borderId="0" xfId="0" applyNumberFormat="1" applyFont="1"/>
    <xf numFmtId="0" fontId="13" fillId="0" borderId="22" xfId="0" applyFont="1" applyBorder="1"/>
    <xf numFmtId="0" fontId="13" fillId="0" borderId="12" xfId="0" applyFont="1" applyBorder="1" applyAlignment="1">
      <alignment horizontal="right"/>
    </xf>
    <xf numFmtId="37" fontId="13" fillId="0" borderId="12" xfId="0" applyNumberFormat="1" applyFont="1" applyBorder="1"/>
    <xf numFmtId="0" fontId="13" fillId="0" borderId="14" xfId="0" applyFont="1" applyBorder="1" applyAlignment="1">
      <alignment horizontal="right"/>
    </xf>
    <xf numFmtId="37" fontId="13" fillId="0" borderId="15" xfId="0" applyNumberFormat="1" applyFont="1" applyBorder="1"/>
    <xf numFmtId="168" fontId="13" fillId="0" borderId="14" xfId="1" applyNumberFormat="1" applyFont="1" applyBorder="1"/>
    <xf numFmtId="37" fontId="13" fillId="0" borderId="16" xfId="0" applyNumberFormat="1" applyFont="1" applyBorder="1"/>
    <xf numFmtId="37" fontId="13" fillId="0" borderId="17" xfId="0" applyNumberFormat="1" applyFont="1" applyBorder="1"/>
    <xf numFmtId="0" fontId="14" fillId="2" borderId="33" xfId="0" applyFont="1" applyFill="1" applyBorder="1"/>
    <xf numFmtId="0" fontId="14" fillId="2" borderId="34" xfId="0" applyFont="1" applyFill="1" applyBorder="1" applyAlignment="1">
      <alignment horizontal="center"/>
    </xf>
    <xf numFmtId="168" fontId="14" fillId="2" borderId="34" xfId="0" applyNumberFormat="1" applyFont="1" applyFill="1" applyBorder="1"/>
    <xf numFmtId="37" fontId="14" fillId="2" borderId="35" xfId="0" applyNumberFormat="1" applyFont="1" applyFill="1" applyBorder="1"/>
    <xf numFmtId="0" fontId="14" fillId="2" borderId="36" xfId="0" applyFont="1" applyFill="1" applyBorder="1" applyAlignment="1">
      <alignment horizontal="center"/>
    </xf>
    <xf numFmtId="0" fontId="13" fillId="2" borderId="37" xfId="0" applyFont="1" applyFill="1" applyBorder="1"/>
    <xf numFmtId="37" fontId="14" fillId="2" borderId="34" xfId="0" applyNumberFormat="1" applyFont="1" applyFill="1" applyBorder="1"/>
    <xf numFmtId="0" fontId="13" fillId="2" borderId="36" xfId="0" applyFont="1" applyFill="1" applyBorder="1"/>
    <xf numFmtId="37" fontId="14" fillId="2" borderId="38" xfId="0" applyNumberFormat="1" applyFont="1" applyFill="1" applyBorder="1"/>
    <xf numFmtId="0" fontId="18" fillId="0" borderId="18" xfId="0" applyFont="1" applyBorder="1"/>
    <xf numFmtId="0" fontId="18" fillId="0" borderId="22" xfId="0" applyFont="1" applyBorder="1"/>
    <xf numFmtId="0" fontId="13" fillId="0" borderId="7" xfId="0" applyFont="1" applyBorder="1" applyAlignment="1">
      <alignment horizontal="right"/>
    </xf>
    <xf numFmtId="0" fontId="13" fillId="0" borderId="7" xfId="0" applyFont="1" applyBorder="1"/>
    <xf numFmtId="0" fontId="13" fillId="0" borderId="20" xfId="0" applyFont="1" applyBorder="1" applyAlignment="1">
      <alignment horizontal="right"/>
    </xf>
    <xf numFmtId="0" fontId="13" fillId="0" borderId="20" xfId="0" applyFont="1" applyBorder="1"/>
    <xf numFmtId="3" fontId="13" fillId="0" borderId="39" xfId="0" applyNumberFormat="1" applyFont="1" applyBorder="1"/>
    <xf numFmtId="37" fontId="13" fillId="0" borderId="19" xfId="0" applyNumberFormat="1" applyFont="1" applyBorder="1"/>
    <xf numFmtId="37" fontId="13" fillId="0" borderId="21" xfId="0" applyNumberFormat="1" applyFont="1" applyBorder="1"/>
    <xf numFmtId="0" fontId="13" fillId="0" borderId="12" xfId="0" applyFont="1" applyBorder="1"/>
    <xf numFmtId="37" fontId="14" fillId="0" borderId="0" xfId="0" applyNumberFormat="1" applyFont="1"/>
    <xf numFmtId="37" fontId="14" fillId="2" borderId="16" xfId="0" applyNumberFormat="1" applyFont="1" applyFill="1" applyBorder="1"/>
    <xf numFmtId="37" fontId="14" fillId="2" borderId="17" xfId="0" applyNumberFormat="1" applyFont="1" applyFill="1" applyBorder="1"/>
    <xf numFmtId="0" fontId="14" fillId="3" borderId="18" xfId="0" applyFont="1" applyFill="1" applyBorder="1"/>
    <xf numFmtId="0" fontId="13" fillId="3" borderId="0" xfId="0" applyFont="1" applyFill="1"/>
    <xf numFmtId="0" fontId="14" fillId="3" borderId="0" xfId="0" applyFont="1" applyFill="1"/>
    <xf numFmtId="37" fontId="14" fillId="3" borderId="8" xfId="0" applyNumberFormat="1" applyFont="1" applyFill="1" applyBorder="1"/>
    <xf numFmtId="0" fontId="13" fillId="3" borderId="9" xfId="0" applyFont="1" applyFill="1" applyBorder="1"/>
    <xf numFmtId="0" fontId="13" fillId="3" borderId="14" xfId="0" applyFont="1" applyFill="1" applyBorder="1"/>
    <xf numFmtId="0" fontId="13" fillId="3" borderId="12" xfId="0" applyFont="1" applyFill="1" applyBorder="1"/>
    <xf numFmtId="37" fontId="14" fillId="3" borderId="16" xfId="0" applyNumberFormat="1" applyFont="1" applyFill="1" applyBorder="1"/>
    <xf numFmtId="0" fontId="14" fillId="2" borderId="40" xfId="0" applyFont="1" applyFill="1" applyBorder="1"/>
    <xf numFmtId="0" fontId="13" fillId="2" borderId="41" xfId="0" applyFont="1" applyFill="1" applyBorder="1"/>
    <xf numFmtId="0" fontId="14" fillId="2" borderId="41" xfId="0" applyFont="1" applyFill="1" applyBorder="1"/>
    <xf numFmtId="37" fontId="14" fillId="2" borderId="42" xfId="0" applyNumberFormat="1" applyFont="1" applyFill="1" applyBorder="1"/>
    <xf numFmtId="0" fontId="13" fillId="2" borderId="43" xfId="0" applyFont="1" applyFill="1" applyBorder="1"/>
    <xf numFmtId="0" fontId="19" fillId="0" borderId="0" xfId="0" applyFont="1"/>
    <xf numFmtId="0" fontId="20" fillId="0" borderId="0" xfId="0" applyFont="1"/>
    <xf numFmtId="37" fontId="20" fillId="0" borderId="0" xfId="0" applyNumberFormat="1" applyFont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1" fillId="0" borderId="0" xfId="0" applyFont="1"/>
    <xf numFmtId="39" fontId="13" fillId="0" borderId="0" xfId="0" applyNumberFormat="1" applyFont="1"/>
    <xf numFmtId="3" fontId="14" fillId="0" borderId="16" xfId="0" applyNumberFormat="1" applyFont="1" applyBorder="1"/>
    <xf numFmtId="169" fontId="13" fillId="0" borderId="0" xfId="0" applyNumberFormat="1" applyFont="1"/>
    <xf numFmtId="168" fontId="13" fillId="0" borderId="9" xfId="1" applyNumberFormat="1" applyFont="1" applyBorder="1"/>
    <xf numFmtId="37" fontId="13" fillId="0" borderId="13" xfId="0" applyNumberFormat="1" applyFont="1" applyBorder="1"/>
    <xf numFmtId="0" fontId="13" fillId="2" borderId="14" xfId="0" applyFont="1" applyFill="1" applyBorder="1"/>
    <xf numFmtId="168" fontId="13" fillId="0" borderId="0" xfId="0" applyNumberFormat="1" applyFont="1"/>
    <xf numFmtId="0" fontId="14" fillId="0" borderId="0" xfId="0" applyFont="1" applyAlignment="1">
      <alignment horizontal="center"/>
    </xf>
    <xf numFmtId="168" fontId="14" fillId="0" borderId="0" xfId="0" applyNumberFormat="1" applyFont="1"/>
    <xf numFmtId="0" fontId="14" fillId="0" borderId="9" xfId="0" applyFont="1" applyBorder="1" applyAlignment="1">
      <alignment horizontal="center"/>
    </xf>
    <xf numFmtId="0" fontId="13" fillId="2" borderId="41" xfId="0" applyFont="1" applyFill="1" applyBorder="1" applyAlignment="1">
      <alignment horizontal="right"/>
    </xf>
    <xf numFmtId="0" fontId="13" fillId="2" borderId="43" xfId="0" applyFont="1" applyFill="1" applyBorder="1" applyAlignment="1">
      <alignment horizontal="right"/>
    </xf>
    <xf numFmtId="0" fontId="14" fillId="2" borderId="43" xfId="0" applyFont="1" applyFill="1" applyBorder="1"/>
    <xf numFmtId="37" fontId="11" fillId="0" borderId="0" xfId="0" applyNumberFormat="1" applyFont="1"/>
    <xf numFmtId="1" fontId="13" fillId="0" borderId="9" xfId="0" applyNumberFormat="1" applyFont="1" applyBorder="1"/>
    <xf numFmtId="168" fontId="13" fillId="0" borderId="9" xfId="0" applyNumberFormat="1" applyFont="1" applyBorder="1"/>
    <xf numFmtId="168" fontId="13" fillId="0" borderId="8" xfId="0" applyNumberFormat="1" applyFont="1" applyBorder="1"/>
    <xf numFmtId="169" fontId="13" fillId="0" borderId="12" xfId="0" applyNumberFormat="1" applyFont="1" applyBorder="1"/>
    <xf numFmtId="168" fontId="13" fillId="0" borderId="16" xfId="0" applyNumberFormat="1" applyFont="1" applyBorder="1"/>
    <xf numFmtId="37" fontId="13" fillId="0" borderId="14" xfId="0" applyNumberFormat="1" applyFont="1" applyBorder="1"/>
    <xf numFmtId="168" fontId="13" fillId="0" borderId="14" xfId="0" applyNumberFormat="1" applyFont="1" applyBorder="1"/>
    <xf numFmtId="37" fontId="13" fillId="0" borderId="7" xfId="0" applyNumberFormat="1" applyFont="1" applyBorder="1"/>
    <xf numFmtId="37" fontId="13" fillId="0" borderId="20" xfId="0" applyNumberFormat="1" applyFont="1" applyBorder="1"/>
    <xf numFmtId="3" fontId="13" fillId="0" borderId="44" xfId="0" applyNumberFormat="1" applyFont="1" applyBorder="1"/>
    <xf numFmtId="168" fontId="14" fillId="0" borderId="14" xfId="0" applyNumberFormat="1" applyFont="1" applyBorder="1"/>
    <xf numFmtId="168" fontId="14" fillId="0" borderId="16" xfId="0" applyNumberFormat="1" applyFont="1" applyBorder="1"/>
    <xf numFmtId="37" fontId="13" fillId="0" borderId="23" xfId="0" applyNumberFormat="1" applyFont="1" applyBorder="1"/>
    <xf numFmtId="168" fontId="13" fillId="0" borderId="20" xfId="0" applyNumberFormat="1" applyFont="1" applyBorder="1"/>
    <xf numFmtId="169" fontId="14" fillId="0" borderId="0" xfId="0" applyNumberFormat="1" applyFont="1"/>
    <xf numFmtId="37" fontId="14" fillId="0" borderId="9" xfId="0" applyNumberFormat="1" applyFont="1" applyBorder="1"/>
    <xf numFmtId="37" fontId="14" fillId="0" borderId="8" xfId="0" applyNumberFormat="1" applyFont="1" applyBorder="1"/>
    <xf numFmtId="0" fontId="14" fillId="0" borderId="12" xfId="0" applyFont="1" applyBorder="1"/>
    <xf numFmtId="169" fontId="14" fillId="0" borderId="12" xfId="0" applyNumberFormat="1" applyFont="1" applyBorder="1"/>
    <xf numFmtId="0" fontId="14" fillId="0" borderId="14" xfId="0" applyFont="1" applyBorder="1"/>
    <xf numFmtId="37" fontId="14" fillId="0" borderId="16" xfId="0" applyNumberFormat="1" applyFont="1" applyBorder="1"/>
    <xf numFmtId="37" fontId="14" fillId="3" borderId="25" xfId="0" applyNumberFormat="1" applyFont="1" applyFill="1" applyBorder="1"/>
    <xf numFmtId="37" fontId="14" fillId="3" borderId="26" xfId="0" applyNumberFormat="1" applyFont="1" applyFill="1" applyBorder="1"/>
    <xf numFmtId="37" fontId="14" fillId="3" borderId="27" xfId="0" applyNumberFormat="1" applyFont="1" applyFill="1" applyBorder="1"/>
    <xf numFmtId="168" fontId="14" fillId="3" borderId="27" xfId="0" applyNumberFormat="1" applyFont="1" applyFill="1" applyBorder="1"/>
    <xf numFmtId="37" fontId="14" fillId="3" borderId="12" xfId="0" applyNumberFormat="1" applyFont="1" applyFill="1" applyBorder="1"/>
    <xf numFmtId="168" fontId="14" fillId="3" borderId="16" xfId="0" applyNumberFormat="1" applyFont="1" applyFill="1" applyBorder="1"/>
    <xf numFmtId="37" fontId="14" fillId="3" borderId="14" xfId="0" applyNumberFormat="1" applyFont="1" applyFill="1" applyBorder="1"/>
    <xf numFmtId="37" fontId="14" fillId="0" borderId="7" xfId="0" applyNumberFormat="1" applyFont="1" applyBorder="1"/>
    <xf numFmtId="169" fontId="14" fillId="0" borderId="7" xfId="0" applyNumberFormat="1" applyFont="1" applyBorder="1"/>
    <xf numFmtId="37" fontId="14" fillId="0" borderId="19" xfId="0" applyNumberFormat="1" applyFont="1" applyBorder="1"/>
    <xf numFmtId="37" fontId="14" fillId="0" borderId="20" xfId="0" applyNumberFormat="1" applyFont="1" applyBorder="1"/>
    <xf numFmtId="37" fontId="14" fillId="0" borderId="21" xfId="0" applyNumberFormat="1" applyFont="1" applyBorder="1"/>
    <xf numFmtId="37" fontId="14" fillId="3" borderId="7" xfId="0" applyNumberFormat="1" applyFont="1" applyFill="1" applyBorder="1"/>
    <xf numFmtId="169" fontId="14" fillId="3" borderId="7" xfId="0" applyNumberFormat="1" applyFont="1" applyFill="1" applyBorder="1"/>
    <xf numFmtId="37" fontId="14" fillId="3" borderId="19" xfId="0" applyNumberFormat="1" applyFont="1" applyFill="1" applyBorder="1"/>
    <xf numFmtId="37" fontId="14" fillId="3" borderId="20" xfId="0" applyNumberFormat="1" applyFont="1" applyFill="1" applyBorder="1"/>
    <xf numFmtId="168" fontId="14" fillId="2" borderId="27" xfId="0" applyNumberFormat="1" applyFont="1" applyFill="1" applyBorder="1"/>
    <xf numFmtId="0" fontId="13" fillId="0" borderId="15" xfId="0" applyFont="1" applyBorder="1" applyAlignment="1">
      <alignment horizontal="center"/>
    </xf>
    <xf numFmtId="1" fontId="13" fillId="0" borderId="20" xfId="0" applyNumberFormat="1" applyFont="1" applyBorder="1"/>
    <xf numFmtId="2" fontId="13" fillId="0" borderId="12" xfId="0" applyNumberFormat="1" applyFont="1" applyBorder="1"/>
    <xf numFmtId="0" fontId="18" fillId="0" borderId="6" xfId="0" applyFont="1" applyBorder="1"/>
    <xf numFmtId="0" fontId="18" fillId="0" borderId="45" xfId="0" applyFont="1" applyBorder="1"/>
    <xf numFmtId="168" fontId="14" fillId="0" borderId="7" xfId="0" applyNumberFormat="1" applyFont="1" applyBorder="1"/>
    <xf numFmtId="168" fontId="14" fillId="0" borderId="20" xfId="0" applyNumberFormat="1" applyFont="1" applyBorder="1"/>
    <xf numFmtId="0" fontId="13" fillId="0" borderId="16" xfId="0" applyFont="1" applyBorder="1"/>
    <xf numFmtId="0" fontId="16" fillId="0" borderId="12" xfId="0" applyFont="1" applyBorder="1"/>
    <xf numFmtId="168" fontId="13" fillId="0" borderId="15" xfId="0" applyNumberFormat="1" applyFont="1" applyBorder="1"/>
    <xf numFmtId="168" fontId="13" fillId="0" borderId="12" xfId="0" applyNumberFormat="1" applyFont="1" applyBorder="1"/>
    <xf numFmtId="168" fontId="14" fillId="2" borderId="25" xfId="0" applyNumberFormat="1" applyFont="1" applyFill="1" applyBorder="1"/>
    <xf numFmtId="168" fontId="14" fillId="2" borderId="46" xfId="0" applyNumberFormat="1" applyFont="1" applyFill="1" applyBorder="1"/>
    <xf numFmtId="37" fontId="14" fillId="2" borderId="47" xfId="0" applyNumberFormat="1" applyFont="1" applyFill="1" applyBorder="1"/>
    <xf numFmtId="37" fontId="14" fillId="2" borderId="48" xfId="0" applyNumberFormat="1" applyFont="1" applyFill="1" applyBorder="1"/>
    <xf numFmtId="0" fontId="14" fillId="2" borderId="49" xfId="0" applyFont="1" applyFill="1" applyBorder="1"/>
    <xf numFmtId="37" fontId="14" fillId="2" borderId="50" xfId="0" applyNumberFormat="1" applyFont="1" applyFill="1" applyBorder="1"/>
    <xf numFmtId="169" fontId="14" fillId="2" borderId="50" xfId="0" applyNumberFormat="1" applyFont="1" applyFill="1" applyBorder="1"/>
    <xf numFmtId="37" fontId="14" fillId="2" borderId="51" xfId="0" applyNumberFormat="1" applyFont="1" applyFill="1" applyBorder="1"/>
    <xf numFmtId="37" fontId="14" fillId="2" borderId="52" xfId="0" applyNumberFormat="1" applyFont="1" applyFill="1" applyBorder="1"/>
    <xf numFmtId="0" fontId="13" fillId="2" borderId="31" xfId="0" applyFont="1" applyFill="1" applyBorder="1"/>
    <xf numFmtId="0" fontId="16" fillId="0" borderId="53" xfId="0" applyFont="1" applyBorder="1"/>
    <xf numFmtId="0" fontId="18" fillId="0" borderId="11" xfId="0" applyFont="1" applyBorder="1"/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37" fontId="13" fillId="4" borderId="0" xfId="0" applyNumberFormat="1" applyFont="1" applyFill="1"/>
    <xf numFmtId="168" fontId="14" fillId="2" borderId="0" xfId="0" applyNumberFormat="1" applyFont="1" applyFill="1"/>
    <xf numFmtId="37" fontId="13" fillId="4" borderId="5" xfId="0" applyNumberFormat="1" applyFont="1" applyFill="1" applyBorder="1"/>
    <xf numFmtId="3" fontId="13" fillId="4" borderId="1" xfId="0" applyNumberFormat="1" applyFont="1" applyFill="1" applyBorder="1"/>
    <xf numFmtId="3" fontId="13" fillId="4" borderId="3" xfId="0" applyNumberFormat="1" applyFont="1" applyFill="1" applyBorder="1"/>
    <xf numFmtId="0" fontId="23" fillId="0" borderId="0" xfId="0" applyFont="1"/>
    <xf numFmtId="37" fontId="22" fillId="0" borderId="0" xfId="0" applyNumberFormat="1" applyFont="1"/>
    <xf numFmtId="168" fontId="13" fillId="0" borderId="0" xfId="1" applyNumberFormat="1" applyFont="1" applyFill="1" applyBorder="1"/>
    <xf numFmtId="168" fontId="14" fillId="0" borderId="26" xfId="0" applyNumberFormat="1" applyFont="1" applyBorder="1"/>
    <xf numFmtId="0" fontId="16" fillId="0" borderId="0" xfId="0" applyFont="1"/>
    <xf numFmtId="168" fontId="13" fillId="0" borderId="8" xfId="1" applyNumberFormat="1" applyFont="1" applyFill="1" applyBorder="1"/>
    <xf numFmtId="0" fontId="14" fillId="0" borderId="10" xfId="0" applyFont="1" applyBorder="1"/>
    <xf numFmtId="0" fontId="24" fillId="0" borderId="0" xfId="0" applyFont="1"/>
    <xf numFmtId="0" fontId="14" fillId="2" borderId="36" xfId="0" applyFont="1" applyFill="1" applyBorder="1"/>
    <xf numFmtId="0" fontId="14" fillId="2" borderId="54" xfId="0" applyFont="1" applyFill="1" applyBorder="1"/>
    <xf numFmtId="0" fontId="14" fillId="2" borderId="55" xfId="0" applyFont="1" applyFill="1" applyBorder="1"/>
    <xf numFmtId="37" fontId="14" fillId="2" borderId="56" xfId="0" applyNumberFormat="1" applyFont="1" applyFill="1" applyBorder="1"/>
    <xf numFmtId="0" fontId="14" fillId="2" borderId="57" xfId="0" applyFont="1" applyFill="1" applyBorder="1"/>
    <xf numFmtId="0" fontId="13" fillId="2" borderId="57" xfId="0" applyFont="1" applyFill="1" applyBorder="1"/>
    <xf numFmtId="0" fontId="13" fillId="2" borderId="55" xfId="0" applyFont="1" applyFill="1" applyBorder="1"/>
    <xf numFmtId="37" fontId="14" fillId="2" borderId="58" xfId="0" applyNumberFormat="1" applyFont="1" applyFill="1" applyBorder="1"/>
    <xf numFmtId="0" fontId="9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59" xfId="0" applyFont="1" applyBorder="1" applyAlignment="1">
      <alignment horizontal="left"/>
    </xf>
    <xf numFmtId="0" fontId="14" fillId="0" borderId="6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13" fillId="0" borderId="64" xfId="0" applyFont="1" applyBorder="1" applyAlignment="1">
      <alignment horizontal="center"/>
    </xf>
    <xf numFmtId="0" fontId="13" fillId="0" borderId="65" xfId="0" applyFont="1" applyBorder="1" applyAlignment="1">
      <alignment horizontal="center"/>
    </xf>
    <xf numFmtId="0" fontId="18" fillId="0" borderId="12" xfId="0" applyFont="1" applyBorder="1"/>
    <xf numFmtId="37" fontId="18" fillId="0" borderId="63" xfId="0" applyNumberFormat="1" applyFont="1" applyBorder="1"/>
    <xf numFmtId="37" fontId="18" fillId="0" borderId="64" xfId="0" applyNumberFormat="1" applyFont="1" applyBorder="1"/>
    <xf numFmtId="37" fontId="18" fillId="0" borderId="12" xfId="0" applyNumberFormat="1" applyFont="1" applyBorder="1"/>
    <xf numFmtId="168" fontId="18" fillId="0" borderId="12" xfId="0" applyNumberFormat="1" applyFont="1" applyBorder="1"/>
    <xf numFmtId="37" fontId="18" fillId="0" borderId="65" xfId="0" applyNumberFormat="1" applyFont="1" applyBorder="1"/>
    <xf numFmtId="0" fontId="25" fillId="2" borderId="22" xfId="0" applyFont="1" applyFill="1" applyBorder="1"/>
    <xf numFmtId="0" fontId="25" fillId="2" borderId="12" xfId="0" applyFont="1" applyFill="1" applyBorder="1"/>
    <xf numFmtId="37" fontId="25" fillId="2" borderId="63" xfId="0" applyNumberFormat="1" applyFont="1" applyFill="1" applyBorder="1"/>
    <xf numFmtId="37" fontId="25" fillId="2" borderId="64" xfId="0" applyNumberFormat="1" applyFont="1" applyFill="1" applyBorder="1"/>
    <xf numFmtId="37" fontId="25" fillId="2" borderId="12" xfId="0" applyNumberFormat="1" applyFont="1" applyFill="1" applyBorder="1"/>
    <xf numFmtId="168" fontId="25" fillId="2" borderId="12" xfId="0" applyNumberFormat="1" applyFont="1" applyFill="1" applyBorder="1"/>
    <xf numFmtId="37" fontId="25" fillId="2" borderId="65" xfId="0" applyNumberFormat="1" applyFont="1" applyFill="1" applyBorder="1"/>
    <xf numFmtId="0" fontId="25" fillId="0" borderId="18" xfId="0" applyFont="1" applyBorder="1"/>
    <xf numFmtId="0" fontId="18" fillId="0" borderId="0" xfId="0" applyFont="1"/>
    <xf numFmtId="37" fontId="18" fillId="0" borderId="66" xfId="0" applyNumberFormat="1" applyFont="1" applyBorder="1"/>
    <xf numFmtId="37" fontId="18" fillId="0" borderId="67" xfId="0" applyNumberFormat="1" applyFont="1" applyBorder="1"/>
    <xf numFmtId="37" fontId="18" fillId="0" borderId="0" xfId="0" applyNumberFormat="1" applyFont="1"/>
    <xf numFmtId="168" fontId="18" fillId="0" borderId="0" xfId="0" applyNumberFormat="1" applyFont="1"/>
    <xf numFmtId="37" fontId="18" fillId="0" borderId="68" xfId="0" applyNumberFormat="1" applyFont="1" applyBorder="1"/>
    <xf numFmtId="0" fontId="18" fillId="0" borderId="0" xfId="0" applyFont="1" applyAlignment="1">
      <alignment horizontal="right"/>
    </xf>
    <xf numFmtId="169" fontId="18" fillId="0" borderId="0" xfId="0" applyNumberFormat="1" applyFont="1"/>
    <xf numFmtId="0" fontId="18" fillId="0" borderId="67" xfId="0" applyFont="1" applyBorder="1"/>
    <xf numFmtId="0" fontId="18" fillId="0" borderId="12" xfId="0" applyFont="1" applyBorder="1" applyAlignment="1">
      <alignment horizontal="right"/>
    </xf>
    <xf numFmtId="169" fontId="18" fillId="0" borderId="12" xfId="0" applyNumberFormat="1" applyFont="1" applyBorder="1"/>
    <xf numFmtId="0" fontId="18" fillId="0" borderId="64" xfId="0" applyFont="1" applyBorder="1"/>
    <xf numFmtId="168" fontId="18" fillId="0" borderId="63" xfId="0" applyNumberFormat="1" applyFont="1" applyBorder="1"/>
    <xf numFmtId="0" fontId="25" fillId="2" borderId="33" xfId="0" applyFont="1" applyFill="1" applyBorder="1"/>
    <xf numFmtId="0" fontId="25" fillId="2" borderId="34" xfId="0" applyFont="1" applyFill="1" applyBorder="1"/>
    <xf numFmtId="168" fontId="25" fillId="2" borderId="34" xfId="0" applyNumberFormat="1" applyFont="1" applyFill="1" applyBorder="1"/>
    <xf numFmtId="37" fontId="25" fillId="2" borderId="69" xfId="0" applyNumberFormat="1" applyFont="1" applyFill="1" applyBorder="1"/>
    <xf numFmtId="168" fontId="25" fillId="2" borderId="37" xfId="0" applyNumberFormat="1" applyFont="1" applyFill="1" applyBorder="1"/>
    <xf numFmtId="0" fontId="25" fillId="2" borderId="37" xfId="0" applyFont="1" applyFill="1" applyBorder="1"/>
    <xf numFmtId="37" fontId="25" fillId="2" borderId="34" xfId="0" applyNumberFormat="1" applyFont="1" applyFill="1" applyBorder="1"/>
    <xf numFmtId="0" fontId="25" fillId="2" borderId="70" xfId="0" applyFont="1" applyFill="1" applyBorder="1"/>
    <xf numFmtId="166" fontId="11" fillId="0" borderId="0" xfId="0" applyNumberFormat="1" applyFont="1"/>
    <xf numFmtId="166" fontId="24" fillId="0" borderId="0" xfId="0" applyNumberFormat="1" applyFont="1"/>
    <xf numFmtId="168" fontId="18" fillId="0" borderId="66" xfId="0" applyNumberFormat="1" applyFont="1" applyBorder="1"/>
    <xf numFmtId="169" fontId="25" fillId="2" borderId="34" xfId="0" applyNumberFormat="1" applyFont="1" applyFill="1" applyBorder="1"/>
    <xf numFmtId="37" fontId="25" fillId="2" borderId="37" xfId="0" applyNumberFormat="1" applyFont="1" applyFill="1" applyBorder="1"/>
    <xf numFmtId="37" fontId="25" fillId="2" borderId="70" xfId="0" applyNumberFormat="1" applyFont="1" applyFill="1" applyBorder="1"/>
    <xf numFmtId="37" fontId="24" fillId="0" borderId="0" xfId="0" applyNumberFormat="1" applyFont="1"/>
    <xf numFmtId="0" fontId="18" fillId="0" borderId="7" xfId="0" applyFont="1" applyBorder="1" applyAlignment="1">
      <alignment horizontal="right"/>
    </xf>
    <xf numFmtId="0" fontId="18" fillId="0" borderId="7" xfId="0" applyFont="1" applyBorder="1"/>
    <xf numFmtId="37" fontId="18" fillId="0" borderId="71" xfId="0" applyNumberFormat="1" applyFont="1" applyBorder="1"/>
    <xf numFmtId="0" fontId="18" fillId="0" borderId="72" xfId="0" applyFont="1" applyBorder="1"/>
    <xf numFmtId="169" fontId="18" fillId="0" borderId="7" xfId="0" applyNumberFormat="1" applyFont="1" applyBorder="1"/>
    <xf numFmtId="37" fontId="18" fillId="0" borderId="7" xfId="0" applyNumberFormat="1" applyFont="1" applyBorder="1"/>
    <xf numFmtId="168" fontId="18" fillId="0" borderId="7" xfId="0" applyNumberFormat="1" applyFont="1" applyBorder="1"/>
    <xf numFmtId="37" fontId="18" fillId="0" borderId="73" xfId="0" applyNumberFormat="1" applyFont="1" applyBorder="1"/>
    <xf numFmtId="0" fontId="18" fillId="0" borderId="44" xfId="0" applyFont="1" applyBorder="1" applyAlignment="1">
      <alignment horizontal="right"/>
    </xf>
    <xf numFmtId="0" fontId="18" fillId="0" borderId="44" xfId="0" applyFont="1" applyBorder="1"/>
    <xf numFmtId="37" fontId="18" fillId="0" borderId="74" xfId="0" applyNumberFormat="1" applyFont="1" applyBorder="1"/>
    <xf numFmtId="0" fontId="18" fillId="0" borderId="75" xfId="0" applyFont="1" applyBorder="1"/>
    <xf numFmtId="169" fontId="18" fillId="0" borderId="44" xfId="0" applyNumberFormat="1" applyFont="1" applyBorder="1"/>
    <xf numFmtId="170" fontId="24" fillId="0" borderId="0" xfId="0" applyNumberFormat="1" applyFont="1"/>
    <xf numFmtId="0" fontId="18" fillId="2" borderId="34" xfId="0" applyFont="1" applyFill="1" applyBorder="1"/>
    <xf numFmtId="3" fontId="25" fillId="2" borderId="34" xfId="0" applyNumberFormat="1" applyFont="1" applyFill="1" applyBorder="1" applyAlignment="1">
      <alignment horizontal="center"/>
    </xf>
    <xf numFmtId="168" fontId="25" fillId="0" borderId="0" xfId="0" applyNumberFormat="1" applyFont="1"/>
    <xf numFmtId="0" fontId="25" fillId="0" borderId="0" xfId="0" applyFont="1"/>
    <xf numFmtId="0" fontId="24" fillId="3" borderId="0" xfId="0" applyFont="1" applyFill="1"/>
    <xf numFmtId="168" fontId="18" fillId="0" borderId="71" xfId="0" applyNumberFormat="1" applyFont="1" applyBorder="1"/>
    <xf numFmtId="0" fontId="18" fillId="0" borderId="66" xfId="0" applyFont="1" applyBorder="1"/>
    <xf numFmtId="0" fontId="18" fillId="0" borderId="68" xfId="0" applyFont="1" applyBorder="1"/>
    <xf numFmtId="168" fontId="25" fillId="0" borderId="7" xfId="0" applyNumberFormat="1" applyFont="1" applyBorder="1"/>
    <xf numFmtId="0" fontId="25" fillId="0" borderId="7" xfId="0" applyFont="1" applyBorder="1"/>
    <xf numFmtId="168" fontId="25" fillId="0" borderId="72" xfId="0" applyNumberFormat="1" applyFont="1" applyBorder="1"/>
    <xf numFmtId="37" fontId="25" fillId="0" borderId="72" xfId="0" applyNumberFormat="1" applyFont="1" applyBorder="1"/>
    <xf numFmtId="37" fontId="18" fillId="0" borderId="77" xfId="0" applyNumberFormat="1" applyFont="1" applyBorder="1"/>
    <xf numFmtId="37" fontId="25" fillId="0" borderId="7" xfId="0" applyNumberFormat="1" applyFont="1" applyBorder="1"/>
    <xf numFmtId="168" fontId="25" fillId="0" borderId="67" xfId="0" applyNumberFormat="1" applyFont="1" applyBorder="1"/>
    <xf numFmtId="37" fontId="25" fillId="0" borderId="67" xfId="0" applyNumberFormat="1" applyFont="1" applyBorder="1"/>
    <xf numFmtId="37" fontId="18" fillId="0" borderId="78" xfId="0" applyNumberFormat="1" applyFont="1" applyBorder="1"/>
    <xf numFmtId="37" fontId="25" fillId="0" borderId="0" xfId="0" applyNumberFormat="1" applyFont="1"/>
    <xf numFmtId="168" fontId="18" fillId="2" borderId="37" xfId="0" applyNumberFormat="1" applyFont="1" applyFill="1" applyBorder="1"/>
    <xf numFmtId="168" fontId="18" fillId="2" borderId="34" xfId="0" applyNumberFormat="1" applyFont="1" applyFill="1" applyBorder="1"/>
    <xf numFmtId="37" fontId="18" fillId="2" borderId="70" xfId="0" applyNumberFormat="1" applyFont="1" applyFill="1" applyBorder="1"/>
    <xf numFmtId="0" fontId="25" fillId="3" borderId="6" xfId="0" applyFont="1" applyFill="1" applyBorder="1"/>
    <xf numFmtId="0" fontId="25" fillId="3" borderId="7" xfId="0" applyFont="1" applyFill="1" applyBorder="1"/>
    <xf numFmtId="37" fontId="25" fillId="3" borderId="7" xfId="0" applyNumberFormat="1" applyFont="1" applyFill="1" applyBorder="1"/>
    <xf numFmtId="37" fontId="18" fillId="3" borderId="71" xfId="0" applyNumberFormat="1" applyFont="1" applyFill="1" applyBorder="1"/>
    <xf numFmtId="0" fontId="18" fillId="3" borderId="7" xfId="0" applyFont="1" applyFill="1" applyBorder="1"/>
    <xf numFmtId="37" fontId="18" fillId="3" borderId="7" xfId="0" applyNumberFormat="1" applyFont="1" applyFill="1" applyBorder="1"/>
    <xf numFmtId="37" fontId="18" fillId="3" borderId="72" xfId="0" applyNumberFormat="1" applyFont="1" applyFill="1" applyBorder="1"/>
    <xf numFmtId="37" fontId="18" fillId="3" borderId="0" xfId="0" applyNumberFormat="1" applyFont="1" applyFill="1"/>
    <xf numFmtId="168" fontId="18" fillId="3" borderId="0" xfId="0" applyNumberFormat="1" applyFont="1" applyFill="1"/>
    <xf numFmtId="168" fontId="18" fillId="3" borderId="72" xfId="0" applyNumberFormat="1" applyFont="1" applyFill="1" applyBorder="1"/>
    <xf numFmtId="168" fontId="18" fillId="3" borderId="7" xfId="0" applyNumberFormat="1" applyFont="1" applyFill="1" applyBorder="1"/>
    <xf numFmtId="37" fontId="18" fillId="3" borderId="73" xfId="0" applyNumberFormat="1" applyFont="1" applyFill="1" applyBorder="1"/>
    <xf numFmtId="0" fontId="25" fillId="2" borderId="54" xfId="0" applyFont="1" applyFill="1" applyBorder="1"/>
    <xf numFmtId="0" fontId="25" fillId="2" borderId="55" xfId="0" applyFont="1" applyFill="1" applyBorder="1"/>
    <xf numFmtId="0" fontId="25" fillId="2" borderId="55" xfId="0" applyFont="1" applyFill="1" applyBorder="1" applyAlignment="1">
      <alignment horizontal="center"/>
    </xf>
    <xf numFmtId="168" fontId="25" fillId="2" borderId="55" xfId="0" applyNumberFormat="1" applyFont="1" applyFill="1" applyBorder="1"/>
    <xf numFmtId="37" fontId="25" fillId="2" borderId="79" xfId="0" applyNumberFormat="1" applyFont="1" applyFill="1" applyBorder="1"/>
    <xf numFmtId="37" fontId="25" fillId="2" borderId="55" xfId="0" applyNumberFormat="1" applyFont="1" applyFill="1" applyBorder="1"/>
    <xf numFmtId="0" fontId="25" fillId="2" borderId="80" xfId="0" applyFont="1" applyFill="1" applyBorder="1" applyAlignment="1">
      <alignment horizontal="center"/>
    </xf>
    <xf numFmtId="39" fontId="18" fillId="0" borderId="0" xfId="0" applyNumberFormat="1" applyFont="1"/>
    <xf numFmtId="0" fontId="25" fillId="2" borderId="81" xfId="0" applyFont="1" applyFill="1" applyBorder="1"/>
    <xf numFmtId="0" fontId="25" fillId="2" borderId="82" xfId="0" applyFont="1" applyFill="1" applyBorder="1"/>
    <xf numFmtId="0" fontId="25" fillId="2" borderId="82" xfId="0" applyFont="1" applyFill="1" applyBorder="1" applyAlignment="1">
      <alignment horizontal="center"/>
    </xf>
    <xf numFmtId="168" fontId="25" fillId="2" borderId="82" xfId="0" applyNumberFormat="1" applyFont="1" applyFill="1" applyBorder="1"/>
    <xf numFmtId="37" fontId="25" fillId="2" borderId="83" xfId="0" applyNumberFormat="1" applyFont="1" applyFill="1" applyBorder="1"/>
    <xf numFmtId="37" fontId="25" fillId="2" borderId="84" xfId="0" applyNumberFormat="1" applyFont="1" applyFill="1" applyBorder="1"/>
    <xf numFmtId="0" fontId="24" fillId="0" borderId="18" xfId="0" applyFont="1" applyBorder="1"/>
    <xf numFmtId="37" fontId="24" fillId="0" borderId="66" xfId="0" applyNumberFormat="1" applyFont="1" applyBorder="1"/>
    <xf numFmtId="0" fontId="24" fillId="0" borderId="66" xfId="0" applyFont="1" applyBorder="1"/>
    <xf numFmtId="0" fontId="24" fillId="0" borderId="78" xfId="0" applyFont="1" applyBorder="1"/>
    <xf numFmtId="0" fontId="11" fillId="0" borderId="68" xfId="0" applyFont="1" applyBorder="1"/>
    <xf numFmtId="0" fontId="26" fillId="0" borderId="0" xfId="0" applyFont="1"/>
    <xf numFmtId="37" fontId="26" fillId="0" borderId="0" xfId="0" applyNumberFormat="1" applyFont="1"/>
    <xf numFmtId="0" fontId="26" fillId="3" borderId="0" xfId="0" applyFont="1" applyFill="1"/>
    <xf numFmtId="37" fontId="24" fillId="3" borderId="0" xfId="0" applyNumberFormat="1" applyFont="1" applyFill="1"/>
    <xf numFmtId="0" fontId="27" fillId="3" borderId="0" xfId="0" applyFont="1" applyFill="1"/>
    <xf numFmtId="37" fontId="26" fillId="3" borderId="0" xfId="0" applyNumberFormat="1" applyFont="1" applyFill="1"/>
    <xf numFmtId="0" fontId="28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167" fontId="29" fillId="3" borderId="0" xfId="0" applyNumberFormat="1" applyFont="1" applyFill="1" applyAlignment="1">
      <alignment horizontal="right"/>
    </xf>
    <xf numFmtId="0" fontId="26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0" xfId="0" applyFont="1" applyFill="1"/>
    <xf numFmtId="168" fontId="24" fillId="3" borderId="0" xfId="0" applyNumberFormat="1" applyFont="1" applyFill="1"/>
    <xf numFmtId="9" fontId="24" fillId="3" borderId="0" xfId="0" applyNumberFormat="1" applyFont="1" applyFill="1"/>
    <xf numFmtId="168" fontId="26" fillId="3" borderId="0" xfId="0" applyNumberFormat="1" applyFont="1" applyFill="1"/>
    <xf numFmtId="0" fontId="30" fillId="3" borderId="0" xfId="0" applyFont="1" applyFill="1"/>
    <xf numFmtId="0" fontId="28" fillId="3" borderId="0" xfId="0" applyFont="1" applyFill="1" applyAlignment="1">
      <alignment horizontal="center"/>
    </xf>
    <xf numFmtId="167" fontId="24" fillId="3" borderId="0" xfId="0" applyNumberFormat="1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9" fillId="3" borderId="0" xfId="0" applyFont="1" applyFill="1" applyAlignment="1">
      <alignment horizontal="left"/>
    </xf>
    <xf numFmtId="0" fontId="32" fillId="3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quotePrefix="1" applyFont="1" applyFill="1" applyAlignment="1">
      <alignment horizontal="center"/>
    </xf>
    <xf numFmtId="3" fontId="13" fillId="0" borderId="76" xfId="0" applyNumberFormat="1" applyFont="1" applyBorder="1"/>
    <xf numFmtId="168" fontId="14" fillId="2" borderId="29" xfId="0" applyNumberFormat="1" applyFont="1" applyFill="1" applyBorder="1"/>
    <xf numFmtId="1" fontId="13" fillId="0" borderId="7" xfId="0" applyNumberFormat="1" applyFont="1" applyBorder="1"/>
    <xf numFmtId="37" fontId="14" fillId="2" borderId="41" xfId="0" applyNumberFormat="1" applyFont="1" applyFill="1" applyBorder="1"/>
    <xf numFmtId="0" fontId="13" fillId="0" borderId="20" xfId="0" applyFont="1" applyBorder="1" applyAlignment="1">
      <alignment horizontal="center"/>
    </xf>
    <xf numFmtId="0" fontId="34" fillId="0" borderId="86" xfId="0" applyFont="1" applyBorder="1" applyAlignment="1">
      <alignment vertical="center"/>
    </xf>
    <xf numFmtId="0" fontId="0" fillId="0" borderId="0" xfId="0" applyAlignment="1">
      <alignment vertical="center"/>
    </xf>
    <xf numFmtId="0" fontId="35" fillId="0" borderId="86" xfId="0" applyFont="1" applyBorder="1" applyAlignment="1">
      <alignment vertical="center"/>
    </xf>
    <xf numFmtId="0" fontId="35" fillId="0" borderId="87" xfId="0" applyFont="1" applyBorder="1" applyAlignment="1">
      <alignment vertical="center"/>
    </xf>
    <xf numFmtId="37" fontId="35" fillId="0" borderId="88" xfId="0" applyNumberFormat="1" applyFont="1" applyBorder="1" applyAlignment="1">
      <alignment horizontal="center" vertical="center"/>
    </xf>
    <xf numFmtId="3" fontId="0" fillId="0" borderId="88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90" xfId="0" applyNumberFormat="1" applyBorder="1" applyAlignment="1">
      <alignment horizontal="center" vertical="center"/>
    </xf>
    <xf numFmtId="0" fontId="35" fillId="8" borderId="85" xfId="0" applyFont="1" applyFill="1" applyBorder="1" applyAlignment="1">
      <alignment horizontal="center"/>
    </xf>
    <xf numFmtId="0" fontId="35" fillId="9" borderId="85" xfId="0" applyFont="1" applyFill="1" applyBorder="1" applyAlignment="1">
      <alignment horizontal="center"/>
    </xf>
    <xf numFmtId="0" fontId="35" fillId="6" borderId="85" xfId="0" applyFont="1" applyFill="1" applyBorder="1" applyAlignment="1">
      <alignment horizontal="center"/>
    </xf>
    <xf numFmtId="3" fontId="34" fillId="0" borderId="88" xfId="0" applyNumberFormat="1" applyFont="1" applyBorder="1" applyAlignment="1">
      <alignment horizontal="center" vertical="center"/>
    </xf>
    <xf numFmtId="171" fontId="24" fillId="0" borderId="0" xfId="0" applyNumberFormat="1" applyFont="1"/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36" fillId="0" borderId="0" xfId="0" applyFont="1"/>
    <xf numFmtId="1" fontId="36" fillId="0" borderId="0" xfId="0" applyNumberFormat="1" applyFont="1"/>
    <xf numFmtId="0" fontId="35" fillId="0" borderId="0" xfId="0" applyFont="1" applyAlignment="1">
      <alignment horizontal="center"/>
    </xf>
    <xf numFmtId="37" fontId="35" fillId="0" borderId="90" xfId="0" applyNumberFormat="1" applyFont="1" applyBorder="1" applyAlignment="1">
      <alignment horizontal="center" vertical="center"/>
    </xf>
    <xf numFmtId="3" fontId="34" fillId="7" borderId="88" xfId="0" applyNumberFormat="1" applyFont="1" applyFill="1" applyBorder="1" applyAlignment="1">
      <alignment horizontal="center" vertical="center"/>
    </xf>
    <xf numFmtId="3" fontId="0" fillId="7" borderId="88" xfId="0" applyNumberFormat="1" applyFill="1" applyBorder="1" applyAlignment="1">
      <alignment horizontal="center" vertical="center"/>
    </xf>
    <xf numFmtId="3" fontId="0" fillId="7" borderId="89" xfId="0" applyNumberFormat="1" applyFill="1" applyBorder="1" applyAlignment="1">
      <alignment horizontal="center" vertical="center"/>
    </xf>
    <xf numFmtId="3" fontId="0" fillId="7" borderId="90" xfId="0" applyNumberFormat="1" applyFill="1" applyBorder="1" applyAlignment="1">
      <alignment horizontal="center" vertical="center"/>
    </xf>
    <xf numFmtId="0" fontId="35" fillId="7" borderId="85" xfId="0" applyFont="1" applyFill="1" applyBorder="1" applyAlignment="1">
      <alignment horizontal="center"/>
    </xf>
    <xf numFmtId="0" fontId="17" fillId="0" borderId="0" xfId="0" applyFont="1"/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13" fillId="0" borderId="9" xfId="0" applyNumberFormat="1" applyFont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0" fontId="43" fillId="11" borderId="0" xfId="0" applyFont="1" applyFill="1"/>
    <xf numFmtId="0" fontId="43" fillId="11" borderId="0" xfId="0" applyFont="1" applyFill="1" applyAlignment="1">
      <alignment horizontal="right"/>
    </xf>
    <xf numFmtId="168" fontId="25" fillId="0" borderId="9" xfId="0" applyNumberFormat="1" applyFont="1" applyBorder="1"/>
    <xf numFmtId="168" fontId="25" fillId="0" borderId="8" xfId="0" applyNumberFormat="1" applyFont="1" applyBorder="1"/>
    <xf numFmtId="168" fontId="25" fillId="0" borderId="9" xfId="0" applyNumberFormat="1" applyFont="1" applyBorder="1" applyAlignment="1">
      <alignment vertical="center"/>
    </xf>
    <xf numFmtId="168" fontId="25" fillId="0" borderId="8" xfId="0" applyNumberFormat="1" applyFont="1" applyBorder="1" applyAlignment="1">
      <alignment vertical="center"/>
    </xf>
    <xf numFmtId="0" fontId="13" fillId="2" borderId="52" xfId="0" applyFont="1" applyFill="1" applyBorder="1"/>
    <xf numFmtId="0" fontId="13" fillId="2" borderId="50" xfId="0" applyFont="1" applyFill="1" applyBorder="1"/>
    <xf numFmtId="0" fontId="14" fillId="2" borderId="52" xfId="0" applyFont="1" applyFill="1" applyBorder="1"/>
    <xf numFmtId="9" fontId="14" fillId="2" borderId="31" xfId="0" applyNumberFormat="1" applyFont="1" applyFill="1" applyBorder="1"/>
    <xf numFmtId="168" fontId="14" fillId="17" borderId="30" xfId="0" applyNumberFormat="1" applyFont="1" applyFill="1" applyBorder="1"/>
    <xf numFmtId="0" fontId="9" fillId="0" borderId="0" xfId="0" applyFont="1" applyAlignment="1">
      <alignment horizontal="right"/>
    </xf>
    <xf numFmtId="37" fontId="13" fillId="0" borderId="52" xfId="0" applyNumberFormat="1" applyFont="1" applyBorder="1"/>
    <xf numFmtId="0" fontId="13" fillId="0" borderId="46" xfId="0" applyFont="1" applyBorder="1"/>
    <xf numFmtId="39" fontId="13" fillId="0" borderId="12" xfId="0" applyNumberFormat="1" applyFont="1" applyBorder="1" applyAlignment="1">
      <alignment horizontal="center"/>
    </xf>
    <xf numFmtId="37" fontId="14" fillId="0" borderId="14" xfId="0" applyNumberFormat="1" applyFont="1" applyBorder="1"/>
    <xf numFmtId="0" fontId="14" fillId="3" borderId="27" xfId="0" applyFont="1" applyFill="1" applyBorder="1"/>
    <xf numFmtId="0" fontId="14" fillId="3" borderId="14" xfId="0" applyFont="1" applyFill="1" applyBorder="1"/>
    <xf numFmtId="39" fontId="14" fillId="3" borderId="12" xfId="0" applyNumberFormat="1" applyFont="1" applyFill="1" applyBorder="1" applyAlignment="1">
      <alignment horizontal="center"/>
    </xf>
    <xf numFmtId="0" fontId="14" fillId="0" borderId="20" xfId="0" applyFont="1" applyBorder="1"/>
    <xf numFmtId="0" fontId="14" fillId="3" borderId="20" xfId="0" applyFont="1" applyFill="1" applyBorder="1"/>
    <xf numFmtId="0" fontId="14" fillId="2" borderId="27" xfId="0" applyFont="1" applyFill="1" applyBorder="1"/>
    <xf numFmtId="0" fontId="14" fillId="0" borderId="9" xfId="0" applyFont="1" applyBorder="1" applyAlignment="1">
      <alignment horizontal="left"/>
    </xf>
    <xf numFmtId="0" fontId="18" fillId="0" borderId="9" xfId="0" applyFont="1" applyBorder="1"/>
    <xf numFmtId="0" fontId="18" fillId="0" borderId="14" xfId="0" applyFont="1" applyBorder="1"/>
    <xf numFmtId="0" fontId="13" fillId="2" borderId="50" xfId="0" applyFont="1" applyFill="1" applyBorder="1" applyAlignment="1">
      <alignment horizontal="right"/>
    </xf>
    <xf numFmtId="0" fontId="13" fillId="2" borderId="52" xfId="0" applyFont="1" applyFill="1" applyBorder="1" applyAlignment="1">
      <alignment horizontal="right"/>
    </xf>
    <xf numFmtId="0" fontId="14" fillId="2" borderId="50" xfId="0" applyFont="1" applyFill="1" applyBorder="1"/>
    <xf numFmtId="10" fontId="14" fillId="2" borderId="27" xfId="0" applyNumberFormat="1" applyFont="1" applyFill="1" applyBorder="1"/>
    <xf numFmtId="0" fontId="25" fillId="2" borderId="94" xfId="0" applyFont="1" applyFill="1" applyBorder="1" applyAlignment="1">
      <alignment horizontal="center"/>
    </xf>
    <xf numFmtId="168" fontId="25" fillId="2" borderId="94" xfId="0" applyNumberFormat="1" applyFont="1" applyFill="1" applyBorder="1"/>
    <xf numFmtId="37" fontId="25" fillId="2" borderId="101" xfId="0" applyNumberFormat="1" applyFont="1" applyFill="1" applyBorder="1"/>
    <xf numFmtId="0" fontId="51" fillId="0" borderId="0" xfId="0" applyFont="1"/>
    <xf numFmtId="0" fontId="11" fillId="0" borderId="66" xfId="0" applyFont="1" applyBorder="1"/>
    <xf numFmtId="37" fontId="18" fillId="0" borderId="72" xfId="0" applyNumberFormat="1" applyFont="1" applyBorder="1"/>
    <xf numFmtId="37" fontId="18" fillId="10" borderId="0" xfId="0" applyNumberFormat="1" applyFont="1" applyFill="1"/>
    <xf numFmtId="37" fontId="25" fillId="2" borderId="102" xfId="0" applyNumberFormat="1" applyFont="1" applyFill="1" applyBorder="1"/>
    <xf numFmtId="168" fontId="25" fillId="2" borderId="103" xfId="0" applyNumberFormat="1" applyFont="1" applyFill="1" applyBorder="1"/>
    <xf numFmtId="37" fontId="25" fillId="2" borderId="94" xfId="0" applyNumberFormat="1" applyFont="1" applyFill="1" applyBorder="1"/>
    <xf numFmtId="168" fontId="18" fillId="0" borderId="16" xfId="0" applyNumberFormat="1" applyFont="1" applyBorder="1"/>
    <xf numFmtId="168" fontId="25" fillId="2" borderId="16" xfId="0" applyNumberFormat="1" applyFont="1" applyFill="1" applyBorder="1"/>
    <xf numFmtId="168" fontId="18" fillId="0" borderId="19" xfId="0" applyNumberFormat="1" applyFont="1" applyBorder="1"/>
    <xf numFmtId="168" fontId="18" fillId="0" borderId="8" xfId="0" applyNumberFormat="1" applyFont="1" applyBorder="1"/>
    <xf numFmtId="168" fontId="25" fillId="2" borderId="35" xfId="0" applyNumberFormat="1" applyFont="1" applyFill="1" applyBorder="1"/>
    <xf numFmtId="168" fontId="18" fillId="0" borderId="35" xfId="0" applyNumberFormat="1" applyFont="1" applyBorder="1"/>
    <xf numFmtId="168" fontId="18" fillId="0" borderId="51" xfId="0" applyNumberFormat="1" applyFont="1" applyBorder="1"/>
    <xf numFmtId="37" fontId="25" fillId="2" borderId="104" xfId="0" applyNumberFormat="1" applyFont="1" applyFill="1" applyBorder="1"/>
    <xf numFmtId="168" fontId="25" fillId="2" borderId="30" xfId="0" applyNumberFormat="1" applyFont="1" applyFill="1" applyBorder="1"/>
    <xf numFmtId="0" fontId="51" fillId="0" borderId="0" xfId="0" applyFont="1" applyAlignment="1">
      <alignment horizontal="right"/>
    </xf>
    <xf numFmtId="37" fontId="25" fillId="2" borderId="106" xfId="0" applyNumberFormat="1" applyFont="1" applyFill="1" applyBorder="1"/>
    <xf numFmtId="37" fontId="25" fillId="2" borderId="97" xfId="0" applyNumberFormat="1" applyFont="1" applyFill="1" applyBorder="1"/>
    <xf numFmtId="168" fontId="25" fillId="2" borderId="100" xfId="0" applyNumberFormat="1" applyFont="1" applyFill="1" applyBorder="1"/>
    <xf numFmtId="0" fontId="11" fillId="0" borderId="8" xfId="0" applyFont="1" applyBorder="1"/>
    <xf numFmtId="168" fontId="25" fillId="2" borderId="95" xfId="0" applyNumberFormat="1" applyFont="1" applyFill="1" applyBorder="1"/>
    <xf numFmtId="37" fontId="12" fillId="0" borderId="0" xfId="0" applyNumberFormat="1" applyFont="1"/>
    <xf numFmtId="43" fontId="24" fillId="0" borderId="0" xfId="21" applyFont="1"/>
    <xf numFmtId="0" fontId="53" fillId="0" borderId="0" xfId="25"/>
    <xf numFmtId="0" fontId="9" fillId="0" borderId="0" xfId="25" applyFont="1"/>
    <xf numFmtId="0" fontId="48" fillId="12" borderId="0" xfId="25" applyFont="1" applyFill="1"/>
    <xf numFmtId="0" fontId="9" fillId="0" borderId="0" xfId="25" applyFont="1" applyAlignment="1">
      <alignment horizontal="center" vertical="center"/>
    </xf>
    <xf numFmtId="0" fontId="11" fillId="0" borderId="0" xfId="25" applyFont="1" applyAlignment="1">
      <alignment horizontal="left" vertical="center"/>
    </xf>
    <xf numFmtId="0" fontId="9" fillId="0" borderId="0" xfId="25" applyFont="1" applyAlignment="1">
      <alignment horizontal="center"/>
    </xf>
    <xf numFmtId="3" fontId="9" fillId="0" borderId="0" xfId="25" applyNumberFormat="1" applyFont="1"/>
    <xf numFmtId="0" fontId="48" fillId="12" borderId="0" xfId="25" applyFont="1" applyFill="1" applyAlignment="1">
      <alignment horizontal="center" vertical="center"/>
    </xf>
    <xf numFmtId="0" fontId="48" fillId="12" borderId="0" xfId="25" applyFont="1" applyFill="1" applyAlignment="1">
      <alignment horizontal="right"/>
    </xf>
    <xf numFmtId="0" fontId="10" fillId="0" borderId="0" xfId="25" applyFont="1"/>
    <xf numFmtId="167" fontId="11" fillId="0" borderId="0" xfId="25" applyNumberFormat="1" applyFont="1" applyAlignment="1">
      <alignment horizontal="left"/>
    </xf>
    <xf numFmtId="0" fontId="11" fillId="0" borderId="0" xfId="25" applyFont="1" applyAlignment="1">
      <alignment horizontal="center"/>
    </xf>
    <xf numFmtId="0" fontId="11" fillId="0" borderId="0" xfId="25" applyFont="1"/>
    <xf numFmtId="0" fontId="44" fillId="13" borderId="27" xfId="25" applyFont="1" applyFill="1" applyBorder="1"/>
    <xf numFmtId="0" fontId="49" fillId="13" borderId="26" xfId="25" applyFont="1" applyFill="1" applyBorder="1"/>
    <xf numFmtId="0" fontId="13" fillId="0" borderId="0" xfId="25" applyFont="1"/>
    <xf numFmtId="0" fontId="13" fillId="0" borderId="46" xfId="25" applyFont="1" applyBorder="1"/>
    <xf numFmtId="0" fontId="50" fillId="13" borderId="9" xfId="25" applyFont="1" applyFill="1" applyBorder="1"/>
    <xf numFmtId="10" fontId="50" fillId="13" borderId="8" xfId="25" applyNumberFormat="1" applyFont="1" applyFill="1" applyBorder="1"/>
    <xf numFmtId="0" fontId="13" fillId="0" borderId="20" xfId="25" applyFont="1" applyBorder="1"/>
    <xf numFmtId="3" fontId="13" fillId="0" borderId="7" xfId="25" applyNumberFormat="1" applyFont="1" applyBorder="1" applyAlignment="1">
      <alignment horizontal="center"/>
    </xf>
    <xf numFmtId="3" fontId="13" fillId="0" borderId="0" xfId="25" applyNumberFormat="1" applyFont="1" applyAlignment="1">
      <alignment horizontal="center"/>
    </xf>
    <xf numFmtId="3" fontId="13" fillId="0" borderId="8" xfId="25" applyNumberFormat="1" applyFont="1" applyBorder="1" applyAlignment="1">
      <alignment horizontal="center"/>
    </xf>
    <xf numFmtId="3" fontId="13" fillId="0" borderId="9" xfId="25" applyNumberFormat="1" applyFont="1" applyBorder="1" applyAlignment="1">
      <alignment horizontal="center"/>
    </xf>
    <xf numFmtId="0" fontId="1" fillId="0" borderId="0" xfId="25" applyFont="1"/>
    <xf numFmtId="0" fontId="13" fillId="0" borderId="14" xfId="25" applyFont="1" applyBorder="1"/>
    <xf numFmtId="3" fontId="13" fillId="0" borderId="12" xfId="25" applyNumberFormat="1" applyFont="1" applyBorder="1" applyAlignment="1">
      <alignment horizontal="center"/>
    </xf>
    <xf numFmtId="3" fontId="13" fillId="0" borderId="16" xfId="25" applyNumberFormat="1" applyFont="1" applyBorder="1"/>
    <xf numFmtId="3" fontId="13" fillId="0" borderId="12" xfId="25" applyNumberFormat="1" applyFont="1" applyBorder="1" applyAlignment="1">
      <alignment horizontal="right"/>
    </xf>
    <xf numFmtId="3" fontId="13" fillId="0" borderId="12" xfId="25" applyNumberFormat="1" applyFont="1" applyBorder="1"/>
    <xf numFmtId="3" fontId="13" fillId="0" borderId="14" xfId="25" applyNumberFormat="1" applyFont="1" applyBorder="1" applyAlignment="1">
      <alignment horizontal="center"/>
    </xf>
    <xf numFmtId="3" fontId="13" fillId="0" borderId="16" xfId="25" applyNumberFormat="1" applyFont="1" applyBorder="1" applyAlignment="1">
      <alignment horizontal="center"/>
    </xf>
    <xf numFmtId="0" fontId="13" fillId="0" borderId="9" xfId="25" applyFont="1" applyBorder="1"/>
    <xf numFmtId="3" fontId="13" fillId="0" borderId="0" xfId="25" applyNumberFormat="1" applyFont="1"/>
    <xf numFmtId="3" fontId="13" fillId="0" borderId="9" xfId="25" applyNumberFormat="1" applyFont="1" applyBorder="1"/>
    <xf numFmtId="3" fontId="13" fillId="0" borderId="8" xfId="25" applyNumberFormat="1" applyFont="1" applyBorder="1"/>
    <xf numFmtId="0" fontId="49" fillId="13" borderId="31" xfId="25" applyFont="1" applyFill="1" applyBorder="1"/>
    <xf numFmtId="10" fontId="50" fillId="13" borderId="30" xfId="25" applyNumberFormat="1" applyFont="1" applyFill="1" applyBorder="1"/>
    <xf numFmtId="0" fontId="14" fillId="0" borderId="20" xfId="25" applyFont="1" applyBorder="1"/>
    <xf numFmtId="3" fontId="14" fillId="0" borderId="7" xfId="25" applyNumberFormat="1" applyFont="1" applyBorder="1"/>
    <xf numFmtId="3" fontId="14" fillId="0" borderId="19" xfId="25" applyNumberFormat="1" applyFont="1" applyBorder="1"/>
    <xf numFmtId="3" fontId="14" fillId="0" borderId="20" xfId="25" applyNumberFormat="1" applyFont="1" applyBorder="1"/>
    <xf numFmtId="0" fontId="13" fillId="0" borderId="8" xfId="25" applyFont="1" applyBorder="1"/>
    <xf numFmtId="168" fontId="25" fillId="0" borderId="9" xfId="25" applyNumberFormat="1" applyFont="1" applyBorder="1" applyAlignment="1">
      <alignment vertical="center"/>
    </xf>
    <xf numFmtId="168" fontId="25" fillId="0" borderId="8" xfId="25" applyNumberFormat="1" applyFont="1" applyBorder="1" applyAlignment="1">
      <alignment vertical="center"/>
    </xf>
    <xf numFmtId="0" fontId="14" fillId="0" borderId="14" xfId="25" applyFont="1" applyBorder="1"/>
    <xf numFmtId="3" fontId="13" fillId="0" borderId="14" xfId="25" applyNumberFormat="1" applyFont="1" applyBorder="1"/>
    <xf numFmtId="3" fontId="14" fillId="0" borderId="14" xfId="25" applyNumberFormat="1" applyFont="1" applyBorder="1"/>
    <xf numFmtId="3" fontId="14" fillId="0" borderId="12" xfId="25" applyNumberFormat="1" applyFont="1" applyBorder="1"/>
    <xf numFmtId="168" fontId="14" fillId="0" borderId="9" xfId="25" applyNumberFormat="1" applyFont="1" applyBorder="1"/>
    <xf numFmtId="168" fontId="14" fillId="0" borderId="8" xfId="25" applyNumberFormat="1" applyFont="1" applyBorder="1"/>
    <xf numFmtId="0" fontId="14" fillId="0" borderId="9" xfId="25" applyFont="1" applyBorder="1"/>
    <xf numFmtId="3" fontId="53" fillId="0" borderId="0" xfId="25" applyNumberFormat="1"/>
    <xf numFmtId="3" fontId="13" fillId="0" borderId="7" xfId="25" applyNumberFormat="1" applyFont="1" applyBorder="1"/>
    <xf numFmtId="3" fontId="13" fillId="0" borderId="19" xfId="25" applyNumberFormat="1" applyFont="1" applyBorder="1"/>
    <xf numFmtId="3" fontId="13" fillId="0" borderId="20" xfId="25" applyNumberFormat="1" applyFont="1" applyBorder="1"/>
    <xf numFmtId="166" fontId="13" fillId="0" borderId="0" xfId="25" applyNumberFormat="1" applyFont="1"/>
    <xf numFmtId="3" fontId="14" fillId="0" borderId="9" xfId="25" applyNumberFormat="1" applyFont="1" applyBorder="1"/>
    <xf numFmtId="37" fontId="13" fillId="0" borderId="8" xfId="25" applyNumberFormat="1" applyFont="1" applyBorder="1"/>
    <xf numFmtId="37" fontId="13" fillId="0" borderId="9" xfId="25" applyNumberFormat="1" applyFont="1" applyBorder="1"/>
    <xf numFmtId="0" fontId="14" fillId="2" borderId="27" xfId="25" applyFont="1" applyFill="1" applyBorder="1"/>
    <xf numFmtId="37" fontId="14" fillId="2" borderId="25" xfId="25" applyNumberFormat="1" applyFont="1" applyFill="1" applyBorder="1"/>
    <xf numFmtId="3" fontId="14" fillId="2" borderId="25" xfId="25" applyNumberFormat="1" applyFont="1" applyFill="1" applyBorder="1"/>
    <xf numFmtId="37" fontId="14" fillId="2" borderId="26" xfId="25" applyNumberFormat="1" applyFont="1" applyFill="1" applyBorder="1"/>
    <xf numFmtId="37" fontId="14" fillId="2" borderId="27" xfId="25" applyNumberFormat="1" applyFont="1" applyFill="1" applyBorder="1"/>
    <xf numFmtId="0" fontId="14" fillId="2" borderId="31" xfId="25" applyFont="1" applyFill="1" applyBorder="1"/>
    <xf numFmtId="0" fontId="14" fillId="2" borderId="29" xfId="25" applyFont="1" applyFill="1" applyBorder="1"/>
    <xf numFmtId="0" fontId="14" fillId="2" borderId="30" xfId="25" applyFont="1" applyFill="1" applyBorder="1"/>
    <xf numFmtId="168" fontId="14" fillId="2" borderId="30" xfId="26" applyNumberFormat="1" applyFont="1" applyFill="1" applyBorder="1"/>
    <xf numFmtId="168" fontId="14" fillId="2" borderId="31" xfId="25" applyNumberFormat="1" applyFont="1" applyFill="1" applyBorder="1"/>
    <xf numFmtId="168" fontId="14" fillId="2" borderId="30" xfId="25" applyNumberFormat="1" applyFont="1" applyFill="1" applyBorder="1"/>
    <xf numFmtId="0" fontId="14" fillId="0" borderId="0" xfId="25" applyFont="1"/>
    <xf numFmtId="0" fontId="14" fillId="0" borderId="8" xfId="25" applyFont="1" applyBorder="1"/>
    <xf numFmtId="0" fontId="14" fillId="0" borderId="9" xfId="25" applyFont="1" applyBorder="1" applyAlignment="1">
      <alignment horizontal="left"/>
    </xf>
    <xf numFmtId="0" fontId="13" fillId="0" borderId="0" xfId="25" applyFont="1" applyAlignment="1">
      <alignment horizontal="center"/>
    </xf>
    <xf numFmtId="168" fontId="13" fillId="0" borderId="0" xfId="25" applyNumberFormat="1" applyFont="1" applyAlignment="1">
      <alignment horizontal="right"/>
    </xf>
    <xf numFmtId="37" fontId="13" fillId="0" borderId="0" xfId="25" applyNumberFormat="1" applyFont="1"/>
    <xf numFmtId="168" fontId="13" fillId="0" borderId="9" xfId="25" applyNumberFormat="1" applyFont="1" applyBorder="1"/>
    <xf numFmtId="168" fontId="13" fillId="0" borderId="12" xfId="25" applyNumberFormat="1" applyFont="1" applyBorder="1" applyAlignment="1">
      <alignment horizontal="right"/>
    </xf>
    <xf numFmtId="37" fontId="13" fillId="0" borderId="12" xfId="25" applyNumberFormat="1" applyFont="1" applyBorder="1"/>
    <xf numFmtId="168" fontId="13" fillId="0" borderId="14" xfId="25" applyNumberFormat="1" applyFont="1" applyBorder="1"/>
    <xf numFmtId="37" fontId="13" fillId="0" borderId="16" xfId="25" applyNumberFormat="1" applyFont="1" applyBorder="1"/>
    <xf numFmtId="10" fontId="45" fillId="14" borderId="0" xfId="25" applyNumberFormat="1" applyFont="1" applyFill="1"/>
    <xf numFmtId="0" fontId="17" fillId="14" borderId="0" xfId="25" applyFont="1" applyFill="1"/>
    <xf numFmtId="0" fontId="13" fillId="0" borderId="0" xfId="25" applyFont="1" applyAlignment="1">
      <alignment horizontal="right"/>
    </xf>
    <xf numFmtId="0" fontId="13" fillId="0" borderId="9" xfId="25" applyFont="1" applyBorder="1" applyAlignment="1">
      <alignment horizontal="right"/>
    </xf>
    <xf numFmtId="0" fontId="13" fillId="0" borderId="12" xfId="25" applyFont="1" applyBorder="1" applyAlignment="1">
      <alignment horizontal="right"/>
    </xf>
    <xf numFmtId="0" fontId="13" fillId="0" borderId="14" xfId="25" applyFont="1" applyBorder="1" applyAlignment="1">
      <alignment horizontal="right"/>
    </xf>
    <xf numFmtId="3" fontId="13" fillId="0" borderId="77" xfId="25" applyNumberFormat="1" applyFont="1" applyBorder="1"/>
    <xf numFmtId="3" fontId="13" fillId="0" borderId="78" xfId="25" applyNumberFormat="1" applyFont="1" applyBorder="1"/>
    <xf numFmtId="3" fontId="13" fillId="0" borderId="92" xfId="25" applyNumberFormat="1" applyFont="1" applyBorder="1"/>
    <xf numFmtId="0" fontId="14" fillId="2" borderId="36" xfId="25" applyFont="1" applyFill="1" applyBorder="1"/>
    <xf numFmtId="0" fontId="14" fillId="2" borderId="34" xfId="25" applyFont="1" applyFill="1" applyBorder="1" applyAlignment="1">
      <alignment horizontal="center"/>
    </xf>
    <xf numFmtId="168" fontId="14" fillId="2" borderId="34" xfId="25" applyNumberFormat="1" applyFont="1" applyFill="1" applyBorder="1"/>
    <xf numFmtId="37" fontId="14" fillId="2" borderId="35" xfId="25" applyNumberFormat="1" applyFont="1" applyFill="1" applyBorder="1"/>
    <xf numFmtId="0" fontId="14" fillId="2" borderId="36" xfId="25" applyFont="1" applyFill="1" applyBorder="1" applyAlignment="1">
      <alignment horizontal="center"/>
    </xf>
    <xf numFmtId="0" fontId="13" fillId="2" borderId="37" xfId="25" applyFont="1" applyFill="1" applyBorder="1"/>
    <xf numFmtId="37" fontId="14" fillId="2" borderId="34" xfId="25" applyNumberFormat="1" applyFont="1" applyFill="1" applyBorder="1"/>
    <xf numFmtId="0" fontId="13" fillId="2" borderId="36" xfId="25" applyFont="1" applyFill="1" applyBorder="1"/>
    <xf numFmtId="0" fontId="18" fillId="0" borderId="9" xfId="25" applyFont="1" applyBorder="1"/>
    <xf numFmtId="0" fontId="18" fillId="0" borderId="14" xfId="25" applyFont="1" applyBorder="1"/>
    <xf numFmtId="0" fontId="13" fillId="0" borderId="7" xfId="25" applyFont="1" applyBorder="1" applyAlignment="1">
      <alignment horizontal="right"/>
    </xf>
    <xf numFmtId="0" fontId="13" fillId="0" borderId="7" xfId="25" applyFont="1" applyBorder="1"/>
    <xf numFmtId="0" fontId="13" fillId="0" borderId="20" xfId="25" applyFont="1" applyBorder="1" applyAlignment="1">
      <alignment horizontal="right"/>
    </xf>
    <xf numFmtId="37" fontId="13" fillId="0" borderId="19" xfId="25" applyNumberFormat="1" applyFont="1" applyBorder="1"/>
    <xf numFmtId="0" fontId="13" fillId="0" borderId="12" xfId="25" applyFont="1" applyBorder="1"/>
    <xf numFmtId="37" fontId="14" fillId="0" borderId="0" xfId="25" applyNumberFormat="1" applyFont="1"/>
    <xf numFmtId="37" fontId="14" fillId="2" borderId="16" xfId="25" applyNumberFormat="1" applyFont="1" applyFill="1" applyBorder="1"/>
    <xf numFmtId="170" fontId="13" fillId="0" borderId="0" xfId="27" applyNumberFormat="1" applyFont="1"/>
    <xf numFmtId="0" fontId="17" fillId="15" borderId="0" xfId="25" applyFont="1" applyFill="1"/>
    <xf numFmtId="0" fontId="13" fillId="15" borderId="0" xfId="25" applyFont="1" applyFill="1"/>
    <xf numFmtId="1" fontId="13" fillId="0" borderId="9" xfId="25" applyNumberFormat="1" applyFont="1" applyBorder="1"/>
    <xf numFmtId="170" fontId="13" fillId="0" borderId="0" xfId="25" applyNumberFormat="1" applyFont="1"/>
    <xf numFmtId="0" fontId="14" fillId="3" borderId="9" xfId="25" applyFont="1" applyFill="1" applyBorder="1"/>
    <xf numFmtId="0" fontId="13" fillId="3" borderId="0" xfId="25" applyFont="1" applyFill="1"/>
    <xf numFmtId="0" fontId="14" fillId="3" borderId="0" xfId="25" applyFont="1" applyFill="1"/>
    <xf numFmtId="37" fontId="14" fillId="3" borderId="8" xfId="25" applyNumberFormat="1" applyFont="1" applyFill="1" applyBorder="1"/>
    <xf numFmtId="0" fontId="13" fillId="3" borderId="9" xfId="25" applyFont="1" applyFill="1" applyBorder="1"/>
    <xf numFmtId="0" fontId="13" fillId="3" borderId="14" xfId="25" applyFont="1" applyFill="1" applyBorder="1"/>
    <xf numFmtId="0" fontId="13" fillId="3" borderId="12" xfId="25" applyFont="1" applyFill="1" applyBorder="1"/>
    <xf numFmtId="37" fontId="14" fillId="3" borderId="16" xfId="25" applyNumberFormat="1" applyFont="1" applyFill="1" applyBorder="1"/>
    <xf numFmtId="0" fontId="14" fillId="2" borderId="52" xfId="25" applyFont="1" applyFill="1" applyBorder="1"/>
    <xf numFmtId="0" fontId="13" fillId="2" borderId="50" xfId="25" applyFont="1" applyFill="1" applyBorder="1"/>
    <xf numFmtId="0" fontId="14" fillId="2" borderId="50" xfId="25" applyFont="1" applyFill="1" applyBorder="1"/>
    <xf numFmtId="37" fontId="14" fillId="2" borderId="51" xfId="25" applyNumberFormat="1" applyFont="1" applyFill="1" applyBorder="1"/>
    <xf numFmtId="0" fontId="13" fillId="2" borderId="52" xfId="25" applyFont="1" applyFill="1" applyBorder="1"/>
    <xf numFmtId="0" fontId="20" fillId="0" borderId="0" xfId="25" applyFont="1"/>
    <xf numFmtId="1" fontId="20" fillId="0" borderId="0" xfId="25" applyNumberFormat="1" applyFont="1"/>
    <xf numFmtId="37" fontId="20" fillId="0" borderId="0" xfId="25" applyNumberFormat="1" applyFont="1"/>
    <xf numFmtId="0" fontId="48" fillId="16" borderId="0" xfId="25" applyFont="1" applyFill="1"/>
    <xf numFmtId="0" fontId="9" fillId="0" borderId="0" xfId="25" applyFont="1" applyAlignment="1">
      <alignment horizontal="right"/>
    </xf>
    <xf numFmtId="0" fontId="13" fillId="0" borderId="14" xfId="25" applyFont="1" applyBorder="1" applyAlignment="1">
      <alignment horizontal="center"/>
    </xf>
    <xf numFmtId="0" fontId="13" fillId="0" borderId="16" xfId="25" applyFont="1" applyBorder="1" applyAlignment="1">
      <alignment horizontal="center"/>
    </xf>
    <xf numFmtId="0" fontId="21" fillId="0" borderId="0" xfId="25" applyFont="1"/>
    <xf numFmtId="168" fontId="25" fillId="0" borderId="9" xfId="25" applyNumberFormat="1" applyFont="1" applyBorder="1"/>
    <xf numFmtId="168" fontId="25" fillId="0" borderId="8" xfId="25" applyNumberFormat="1" applyFont="1" applyBorder="1"/>
    <xf numFmtId="39" fontId="13" fillId="0" borderId="0" xfId="25" applyNumberFormat="1" applyFont="1"/>
    <xf numFmtId="3" fontId="14" fillId="0" borderId="16" xfId="25" applyNumberFormat="1" applyFont="1" applyBorder="1"/>
    <xf numFmtId="169" fontId="13" fillId="0" borderId="0" xfId="25" applyNumberFormat="1" applyFont="1"/>
    <xf numFmtId="169" fontId="14" fillId="2" borderId="25" xfId="25" applyNumberFormat="1" applyFont="1" applyFill="1" applyBorder="1"/>
    <xf numFmtId="9" fontId="14" fillId="2" borderId="31" xfId="25" applyNumberFormat="1" applyFont="1" applyFill="1" applyBorder="1"/>
    <xf numFmtId="168" fontId="14" fillId="17" borderId="30" xfId="25" applyNumberFormat="1" applyFont="1" applyFill="1" applyBorder="1"/>
    <xf numFmtId="168" fontId="13" fillId="0" borderId="0" xfId="25" applyNumberFormat="1" applyFont="1"/>
    <xf numFmtId="168" fontId="13" fillId="0" borderId="12" xfId="25" applyNumberFormat="1" applyFont="1" applyBorder="1"/>
    <xf numFmtId="0" fontId="13" fillId="2" borderId="14" xfId="25" applyFont="1" applyFill="1" applyBorder="1"/>
    <xf numFmtId="0" fontId="14" fillId="0" borderId="0" xfId="25" applyFont="1" applyAlignment="1">
      <alignment horizontal="center"/>
    </xf>
    <xf numFmtId="168" fontId="14" fillId="0" borderId="0" xfId="25" applyNumberFormat="1" applyFont="1"/>
    <xf numFmtId="0" fontId="14" fillId="0" borderId="9" xfId="25" applyFont="1" applyBorder="1" applyAlignment="1">
      <alignment horizontal="center"/>
    </xf>
    <xf numFmtId="1" fontId="13" fillId="0" borderId="0" xfId="25" applyNumberFormat="1" applyFont="1"/>
    <xf numFmtId="0" fontId="13" fillId="2" borderId="50" xfId="25" applyFont="1" applyFill="1" applyBorder="1" applyAlignment="1">
      <alignment horizontal="right"/>
    </xf>
    <xf numFmtId="0" fontId="13" fillId="2" borderId="52" xfId="25" applyFont="1" applyFill="1" applyBorder="1" applyAlignment="1">
      <alignment horizontal="right"/>
    </xf>
    <xf numFmtId="37" fontId="11" fillId="0" borderId="0" xfId="25" applyNumberFormat="1" applyFont="1"/>
    <xf numFmtId="0" fontId="13" fillId="0" borderId="8" xfId="25" applyFont="1" applyBorder="1" applyAlignment="1">
      <alignment horizontal="center"/>
    </xf>
    <xf numFmtId="0" fontId="13" fillId="0" borderId="9" xfId="25" applyFont="1" applyBorder="1" applyAlignment="1">
      <alignment horizontal="center"/>
    </xf>
    <xf numFmtId="168" fontId="13" fillId="0" borderId="8" xfId="25" applyNumberFormat="1" applyFont="1" applyBorder="1"/>
    <xf numFmtId="39" fontId="13" fillId="0" borderId="12" xfId="25" applyNumberFormat="1" applyFont="1" applyBorder="1" applyAlignment="1">
      <alignment horizontal="center"/>
    </xf>
    <xf numFmtId="168" fontId="13" fillId="0" borderId="16" xfId="25" applyNumberFormat="1" applyFont="1" applyBorder="1"/>
    <xf numFmtId="37" fontId="13" fillId="0" borderId="14" xfId="25" applyNumberFormat="1" applyFont="1" applyBorder="1"/>
    <xf numFmtId="37" fontId="13" fillId="0" borderId="7" xfId="25" applyNumberFormat="1" applyFont="1" applyBorder="1"/>
    <xf numFmtId="37" fontId="13" fillId="0" borderId="20" xfId="25" applyNumberFormat="1" applyFont="1" applyBorder="1"/>
    <xf numFmtId="10" fontId="13" fillId="0" borderId="0" xfId="25" applyNumberFormat="1" applyFont="1"/>
    <xf numFmtId="168" fontId="14" fillId="0" borderId="14" xfId="25" applyNumberFormat="1" applyFont="1" applyBorder="1"/>
    <xf numFmtId="168" fontId="14" fillId="0" borderId="16" xfId="25" applyNumberFormat="1" applyFont="1" applyBorder="1"/>
    <xf numFmtId="168" fontId="13" fillId="0" borderId="20" xfId="25" applyNumberFormat="1" applyFont="1" applyBorder="1"/>
    <xf numFmtId="169" fontId="14" fillId="0" borderId="0" xfId="25" applyNumberFormat="1" applyFont="1"/>
    <xf numFmtId="37" fontId="14" fillId="0" borderId="9" xfId="25" applyNumberFormat="1" applyFont="1" applyBorder="1"/>
    <xf numFmtId="37" fontId="14" fillId="0" borderId="8" xfId="25" applyNumberFormat="1" applyFont="1" applyBorder="1"/>
    <xf numFmtId="0" fontId="14" fillId="0" borderId="12" xfId="25" applyFont="1" applyBorder="1"/>
    <xf numFmtId="169" fontId="14" fillId="0" borderId="12" xfId="25" applyNumberFormat="1" applyFont="1" applyBorder="1"/>
    <xf numFmtId="37" fontId="14" fillId="0" borderId="14" xfId="25" applyNumberFormat="1" applyFont="1" applyBorder="1"/>
    <xf numFmtId="37" fontId="14" fillId="0" borderId="16" xfId="25" applyNumberFormat="1" applyFont="1" applyBorder="1"/>
    <xf numFmtId="37" fontId="13" fillId="0" borderId="52" xfId="25" applyNumberFormat="1" applyFont="1" applyBorder="1"/>
    <xf numFmtId="0" fontId="14" fillId="3" borderId="27" xfId="25" applyFont="1" applyFill="1" applyBorder="1"/>
    <xf numFmtId="37" fontId="14" fillId="3" borderId="25" xfId="25" applyNumberFormat="1" applyFont="1" applyFill="1" applyBorder="1"/>
    <xf numFmtId="37" fontId="14" fillId="3" borderId="26" xfId="25" applyNumberFormat="1" applyFont="1" applyFill="1" applyBorder="1"/>
    <xf numFmtId="37" fontId="14" fillId="3" borderId="27" xfId="25" applyNumberFormat="1" applyFont="1" applyFill="1" applyBorder="1"/>
    <xf numFmtId="168" fontId="14" fillId="3" borderId="27" xfId="25" applyNumberFormat="1" applyFont="1" applyFill="1" applyBorder="1"/>
    <xf numFmtId="0" fontId="14" fillId="3" borderId="14" xfId="25" applyFont="1" applyFill="1" applyBorder="1"/>
    <xf numFmtId="37" fontId="14" fillId="3" borderId="12" xfId="25" applyNumberFormat="1" applyFont="1" applyFill="1" applyBorder="1"/>
    <xf numFmtId="39" fontId="14" fillId="3" borderId="12" xfId="25" applyNumberFormat="1" applyFont="1" applyFill="1" applyBorder="1" applyAlignment="1">
      <alignment horizontal="center"/>
    </xf>
    <xf numFmtId="168" fontId="14" fillId="3" borderId="16" xfId="25" applyNumberFormat="1" applyFont="1" applyFill="1" applyBorder="1"/>
    <xf numFmtId="37" fontId="14" fillId="3" borderId="14" xfId="25" applyNumberFormat="1" applyFont="1" applyFill="1" applyBorder="1"/>
    <xf numFmtId="37" fontId="14" fillId="0" borderId="7" xfId="25" applyNumberFormat="1" applyFont="1" applyBorder="1"/>
    <xf numFmtId="169" fontId="14" fillId="0" borderId="7" xfId="25" applyNumberFormat="1" applyFont="1" applyBorder="1"/>
    <xf numFmtId="37" fontId="14" fillId="0" borderId="19" xfId="25" applyNumberFormat="1" applyFont="1" applyBorder="1"/>
    <xf numFmtId="37" fontId="14" fillId="0" borderId="20" xfId="25" applyNumberFormat="1" applyFont="1" applyBorder="1"/>
    <xf numFmtId="0" fontId="14" fillId="3" borderId="20" xfId="25" applyFont="1" applyFill="1" applyBorder="1"/>
    <xf numFmtId="37" fontId="14" fillId="3" borderId="7" xfId="25" applyNumberFormat="1" applyFont="1" applyFill="1" applyBorder="1"/>
    <xf numFmtId="169" fontId="14" fillId="3" borderId="7" xfId="25" applyNumberFormat="1" applyFont="1" applyFill="1" applyBorder="1"/>
    <xf numFmtId="37" fontId="14" fillId="3" borderId="19" xfId="25" applyNumberFormat="1" applyFont="1" applyFill="1" applyBorder="1"/>
    <xf numFmtId="37" fontId="14" fillId="3" borderId="20" xfId="25" applyNumberFormat="1" applyFont="1" applyFill="1" applyBorder="1"/>
    <xf numFmtId="168" fontId="14" fillId="2" borderId="27" xfId="25" applyNumberFormat="1" applyFont="1" applyFill="1" applyBorder="1"/>
    <xf numFmtId="37" fontId="13" fillId="0" borderId="0" xfId="25" applyNumberFormat="1" applyFont="1" applyAlignment="1">
      <alignment horizontal="center"/>
    </xf>
    <xf numFmtId="0" fontId="13" fillId="0" borderId="12" xfId="25" applyFont="1" applyBorder="1" applyAlignment="1">
      <alignment horizontal="center"/>
    </xf>
    <xf numFmtId="1" fontId="13" fillId="0" borderId="20" xfId="25" applyNumberFormat="1" applyFont="1" applyBorder="1"/>
    <xf numFmtId="169" fontId="13" fillId="0" borderId="12" xfId="25" applyNumberFormat="1" applyFont="1" applyBorder="1"/>
    <xf numFmtId="2" fontId="13" fillId="0" borderId="12" xfId="25" applyNumberFormat="1" applyFont="1" applyBorder="1"/>
    <xf numFmtId="10" fontId="14" fillId="2" borderId="27" xfId="25" applyNumberFormat="1" applyFont="1" applyFill="1" applyBorder="1"/>
    <xf numFmtId="0" fontId="18" fillId="0" borderId="20" xfId="25" applyFont="1" applyBorder="1"/>
    <xf numFmtId="168" fontId="14" fillId="0" borderId="7" xfId="25" applyNumberFormat="1" applyFont="1" applyBorder="1"/>
    <xf numFmtId="168" fontId="14" fillId="0" borderId="20" xfId="25" applyNumberFormat="1" applyFont="1" applyBorder="1"/>
    <xf numFmtId="0" fontId="13" fillId="0" borderId="16" xfId="25" applyFont="1" applyBorder="1"/>
    <xf numFmtId="168" fontId="14" fillId="2" borderId="25" xfId="25" applyNumberFormat="1" applyFont="1" applyFill="1" applyBorder="1"/>
    <xf numFmtId="168" fontId="14" fillId="2" borderId="46" xfId="25" applyNumberFormat="1" applyFont="1" applyFill="1" applyBorder="1"/>
    <xf numFmtId="37" fontId="14" fillId="2" borderId="47" xfId="25" applyNumberFormat="1" applyFont="1" applyFill="1" applyBorder="1"/>
    <xf numFmtId="37" fontId="14" fillId="2" borderId="50" xfId="25" applyNumberFormat="1" applyFont="1" applyFill="1" applyBorder="1"/>
    <xf numFmtId="169" fontId="14" fillId="2" borderId="50" xfId="25" applyNumberFormat="1" applyFont="1" applyFill="1" applyBorder="1"/>
    <xf numFmtId="37" fontId="14" fillId="2" borderId="52" xfId="25" applyNumberFormat="1" applyFont="1" applyFill="1" applyBorder="1"/>
    <xf numFmtId="168" fontId="14" fillId="2" borderId="51" xfId="26" applyNumberFormat="1" applyFont="1" applyFill="1" applyBorder="1"/>
    <xf numFmtId="0" fontId="13" fillId="2" borderId="31" xfId="25" applyFont="1" applyFill="1" applyBorder="1"/>
    <xf numFmtId="164" fontId="13" fillId="0" borderId="0" xfId="25" applyNumberFormat="1" applyFont="1"/>
    <xf numFmtId="0" fontId="13" fillId="0" borderId="50" xfId="25" applyFont="1" applyBorder="1" applyAlignment="1">
      <alignment horizontal="center"/>
    </xf>
    <xf numFmtId="0" fontId="13" fillId="0" borderId="51" xfId="25" applyFont="1" applyBorder="1" applyAlignment="1">
      <alignment horizontal="center"/>
    </xf>
    <xf numFmtId="0" fontId="13" fillId="0" borderId="52" xfId="25" applyFont="1" applyBorder="1" applyAlignment="1">
      <alignment horizontal="center"/>
    </xf>
    <xf numFmtId="37" fontId="13" fillId="17" borderId="0" xfId="25" applyNumberFormat="1" applyFont="1" applyFill="1"/>
    <xf numFmtId="168" fontId="14" fillId="2" borderId="0" xfId="25" applyNumberFormat="1" applyFont="1" applyFill="1"/>
    <xf numFmtId="37" fontId="13" fillId="17" borderId="47" xfId="25" applyNumberFormat="1" applyFont="1" applyFill="1" applyBorder="1"/>
    <xf numFmtId="3" fontId="13" fillId="17" borderId="46" xfId="25" applyNumberFormat="1" applyFont="1" applyFill="1" applyBorder="1"/>
    <xf numFmtId="3" fontId="13" fillId="17" borderId="47" xfId="25" applyNumberFormat="1" applyFont="1" applyFill="1" applyBorder="1"/>
    <xf numFmtId="0" fontId="23" fillId="0" borderId="0" xfId="25" applyFont="1"/>
    <xf numFmtId="168" fontId="14" fillId="0" borderId="26" xfId="25" applyNumberFormat="1" applyFont="1" applyBorder="1"/>
    <xf numFmtId="0" fontId="14" fillId="2" borderId="93" xfId="25" applyFont="1" applyFill="1" applyBorder="1"/>
    <xf numFmtId="0" fontId="14" fillId="2" borderId="94" xfId="25" applyFont="1" applyFill="1" applyBorder="1"/>
    <xf numFmtId="37" fontId="14" fillId="2" borderId="95" xfId="25" applyNumberFormat="1" applyFont="1" applyFill="1" applyBorder="1"/>
    <xf numFmtId="0" fontId="13" fillId="2" borderId="93" xfId="25" applyFont="1" applyFill="1" applyBorder="1"/>
    <xf numFmtId="0" fontId="13" fillId="2" borderId="94" xfId="25" applyFont="1" applyFill="1" applyBorder="1"/>
    <xf numFmtId="3" fontId="14" fillId="0" borderId="0" xfId="25" applyNumberFormat="1" applyFont="1"/>
    <xf numFmtId="37" fontId="53" fillId="0" borderId="0" xfId="25" applyNumberFormat="1"/>
    <xf numFmtId="0" fontId="46" fillId="18" borderId="0" xfId="25" applyFont="1" applyFill="1"/>
    <xf numFmtId="0" fontId="48" fillId="12" borderId="0" xfId="25" applyFont="1" applyFill="1" applyAlignment="1">
      <alignment vertical="center"/>
    </xf>
    <xf numFmtId="0" fontId="9" fillId="0" borderId="0" xfId="25" applyFont="1" applyAlignment="1">
      <alignment horizontal="right" vertical="center"/>
    </xf>
    <xf numFmtId="0" fontId="25" fillId="0" borderId="0" xfId="25" applyFont="1" applyAlignment="1">
      <alignment horizontal="center" vertical="center"/>
    </xf>
    <xf numFmtId="0" fontId="13" fillId="0" borderId="96" xfId="25" applyFont="1" applyBorder="1" applyAlignment="1">
      <alignment horizontal="left"/>
    </xf>
    <xf numFmtId="0" fontId="14" fillId="0" borderId="97" xfId="25" applyFont="1" applyBorder="1" applyAlignment="1">
      <alignment horizontal="center" vertical="center"/>
    </xf>
    <xf numFmtId="0" fontId="13" fillId="0" borderId="63" xfId="25" applyFont="1" applyBorder="1" applyAlignment="1">
      <alignment horizontal="center"/>
    </xf>
    <xf numFmtId="0" fontId="13" fillId="0" borderId="64" xfId="25" applyFont="1" applyBorder="1" applyAlignment="1">
      <alignment horizontal="center"/>
    </xf>
    <xf numFmtId="0" fontId="13" fillId="0" borderId="65" xfId="25" applyFont="1" applyBorder="1" applyAlignment="1">
      <alignment horizontal="center"/>
    </xf>
    <xf numFmtId="0" fontId="18" fillId="0" borderId="12" xfId="25" applyFont="1" applyBorder="1"/>
    <xf numFmtId="37" fontId="18" fillId="0" borderId="63" xfId="25" applyNumberFormat="1" applyFont="1" applyBorder="1"/>
    <xf numFmtId="37" fontId="18" fillId="0" borderId="64" xfId="25" applyNumberFormat="1" applyFont="1" applyBorder="1"/>
    <xf numFmtId="37" fontId="18" fillId="0" borderId="12" xfId="25" applyNumberFormat="1" applyFont="1" applyBorder="1"/>
    <xf numFmtId="168" fontId="18" fillId="0" borderId="12" xfId="25" applyNumberFormat="1" applyFont="1" applyBorder="1"/>
    <xf numFmtId="37" fontId="18" fillId="0" borderId="65" xfId="25" applyNumberFormat="1" applyFont="1" applyBorder="1"/>
    <xf numFmtId="168" fontId="18" fillId="0" borderId="16" xfId="25" applyNumberFormat="1" applyFont="1" applyBorder="1"/>
    <xf numFmtId="0" fontId="25" fillId="2" borderId="14" xfId="25" applyFont="1" applyFill="1" applyBorder="1"/>
    <xf numFmtId="0" fontId="25" fillId="2" borderId="12" xfId="25" applyFont="1" applyFill="1" applyBorder="1"/>
    <xf numFmtId="37" fontId="25" fillId="2" borderId="63" xfId="25" applyNumberFormat="1" applyFont="1" applyFill="1" applyBorder="1"/>
    <xf numFmtId="37" fontId="25" fillId="2" borderId="64" xfId="25" applyNumberFormat="1" applyFont="1" applyFill="1" applyBorder="1"/>
    <xf numFmtId="37" fontId="25" fillId="2" borderId="12" xfId="25" applyNumberFormat="1" applyFont="1" applyFill="1" applyBorder="1"/>
    <xf numFmtId="168" fontId="25" fillId="2" borderId="12" xfId="25" applyNumberFormat="1" applyFont="1" applyFill="1" applyBorder="1"/>
    <xf numFmtId="37" fontId="25" fillId="2" borderId="65" xfId="25" applyNumberFormat="1" applyFont="1" applyFill="1" applyBorder="1"/>
    <xf numFmtId="168" fontId="25" fillId="2" borderId="16" xfId="25" applyNumberFormat="1" applyFont="1" applyFill="1" applyBorder="1"/>
    <xf numFmtId="0" fontId="25" fillId="0" borderId="9" xfId="25" applyFont="1" applyBorder="1"/>
    <xf numFmtId="0" fontId="18" fillId="0" borderId="0" xfId="25" applyFont="1"/>
    <xf numFmtId="37" fontId="18" fillId="0" borderId="66" xfId="25" applyNumberFormat="1" applyFont="1" applyBorder="1"/>
    <xf numFmtId="37" fontId="18" fillId="0" borderId="67" xfId="25" applyNumberFormat="1" applyFont="1" applyBorder="1"/>
    <xf numFmtId="37" fontId="18" fillId="0" borderId="0" xfId="25" applyNumberFormat="1" applyFont="1"/>
    <xf numFmtId="168" fontId="18" fillId="0" borderId="0" xfId="25" applyNumberFormat="1" applyFont="1"/>
    <xf numFmtId="37" fontId="18" fillId="0" borderId="68" xfId="25" applyNumberFormat="1" applyFont="1" applyBorder="1"/>
    <xf numFmtId="168" fontId="18" fillId="0" borderId="19" xfId="25" applyNumberFormat="1" applyFont="1" applyBorder="1"/>
    <xf numFmtId="0" fontId="18" fillId="0" borderId="0" xfId="25" applyFont="1" applyAlignment="1">
      <alignment horizontal="right"/>
    </xf>
    <xf numFmtId="169" fontId="18" fillId="0" borderId="0" xfId="25" applyNumberFormat="1" applyFont="1"/>
    <xf numFmtId="0" fontId="18" fillId="0" borderId="67" xfId="25" applyFont="1" applyBorder="1"/>
    <xf numFmtId="168" fontId="18" fillId="0" borderId="8" xfId="25" applyNumberFormat="1" applyFont="1" applyBorder="1"/>
    <xf numFmtId="0" fontId="18" fillId="0" borderId="12" xfId="25" applyFont="1" applyBorder="1" applyAlignment="1">
      <alignment horizontal="right"/>
    </xf>
    <xf numFmtId="169" fontId="18" fillId="0" borderId="12" xfId="25" applyNumberFormat="1" applyFont="1" applyBorder="1"/>
    <xf numFmtId="0" fontId="18" fillId="0" borderId="64" xfId="25" applyFont="1" applyBorder="1"/>
    <xf numFmtId="168" fontId="18" fillId="0" borderId="63" xfId="25" applyNumberFormat="1" applyFont="1" applyBorder="1"/>
    <xf numFmtId="0" fontId="25" fillId="2" borderId="36" xfId="25" applyFont="1" applyFill="1" applyBorder="1"/>
    <xf numFmtId="0" fontId="25" fillId="2" borderId="34" xfId="25" applyFont="1" applyFill="1" applyBorder="1"/>
    <xf numFmtId="168" fontId="25" fillId="2" borderId="34" xfId="25" applyNumberFormat="1" applyFont="1" applyFill="1" applyBorder="1"/>
    <xf numFmtId="37" fontId="25" fillId="2" borderId="69" xfId="25" applyNumberFormat="1" applyFont="1" applyFill="1" applyBorder="1"/>
    <xf numFmtId="168" fontId="25" fillId="2" borderId="37" xfId="25" applyNumberFormat="1" applyFont="1" applyFill="1" applyBorder="1"/>
    <xf numFmtId="0" fontId="25" fillId="2" borderId="37" xfId="25" applyFont="1" applyFill="1" applyBorder="1"/>
    <xf numFmtId="37" fontId="25" fillId="2" borderId="34" xfId="25" applyNumberFormat="1" applyFont="1" applyFill="1" applyBorder="1"/>
    <xf numFmtId="0" fontId="25" fillId="2" borderId="70" xfId="25" applyFont="1" applyFill="1" applyBorder="1"/>
    <xf numFmtId="168" fontId="18" fillId="0" borderId="66" xfId="25" applyNumberFormat="1" applyFont="1" applyBorder="1"/>
    <xf numFmtId="169" fontId="25" fillId="2" borderId="34" xfId="25" applyNumberFormat="1" applyFont="1" applyFill="1" applyBorder="1"/>
    <xf numFmtId="37" fontId="25" fillId="2" borderId="37" xfId="25" applyNumberFormat="1" applyFont="1" applyFill="1" applyBorder="1"/>
    <xf numFmtId="37" fontId="25" fillId="2" borderId="70" xfId="25" applyNumberFormat="1" applyFont="1" applyFill="1" applyBorder="1"/>
    <xf numFmtId="0" fontId="18" fillId="0" borderId="7" xfId="25" applyFont="1" applyBorder="1" applyAlignment="1">
      <alignment horizontal="right"/>
    </xf>
    <xf numFmtId="0" fontId="18" fillId="0" borderId="7" xfId="25" applyFont="1" applyBorder="1"/>
    <xf numFmtId="37" fontId="18" fillId="0" borderId="71" xfId="25" applyNumberFormat="1" applyFont="1" applyBorder="1"/>
    <xf numFmtId="0" fontId="18" fillId="0" borderId="72" xfId="25" applyFont="1" applyBorder="1"/>
    <xf numFmtId="169" fontId="18" fillId="0" borderId="7" xfId="25" applyNumberFormat="1" applyFont="1" applyBorder="1"/>
    <xf numFmtId="37" fontId="18" fillId="0" borderId="7" xfId="25" applyNumberFormat="1" applyFont="1" applyBorder="1"/>
    <xf numFmtId="168" fontId="18" fillId="0" borderId="7" xfId="25" applyNumberFormat="1" applyFont="1" applyBorder="1"/>
    <xf numFmtId="37" fontId="18" fillId="0" borderId="73" xfId="25" applyNumberFormat="1" applyFont="1" applyBorder="1"/>
    <xf numFmtId="9" fontId="17" fillId="0" borderId="0" xfId="25" applyNumberFormat="1" applyFont="1"/>
    <xf numFmtId="0" fontId="13" fillId="10" borderId="0" xfId="25" applyFont="1" applyFill="1"/>
    <xf numFmtId="37" fontId="18" fillId="0" borderId="72" xfId="25" applyNumberFormat="1" applyFont="1" applyBorder="1"/>
    <xf numFmtId="37" fontId="18" fillId="10" borderId="0" xfId="25" applyNumberFormat="1" applyFont="1" applyFill="1"/>
    <xf numFmtId="0" fontId="18" fillId="2" borderId="34" xfId="25" applyFont="1" applyFill="1" applyBorder="1"/>
    <xf numFmtId="3" fontId="25" fillId="2" borderId="34" xfId="25" applyNumberFormat="1" applyFont="1" applyFill="1" applyBorder="1" applyAlignment="1">
      <alignment horizontal="center"/>
    </xf>
    <xf numFmtId="168" fontId="25" fillId="2" borderId="35" xfId="25" applyNumberFormat="1" applyFont="1" applyFill="1" applyBorder="1"/>
    <xf numFmtId="168" fontId="25" fillId="0" borderId="0" xfId="25" applyNumberFormat="1" applyFont="1"/>
    <xf numFmtId="0" fontId="25" fillId="0" borderId="0" xfId="25" applyFont="1"/>
    <xf numFmtId="170" fontId="18" fillId="0" borderId="66" xfId="25" applyNumberFormat="1" applyFont="1" applyBorder="1"/>
    <xf numFmtId="0" fontId="11" fillId="3" borderId="0" xfId="25" applyFont="1" applyFill="1"/>
    <xf numFmtId="168" fontId="18" fillId="0" borderId="71" xfId="25" applyNumberFormat="1" applyFont="1" applyBorder="1"/>
    <xf numFmtId="37" fontId="25" fillId="19" borderId="34" xfId="25" applyNumberFormat="1" applyFont="1" applyFill="1" applyBorder="1"/>
    <xf numFmtId="168" fontId="25" fillId="19" borderId="34" xfId="25" applyNumberFormat="1" applyFont="1" applyFill="1" applyBorder="1"/>
    <xf numFmtId="0" fontId="18" fillId="0" borderId="66" xfId="25" applyFont="1" applyBorder="1"/>
    <xf numFmtId="0" fontId="18" fillId="0" borderId="68" xfId="25" applyFont="1" applyBorder="1"/>
    <xf numFmtId="168" fontId="18" fillId="0" borderId="35" xfId="25" applyNumberFormat="1" applyFont="1" applyBorder="1"/>
    <xf numFmtId="168" fontId="25" fillId="0" borderId="7" xfId="25" applyNumberFormat="1" applyFont="1" applyBorder="1"/>
    <xf numFmtId="0" fontId="25" fillId="0" borderId="7" xfId="25" applyFont="1" applyBorder="1"/>
    <xf numFmtId="168" fontId="25" fillId="0" borderId="72" xfId="25" applyNumberFormat="1" applyFont="1" applyBorder="1"/>
    <xf numFmtId="37" fontId="25" fillId="0" borderId="72" xfId="25" applyNumberFormat="1" applyFont="1" applyBorder="1"/>
    <xf numFmtId="37" fontId="18" fillId="0" borderId="77" xfId="25" applyNumberFormat="1" applyFont="1" applyBorder="1"/>
    <xf numFmtId="37" fontId="25" fillId="0" borderId="7" xfId="25" applyNumberFormat="1" applyFont="1" applyBorder="1"/>
    <xf numFmtId="37" fontId="25" fillId="0" borderId="0" xfId="25" applyNumberFormat="1" applyFont="1"/>
    <xf numFmtId="1" fontId="25" fillId="0" borderId="0" xfId="25" applyNumberFormat="1" applyFont="1"/>
    <xf numFmtId="37" fontId="25" fillId="0" borderId="67" xfId="25" applyNumberFormat="1" applyFont="1" applyBorder="1"/>
    <xf numFmtId="168" fontId="25" fillId="0" borderId="67" xfId="25" applyNumberFormat="1" applyFont="1" applyBorder="1"/>
    <xf numFmtId="37" fontId="18" fillId="0" borderId="78" xfId="25" applyNumberFormat="1" applyFont="1" applyBorder="1"/>
    <xf numFmtId="166" fontId="25" fillId="0" borderId="67" xfId="25" applyNumberFormat="1" applyFont="1" applyBorder="1"/>
    <xf numFmtId="168" fontId="18" fillId="2" borderId="37" xfId="25" applyNumberFormat="1" applyFont="1" applyFill="1" applyBorder="1"/>
    <xf numFmtId="168" fontId="18" fillId="2" borderId="34" xfId="25" applyNumberFormat="1" applyFont="1" applyFill="1" applyBorder="1"/>
    <xf numFmtId="37" fontId="18" fillId="2" borderId="70" xfId="25" applyNumberFormat="1" applyFont="1" applyFill="1" applyBorder="1"/>
    <xf numFmtId="0" fontId="25" fillId="3" borderId="20" xfId="25" applyFont="1" applyFill="1" applyBorder="1"/>
    <xf numFmtId="0" fontId="25" fillId="3" borderId="7" xfId="25" applyFont="1" applyFill="1" applyBorder="1"/>
    <xf numFmtId="37" fontId="25" fillId="3" borderId="7" xfId="25" applyNumberFormat="1" applyFont="1" applyFill="1" applyBorder="1"/>
    <xf numFmtId="37" fontId="18" fillId="3" borderId="71" xfId="25" applyNumberFormat="1" applyFont="1" applyFill="1" applyBorder="1"/>
    <xf numFmtId="0" fontId="18" fillId="3" borderId="7" xfId="25" applyFont="1" applyFill="1" applyBorder="1"/>
    <xf numFmtId="37" fontId="18" fillId="3" borderId="7" xfId="25" applyNumberFormat="1" applyFont="1" applyFill="1" applyBorder="1"/>
    <xf numFmtId="37" fontId="18" fillId="3" borderId="72" xfId="25" applyNumberFormat="1" applyFont="1" applyFill="1" applyBorder="1"/>
    <xf numFmtId="37" fontId="18" fillId="3" borderId="0" xfId="25" applyNumberFormat="1" applyFont="1" applyFill="1"/>
    <xf numFmtId="168" fontId="18" fillId="3" borderId="0" xfId="25" applyNumberFormat="1" applyFont="1" applyFill="1"/>
    <xf numFmtId="168" fontId="18" fillId="3" borderId="72" xfId="25" applyNumberFormat="1" applyFont="1" applyFill="1" applyBorder="1"/>
    <xf numFmtId="168" fontId="18" fillId="3" borderId="7" xfId="25" applyNumberFormat="1" applyFont="1" applyFill="1" applyBorder="1"/>
    <xf numFmtId="37" fontId="18" fillId="3" borderId="73" xfId="25" applyNumberFormat="1" applyFont="1" applyFill="1" applyBorder="1"/>
    <xf numFmtId="168" fontId="18" fillId="0" borderId="51" xfId="25" applyNumberFormat="1" applyFont="1" applyBorder="1"/>
    <xf numFmtId="0" fontId="25" fillId="2" borderId="93" xfId="25" applyFont="1" applyFill="1" applyBorder="1"/>
    <xf numFmtId="0" fontId="25" fillId="2" borderId="94" xfId="25" applyFont="1" applyFill="1" applyBorder="1"/>
    <xf numFmtId="0" fontId="25" fillId="2" borderId="94" xfId="25" applyFont="1" applyFill="1" applyBorder="1" applyAlignment="1">
      <alignment horizontal="center"/>
    </xf>
    <xf numFmtId="168" fontId="25" fillId="2" borderId="94" xfId="25" applyNumberFormat="1" applyFont="1" applyFill="1" applyBorder="1"/>
    <xf numFmtId="37" fontId="25" fillId="2" borderId="101" xfId="25" applyNumberFormat="1" applyFont="1" applyFill="1" applyBorder="1"/>
    <xf numFmtId="37" fontId="25" fillId="2" borderId="94" xfId="25" applyNumberFormat="1" applyFont="1" applyFill="1" applyBorder="1"/>
    <xf numFmtId="37" fontId="25" fillId="2" borderId="102" xfId="25" applyNumberFormat="1" applyFont="1" applyFill="1" applyBorder="1"/>
    <xf numFmtId="168" fontId="25" fillId="2" borderId="103" xfId="25" applyNumberFormat="1" applyFont="1" applyFill="1" applyBorder="1"/>
    <xf numFmtId="0" fontId="25" fillId="2" borderId="102" xfId="25" applyFont="1" applyFill="1" applyBorder="1" applyAlignment="1">
      <alignment horizontal="center"/>
    </xf>
    <xf numFmtId="37" fontId="25" fillId="2" borderId="104" xfId="25" applyNumberFormat="1" applyFont="1" applyFill="1" applyBorder="1"/>
    <xf numFmtId="168" fontId="25" fillId="2" borderId="30" xfId="25" applyNumberFormat="1" applyFont="1" applyFill="1" applyBorder="1"/>
    <xf numFmtId="39" fontId="18" fillId="0" borderId="0" xfId="25" applyNumberFormat="1" applyFont="1"/>
    <xf numFmtId="0" fontId="51" fillId="0" borderId="0" xfId="25" applyFont="1"/>
    <xf numFmtId="0" fontId="51" fillId="0" borderId="0" xfId="25" applyFont="1" applyAlignment="1">
      <alignment horizontal="center"/>
    </xf>
    <xf numFmtId="0" fontId="51" fillId="0" borderId="0" xfId="25" applyFont="1" applyAlignment="1">
      <alignment horizontal="right" vertical="center"/>
    </xf>
    <xf numFmtId="0" fontId="51" fillId="0" borderId="0" xfId="25" applyFont="1" applyAlignment="1">
      <alignment horizontal="center" vertical="center"/>
    </xf>
    <xf numFmtId="0" fontId="51" fillId="0" borderId="0" xfId="25" applyFont="1" applyAlignment="1">
      <alignment horizontal="right"/>
    </xf>
    <xf numFmtId="37" fontId="25" fillId="2" borderId="105" xfId="25" applyNumberFormat="1" applyFont="1" applyFill="1" applyBorder="1"/>
    <xf numFmtId="37" fontId="25" fillId="2" borderId="106" xfId="25" applyNumberFormat="1" applyFont="1" applyFill="1" applyBorder="1"/>
    <xf numFmtId="37" fontId="25" fillId="2" borderId="97" xfId="25" applyNumberFormat="1" applyFont="1" applyFill="1" applyBorder="1"/>
    <xf numFmtId="168" fontId="25" fillId="2" borderId="100" xfId="25" applyNumberFormat="1" applyFont="1" applyFill="1" applyBorder="1"/>
    <xf numFmtId="0" fontId="11" fillId="0" borderId="9" xfId="25" applyFont="1" applyBorder="1"/>
    <xf numFmtId="37" fontId="11" fillId="0" borderId="66" xfId="25" applyNumberFormat="1" applyFont="1" applyBorder="1"/>
    <xf numFmtId="0" fontId="11" fillId="0" borderId="66" xfId="25" applyFont="1" applyBorder="1"/>
    <xf numFmtId="0" fontId="11" fillId="0" borderId="78" xfId="25" applyFont="1" applyBorder="1"/>
    <xf numFmtId="0" fontId="11" fillId="0" borderId="68" xfId="25" applyFont="1" applyBorder="1"/>
    <xf numFmtId="0" fontId="11" fillId="0" borderId="8" xfId="25" applyFont="1" applyBorder="1"/>
    <xf numFmtId="168" fontId="25" fillId="2" borderId="95" xfId="25" applyNumberFormat="1" applyFont="1" applyFill="1" applyBorder="1"/>
    <xf numFmtId="0" fontId="45" fillId="0" borderId="0" xfId="25" applyFont="1"/>
    <xf numFmtId="37" fontId="45" fillId="0" borderId="0" xfId="25" applyNumberFormat="1" applyFont="1"/>
    <xf numFmtId="170" fontId="11" fillId="0" borderId="0" xfId="25" applyNumberFormat="1" applyFont="1"/>
    <xf numFmtId="175" fontId="11" fillId="0" borderId="0" xfId="25" applyNumberFormat="1" applyFont="1" applyAlignment="1">
      <alignment horizontal="right"/>
    </xf>
    <xf numFmtId="10" fontId="53" fillId="0" borderId="0" xfId="25" applyNumberFormat="1"/>
    <xf numFmtId="166" fontId="11" fillId="0" borderId="0" xfId="27" applyFont="1"/>
    <xf numFmtId="166" fontId="11" fillId="0" borderId="0" xfId="25" applyNumberFormat="1" applyFont="1"/>
    <xf numFmtId="17" fontId="11" fillId="0" borderId="0" xfId="25" applyNumberFormat="1" applyFont="1" applyAlignment="1">
      <alignment horizontal="right"/>
    </xf>
    <xf numFmtId="174" fontId="11" fillId="0" borderId="0" xfId="25" applyNumberFormat="1" applyFont="1"/>
    <xf numFmtId="0" fontId="35" fillId="8" borderId="85" xfId="0" applyFont="1" applyFill="1" applyBorder="1" applyAlignment="1">
      <alignment horizontal="center" vertical="center"/>
    </xf>
    <xf numFmtId="0" fontId="35" fillId="9" borderId="85" xfId="0" applyFont="1" applyFill="1" applyBorder="1" applyAlignment="1">
      <alignment horizontal="center" vertical="center"/>
    </xf>
    <xf numFmtId="0" fontId="35" fillId="7" borderId="85" xfId="0" applyFont="1" applyFill="1" applyBorder="1" applyAlignment="1">
      <alignment horizontal="center" vertical="center"/>
    </xf>
    <xf numFmtId="0" fontId="35" fillId="6" borderId="85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5" fillId="0" borderId="47" xfId="0" applyFont="1" applyBorder="1"/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5" fillId="0" borderId="91" xfId="0" applyFont="1" applyBorder="1"/>
    <xf numFmtId="0" fontId="14" fillId="0" borderId="1" xfId="0" applyFont="1" applyBorder="1" applyAlignment="1">
      <alignment horizontal="center"/>
    </xf>
    <xf numFmtId="0" fontId="14" fillId="0" borderId="99" xfId="0" applyFont="1" applyBorder="1" applyAlignment="1">
      <alignment horizontal="center" vertical="center"/>
    </xf>
    <xf numFmtId="0" fontId="15" fillId="0" borderId="97" xfId="0" applyFont="1" applyBorder="1"/>
    <xf numFmtId="0" fontId="15" fillId="0" borderId="100" xfId="0" applyFont="1" applyBorder="1"/>
    <xf numFmtId="0" fontId="15" fillId="0" borderId="5" xfId="0" applyFont="1" applyBorder="1"/>
    <xf numFmtId="0" fontId="14" fillId="0" borderId="60" xfId="0" applyFont="1" applyBorder="1" applyAlignment="1">
      <alignment horizontal="center" vertical="center"/>
    </xf>
    <xf numFmtId="0" fontId="15" fillId="0" borderId="60" xfId="0" applyFont="1" applyBorder="1"/>
    <xf numFmtId="0" fontId="15" fillId="0" borderId="61" xfId="0" applyFont="1" applyBorder="1"/>
    <xf numFmtId="0" fontId="15" fillId="0" borderId="98" xfId="0" applyFont="1" applyBorder="1"/>
    <xf numFmtId="0" fontId="14" fillId="0" borderId="62" xfId="0" applyFont="1" applyBorder="1" applyAlignment="1">
      <alignment horizontal="center" vertical="center"/>
    </xf>
    <xf numFmtId="0" fontId="14" fillId="0" borderId="97" xfId="25" applyFont="1" applyBorder="1" applyAlignment="1">
      <alignment horizontal="center" vertical="center"/>
    </xf>
    <xf numFmtId="0" fontId="15" fillId="0" borderId="97" xfId="25" applyFont="1" applyBorder="1"/>
    <xf numFmtId="0" fontId="15" fillId="0" borderId="98" xfId="25" applyFont="1" applyBorder="1"/>
    <xf numFmtId="0" fontId="14" fillId="0" borderId="99" xfId="25" applyFont="1" applyBorder="1" applyAlignment="1">
      <alignment horizontal="center" vertical="center"/>
    </xf>
    <xf numFmtId="0" fontId="15" fillId="0" borderId="100" xfId="25" applyFont="1" applyBorder="1"/>
    <xf numFmtId="0" fontId="14" fillId="0" borderId="91" xfId="25" applyFont="1" applyBorder="1" applyAlignment="1">
      <alignment horizontal="center"/>
    </xf>
    <xf numFmtId="0" fontId="15" fillId="0" borderId="91" xfId="25" applyFont="1" applyBorder="1"/>
    <xf numFmtId="0" fontId="15" fillId="0" borderId="47" xfId="25" applyFont="1" applyBorder="1"/>
    <xf numFmtId="0" fontId="14" fillId="0" borderId="46" xfId="25" applyFont="1" applyBorder="1" applyAlignment="1">
      <alignment horizontal="center"/>
    </xf>
  </cellXfs>
  <cellStyles count="28">
    <cellStyle name="Comma" xfId="21" builtinId="3"/>
    <cellStyle name="Comma 2" xfId="18" xr:uid="{B3812A5A-9C8C-4F45-A609-CEBF36AE3921}"/>
    <cellStyle name="Comma 3" xfId="20" xr:uid="{71EDA090-B677-4A1B-B2BC-D492BD32FFD6}"/>
    <cellStyle name="Comma 4" xfId="24" xr:uid="{45035DDF-451D-4AC0-8E2C-07753BC9829E}"/>
    <cellStyle name="Comma 5" xfId="27" xr:uid="{FA3B7AE0-EB03-409D-83C7-5D916B1032DF}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0" xfId="22" xr:uid="{23ABE56B-D847-4174-AE2D-CF2176C4F195}"/>
    <cellStyle name="Normal 11" xfId="25" xr:uid="{753FFD41-B076-438E-A1C6-67A9F4515828}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Normal 9" xfId="16" xr:uid="{EF83D6C0-F6FC-4ACE-9B7D-F4E195AD76B9}"/>
    <cellStyle name="Percent" xfId="1" builtinId="5"/>
    <cellStyle name="Percent 2" xfId="17" xr:uid="{2F69D9FB-FDB1-450E-973A-422085024D8F}"/>
    <cellStyle name="Percent 3" xfId="19" xr:uid="{5AC16773-698A-4789-B576-0F343030924E}"/>
    <cellStyle name="Percent 4" xfId="23" xr:uid="{037AAEA9-6190-4876-AC93-E27308677D58}"/>
    <cellStyle name="Percent 5" xfId="26" xr:uid="{F189A06C-55C8-4CEC-BA57-A1F31B6C17B4}"/>
    <cellStyle name="Pourcentage 2" xfId="7" xr:uid="{00000000-0005-0000-0000-000009000000}"/>
    <cellStyle name="Pourcentage 3" xfId="14" xr:uid="{B09CCB1C-0232-46FA-AAFA-AA26EA7AA4F5}"/>
  </cellStyles>
  <dxfs count="267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C4" sqref="C4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bestFit="1" customWidth="1"/>
    <col min="7" max="7" width="12.59765625" customWidth="1"/>
    <col min="8" max="9" width="1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2" spans="1:17" ht="14.4">
      <c r="C2" s="372"/>
    </row>
    <row r="3" spans="1:17" ht="14.4">
      <c r="B3" s="404" t="s">
        <v>222</v>
      </c>
      <c r="C3" s="373" t="s">
        <v>481</v>
      </c>
      <c r="P3" s="405"/>
      <c r="Q3" s="406"/>
    </row>
    <row r="5" spans="1:17" s="380" customFormat="1" ht="16.5" customHeight="1"/>
    <row r="6" spans="1:17" s="380" customFormat="1" ht="16.5" customHeight="1">
      <c r="B6" s="836" t="s">
        <v>206</v>
      </c>
      <c r="C6" s="836"/>
      <c r="D6" s="836"/>
      <c r="E6" s="836"/>
      <c r="F6" s="837" t="s">
        <v>207</v>
      </c>
      <c r="G6" s="837"/>
      <c r="H6" s="837"/>
      <c r="I6" s="837"/>
      <c r="J6" s="838" t="s">
        <v>208</v>
      </c>
      <c r="K6" s="838"/>
      <c r="L6" s="838"/>
      <c r="M6" s="838"/>
      <c r="N6" s="839" t="s">
        <v>209</v>
      </c>
      <c r="O6" s="839"/>
      <c r="P6" s="839"/>
      <c r="Q6" s="839"/>
    </row>
    <row r="7" spans="1:17" s="380" customFormat="1" ht="16.5" customHeight="1">
      <c r="A7"/>
      <c r="B7" s="387" t="s">
        <v>199</v>
      </c>
      <c r="C7" s="387" t="s">
        <v>200</v>
      </c>
      <c r="D7" s="387" t="s">
        <v>201</v>
      </c>
      <c r="E7" s="387" t="s">
        <v>202</v>
      </c>
      <c r="F7" s="388" t="s">
        <v>199</v>
      </c>
      <c r="G7" s="388" t="s">
        <v>200</v>
      </c>
      <c r="H7" s="388" t="s">
        <v>201</v>
      </c>
      <c r="I7" s="388" t="s">
        <v>202</v>
      </c>
      <c r="J7" s="403" t="s">
        <v>199</v>
      </c>
      <c r="K7" s="403" t="s">
        <v>200</v>
      </c>
      <c r="L7" s="403" t="s">
        <v>201</v>
      </c>
      <c r="M7" s="403" t="s">
        <v>202</v>
      </c>
      <c r="N7" s="389" t="s">
        <v>199</v>
      </c>
      <c r="O7" s="389" t="s">
        <v>200</v>
      </c>
      <c r="P7" s="389" t="s">
        <v>201</v>
      </c>
      <c r="Q7" s="389" t="s">
        <v>202</v>
      </c>
    </row>
    <row r="8" spans="1:17" s="380" customFormat="1" ht="16.5" customHeight="1">
      <c r="A8" s="379" t="s">
        <v>205</v>
      </c>
      <c r="B8" s="390" t="e">
        <f>+B9-B10</f>
        <v>#REF!</v>
      </c>
      <c r="C8" s="390" t="e">
        <f t="shared" ref="C8:F8" si="0">+C9-C10</f>
        <v>#REF!</v>
      </c>
      <c r="D8" s="390" t="e">
        <f t="shared" si="0"/>
        <v>#REF!</v>
      </c>
      <c r="E8" s="390" t="e">
        <f t="shared" si="0"/>
        <v>#REF!</v>
      </c>
      <c r="F8" s="390" t="e">
        <f t="shared" si="0"/>
        <v>#REF!</v>
      </c>
      <c r="G8" s="390" t="e">
        <f t="shared" ref="G8" si="1">+G9-G10</f>
        <v>#REF!</v>
      </c>
      <c r="H8" s="390" t="e">
        <f t="shared" ref="H8" si="2">+H9-H10</f>
        <v>#REF!</v>
      </c>
      <c r="I8" s="390" t="e">
        <f t="shared" ref="I8:J8" si="3">+I9-I10</f>
        <v>#REF!</v>
      </c>
      <c r="J8" s="399" t="e">
        <f t="shared" si="3"/>
        <v>#REF!</v>
      </c>
      <c r="K8" s="399" t="e">
        <f t="shared" ref="K8" si="4">+K9-K10</f>
        <v>#REF!</v>
      </c>
      <c r="L8" s="399" t="e">
        <f t="shared" ref="L8" si="5">+L9-L10</f>
        <v>#REF!</v>
      </c>
      <c r="M8" s="399" t="e">
        <f t="shared" ref="M8:N8" si="6">+M9-M10</f>
        <v>#REF!</v>
      </c>
      <c r="N8" s="390" t="e">
        <f t="shared" si="6"/>
        <v>#REF!</v>
      </c>
      <c r="O8" s="390" t="e">
        <f t="shared" ref="O8" si="7">+O9-O10</f>
        <v>#REF!</v>
      </c>
      <c r="P8" s="390" t="e">
        <f t="shared" ref="P8" si="8">+P9-P10</f>
        <v>#REF!</v>
      </c>
      <c r="Q8" s="390" t="e">
        <f t="shared" ref="Q8" si="9">+Q9-Q10</f>
        <v>#REF!</v>
      </c>
    </row>
    <row r="9" spans="1:17" s="380" customFormat="1" ht="16.5" customHeight="1">
      <c r="A9" s="381" t="s">
        <v>203</v>
      </c>
      <c r="B9" s="383">
        <f>+Conso!$Z$405</f>
        <v>14227381.510730777</v>
      </c>
      <c r="C9" s="383">
        <f>+Conso!$Z$406</f>
        <v>1964256.573040121</v>
      </c>
      <c r="D9" s="383">
        <f>+Conso!$Z$482</f>
        <v>516253.45356468228</v>
      </c>
      <c r="E9" s="383">
        <f>+Conso!$Z$497</f>
        <v>500994.61106468231</v>
      </c>
      <c r="F9" s="383">
        <f>+Conso!$AC$405</f>
        <v>0</v>
      </c>
      <c r="G9" s="383">
        <f>+Conso!$AC$406</f>
        <v>0</v>
      </c>
      <c r="H9" s="383">
        <f>+Conso!$AC$482</f>
        <v>0</v>
      </c>
      <c r="I9" s="383">
        <f>+Conso!$AC$497</f>
        <v>0</v>
      </c>
      <c r="J9" s="383">
        <f>+Conso!$AF$405</f>
        <v>14540992.850000001</v>
      </c>
      <c r="K9" s="383">
        <f>+Conso!$AF$406</f>
        <v>1891334.5100000002</v>
      </c>
      <c r="L9" s="383">
        <f>+Conso!$AF$482</f>
        <v>537161.1100000001</v>
      </c>
      <c r="M9" s="383">
        <f>+Conso!$AF$497</f>
        <v>524217.6100000001</v>
      </c>
      <c r="N9" s="383">
        <f>+Conso!$AL$405</f>
        <v>16244538.08</v>
      </c>
      <c r="O9" s="383">
        <f>+Conso!$AL$406</f>
        <v>2131722.2899999996</v>
      </c>
      <c r="P9" s="383">
        <f>+Conso!$AL$482</f>
        <v>790555.83999999939</v>
      </c>
      <c r="Q9" s="383">
        <f>+Conso!$AL$497</f>
        <v>776331.96999999939</v>
      </c>
    </row>
    <row r="10" spans="1:17" s="380" customFormat="1" ht="16.5" customHeight="1">
      <c r="A10" s="382" t="s">
        <v>204</v>
      </c>
      <c r="B10" s="398" t="e">
        <f t="shared" ref="B10:Q10" si="10">+SUM(B11:B13)</f>
        <v>#REF!</v>
      </c>
      <c r="C10" s="398" t="e">
        <f t="shared" si="10"/>
        <v>#REF!</v>
      </c>
      <c r="D10" s="398" t="e">
        <f t="shared" si="10"/>
        <v>#REF!</v>
      </c>
      <c r="E10" s="398" t="e">
        <f t="shared" si="10"/>
        <v>#REF!</v>
      </c>
      <c r="F10" s="398" t="e">
        <f t="shared" si="10"/>
        <v>#REF!</v>
      </c>
      <c r="G10" s="398" t="e">
        <f t="shared" si="10"/>
        <v>#REF!</v>
      </c>
      <c r="H10" s="398" t="e">
        <f t="shared" si="10"/>
        <v>#REF!</v>
      </c>
      <c r="I10" s="398" t="e">
        <f t="shared" si="10"/>
        <v>#REF!</v>
      </c>
      <c r="J10" s="398" t="e">
        <f t="shared" si="10"/>
        <v>#REF!</v>
      </c>
      <c r="K10" s="398" t="e">
        <f t="shared" si="10"/>
        <v>#REF!</v>
      </c>
      <c r="L10" s="398" t="e">
        <f t="shared" si="10"/>
        <v>#REF!</v>
      </c>
      <c r="M10" s="398" t="e">
        <f t="shared" si="10"/>
        <v>#REF!</v>
      </c>
      <c r="N10" s="398" t="e">
        <f t="shared" si="10"/>
        <v>#REF!</v>
      </c>
      <c r="O10" s="398" t="e">
        <f t="shared" si="10"/>
        <v>#REF!</v>
      </c>
      <c r="P10" s="398" t="e">
        <f t="shared" si="10"/>
        <v>#REF!</v>
      </c>
      <c r="Q10" s="398" t="e">
        <f t="shared" si="10"/>
        <v>#REF!</v>
      </c>
    </row>
    <row r="11" spans="1:17" s="380" customFormat="1" ht="16.5" customHeight="1">
      <c r="A11" s="392" t="s">
        <v>215</v>
      </c>
      <c r="B11" s="384" t="e">
        <f>+#REF!</f>
        <v>#REF!</v>
      </c>
      <c r="C11" s="384" t="e">
        <f>+#REF!</f>
        <v>#REF!</v>
      </c>
      <c r="D11" s="384" t="e">
        <f>+#REF!</f>
        <v>#REF!</v>
      </c>
      <c r="E11" s="384" t="e">
        <f>+#REF!</f>
        <v>#REF!</v>
      </c>
      <c r="F11" s="384" t="e">
        <f>+#REF!</f>
        <v>#REF!</v>
      </c>
      <c r="G11" s="384" t="e">
        <f>+#REF!</f>
        <v>#REF!</v>
      </c>
      <c r="H11" s="384" t="e">
        <f>+#REF!</f>
        <v>#REF!</v>
      </c>
      <c r="I11" s="384" t="e">
        <f>+#REF!</f>
        <v>#REF!</v>
      </c>
      <c r="J11" s="400" t="e">
        <f>+#REF!</f>
        <v>#REF!</v>
      </c>
      <c r="K11" s="400" t="e">
        <f>+#REF!</f>
        <v>#REF!</v>
      </c>
      <c r="L11" s="400" t="e">
        <f>+#REF!</f>
        <v>#REF!</v>
      </c>
      <c r="M11" s="400" t="e">
        <f>+#REF!</f>
        <v>#REF!</v>
      </c>
      <c r="N11" s="384" t="e">
        <f>+#REF!</f>
        <v>#REF!</v>
      </c>
      <c r="O11" s="384" t="e">
        <f>+#REF!</f>
        <v>#REF!</v>
      </c>
      <c r="P11" s="384" t="e">
        <f>+#REF!</f>
        <v>#REF!</v>
      </c>
      <c r="Q11" s="384" t="e">
        <f>+#REF!</f>
        <v>#REF!</v>
      </c>
    </row>
    <row r="12" spans="1:17" s="380" customFormat="1" ht="16.5" customHeight="1">
      <c r="A12" s="393" t="s">
        <v>216</v>
      </c>
      <c r="B12" s="385" t="e">
        <f>+#REF!</f>
        <v>#REF!</v>
      </c>
      <c r="C12" s="385" t="e">
        <f>+#REF!</f>
        <v>#REF!</v>
      </c>
      <c r="D12" s="385" t="e">
        <f>+#REF!</f>
        <v>#REF!</v>
      </c>
      <c r="E12" s="385" t="e">
        <f>+#REF!</f>
        <v>#REF!</v>
      </c>
      <c r="F12" s="385" t="e">
        <f>+#REF!</f>
        <v>#REF!</v>
      </c>
      <c r="G12" s="385" t="e">
        <f>+#REF!</f>
        <v>#REF!</v>
      </c>
      <c r="H12" s="385" t="e">
        <f>+#REF!</f>
        <v>#REF!</v>
      </c>
      <c r="I12" s="385" t="e">
        <f>+#REF!</f>
        <v>#REF!</v>
      </c>
      <c r="J12" s="401" t="e">
        <f>+#REF!</f>
        <v>#REF!</v>
      </c>
      <c r="K12" s="401" t="e">
        <f>+#REF!</f>
        <v>#REF!</v>
      </c>
      <c r="L12" s="401" t="e">
        <f>+#REF!</f>
        <v>#REF!</v>
      </c>
      <c r="M12" s="401" t="e">
        <f>+#REF!</f>
        <v>#REF!</v>
      </c>
      <c r="N12" s="385" t="e">
        <f>+#REF!</f>
        <v>#REF!</v>
      </c>
      <c r="O12" s="385" t="e">
        <f>+#REF!</f>
        <v>#REF!</v>
      </c>
      <c r="P12" s="385" t="e">
        <f>+#REF!</f>
        <v>#REF!</v>
      </c>
      <c r="Q12" s="385" t="e">
        <f>+#REF!</f>
        <v>#REF!</v>
      </c>
    </row>
    <row r="13" spans="1:17">
      <c r="A13" s="394" t="s">
        <v>217</v>
      </c>
      <c r="B13" s="386" t="e">
        <f>+#REF!</f>
        <v>#REF!</v>
      </c>
      <c r="C13" s="386" t="e">
        <f>+#REF!</f>
        <v>#REF!</v>
      </c>
      <c r="D13" s="386" t="e">
        <f>+#REF!</f>
        <v>#REF!</v>
      </c>
      <c r="E13" s="386" t="e">
        <f>+#REF!</f>
        <v>#REF!</v>
      </c>
      <c r="F13" s="386" t="e">
        <f>+#REF!</f>
        <v>#REF!</v>
      </c>
      <c r="G13" s="386" t="e">
        <f>+#REF!</f>
        <v>#REF!</v>
      </c>
      <c r="H13" s="386" t="e">
        <f>+#REF!</f>
        <v>#REF!</v>
      </c>
      <c r="I13" s="386" t="e">
        <f>+#REF!</f>
        <v>#REF!</v>
      </c>
      <c r="J13" s="402" t="e">
        <f>+#REF!</f>
        <v>#REF!</v>
      </c>
      <c r="K13" s="402" t="e">
        <f>+#REF!</f>
        <v>#REF!</v>
      </c>
      <c r="L13" s="402" t="e">
        <f>+#REF!</f>
        <v>#REF!</v>
      </c>
      <c r="M13" s="402" t="e">
        <f>+#REF!</f>
        <v>#REF!</v>
      </c>
      <c r="N13" s="386" t="e">
        <f>+#REF!</f>
        <v>#REF!</v>
      </c>
      <c r="O13" s="386" t="e">
        <f>+#REF!</f>
        <v>#REF!</v>
      </c>
      <c r="P13" s="386" t="e">
        <f>+#REF!</f>
        <v>#REF!</v>
      </c>
      <c r="Q13" s="386" t="e">
        <f>+#REF!</f>
        <v>#REF!</v>
      </c>
    </row>
  </sheetData>
  <mergeCells count="4">
    <mergeCell ref="B6:E6"/>
    <mergeCell ref="F6:I6"/>
    <mergeCell ref="J6:M6"/>
    <mergeCell ref="N6:Q6"/>
  </mergeCells>
  <phoneticPr fontId="41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opLeftCell="C399" zoomScale="70" zoomScaleNormal="70" workbookViewId="0">
      <pane xSplit="1" topLeftCell="T1" activePane="topRight" state="frozen"/>
      <selection activeCell="C1" sqref="C1"/>
      <selection pane="topRight" activeCell="C479" sqref="C479"/>
    </sheetView>
  </sheetViews>
  <sheetFormatPr defaultColWidth="12.59765625" defaultRowHeight="15" customHeight="1"/>
  <cols>
    <col min="1" max="1" width="24.09765625" hidden="1" customWidth="1"/>
    <col min="2" max="2" width="21.59765625" hidden="1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9.8984375" customWidth="1"/>
    <col min="23" max="23" width="12.8984375" customWidth="1"/>
    <col min="24" max="24" width="13.3984375" customWidth="1"/>
    <col min="25" max="25" width="10.5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6.3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" customWidth="1"/>
    <col min="43" max="43" width="24" customWidth="1"/>
    <col min="44" max="62" width="11" customWidth="1"/>
  </cols>
  <sheetData>
    <row r="1" spans="1:40" ht="35.4">
      <c r="B1" s="1"/>
      <c r="C1" s="1" t="s">
        <v>193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409"/>
      <c r="Q1" s="410"/>
      <c r="R1" s="409"/>
      <c r="S1" s="411" t="str">
        <f>CONCATENATE("Réalisé"," ",Paramètre!$C$2," ",Paramètre!$C$3)</f>
        <v>Réalisé  Volks T3 2023</v>
      </c>
      <c r="T1" s="2" t="s">
        <v>1</v>
      </c>
      <c r="U1" s="6"/>
      <c r="V1" s="397"/>
      <c r="W1" s="397"/>
      <c r="X1" s="397"/>
      <c r="Y1" s="397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.6" thickTop="1">
      <c r="B3" s="12"/>
      <c r="C3" s="13"/>
      <c r="D3" s="842" t="s">
        <v>5</v>
      </c>
      <c r="E3" s="843"/>
      <c r="F3" s="844"/>
      <c r="G3" s="845" t="s">
        <v>6</v>
      </c>
      <c r="H3" s="843"/>
      <c r="I3" s="844"/>
      <c r="J3" s="845" t="s">
        <v>7</v>
      </c>
      <c r="K3" s="843"/>
      <c r="L3" s="844"/>
      <c r="M3" s="840" t="s">
        <v>472</v>
      </c>
      <c r="N3" s="841"/>
      <c r="O3" s="845" t="s">
        <v>9</v>
      </c>
      <c r="P3" s="842"/>
      <c r="Q3" s="846"/>
      <c r="R3" s="840" t="s">
        <v>473</v>
      </c>
      <c r="S3" s="841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4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474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474</v>
      </c>
      <c r="S4" s="18" t="s">
        <v>13</v>
      </c>
      <c r="T4" s="14"/>
      <c r="U4" s="14"/>
      <c r="V4" s="396"/>
      <c r="W4" s="396"/>
      <c r="X4" s="395"/>
      <c r="Y4" s="395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399999999999999">
      <c r="A5" t="str">
        <f>+B5&amp;C5</f>
        <v>Véhicules neufsVentes nettes</v>
      </c>
      <c r="B5" s="12" t="str">
        <f t="shared" ref="B5:B85" si="0">+$K$1</f>
        <v>Véhicules neufs</v>
      </c>
      <c r="C5" s="20" t="s">
        <v>15</v>
      </c>
      <c r="D5" s="21"/>
      <c r="E5" s="21"/>
      <c r="F5" s="22">
        <f>+SUM(START:END!F5)</f>
        <v>7317453.3437035885</v>
      </c>
      <c r="G5" s="23"/>
      <c r="H5" s="21"/>
      <c r="I5" s="22">
        <f>+SUM(START:END!I5)</f>
        <v>0</v>
      </c>
      <c r="J5" s="23"/>
      <c r="K5" s="24"/>
      <c r="L5" s="22">
        <f>+SUM(START:END!L5)</f>
        <v>7302296.0600000005</v>
      </c>
      <c r="M5" s="25"/>
      <c r="N5" s="26"/>
      <c r="O5" s="23"/>
      <c r="P5" s="24"/>
      <c r="Q5" s="22">
        <f>+SUM(START:END!Q5)</f>
        <v>8779737.5199999996</v>
      </c>
      <c r="R5" s="25"/>
      <c r="S5" s="26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399999999999999">
      <c r="A6" t="str">
        <f t="shared" ref="A6:A85" si="1">+B6&amp;C6</f>
        <v>Véhicules neufsAutos détail</v>
      </c>
      <c r="B6" s="12" t="str">
        <f t="shared" si="0"/>
        <v>Véhicules neufs</v>
      </c>
      <c r="C6" s="27" t="s">
        <v>16</v>
      </c>
      <c r="D6" s="28">
        <f>+SUM(START:END!D6)</f>
        <v>31.220571428571429</v>
      </c>
      <c r="E6" s="28">
        <f>IF(D6=0,0,F6/D6)</f>
        <v>1988.434</v>
      </c>
      <c r="F6" s="28">
        <f>+SUM(START:END!F6)</f>
        <v>62080.045727999997</v>
      </c>
      <c r="G6" s="29">
        <f>+SUM(START:END!G6)</f>
        <v>0</v>
      </c>
      <c r="H6" s="28">
        <f>IF(G6=0,0,I6/G6)</f>
        <v>0</v>
      </c>
      <c r="I6" s="28">
        <f>+SUM(START:END!I6)</f>
        <v>0</v>
      </c>
      <c r="J6" s="29">
        <f>+SUM(START:END!J6)</f>
        <v>50</v>
      </c>
      <c r="K6" s="28">
        <f>IF(J6=0,0,L6/J6)</f>
        <v>2046.4023999999972</v>
      </c>
      <c r="L6" s="30">
        <f>+SUM(START:END!L6)</f>
        <v>102320.11999999986</v>
      </c>
      <c r="M6" s="29">
        <f t="shared" ref="M6:M12" si="2">J6-D6</f>
        <v>18.779428571428571</v>
      </c>
      <c r="N6" s="31">
        <f t="shared" ref="N6:N12" si="3">L6-F6</f>
        <v>40240.074271999867</v>
      </c>
      <c r="O6" s="29">
        <f>+SUM(START:END!O6)</f>
        <v>50</v>
      </c>
      <c r="P6" s="28">
        <f>IF(O6=0,0,Q6/O6)</f>
        <v>2395.0896000000007</v>
      </c>
      <c r="Q6" s="30">
        <f>+SUM(START:END!Q6)</f>
        <v>119754.48000000004</v>
      </c>
      <c r="R6" s="29">
        <f t="shared" ref="R6:R12" si="4">J6-O6</f>
        <v>0</v>
      </c>
      <c r="S6" s="31">
        <f t="shared" ref="S6:S12" si="5">L6-Q6</f>
        <v>-17434.360000000175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399999999999999">
      <c r="A7" t="str">
        <f t="shared" si="1"/>
        <v>Véhicules neufsCamions détail</v>
      </c>
      <c r="B7" s="12" t="str">
        <f t="shared" si="0"/>
        <v>Véhicules neufs</v>
      </c>
      <c r="C7" s="27" t="s">
        <v>17</v>
      </c>
      <c r="D7" s="28">
        <f>+SUM(START:END!D7)</f>
        <v>124.8697974857143</v>
      </c>
      <c r="E7" s="28">
        <f t="shared" ref="E7:E12" si="6">IF(D7=0,0,F7/D7)</f>
        <v>2556.333633363336</v>
      </c>
      <c r="F7" s="28">
        <f>+SUM(START:END!F7)</f>
        <v>319208.86310399999</v>
      </c>
      <c r="G7" s="29">
        <f>+SUM(START:END!G7)</f>
        <v>0</v>
      </c>
      <c r="H7" s="28">
        <f t="shared" ref="H7:H12" si="7">IF(G7=0,0,I7/G7)</f>
        <v>0</v>
      </c>
      <c r="I7" s="28">
        <f>+SUM(START:END!I7)</f>
        <v>0</v>
      </c>
      <c r="J7" s="29">
        <f>+SUM(START:END!J7)</f>
        <v>82</v>
      </c>
      <c r="K7" s="28">
        <f t="shared" ref="K7:K12" si="8">IF(J7=0,0,L7/J7)</f>
        <v>2576.8303658536583</v>
      </c>
      <c r="L7" s="30">
        <f>+SUM(START:END!L7)</f>
        <v>211300.08999999997</v>
      </c>
      <c r="M7" s="29">
        <f t="shared" si="2"/>
        <v>-42.869797485714301</v>
      </c>
      <c r="N7" s="31">
        <f t="shared" si="3"/>
        <v>-107908.77310400002</v>
      </c>
      <c r="O7" s="29">
        <f>+SUM(START:END!O7)</f>
        <v>120</v>
      </c>
      <c r="P7" s="28">
        <f t="shared" ref="P7:P12" si="9">IF(O7=0,0,Q7/O7)</f>
        <v>2998.470749999995</v>
      </c>
      <c r="Q7" s="30">
        <f>+SUM(START:END!Q7)</f>
        <v>359816.48999999941</v>
      </c>
      <c r="R7" s="29">
        <f t="shared" si="4"/>
        <v>-38</v>
      </c>
      <c r="S7" s="31">
        <f t="shared" si="5"/>
        <v>-148516.39999999944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399999999999999">
      <c r="A8" t="str">
        <f t="shared" si="1"/>
        <v>Véhicules neufsSprinter</v>
      </c>
      <c r="B8" s="12" t="str">
        <f t="shared" si="0"/>
        <v>Véhicules neufs</v>
      </c>
      <c r="C8" s="27" t="s">
        <v>18</v>
      </c>
      <c r="D8" s="28">
        <f>+SUM(START:END!D8)</f>
        <v>0</v>
      </c>
      <c r="E8" s="28">
        <f t="shared" si="6"/>
        <v>0</v>
      </c>
      <c r="F8" s="28">
        <f>+SUM(START:END!F8)</f>
        <v>0</v>
      </c>
      <c r="G8" s="29">
        <f>+SUM(START:END!G8)</f>
        <v>0</v>
      </c>
      <c r="H8" s="28">
        <f t="shared" si="7"/>
        <v>0</v>
      </c>
      <c r="I8" s="28">
        <f>+SUM(START:END!I8)</f>
        <v>0</v>
      </c>
      <c r="J8" s="29">
        <f>+SUM(START:END!J8)</f>
        <v>0</v>
      </c>
      <c r="K8" s="28">
        <f t="shared" si="8"/>
        <v>0</v>
      </c>
      <c r="L8" s="30">
        <f>+SUM(START:END!L8)</f>
        <v>0</v>
      </c>
      <c r="M8" s="29">
        <f t="shared" si="2"/>
        <v>0</v>
      </c>
      <c r="N8" s="31">
        <f t="shared" si="3"/>
        <v>0</v>
      </c>
      <c r="O8" s="29">
        <f>+SUM(START:END!O8)</f>
        <v>0</v>
      </c>
      <c r="P8" s="28">
        <f t="shared" si="9"/>
        <v>0</v>
      </c>
      <c r="Q8" s="30">
        <f>+SUM(START:END!Q8)</f>
        <v>0</v>
      </c>
      <c r="R8" s="29">
        <f t="shared" si="4"/>
        <v>0</v>
      </c>
      <c r="S8" s="31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399999999999999">
      <c r="A9" t="str">
        <f t="shared" si="1"/>
        <v>Véhicules neufsMoto détail</v>
      </c>
      <c r="B9" s="12" t="str">
        <f t="shared" si="0"/>
        <v>Véhicules neufs</v>
      </c>
      <c r="C9" s="27" t="s">
        <v>19</v>
      </c>
      <c r="D9" s="28">
        <f>+SUM(START:END!D9)</f>
        <v>0</v>
      </c>
      <c r="E9" s="28">
        <f t="shared" si="6"/>
        <v>0</v>
      </c>
      <c r="F9" s="28">
        <f>+SUM(START:END!F9)</f>
        <v>0</v>
      </c>
      <c r="G9" s="29">
        <f>+SUM(START:END!G9)</f>
        <v>0</v>
      </c>
      <c r="H9" s="28">
        <f t="shared" si="7"/>
        <v>0</v>
      </c>
      <c r="I9" s="28">
        <f>+SUM(START:END!I9)</f>
        <v>0</v>
      </c>
      <c r="J9" s="29">
        <f>+SUM(START:END!J9)</f>
        <v>0</v>
      </c>
      <c r="K9" s="28">
        <f t="shared" si="8"/>
        <v>0</v>
      </c>
      <c r="L9" s="30">
        <f>+SUM(START:END!L9)</f>
        <v>0</v>
      </c>
      <c r="M9" s="29">
        <f t="shared" si="2"/>
        <v>0</v>
      </c>
      <c r="N9" s="31">
        <f t="shared" si="3"/>
        <v>0</v>
      </c>
      <c r="O9" s="29">
        <f>+SUM(START:END!O9)</f>
        <v>0</v>
      </c>
      <c r="P9" s="28">
        <f t="shared" si="9"/>
        <v>0</v>
      </c>
      <c r="Q9" s="30">
        <f>+SUM(START:END!Q9)</f>
        <v>0</v>
      </c>
      <c r="R9" s="29">
        <f t="shared" si="4"/>
        <v>0</v>
      </c>
      <c r="S9" s="31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399999999999999" hidden="1" customHeight="1">
      <c r="A10" t="str">
        <f t="shared" si="1"/>
        <v>Véhicules neufs[...]</v>
      </c>
      <c r="B10" s="12" t="str">
        <f t="shared" si="0"/>
        <v>Véhicules neufs</v>
      </c>
      <c r="C10" s="27" t="s">
        <v>20</v>
      </c>
      <c r="D10" s="28">
        <f>+SUM(START:END!D10)</f>
        <v>0</v>
      </c>
      <c r="E10" s="28">
        <f t="shared" si="6"/>
        <v>0</v>
      </c>
      <c r="F10" s="28">
        <f>+SUM(START:END!F10)</f>
        <v>0</v>
      </c>
      <c r="G10" s="29">
        <f>+SUM(START:END!G10)</f>
        <v>0</v>
      </c>
      <c r="H10" s="28">
        <f t="shared" si="7"/>
        <v>0</v>
      </c>
      <c r="I10" s="28">
        <f>+SUM(START:END!I10)</f>
        <v>0</v>
      </c>
      <c r="J10" s="29">
        <f>+SUM(START:END!J10)</f>
        <v>0</v>
      </c>
      <c r="K10" s="28">
        <f t="shared" si="8"/>
        <v>0</v>
      </c>
      <c r="L10" s="30">
        <f>+SUM(START:END!L10)</f>
        <v>0</v>
      </c>
      <c r="M10" s="29">
        <f t="shared" si="2"/>
        <v>0</v>
      </c>
      <c r="N10" s="31">
        <f t="shared" si="3"/>
        <v>0</v>
      </c>
      <c r="O10" s="29">
        <f>+SUM(START:END!O10)</f>
        <v>0</v>
      </c>
      <c r="P10" s="28">
        <f t="shared" si="9"/>
        <v>0</v>
      </c>
      <c r="Q10" s="30">
        <f>+SUM(START:END!Q10)</f>
        <v>0</v>
      </c>
      <c r="R10" s="29">
        <f t="shared" si="4"/>
        <v>0</v>
      </c>
      <c r="S10" s="31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399999999999999" hidden="1" customHeight="1">
      <c r="A11" t="str">
        <f t="shared" si="1"/>
        <v>Véhicules neufs[...]</v>
      </c>
      <c r="B11" s="12" t="str">
        <f t="shared" si="0"/>
        <v>Véhicules neufs</v>
      </c>
      <c r="C11" s="27" t="s">
        <v>20</v>
      </c>
      <c r="D11" s="28">
        <f>+SUM(START:END!D11)</f>
        <v>0</v>
      </c>
      <c r="E11" s="28">
        <f t="shared" si="6"/>
        <v>0</v>
      </c>
      <c r="F11" s="28">
        <f>+SUM(START:END!F11)</f>
        <v>0</v>
      </c>
      <c r="G11" s="29">
        <f>+SUM(START:END!G11)</f>
        <v>0</v>
      </c>
      <c r="H11" s="28">
        <f t="shared" si="7"/>
        <v>0</v>
      </c>
      <c r="I11" s="28">
        <f>+SUM(START:END!I11)</f>
        <v>0</v>
      </c>
      <c r="J11" s="29">
        <f>+SUM(START:END!J11)</f>
        <v>0</v>
      </c>
      <c r="K11" s="28">
        <f t="shared" si="8"/>
        <v>0</v>
      </c>
      <c r="L11" s="30">
        <f>+SUM(START:END!L11)</f>
        <v>0</v>
      </c>
      <c r="M11" s="29">
        <f t="shared" si="2"/>
        <v>0</v>
      </c>
      <c r="N11" s="31">
        <f t="shared" si="3"/>
        <v>0</v>
      </c>
      <c r="O11" s="29">
        <f>+SUM(START:END!O11)</f>
        <v>0</v>
      </c>
      <c r="P11" s="28">
        <f t="shared" si="9"/>
        <v>0</v>
      </c>
      <c r="Q11" s="30">
        <f>+SUM(START:END!Q11)</f>
        <v>0</v>
      </c>
      <c r="R11" s="29">
        <f t="shared" si="4"/>
        <v>0</v>
      </c>
      <c r="S11" s="31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399999999999999" hidden="1" customHeight="1">
      <c r="A12" t="str">
        <f t="shared" si="1"/>
        <v>Véhicules neufs[...]</v>
      </c>
      <c r="B12" s="12" t="str">
        <f t="shared" si="0"/>
        <v>Véhicules neufs</v>
      </c>
      <c r="C12" s="27" t="s">
        <v>20</v>
      </c>
      <c r="D12" s="28">
        <f>+SUM(START:END!D12)</f>
        <v>0</v>
      </c>
      <c r="E12" s="28">
        <f t="shared" si="6"/>
        <v>0</v>
      </c>
      <c r="F12" s="28">
        <f>+SUM(START:END!F12)</f>
        <v>0</v>
      </c>
      <c r="G12" s="29">
        <f>+SUM(START:END!G12)</f>
        <v>0</v>
      </c>
      <c r="H12" s="28">
        <f t="shared" si="7"/>
        <v>0</v>
      </c>
      <c r="I12" s="28">
        <f>+SUM(START:END!I12)</f>
        <v>0</v>
      </c>
      <c r="J12" s="29">
        <f>+SUM(START:END!J12)</f>
        <v>0</v>
      </c>
      <c r="K12" s="28">
        <f t="shared" si="8"/>
        <v>0</v>
      </c>
      <c r="L12" s="30">
        <f>+SUM(START:END!L12)</f>
        <v>0</v>
      </c>
      <c r="M12" s="29">
        <f t="shared" si="2"/>
        <v>0</v>
      </c>
      <c r="N12" s="31">
        <f t="shared" si="3"/>
        <v>0</v>
      </c>
      <c r="O12" s="29">
        <f>+SUM(START:END!O12)</f>
        <v>0</v>
      </c>
      <c r="P12" s="28">
        <f t="shared" si="9"/>
        <v>0</v>
      </c>
      <c r="Q12" s="30">
        <f>+SUM(START:END!Q12)</f>
        <v>0</v>
      </c>
      <c r="R12" s="29">
        <f t="shared" si="4"/>
        <v>0</v>
      </c>
      <c r="S12" s="31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1">
      <c r="A13" t="str">
        <f t="shared" si="1"/>
        <v>Véhicules neufsTotal Neufs</v>
      </c>
      <c r="B13" s="12" t="str">
        <f t="shared" si="0"/>
        <v>Véhicules neufs</v>
      </c>
      <c r="C13" s="33" t="s">
        <v>21</v>
      </c>
      <c r="D13" s="34">
        <f>+SUM(D6:D12)</f>
        <v>156.09036891428573</v>
      </c>
      <c r="E13" s="34">
        <f>IF(D13&lt;=0,0,F13/D13)</f>
        <v>2442.7446195695652</v>
      </c>
      <c r="F13" s="35">
        <f>+SUM(F6:F12)</f>
        <v>381288.90883199999</v>
      </c>
      <c r="G13" s="36">
        <f>+SUM(G6:G12)</f>
        <v>0</v>
      </c>
      <c r="H13" s="34">
        <f>IF(G13&lt;=0,0,I13/G13)</f>
        <v>0</v>
      </c>
      <c r="I13" s="35">
        <f>+SUM(I6:I12)</f>
        <v>0</v>
      </c>
      <c r="J13" s="36">
        <f>+SUM(J6:J12)</f>
        <v>132</v>
      </c>
      <c r="K13" s="34">
        <f>IF(J13&lt;=0,0,L13/J13)</f>
        <v>2375.9106818181808</v>
      </c>
      <c r="L13" s="35">
        <f>+SUM(L6:L12)</f>
        <v>313620.20999999985</v>
      </c>
      <c r="M13" s="36">
        <f>+SUM(M6:M12)</f>
        <v>-24.09036891428573</v>
      </c>
      <c r="N13" s="35">
        <f t="shared" ref="N13" si="10">+SUM(N6:N12)</f>
        <v>-67668.698832000155</v>
      </c>
      <c r="O13" s="36">
        <f>+SUM(O6:O12)</f>
        <v>170</v>
      </c>
      <c r="P13" s="34">
        <f>IF(O13&lt;=0,0,Q13/O13)</f>
        <v>2821.0057058823495</v>
      </c>
      <c r="Q13" s="35">
        <f>+SUM(Q6:Q12)</f>
        <v>479570.96999999945</v>
      </c>
      <c r="R13" s="36">
        <f t="shared" ref="R13:S13" si="11">+SUM(R6:R12)</f>
        <v>-38</v>
      </c>
      <c r="S13" s="35">
        <f t="shared" si="11"/>
        <v>-165950.7599999996</v>
      </c>
      <c r="T13" s="14"/>
      <c r="U13" s="14"/>
      <c r="V13" s="28"/>
      <c r="W13" s="28"/>
      <c r="X13" s="28"/>
      <c r="Y13" s="28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399999999999999">
      <c r="A14" t="str">
        <f t="shared" si="1"/>
        <v>Véhicules neufs</v>
      </c>
      <c r="B14" s="12" t="str">
        <f t="shared" si="0"/>
        <v>Véhicules neufs</v>
      </c>
      <c r="C14" s="27"/>
      <c r="D14" s="14"/>
      <c r="E14" s="28"/>
      <c r="F14" s="37"/>
      <c r="G14" s="38"/>
      <c r="H14" s="28"/>
      <c r="I14" s="37"/>
      <c r="J14" s="38"/>
      <c r="K14" s="28"/>
      <c r="L14" s="37"/>
      <c r="M14" s="414">
        <f>IF(D13=0,0,M13/D13)</f>
        <v>-0.15433603675774851</v>
      </c>
      <c r="N14" s="415">
        <f>IF(F13=0,0,N13/F13)</f>
        <v>-0.17747355683460417</v>
      </c>
      <c r="O14" s="38"/>
      <c r="P14" s="28"/>
      <c r="Q14" s="37"/>
      <c r="R14" s="414">
        <f>R13/O13</f>
        <v>-0.22352941176470589</v>
      </c>
      <c r="S14" s="415">
        <f>IF(Q13=0,0,(S13/Q13))</f>
        <v>-0.3460400449176475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1">
      <c r="A15" t="str">
        <f t="shared" si="1"/>
        <v>Véhicules neufsEx-Démos et courtoisies</v>
      </c>
      <c r="B15" s="12" t="str">
        <f t="shared" si="0"/>
        <v>Véhicules neufs</v>
      </c>
      <c r="C15" s="42" t="s">
        <v>22</v>
      </c>
      <c r="D15" s="24">
        <f>+SUM(START:END!D15)</f>
        <v>7.4571428571428573</v>
      </c>
      <c r="E15" s="24">
        <f t="shared" ref="E15" si="12">IF(D15=0,0,F15/D15)</f>
        <v>2442.5491999999999</v>
      </c>
      <c r="F15" s="22">
        <f>+SUM(START:END!F15)</f>
        <v>18214.438320000001</v>
      </c>
      <c r="G15" s="43">
        <f>+SUM(START:END!G15)</f>
        <v>0</v>
      </c>
      <c r="H15" s="44">
        <f t="shared" ref="H15" si="13">IF(G15=0,0,I15/G15)</f>
        <v>0</v>
      </c>
      <c r="I15" s="45">
        <f>+SUM(START:END!I15)</f>
        <v>0</v>
      </c>
      <c r="J15" s="46">
        <f>+SUM(START:END!J15)</f>
        <v>12</v>
      </c>
      <c r="K15" s="47">
        <f>IF(J15=0,0,L15/J15)</f>
        <v>1085.3925000000029</v>
      </c>
      <c r="L15" s="47">
        <f>+SUM(START:END!L15)</f>
        <v>13024.710000000036</v>
      </c>
      <c r="M15" s="48">
        <f>J15-D15</f>
        <v>4.5428571428571427</v>
      </c>
      <c r="N15" s="45">
        <f>L15-F15</f>
        <v>-5189.7283199999656</v>
      </c>
      <c r="O15" s="46">
        <f>+SUM(START:END!O15)</f>
        <v>6</v>
      </c>
      <c r="P15" s="47">
        <f>IF(O15=0,0,Q15/O15)</f>
        <v>3041.8483333333338</v>
      </c>
      <c r="Q15" s="47">
        <f>+SUM(START:END!Q15)</f>
        <v>18251.090000000004</v>
      </c>
      <c r="R15" s="48">
        <f>J15-O15</f>
        <v>6</v>
      </c>
      <c r="S15" s="45">
        <f>L15-Q15</f>
        <v>-5226.3799999999683</v>
      </c>
      <c r="T15" s="14"/>
      <c r="U15" s="14"/>
      <c r="V15" s="28"/>
      <c r="W15" s="28"/>
      <c r="X15" s="28"/>
      <c r="Y15" s="28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1">
      <c r="A16" t="str">
        <f t="shared" si="1"/>
        <v>Véhicules neufs</v>
      </c>
      <c r="B16" s="12" t="str">
        <f t="shared" si="0"/>
        <v>Véhicules neufs</v>
      </c>
      <c r="C16" s="27"/>
      <c r="D16" s="14"/>
      <c r="E16" s="28"/>
      <c r="F16" s="37"/>
      <c r="G16" s="38"/>
      <c r="H16" s="28"/>
      <c r="I16" s="37"/>
      <c r="J16" s="38"/>
      <c r="K16" s="28"/>
      <c r="L16" s="31"/>
      <c r="M16" s="39"/>
      <c r="N16" s="40"/>
      <c r="O16" s="38"/>
      <c r="P16" s="28"/>
      <c r="Q16" s="31"/>
      <c r="R16" s="39"/>
      <c r="S16" s="40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1">
      <c r="A17" t="str">
        <f t="shared" si="1"/>
        <v>Véhicules neufsFlottes</v>
      </c>
      <c r="B17" s="12" t="str">
        <f t="shared" si="0"/>
        <v>Véhicules neufs</v>
      </c>
      <c r="C17" s="50" t="s">
        <v>23</v>
      </c>
      <c r="D17" s="28">
        <f>+SUM(START:END!D17)</f>
        <v>5.9657142857142853</v>
      </c>
      <c r="E17" s="28">
        <f t="shared" ref="E17" si="14">IF(D17=0,0,F17/D17)</f>
        <v>2442.5491999999999</v>
      </c>
      <c r="F17" s="28">
        <f>+SUM(START:END!F17)</f>
        <v>14571.550655999999</v>
      </c>
      <c r="G17" s="29">
        <f>+SUM(START:END!G17)</f>
        <v>0</v>
      </c>
      <c r="H17" s="28">
        <f t="shared" ref="H17" si="15">IF(G17=0,0,I17/G17)</f>
        <v>0</v>
      </c>
      <c r="I17" s="28">
        <f>+SUM(START:END!I17)</f>
        <v>0</v>
      </c>
      <c r="J17" s="48">
        <f>+SUM(START:END!J17)</f>
        <v>6</v>
      </c>
      <c r="K17" s="28">
        <f>IF(J17=0,0,L17/J17)</f>
        <v>3562.0233333333331</v>
      </c>
      <c r="L17" s="31">
        <f>+SUM(START:END!L17)</f>
        <v>21372.14</v>
      </c>
      <c r="M17" s="48">
        <f>J17-D17</f>
        <v>3.4285714285714697E-2</v>
      </c>
      <c r="N17" s="31">
        <f>L17-F17</f>
        <v>6800.589344</v>
      </c>
      <c r="O17" s="48">
        <f>+SUM(START:END!O17)</f>
        <v>9</v>
      </c>
      <c r="P17" s="28">
        <f>IF(O17=0,0,Q17/O17)</f>
        <v>2185.0777777777757</v>
      </c>
      <c r="Q17" s="31">
        <f>+SUM(START:END!Q17)</f>
        <v>19665.699999999983</v>
      </c>
      <c r="R17" s="29">
        <f>J17-O17</f>
        <v>-3</v>
      </c>
      <c r="S17" s="31">
        <f>L17-Q17</f>
        <v>1706.4400000000169</v>
      </c>
      <c r="T17" s="14"/>
      <c r="U17" s="14"/>
      <c r="V17" s="28"/>
      <c r="W17" s="28"/>
      <c r="X17" s="28"/>
      <c r="Y17" s="28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1">
      <c r="A18" t="str">
        <f t="shared" si="1"/>
        <v>Véhicules neufs</v>
      </c>
      <c r="B18" s="12" t="str">
        <f t="shared" si="0"/>
        <v>Véhicules neufs</v>
      </c>
      <c r="C18" s="33"/>
      <c r="D18" s="51"/>
      <c r="E18" s="51"/>
      <c r="F18" s="52"/>
      <c r="G18" s="53"/>
      <c r="H18" s="51"/>
      <c r="I18" s="52"/>
      <c r="J18" s="29"/>
      <c r="K18" s="51"/>
      <c r="L18" s="52"/>
      <c r="M18" s="29"/>
      <c r="N18" s="52"/>
      <c r="O18" s="29"/>
      <c r="P18" s="51"/>
      <c r="Q18" s="52"/>
      <c r="R18" s="53"/>
      <c r="S18" s="52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1">
      <c r="A19" t="str">
        <f t="shared" si="1"/>
        <v>Véhicules neufsRachat bail</v>
      </c>
      <c r="B19" s="12" t="str">
        <f t="shared" si="0"/>
        <v>Véhicules neufs</v>
      </c>
      <c r="C19" s="42" t="s">
        <v>24</v>
      </c>
      <c r="D19" s="28"/>
      <c r="E19" s="28"/>
      <c r="F19" s="28">
        <f>+SUM(START:END!F19)</f>
        <v>23040</v>
      </c>
      <c r="G19" s="29"/>
      <c r="H19" s="28"/>
      <c r="I19" s="28">
        <f>+SUM(START:END!I19)</f>
        <v>0</v>
      </c>
      <c r="J19" s="43"/>
      <c r="K19" s="28"/>
      <c r="L19" s="31">
        <f>+SUM(START:END!L19)</f>
        <v>25661.020000000019</v>
      </c>
      <c r="M19" s="29"/>
      <c r="N19" s="31">
        <f>L19-F19</f>
        <v>2621.0200000000186</v>
      </c>
      <c r="O19" s="43"/>
      <c r="P19" s="28"/>
      <c r="Q19" s="31">
        <f>+SUM(START:END!Q19)</f>
        <v>47656.290000000037</v>
      </c>
      <c r="R19" s="29">
        <f>O19-K19</f>
        <v>0</v>
      </c>
      <c r="S19" s="31">
        <f>L19-Q19</f>
        <v>-21995.270000000019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1">
      <c r="A20" t="str">
        <f t="shared" si="1"/>
        <v>Véhicules neufs</v>
      </c>
      <c r="B20" s="12" t="str">
        <f t="shared" si="0"/>
        <v>Véhicules neufs</v>
      </c>
      <c r="C20" s="33"/>
      <c r="D20" s="51"/>
      <c r="E20" s="51"/>
      <c r="F20" s="52"/>
      <c r="G20" s="53"/>
      <c r="H20" s="51"/>
      <c r="I20" s="52"/>
      <c r="J20" s="29"/>
      <c r="K20" s="51"/>
      <c r="L20" s="52"/>
      <c r="M20" s="53"/>
      <c r="N20" s="52"/>
      <c r="O20" s="29"/>
      <c r="P20" s="51"/>
      <c r="Q20" s="52"/>
      <c r="R20" s="53"/>
      <c r="S20" s="52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27" t="s">
        <v>25</v>
      </c>
      <c r="D21" s="28">
        <v>0</v>
      </c>
      <c r="E21" s="28">
        <f t="shared" ref="E21:E23" si="16">IF(D21=0,0,F21/D21)</f>
        <v>0</v>
      </c>
      <c r="F21" s="28">
        <f>+SUM(START:END!F21)</f>
        <v>28130.172024685715</v>
      </c>
      <c r="G21" s="38">
        <v>0</v>
      </c>
      <c r="H21" s="28">
        <f t="shared" ref="H21:H23" si="17">IF(G21=0,0,I21/G21)</f>
        <v>0</v>
      </c>
      <c r="I21" s="28">
        <f>+SUM(START:END!I21)</f>
        <v>0</v>
      </c>
      <c r="J21" s="29"/>
      <c r="K21" s="28">
        <f>IF(J13=0,0,L21/(J13+J15))</f>
        <v>163.83465277777776</v>
      </c>
      <c r="L21" s="31">
        <f>+SUM(START:END!L21)</f>
        <v>23592.19</v>
      </c>
      <c r="M21" s="29"/>
      <c r="N21" s="31">
        <f>L21-F21</f>
        <v>-4537.9820246857162</v>
      </c>
      <c r="O21" s="29"/>
      <c r="P21" s="28">
        <f>IF(O13=0,0,Q21/(O13+O15))</f>
        <v>194.3490340909091</v>
      </c>
      <c r="Q21" s="31">
        <f>+SUM(START:END!Q21)</f>
        <v>34205.43</v>
      </c>
      <c r="R21" s="29">
        <f t="shared" ref="R21:R23" si="18">O21-K21</f>
        <v>-163.83465277777776</v>
      </c>
      <c r="S21" s="31">
        <f t="shared" ref="S21:S24" si="19">L21-Q21</f>
        <v>-10613.240000000002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1"/>
        <v>Véhicules neufsRev. Protections</v>
      </c>
      <c r="B22" s="12" t="str">
        <f t="shared" si="0"/>
        <v>Véhicules neufs</v>
      </c>
      <c r="C22" s="27" t="s">
        <v>26</v>
      </c>
      <c r="D22" s="28">
        <v>0</v>
      </c>
      <c r="E22" s="28">
        <f t="shared" si="16"/>
        <v>0</v>
      </c>
      <c r="F22" s="28">
        <f>+SUM(START:END!F22)</f>
        <v>154715.94613577146</v>
      </c>
      <c r="G22" s="38">
        <v>0</v>
      </c>
      <c r="H22" s="28">
        <f t="shared" si="17"/>
        <v>0</v>
      </c>
      <c r="I22" s="28">
        <f>+SUM(START:END!I22)</f>
        <v>0</v>
      </c>
      <c r="J22" s="29"/>
      <c r="K22" s="28">
        <f>IF(J13=0,0,L22/(J13+J15))</f>
        <v>1082.3577777777778</v>
      </c>
      <c r="L22" s="31">
        <f>+SUM(START:END!L22)</f>
        <v>155859.51999999999</v>
      </c>
      <c r="M22" s="29"/>
      <c r="N22" s="31">
        <f>L22-F22</f>
        <v>1143.5738642285287</v>
      </c>
      <c r="O22" s="29"/>
      <c r="P22" s="28">
        <f>IF(O13=0,0,Q22/(O13+O15))</f>
        <v>896.4943750000001</v>
      </c>
      <c r="Q22" s="31">
        <f>+SUM(START:END!Q22)</f>
        <v>157783.01</v>
      </c>
      <c r="R22" s="29">
        <f t="shared" si="18"/>
        <v>-1082.3577777777778</v>
      </c>
      <c r="S22" s="31">
        <f t="shared" si="19"/>
        <v>-1923.4900000000198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1"/>
        <v>Véhicules neufsRev. Autres</v>
      </c>
      <c r="B23" s="12" t="str">
        <f t="shared" si="0"/>
        <v>Véhicules neufs</v>
      </c>
      <c r="C23" s="27" t="s">
        <v>27</v>
      </c>
      <c r="D23" s="28">
        <v>0</v>
      </c>
      <c r="E23" s="28">
        <f t="shared" si="16"/>
        <v>0</v>
      </c>
      <c r="F23" s="28">
        <f>+SUM(START:END!F23)</f>
        <v>4742.877841371429</v>
      </c>
      <c r="G23" s="38">
        <v>0</v>
      </c>
      <c r="H23" s="28">
        <f t="shared" si="17"/>
        <v>0</v>
      </c>
      <c r="I23" s="28">
        <f>+SUM(START:END!I23)</f>
        <v>0</v>
      </c>
      <c r="J23" s="29"/>
      <c r="K23" s="28">
        <f>IF(J13=0,0,L23/(J13+J15))</f>
        <v>8.1495833333333323</v>
      </c>
      <c r="L23" s="31">
        <f>+SUM(START:END!L23)</f>
        <v>1173.54</v>
      </c>
      <c r="M23" s="48"/>
      <c r="N23" s="31">
        <f>L23-F23</f>
        <v>-3569.337841371429</v>
      </c>
      <c r="O23" s="29"/>
      <c r="P23" s="28">
        <f>IF(O13=0,0,Q23/(O13+O15))</f>
        <v>24.291250000000002</v>
      </c>
      <c r="Q23" s="31">
        <f>+SUM(START:END!Q23)</f>
        <v>4275.26</v>
      </c>
      <c r="R23" s="29">
        <f t="shared" si="18"/>
        <v>-8.1495833333333323</v>
      </c>
      <c r="S23" s="31">
        <f t="shared" si="19"/>
        <v>-3101.7200000000003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1"/>
        <v>Véhicules neufsTotal F&amp;I</v>
      </c>
      <c r="B24" s="12" t="str">
        <f t="shared" si="0"/>
        <v>Véhicules neufs</v>
      </c>
      <c r="C24" s="33" t="s">
        <v>28</v>
      </c>
      <c r="D24" s="34">
        <f>+D15+D13</f>
        <v>163.54751177142859</v>
      </c>
      <c r="E24" s="34">
        <f>IF(D24&lt;=0,0,F24/D24)</f>
        <v>1147</v>
      </c>
      <c r="F24" s="35">
        <f>F21+F22+F23</f>
        <v>187588.99600182861</v>
      </c>
      <c r="G24" s="36">
        <f>+G15+G13</f>
        <v>0</v>
      </c>
      <c r="H24" s="34">
        <f>IF(G24&lt;=0,0,I24/G24)</f>
        <v>0</v>
      </c>
      <c r="I24" s="35">
        <f>I21+I22+I23</f>
        <v>0</v>
      </c>
      <c r="J24" s="36">
        <f>+J15+J13</f>
        <v>144</v>
      </c>
      <c r="K24" s="34">
        <f>IF(J24&lt;=0,0,L24/J24)</f>
        <v>1254.3420138888889</v>
      </c>
      <c r="L24" s="35">
        <f>L21+L22+L23</f>
        <v>180625.25</v>
      </c>
      <c r="M24" s="54">
        <f>J24-D24</f>
        <v>-19.547511771428589</v>
      </c>
      <c r="N24" s="35">
        <f>L24-F24</f>
        <v>-6963.7460018286074</v>
      </c>
      <c r="O24" s="36">
        <f>+O15+O13</f>
        <v>176</v>
      </c>
      <c r="P24" s="34">
        <f>IF(O24&lt;=0,0,Q24/O24)</f>
        <v>1115.1346590909091</v>
      </c>
      <c r="Q24" s="35">
        <f>Q21+Q22+Q23</f>
        <v>196263.7</v>
      </c>
      <c r="R24" s="53"/>
      <c r="S24" s="35">
        <f t="shared" si="19"/>
        <v>-15638.450000000012</v>
      </c>
      <c r="T24" s="14"/>
      <c r="U24" s="14"/>
      <c r="V24" s="28"/>
      <c r="W24" s="28"/>
      <c r="X24" s="28"/>
      <c r="Y24" s="28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27"/>
      <c r="D25" s="14"/>
      <c r="E25" s="14"/>
      <c r="F25" s="55"/>
      <c r="G25" s="38"/>
      <c r="H25" s="14"/>
      <c r="I25" s="55"/>
      <c r="J25" s="38"/>
      <c r="K25" s="14"/>
      <c r="L25" s="55"/>
      <c r="M25" s="39"/>
      <c r="N25" s="40">
        <f>IF(N24=0,0,N24/F24)</f>
        <v>-3.7122358721727609E-2</v>
      </c>
      <c r="O25" s="38"/>
      <c r="P25" s="14"/>
      <c r="Q25" s="55"/>
      <c r="R25" s="56"/>
      <c r="S25" s="40">
        <f>IF(Q24=0,0,(S24/Q24))</f>
        <v>-7.9680806995893846E-2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27"/>
      <c r="D26" s="14"/>
      <c r="E26" s="14"/>
      <c r="F26" s="37"/>
      <c r="G26" s="38"/>
      <c r="H26" s="14"/>
      <c r="I26" s="37"/>
      <c r="J26" s="38"/>
      <c r="K26" s="14"/>
      <c r="L26" s="37"/>
      <c r="M26" s="38"/>
      <c r="N26" s="37"/>
      <c r="O26" s="38"/>
      <c r="P26" s="14"/>
      <c r="Q26" s="37"/>
      <c r="R26" s="38"/>
      <c r="S26" s="37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58" t="s">
        <v>29</v>
      </c>
      <c r="D27" s="59">
        <f>+D13+D15+D17</f>
        <v>169.51322605714287</v>
      </c>
      <c r="E27" s="60">
        <f>IF(D27&lt;=0,0,F27/D27)</f>
        <v>3685.2811331620874</v>
      </c>
      <c r="F27" s="61">
        <f>F13+F17+F24+F19+F15</f>
        <v>624703.89380982856</v>
      </c>
      <c r="G27" s="62">
        <f>+G13+G15+G17</f>
        <v>0</v>
      </c>
      <c r="H27" s="63">
        <f>IF(G27&lt;=0,0,I27/G27)</f>
        <v>0</v>
      </c>
      <c r="I27" s="61">
        <f>I13+I17+I24+I19+I15</f>
        <v>0</v>
      </c>
      <c r="J27" s="62">
        <f>+J13+J15+J17</f>
        <v>150</v>
      </c>
      <c r="K27" s="63">
        <f>IF(J27&lt;=0,0,L27/J27)</f>
        <v>3695.3555333333329</v>
      </c>
      <c r="L27" s="61">
        <f>L13+L17+L24+L19+L15</f>
        <v>554303.32999999996</v>
      </c>
      <c r="M27" s="62">
        <f>J27-D27</f>
        <v>-19.513226057142873</v>
      </c>
      <c r="N27" s="61">
        <f>L27-F27</f>
        <v>-70400.5638098286</v>
      </c>
      <c r="O27" s="62">
        <f>+O13+O15+O17</f>
        <v>185</v>
      </c>
      <c r="P27" s="63">
        <f>IF(O27&lt;=0,0,Q27/O27)</f>
        <v>4115.7175675675644</v>
      </c>
      <c r="Q27" s="61">
        <f>Q13+Q17+Q24+Q19+Q15</f>
        <v>761407.74999999942</v>
      </c>
      <c r="R27" s="62">
        <f>J27-O27</f>
        <v>-35</v>
      </c>
      <c r="S27" s="61">
        <f>L27-Q27</f>
        <v>-207104.41999999946</v>
      </c>
      <c r="T27" s="14"/>
      <c r="U27" s="14"/>
      <c r="V27" s="28"/>
      <c r="W27" s="28"/>
      <c r="X27" s="28"/>
      <c r="Y27" s="28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64"/>
      <c r="D28" s="65"/>
      <c r="E28" s="65"/>
      <c r="F28" s="66"/>
      <c r="G28" s="67"/>
      <c r="H28" s="65"/>
      <c r="I28" s="66"/>
      <c r="J28" s="67"/>
      <c r="K28" s="65"/>
      <c r="L28" s="66"/>
      <c r="M28" s="68">
        <f>M27/D27</f>
        <v>-0.11511329535174422</v>
      </c>
      <c r="N28" s="69">
        <f>N27/F27</f>
        <v>-0.11269429326025593</v>
      </c>
      <c r="O28" s="67"/>
      <c r="P28" s="65"/>
      <c r="Q28" s="66"/>
      <c r="R28" s="68">
        <f>R27/O27</f>
        <v>-0.1891891891891892</v>
      </c>
      <c r="S28" s="69">
        <f>IF(Q27=0,0,S27/Q27)</f>
        <v>-0.2720019857953897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0"/>
      <c r="D29" s="71"/>
      <c r="E29" s="71"/>
      <c r="F29" s="72"/>
      <c r="G29" s="73"/>
      <c r="H29" s="71"/>
      <c r="I29" s="72"/>
      <c r="J29" s="73"/>
      <c r="K29" s="71"/>
      <c r="L29" s="72"/>
      <c r="M29" s="39"/>
      <c r="N29" s="40"/>
      <c r="O29" s="73"/>
      <c r="P29" s="71"/>
      <c r="Q29" s="72"/>
      <c r="R29" s="39"/>
      <c r="S29" s="40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74" t="s">
        <v>30</v>
      </c>
      <c r="D30" s="14"/>
      <c r="E30" s="75"/>
      <c r="F30" s="55"/>
      <c r="G30" s="38"/>
      <c r="H30" s="75"/>
      <c r="I30" s="55"/>
      <c r="J30" s="38"/>
      <c r="K30" s="75"/>
      <c r="L30" s="37"/>
      <c r="M30" s="38"/>
      <c r="N30" s="37"/>
      <c r="O30" s="38"/>
      <c r="P30" s="75"/>
      <c r="Q30" s="37"/>
      <c r="R30" s="38"/>
      <c r="S30" s="37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27" t="s">
        <v>31</v>
      </c>
      <c r="D31" s="76"/>
      <c r="E31" s="77">
        <f t="shared" ref="E31:E40" si="20">F31/D$24</f>
        <v>769.75869710991196</v>
      </c>
      <c r="F31" s="28">
        <f>+SUM(START:END!F31)</f>
        <v>125892.11957674286</v>
      </c>
      <c r="G31" s="78"/>
      <c r="H31" s="77" t="e">
        <f t="shared" ref="H31:H40" si="21">I31/G$24</f>
        <v>#DIV/0!</v>
      </c>
      <c r="I31" s="28">
        <f>+SUM(START:END!I31)</f>
        <v>0</v>
      </c>
      <c r="J31" s="79">
        <f>L31/L13</f>
        <v>0.3139335950320295</v>
      </c>
      <c r="K31" s="77">
        <f t="shared" ref="K31:K40" si="22">IF(L31=0,0,L31/J$24)</f>
        <v>683.72166666666669</v>
      </c>
      <c r="L31" s="28">
        <f>+SUM(START:END!L31)</f>
        <v>98455.92</v>
      </c>
      <c r="M31" s="38"/>
      <c r="N31" s="55">
        <f t="shared" ref="N31:N53" si="23">L31-F31</f>
        <v>-27436.19957674286</v>
      </c>
      <c r="O31" s="38"/>
      <c r="P31" s="77">
        <f t="shared" ref="P31:P40" si="24">IF(Q31=0,0,Q31/O$24)</f>
        <v>820.38721590909108</v>
      </c>
      <c r="Q31" s="31">
        <f>+SUM(START:END!Q31)</f>
        <v>144388.15000000002</v>
      </c>
      <c r="R31" s="38"/>
      <c r="S31" s="55">
        <f t="shared" ref="S31:S53" si="25">L31-Q31</f>
        <v>-45932.230000000025</v>
      </c>
      <c r="T31" s="14"/>
      <c r="U31" s="14"/>
      <c r="V31" s="81"/>
      <c r="W31" s="81"/>
      <c r="X31" s="81"/>
      <c r="Y31" s="81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2" t="s">
        <v>32</v>
      </c>
      <c r="D32" s="83"/>
      <c r="E32" s="84">
        <f t="shared" si="20"/>
        <v>344.09999999999997</v>
      </c>
      <c r="F32" s="22">
        <f>+SUM(START:END!F32)</f>
        <v>56276.698800548576</v>
      </c>
      <c r="G32" s="85"/>
      <c r="H32" s="86" t="e">
        <f t="shared" si="21"/>
        <v>#DIV/0!</v>
      </c>
      <c r="I32" s="22">
        <f>+SUM(START:END!I32)</f>
        <v>0</v>
      </c>
      <c r="J32" s="87">
        <f>L32/L24</f>
        <v>0.30029206879990478</v>
      </c>
      <c r="K32" s="84">
        <f t="shared" si="22"/>
        <v>376.66895833333336</v>
      </c>
      <c r="L32" s="22">
        <f>+SUM(START:END!L32)</f>
        <v>54240.33</v>
      </c>
      <c r="M32" s="23"/>
      <c r="N32" s="88">
        <f t="shared" si="23"/>
        <v>-2036.3688005485747</v>
      </c>
      <c r="O32" s="23"/>
      <c r="P32" s="84">
        <f t="shared" si="24"/>
        <v>393.6260227272727</v>
      </c>
      <c r="Q32" s="22">
        <f>+SUM(START:END!Q32)</f>
        <v>69278.179999999993</v>
      </c>
      <c r="R32" s="23"/>
      <c r="S32" s="88">
        <f t="shared" si="25"/>
        <v>-15037.849999999991</v>
      </c>
      <c r="T32" s="14"/>
      <c r="U32" s="14"/>
      <c r="V32" s="81"/>
      <c r="W32" s="81"/>
      <c r="X32" s="81"/>
      <c r="Y32" s="81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27" t="s">
        <v>33</v>
      </c>
      <c r="D33" s="76"/>
      <c r="E33" s="77">
        <f t="shared" si="20"/>
        <v>113.25897667238421</v>
      </c>
      <c r="F33" s="28">
        <f>+SUM(START:END!F33)</f>
        <v>18523.223820546711</v>
      </c>
      <c r="G33" s="78"/>
      <c r="H33" s="77" t="e">
        <f t="shared" si="21"/>
        <v>#DIV/0!</v>
      </c>
      <c r="I33" s="28">
        <f>+SUM(START:END!I33)</f>
        <v>0</v>
      </c>
      <c r="J33" s="38"/>
      <c r="K33" s="77">
        <f t="shared" si="22"/>
        <v>120.79180555555556</v>
      </c>
      <c r="L33" s="28">
        <f>+SUM(START:END!L33)</f>
        <v>17394.02</v>
      </c>
      <c r="M33" s="38"/>
      <c r="N33" s="55">
        <f t="shared" si="23"/>
        <v>-1129.2038205467106</v>
      </c>
      <c r="O33" s="38"/>
      <c r="P33" s="77">
        <f t="shared" si="24"/>
        <v>47.600852272727273</v>
      </c>
      <c r="Q33" s="31">
        <f>+SUM(START:END!Q33)</f>
        <v>8377.75</v>
      </c>
      <c r="R33" s="38"/>
      <c r="S33" s="55">
        <f t="shared" si="25"/>
        <v>9016.27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27" t="s">
        <v>34</v>
      </c>
      <c r="D34" s="76"/>
      <c r="E34" s="77">
        <f t="shared" si="20"/>
        <v>5.1177856446126109</v>
      </c>
      <c r="F34" s="28">
        <f>+SUM(START:END!F34)</f>
        <v>837.00110795592923</v>
      </c>
      <c r="G34" s="78"/>
      <c r="H34" s="77" t="e">
        <f t="shared" si="21"/>
        <v>#DIV/0!</v>
      </c>
      <c r="I34" s="28">
        <f>+SUM(START:END!I34)</f>
        <v>0</v>
      </c>
      <c r="J34" s="38"/>
      <c r="K34" s="77">
        <f t="shared" si="22"/>
        <v>2.4093055555555556</v>
      </c>
      <c r="L34" s="28">
        <f>+SUM(START:END!L34)</f>
        <v>346.94</v>
      </c>
      <c r="M34" s="38"/>
      <c r="N34" s="55">
        <f t="shared" si="23"/>
        <v>-490.06110795592923</v>
      </c>
      <c r="O34" s="38"/>
      <c r="P34" s="77">
        <f t="shared" si="24"/>
        <v>1.2465340909090907</v>
      </c>
      <c r="Q34" s="31">
        <f>+SUM(START:END!Q34)</f>
        <v>219.39</v>
      </c>
      <c r="R34" s="38"/>
      <c r="S34" s="55">
        <f t="shared" si="25"/>
        <v>127.55000000000001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2" t="s">
        <v>35</v>
      </c>
      <c r="D35" s="83"/>
      <c r="E35" s="84">
        <f t="shared" si="20"/>
        <v>105.01044339622642</v>
      </c>
      <c r="F35" s="22">
        <f>+SUM(START:END!F35)</f>
        <v>17174.196727467275</v>
      </c>
      <c r="G35" s="85"/>
      <c r="H35" s="86" t="e">
        <f t="shared" si="21"/>
        <v>#DIV/0!</v>
      </c>
      <c r="I35" s="22">
        <f>+SUM(START:END!I35)</f>
        <v>0</v>
      </c>
      <c r="J35" s="23"/>
      <c r="K35" s="84">
        <f t="shared" si="22"/>
        <v>89.936388888888885</v>
      </c>
      <c r="L35" s="22">
        <f>+SUM(START:END!L35)</f>
        <v>12950.84</v>
      </c>
      <c r="M35" s="23"/>
      <c r="N35" s="88">
        <f t="shared" si="23"/>
        <v>-4223.3567274672751</v>
      </c>
      <c r="O35" s="23"/>
      <c r="P35" s="84">
        <f t="shared" si="24"/>
        <v>98.528693181818198</v>
      </c>
      <c r="Q35" s="31">
        <f>+SUM(START:END!Q35)</f>
        <v>17341.050000000003</v>
      </c>
      <c r="R35" s="23"/>
      <c r="S35" s="88">
        <f t="shared" si="25"/>
        <v>-4390.2100000000028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27" t="s">
        <v>36</v>
      </c>
      <c r="D36" s="76"/>
      <c r="E36" s="77">
        <f t="shared" si="20"/>
        <v>300.75552273170507</v>
      </c>
      <c r="F36" s="28">
        <f>+SUM(START:END!F36)</f>
        <v>49187.817394285696</v>
      </c>
      <c r="G36" s="78"/>
      <c r="H36" s="77" t="e">
        <f t="shared" si="21"/>
        <v>#DIV/0!</v>
      </c>
      <c r="I36" s="28">
        <f>+SUM(START:END!I36)</f>
        <v>0</v>
      </c>
      <c r="J36" s="38"/>
      <c r="K36" s="77">
        <f t="shared" si="22"/>
        <v>94.534722222222214</v>
      </c>
      <c r="L36" s="374">
        <f>+SUM(START:END!L36)</f>
        <v>13612.999999999998</v>
      </c>
      <c r="M36" s="14"/>
      <c r="N36" s="55">
        <f t="shared" si="23"/>
        <v>-35574.817394285696</v>
      </c>
      <c r="O36" s="38"/>
      <c r="P36" s="77">
        <f t="shared" si="24"/>
        <v>87.593295454545455</v>
      </c>
      <c r="Q36" s="52">
        <f>+SUM(START:END!Q36)</f>
        <v>15416.42</v>
      </c>
      <c r="R36" s="38"/>
      <c r="S36" s="55">
        <f t="shared" si="25"/>
        <v>-1803.4200000000019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27" t="s">
        <v>37</v>
      </c>
      <c r="D37" s="76"/>
      <c r="E37" s="77">
        <f t="shared" si="20"/>
        <v>56.151612888477736</v>
      </c>
      <c r="F37" s="28">
        <f>+SUM(START:END!F37)</f>
        <v>9183.456569863014</v>
      </c>
      <c r="G37" s="78"/>
      <c r="H37" s="77" t="e">
        <f t="shared" si="21"/>
        <v>#DIV/0!</v>
      </c>
      <c r="I37" s="28">
        <f>+SUM(START:END!I37)</f>
        <v>0</v>
      </c>
      <c r="J37" s="38"/>
      <c r="K37" s="77">
        <f t="shared" si="22"/>
        <v>60.15229166666667</v>
      </c>
      <c r="L37" s="32">
        <f>+SUM(START:END!L37)</f>
        <v>8661.93</v>
      </c>
      <c r="M37" s="14"/>
      <c r="N37" s="55">
        <f t="shared" si="23"/>
        <v>-521.52656986301372</v>
      </c>
      <c r="O37" s="38"/>
      <c r="P37" s="77">
        <f t="shared" si="24"/>
        <v>57.844545454545454</v>
      </c>
      <c r="Q37" s="31">
        <f>+SUM(START:END!Q37)</f>
        <v>10180.64</v>
      </c>
      <c r="R37" s="38"/>
      <c r="S37" s="55">
        <f t="shared" si="25"/>
        <v>-1518.7099999999991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27" t="s">
        <v>20</v>
      </c>
      <c r="D38" s="76"/>
      <c r="E38" s="77">
        <f t="shared" si="20"/>
        <v>0</v>
      </c>
      <c r="F38" s="28">
        <f>+SUM(START:END!F38)</f>
        <v>0</v>
      </c>
      <c r="G38" s="78"/>
      <c r="H38" s="77" t="e">
        <f t="shared" si="21"/>
        <v>#DIV/0!</v>
      </c>
      <c r="I38" s="28">
        <f>+SUM(START:END!I38)</f>
        <v>0</v>
      </c>
      <c r="J38" s="38"/>
      <c r="K38" s="77">
        <f t="shared" si="22"/>
        <v>0</v>
      </c>
      <c r="L38" s="32">
        <f>+SUM(START:END!L38)</f>
        <v>0</v>
      </c>
      <c r="M38" s="14"/>
      <c r="N38" s="55">
        <f t="shared" si="23"/>
        <v>0</v>
      </c>
      <c r="O38" s="38"/>
      <c r="P38" s="77">
        <f t="shared" si="24"/>
        <v>0</v>
      </c>
      <c r="Q38" s="31">
        <f>+SUM(START:END!Q38)</f>
        <v>0</v>
      </c>
      <c r="R38" s="38"/>
      <c r="S38" s="55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27" t="s">
        <v>20</v>
      </c>
      <c r="D39" s="76"/>
      <c r="E39" s="77">
        <f t="shared" si="20"/>
        <v>0</v>
      </c>
      <c r="F39" s="28">
        <f>+SUM(START:END!F39)</f>
        <v>0</v>
      </c>
      <c r="G39" s="78"/>
      <c r="H39" s="77" t="e">
        <f t="shared" si="21"/>
        <v>#DIV/0!</v>
      </c>
      <c r="I39" s="28">
        <f>+SUM(START:END!I39)</f>
        <v>0</v>
      </c>
      <c r="J39" s="38"/>
      <c r="K39" s="77">
        <f t="shared" si="22"/>
        <v>0</v>
      </c>
      <c r="L39" s="32">
        <f>+SUM(START:END!L39)</f>
        <v>0</v>
      </c>
      <c r="M39" s="14"/>
      <c r="N39" s="55">
        <f t="shared" si="23"/>
        <v>0</v>
      </c>
      <c r="O39" s="38"/>
      <c r="P39" s="77">
        <f t="shared" si="24"/>
        <v>0</v>
      </c>
      <c r="Q39" s="31">
        <f>+SUM(START:END!Q39)</f>
        <v>0</v>
      </c>
      <c r="R39" s="38"/>
      <c r="S39" s="55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27" t="s">
        <v>20</v>
      </c>
      <c r="D40" s="76"/>
      <c r="E40" s="77">
        <f t="shared" si="20"/>
        <v>0</v>
      </c>
      <c r="F40" s="28">
        <f>+SUM(START:END!F40)</f>
        <v>0</v>
      </c>
      <c r="G40" s="78"/>
      <c r="H40" s="77" t="e">
        <f t="shared" si="21"/>
        <v>#DIV/0!</v>
      </c>
      <c r="I40" s="28">
        <f>+SUM(START:END!I40)</f>
        <v>0</v>
      </c>
      <c r="J40" s="38"/>
      <c r="K40" s="77">
        <f t="shared" si="22"/>
        <v>0</v>
      </c>
      <c r="L40" s="49">
        <f>+SUM(START:END!L40)</f>
        <v>0</v>
      </c>
      <c r="M40" s="14"/>
      <c r="N40" s="55">
        <f t="shared" si="23"/>
        <v>0</v>
      </c>
      <c r="O40" s="38"/>
      <c r="P40" s="77">
        <f t="shared" si="24"/>
        <v>0</v>
      </c>
      <c r="Q40" s="31">
        <f>+SUM(START:END!Q40)</f>
        <v>0</v>
      </c>
      <c r="R40" s="38"/>
      <c r="S40" s="55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0" t="s">
        <v>38</v>
      </c>
      <c r="D41" s="91" t="s">
        <v>39</v>
      </c>
      <c r="E41" s="92">
        <f>F41/F$27</f>
        <v>0.44352935325509063</v>
      </c>
      <c r="F41" s="93">
        <f>SUM(F31:F40)</f>
        <v>277074.51399741007</v>
      </c>
      <c r="G41" s="94" t="s">
        <v>39</v>
      </c>
      <c r="H41" s="92" t="e">
        <f>I41/I$27</f>
        <v>#DIV/0!</v>
      </c>
      <c r="I41" s="93">
        <f>SUM(I31:I40)</f>
        <v>0</v>
      </c>
      <c r="J41" s="94" t="s">
        <v>39</v>
      </c>
      <c r="K41" s="92">
        <f>L41/L$27</f>
        <v>0.37102966709581198</v>
      </c>
      <c r="L41" s="93">
        <f>SUM(L31:L40)</f>
        <v>205662.97999999998</v>
      </c>
      <c r="M41" s="95"/>
      <c r="N41" s="93">
        <f t="shared" si="23"/>
        <v>-71411.533997410093</v>
      </c>
      <c r="O41" s="94" t="s">
        <v>39</v>
      </c>
      <c r="P41" s="92">
        <f>Q41/Q$27</f>
        <v>0.34830428242948697</v>
      </c>
      <c r="Q41" s="96">
        <f>SUM(Q31:Q40)</f>
        <v>265201.58</v>
      </c>
      <c r="R41" s="97"/>
      <c r="S41" s="93">
        <f t="shared" si="25"/>
        <v>-59538.600000000035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99" t="s">
        <v>41</v>
      </c>
      <c r="D42" s="14"/>
      <c r="E42" s="14"/>
      <c r="F42" s="28">
        <f>+SUM(START:END!F42)</f>
        <v>51877.489655172409</v>
      </c>
      <c r="G42" s="38" t="e">
        <f>I41/(I27+I83)</f>
        <v>#DIV/0!</v>
      </c>
      <c r="H42" s="14"/>
      <c r="I42" s="28">
        <f>+SUM(START:END!I42)</f>
        <v>0</v>
      </c>
      <c r="J42" s="38"/>
      <c r="K42" s="14"/>
      <c r="L42" s="31">
        <f>+SUM(START:END!L42)</f>
        <v>46357.07</v>
      </c>
      <c r="M42" s="38"/>
      <c r="N42" s="55">
        <f t="shared" si="23"/>
        <v>-5520.419655172409</v>
      </c>
      <c r="O42" s="38"/>
      <c r="P42" s="14"/>
      <c r="Q42" s="31">
        <f>+SUM(START:END!Q42)</f>
        <v>56096.979999999996</v>
      </c>
      <c r="R42" s="38"/>
      <c r="S42" s="55">
        <f t="shared" si="25"/>
        <v>-9739.9099999999962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0" t="s">
        <v>42</v>
      </c>
      <c r="D43" s="76"/>
      <c r="E43" s="14"/>
      <c r="F43" s="22">
        <f>+SUM(START:END!F43)</f>
        <v>30673.911724137932</v>
      </c>
      <c r="G43" s="78"/>
      <c r="H43" s="14"/>
      <c r="I43" s="22">
        <f>+SUM(START:END!I43)</f>
        <v>0</v>
      </c>
      <c r="J43" s="38"/>
      <c r="K43" s="14"/>
      <c r="L43" s="31">
        <f>+SUM(START:END!L43)</f>
        <v>37677.03</v>
      </c>
      <c r="M43" s="38"/>
      <c r="N43" s="55">
        <f t="shared" si="23"/>
        <v>7003.1182758620671</v>
      </c>
      <c r="O43" s="38"/>
      <c r="P43" s="14"/>
      <c r="Q43" s="31">
        <f>+SUM(START:END!Q43)</f>
        <v>21785.59</v>
      </c>
      <c r="R43" s="38"/>
      <c r="S43" s="55">
        <f t="shared" si="25"/>
        <v>15891.439999999999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99" t="s">
        <v>43</v>
      </c>
      <c r="D44" s="101"/>
      <c r="E44" s="102"/>
      <c r="F44" s="28">
        <f>+SUM(START:END!F44)</f>
        <v>24626.951724137929</v>
      </c>
      <c r="G44" s="103"/>
      <c r="H44" s="102"/>
      <c r="I44" s="28">
        <f>+SUM(START:END!I44)</f>
        <v>0</v>
      </c>
      <c r="J44" s="104"/>
      <c r="K44" s="102"/>
      <c r="L44" s="105">
        <f>+SUM(START:END!L44)</f>
        <v>29983.23</v>
      </c>
      <c r="M44" s="104"/>
      <c r="N44" s="106">
        <f t="shared" si="23"/>
        <v>5356.2782758620706</v>
      </c>
      <c r="O44" s="104"/>
      <c r="P44" s="102"/>
      <c r="Q44" s="105">
        <f>+SUM(START:END!Q44)</f>
        <v>12958.3</v>
      </c>
      <c r="R44" s="104"/>
      <c r="S44" s="106">
        <f t="shared" si="25"/>
        <v>17024.93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99" t="s">
        <v>44</v>
      </c>
      <c r="D45" s="76"/>
      <c r="E45" s="14"/>
      <c r="F45" s="28">
        <f>+SUM(START:END!F45)</f>
        <v>0</v>
      </c>
      <c r="G45" s="78"/>
      <c r="H45" s="14"/>
      <c r="I45" s="28">
        <f>+SUM(START:END!I45)</f>
        <v>0</v>
      </c>
      <c r="J45" s="38"/>
      <c r="K45" s="14"/>
      <c r="L45" s="31">
        <f>+SUM(START:END!L45)</f>
        <v>0</v>
      </c>
      <c r="M45" s="38"/>
      <c r="N45" s="55">
        <f t="shared" si="23"/>
        <v>0</v>
      </c>
      <c r="O45" s="38"/>
      <c r="P45" s="14"/>
      <c r="Q45" s="31">
        <f>+SUM(START:END!Q45)</f>
        <v>0</v>
      </c>
      <c r="R45" s="38"/>
      <c r="S45" s="55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99" t="s">
        <v>20</v>
      </c>
      <c r="D46" s="76"/>
      <c r="E46" s="14"/>
      <c r="F46" s="28">
        <f>+SUM(START:END!F46)</f>
        <v>0</v>
      </c>
      <c r="G46" s="78"/>
      <c r="H46" s="14"/>
      <c r="I46" s="28">
        <f>+SUM(START:END!I46)</f>
        <v>0</v>
      </c>
      <c r="J46" s="38"/>
      <c r="K46" s="14"/>
      <c r="L46" s="31">
        <f>+SUM(START:END!L46)</f>
        <v>0</v>
      </c>
      <c r="M46" s="38"/>
      <c r="N46" s="55">
        <f t="shared" si="23"/>
        <v>0</v>
      </c>
      <c r="O46" s="38"/>
      <c r="P46" s="14"/>
      <c r="Q46" s="31">
        <f>+SUM(START:END!Q46)</f>
        <v>0</v>
      </c>
      <c r="R46" s="38"/>
      <c r="S46" s="55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99" t="s">
        <v>20</v>
      </c>
      <c r="D47" s="76"/>
      <c r="E47" s="14"/>
      <c r="F47" s="28">
        <f>+SUM(START:END!F47)</f>
        <v>0</v>
      </c>
      <c r="G47" s="78"/>
      <c r="H47" s="14"/>
      <c r="I47" s="28">
        <f>+SUM(START:END!I47)</f>
        <v>0</v>
      </c>
      <c r="J47" s="38"/>
      <c r="K47" s="14"/>
      <c r="L47" s="31">
        <f>+SUM(START:END!L47)</f>
        <v>0</v>
      </c>
      <c r="M47" s="38"/>
      <c r="N47" s="55">
        <f t="shared" si="23"/>
        <v>0</v>
      </c>
      <c r="O47" s="38"/>
      <c r="P47" s="14"/>
      <c r="Q47" s="31">
        <f>+SUM(START:END!Q47)</f>
        <v>0</v>
      </c>
      <c r="R47" s="38"/>
      <c r="S47" s="55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99" t="s">
        <v>20</v>
      </c>
      <c r="D48" s="76"/>
      <c r="E48" s="14"/>
      <c r="F48" s="28">
        <f>+SUM(START:END!F48)</f>
        <v>0</v>
      </c>
      <c r="G48" s="78"/>
      <c r="H48" s="14"/>
      <c r="I48" s="28">
        <f>+SUM(START:END!I48)</f>
        <v>0</v>
      </c>
      <c r="J48" s="38"/>
      <c r="K48" s="14"/>
      <c r="L48" s="31">
        <f>+SUM(START:END!L48)</f>
        <v>0</v>
      </c>
      <c r="M48" s="38"/>
      <c r="N48" s="55">
        <f t="shared" si="23"/>
        <v>0</v>
      </c>
      <c r="O48" s="38"/>
      <c r="P48" s="14"/>
      <c r="Q48" s="31">
        <f>+SUM(START:END!Q48)</f>
        <v>0</v>
      </c>
      <c r="R48" s="38"/>
      <c r="S48" s="55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0" t="s">
        <v>45</v>
      </c>
      <c r="D49" s="76"/>
      <c r="E49" s="14"/>
      <c r="F49" s="22">
        <f>+SUM(START:END!F49)</f>
        <v>35051.053642497063</v>
      </c>
      <c r="G49" s="78"/>
      <c r="H49" s="14"/>
      <c r="I49" s="22">
        <f>+SUM(START:END!I49)</f>
        <v>0</v>
      </c>
      <c r="J49" s="38"/>
      <c r="K49" s="14"/>
      <c r="L49" s="22">
        <f>+SUM(START:END!L49)</f>
        <v>27193.29</v>
      </c>
      <c r="M49" s="38"/>
      <c r="N49" s="55">
        <f t="shared" si="23"/>
        <v>-7857.7636424970624</v>
      </c>
      <c r="O49" s="38"/>
      <c r="P49" s="14"/>
      <c r="Q49" s="22">
        <f>+SUM(START:END!Q49)</f>
        <v>51999.4</v>
      </c>
      <c r="R49" s="38"/>
      <c r="S49" s="55">
        <f t="shared" si="25"/>
        <v>-24806.11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99" t="s">
        <v>46</v>
      </c>
      <c r="D50" s="101"/>
      <c r="E50" s="102"/>
      <c r="F50" s="28">
        <f>+SUM(START:END!F50)</f>
        <v>34844.198352535706</v>
      </c>
      <c r="G50" s="103"/>
      <c r="H50" s="102"/>
      <c r="I50" s="28">
        <f>+SUM(START:END!I50)</f>
        <v>0</v>
      </c>
      <c r="J50" s="104"/>
      <c r="K50" s="102"/>
      <c r="L50" s="31">
        <f>+SUM(START:END!L50)</f>
        <v>35459.68</v>
      </c>
      <c r="M50" s="104"/>
      <c r="N50" s="106">
        <f t="shared" si="23"/>
        <v>615.48164746429393</v>
      </c>
      <c r="O50" s="104"/>
      <c r="P50" s="102"/>
      <c r="Q50" s="31">
        <f>+SUM(START:END!Q50)</f>
        <v>49227.53</v>
      </c>
      <c r="R50" s="104"/>
      <c r="S50" s="106">
        <f t="shared" si="25"/>
        <v>-13767.849999999999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99" t="s">
        <v>47</v>
      </c>
      <c r="D51" s="76"/>
      <c r="E51" s="14"/>
      <c r="F51" s="28">
        <f>+SUM(START:END!F51)</f>
        <v>24399.929832142723</v>
      </c>
      <c r="G51" s="78"/>
      <c r="H51" s="14"/>
      <c r="I51" s="28">
        <f>+SUM(START:END!I51)</f>
        <v>0</v>
      </c>
      <c r="J51" s="38"/>
      <c r="K51" s="14"/>
      <c r="L51" s="31">
        <f>+SUM(START:END!L51)</f>
        <v>19135</v>
      </c>
      <c r="M51" s="38"/>
      <c r="N51" s="55">
        <f t="shared" si="23"/>
        <v>-5264.9298321427232</v>
      </c>
      <c r="O51" s="38"/>
      <c r="P51" s="14"/>
      <c r="Q51" s="31">
        <f>+SUM(START:END!Q51)</f>
        <v>18228.37</v>
      </c>
      <c r="R51" s="38"/>
      <c r="S51" s="55">
        <f t="shared" si="25"/>
        <v>906.63000000000102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99" t="s">
        <v>48</v>
      </c>
      <c r="D52" s="76"/>
      <c r="E52" s="14"/>
      <c r="F52" s="28">
        <f>+SUM(START:END!F52)</f>
        <v>11656.549772887114</v>
      </c>
      <c r="G52" s="78"/>
      <c r="H52" s="14"/>
      <c r="I52" s="28">
        <f>+SUM(START:END!I52)</f>
        <v>0</v>
      </c>
      <c r="J52" s="38"/>
      <c r="K52" s="14"/>
      <c r="L52" s="31">
        <f>+SUM(START:END!L52)</f>
        <v>5668.88</v>
      </c>
      <c r="M52" s="38"/>
      <c r="N52" s="55">
        <f t="shared" si="23"/>
        <v>-5987.669772887114</v>
      </c>
      <c r="O52" s="38"/>
      <c r="P52" s="14"/>
      <c r="Q52" s="31">
        <f>+SUM(START:END!Q52)</f>
        <v>10960.380000000001</v>
      </c>
      <c r="R52" s="38"/>
      <c r="S52" s="55">
        <f t="shared" si="25"/>
        <v>-5291.5000000000009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27" t="s">
        <v>20</v>
      </c>
      <c r="D53" s="83"/>
      <c r="E53" s="108"/>
      <c r="F53" s="28">
        <f>+SUM(START:END!F53)</f>
        <v>0</v>
      </c>
      <c r="G53" s="85"/>
      <c r="H53" s="108"/>
      <c r="I53" s="28">
        <f>+SUM(START:END!I53)</f>
        <v>0</v>
      </c>
      <c r="J53" s="23"/>
      <c r="K53" s="108"/>
      <c r="L53" s="31">
        <f>+SUM(START:END!L53)</f>
        <v>0</v>
      </c>
      <c r="M53" s="23"/>
      <c r="N53" s="88">
        <f t="shared" si="23"/>
        <v>0</v>
      </c>
      <c r="O53" s="23"/>
      <c r="P53" s="108"/>
      <c r="Q53" s="31">
        <f>+SUM(START:END!Q53)</f>
        <v>0</v>
      </c>
      <c r="R53" s="23"/>
      <c r="S53" s="88">
        <f t="shared" si="25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0" t="s">
        <v>49</v>
      </c>
      <c r="D54" s="91" t="s">
        <v>39</v>
      </c>
      <c r="E54" s="92">
        <f>F54/F$27</f>
        <v>0.34116977149560018</v>
      </c>
      <c r="F54" s="93">
        <f>+SUM(F42:F53)</f>
        <v>213130.08470351089</v>
      </c>
      <c r="G54" s="94" t="s">
        <v>39</v>
      </c>
      <c r="H54" s="92" t="e">
        <f>I54/I$27</f>
        <v>#DIV/0!</v>
      </c>
      <c r="I54" s="93">
        <f>+SUM(I42:I53)</f>
        <v>0</v>
      </c>
      <c r="J54" s="94" t="s">
        <v>39</v>
      </c>
      <c r="K54" s="92">
        <f>L54/L$27</f>
        <v>0.36347279385819314</v>
      </c>
      <c r="L54" s="93">
        <f>+SUM(L42:L53)</f>
        <v>201474.18</v>
      </c>
      <c r="M54" s="97"/>
      <c r="N54" s="93">
        <f>+SUM(N42:N53)</f>
        <v>-11655.904703510878</v>
      </c>
      <c r="O54" s="94" t="s">
        <v>39</v>
      </c>
      <c r="P54" s="92">
        <f>Q54/Q$27</f>
        <v>0.29058878110972752</v>
      </c>
      <c r="Q54" s="93">
        <f>+SUM(Q42:Q53)</f>
        <v>221256.55</v>
      </c>
      <c r="R54" s="97"/>
      <c r="S54" s="93">
        <f>+SUM(S42:S53)</f>
        <v>-19782.369999999995</v>
      </c>
      <c r="T54" s="77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27" t="s">
        <v>50</v>
      </c>
      <c r="D55" s="76"/>
      <c r="E55" s="14"/>
      <c r="F55" s="28">
        <f>+SUM(START:END!F55)</f>
        <v>0</v>
      </c>
      <c r="G55" s="38" t="e">
        <f>I54/(I27+I83)</f>
        <v>#DIV/0!</v>
      </c>
      <c r="H55" s="14"/>
      <c r="I55" s="28">
        <f>+SUM(START:END!I55)</f>
        <v>0</v>
      </c>
      <c r="J55" s="38"/>
      <c r="K55" s="14"/>
      <c r="L55" s="31">
        <f>+SUM(START:END!L55)</f>
        <v>0</v>
      </c>
      <c r="M55" s="38"/>
      <c r="N55" s="55">
        <f t="shared" ref="N55:N71" si="26">L55-F55</f>
        <v>0</v>
      </c>
      <c r="O55" s="38"/>
      <c r="P55" s="14"/>
      <c r="Q55" s="31">
        <f>+SUM(START:END!Q55)</f>
        <v>0</v>
      </c>
      <c r="R55" s="38"/>
      <c r="S55" s="55">
        <f t="shared" ref="S55:S71" si="27">L55-Q55</f>
        <v>0</v>
      </c>
      <c r="T55" s="77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27" t="s">
        <v>51</v>
      </c>
      <c r="D56" s="76"/>
      <c r="E56" s="14"/>
      <c r="F56" s="28">
        <f>+SUM(START:END!F56)</f>
        <v>0</v>
      </c>
      <c r="G56" s="78"/>
      <c r="H56" s="14"/>
      <c r="I56" s="28">
        <f>+SUM(START:END!I56)</f>
        <v>0</v>
      </c>
      <c r="J56" s="38"/>
      <c r="K56" s="14"/>
      <c r="L56" s="31">
        <f>+SUM(START:END!L56)</f>
        <v>0</v>
      </c>
      <c r="M56" s="38"/>
      <c r="N56" s="55">
        <f t="shared" si="26"/>
        <v>0</v>
      </c>
      <c r="O56" s="38"/>
      <c r="P56" s="14"/>
      <c r="Q56" s="31">
        <f>+SUM(START:END!Q56)</f>
        <v>0</v>
      </c>
      <c r="R56" s="38"/>
      <c r="S56" s="55">
        <f t="shared" si="27"/>
        <v>0</v>
      </c>
      <c r="T56" s="77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2" t="s">
        <v>52</v>
      </c>
      <c r="D57" s="83"/>
      <c r="E57" s="108"/>
      <c r="F57" s="22">
        <f>+SUM(START:END!F57)</f>
        <v>23837.5</v>
      </c>
      <c r="G57" s="85"/>
      <c r="H57" s="108"/>
      <c r="I57" s="22">
        <f>+SUM(START:END!I57)</f>
        <v>0</v>
      </c>
      <c r="J57" s="23"/>
      <c r="K57" s="108"/>
      <c r="L57" s="22">
        <f>+SUM(START:END!L57)</f>
        <v>15156.03</v>
      </c>
      <c r="M57" s="23"/>
      <c r="N57" s="88">
        <f t="shared" si="26"/>
        <v>-8681.4699999999993</v>
      </c>
      <c r="O57" s="23"/>
      <c r="P57" s="108"/>
      <c r="Q57" s="22">
        <f>+SUM(START:END!Q57)</f>
        <v>24962.74</v>
      </c>
      <c r="R57" s="23"/>
      <c r="S57" s="88">
        <f t="shared" si="27"/>
        <v>-9806.7100000000009</v>
      </c>
      <c r="T57" s="109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27" t="s">
        <v>53</v>
      </c>
      <c r="D58" s="76"/>
      <c r="E58" s="14"/>
      <c r="F58" s="28">
        <f>+SUM(START:END!F58)</f>
        <v>18782.599196000003</v>
      </c>
      <c r="G58" s="78"/>
      <c r="H58" s="14"/>
      <c r="I58" s="28">
        <f>+SUM(START:END!I58)</f>
        <v>0</v>
      </c>
      <c r="J58" s="38"/>
      <c r="K58" s="14"/>
      <c r="L58" s="31">
        <f>+SUM(START:END!L58)</f>
        <v>21049.43</v>
      </c>
      <c r="M58" s="38"/>
      <c r="N58" s="55">
        <f t="shared" si="26"/>
        <v>2266.8308039999974</v>
      </c>
      <c r="O58" s="38"/>
      <c r="P58" s="14"/>
      <c r="Q58" s="31">
        <f>+SUM(START:END!Q58)</f>
        <v>23611.17</v>
      </c>
      <c r="R58" s="38"/>
      <c r="S58" s="55">
        <f t="shared" si="27"/>
        <v>-2561.739999999998</v>
      </c>
      <c r="T58" s="77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27" t="s">
        <v>54</v>
      </c>
      <c r="D59" s="76"/>
      <c r="E59" s="14"/>
      <c r="F59" s="28">
        <f>+SUM(START:END!F59)</f>
        <v>3000.2641339999996</v>
      </c>
      <c r="G59" s="78"/>
      <c r="H59" s="14"/>
      <c r="I59" s="28">
        <f>+SUM(START:END!I59)</f>
        <v>0</v>
      </c>
      <c r="J59" s="38"/>
      <c r="K59" s="14"/>
      <c r="L59" s="31">
        <f>+SUM(START:END!L59)</f>
        <v>3704.1</v>
      </c>
      <c r="M59" s="38"/>
      <c r="N59" s="55">
        <f t="shared" si="26"/>
        <v>703.83586600000035</v>
      </c>
      <c r="O59" s="38"/>
      <c r="P59" s="14"/>
      <c r="Q59" s="31">
        <f>+SUM(START:END!Q59)</f>
        <v>3663.08</v>
      </c>
      <c r="R59" s="38"/>
      <c r="S59" s="55">
        <f t="shared" si="27"/>
        <v>41.019999999999982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2" t="s">
        <v>55</v>
      </c>
      <c r="D60" s="83"/>
      <c r="E60" s="108"/>
      <c r="F60" s="22">
        <f>+SUM(START:END!F60)</f>
        <v>19831.395957333334</v>
      </c>
      <c r="G60" s="85"/>
      <c r="H60" s="108"/>
      <c r="I60" s="22">
        <f>+SUM(START:END!I60)</f>
        <v>0</v>
      </c>
      <c r="J60" s="23"/>
      <c r="K60" s="108"/>
      <c r="L60" s="22">
        <f>+SUM(START:END!L60)</f>
        <v>18587.599999999999</v>
      </c>
      <c r="M60" s="23"/>
      <c r="N60" s="88">
        <f t="shared" si="26"/>
        <v>-1243.7959573333355</v>
      </c>
      <c r="O60" s="23"/>
      <c r="P60" s="108"/>
      <c r="Q60" s="22">
        <f>+SUM(START:END!Q60)</f>
        <v>20308.14</v>
      </c>
      <c r="R60" s="23"/>
      <c r="S60" s="88">
        <f t="shared" si="27"/>
        <v>-1720.5400000000009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27" t="s">
        <v>56</v>
      </c>
      <c r="D61" s="76"/>
      <c r="E61" s="14"/>
      <c r="F61" s="28">
        <f>+SUM(START:END!F61)</f>
        <v>366.73154759785461</v>
      </c>
      <c r="G61" s="78"/>
      <c r="H61" s="14"/>
      <c r="I61" s="28">
        <f>+SUM(START:END!I61)</f>
        <v>0</v>
      </c>
      <c r="J61" s="38"/>
      <c r="K61" s="14"/>
      <c r="L61" s="31">
        <f>+SUM(START:END!L61)</f>
        <v>141.18</v>
      </c>
      <c r="M61" s="38"/>
      <c r="N61" s="55">
        <f t="shared" si="26"/>
        <v>-225.55154759785461</v>
      </c>
      <c r="O61" s="38"/>
      <c r="P61" s="14"/>
      <c r="Q61" s="31">
        <f>+SUM(START:END!Q61)</f>
        <v>154.98000000000002</v>
      </c>
      <c r="R61" s="38"/>
      <c r="S61" s="55">
        <f t="shared" si="27"/>
        <v>-13.800000000000011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27" t="s">
        <v>57</v>
      </c>
      <c r="D62" s="76"/>
      <c r="E62" s="14"/>
      <c r="F62" s="28">
        <f>+SUM(START:END!F62)</f>
        <v>189.3759898705984</v>
      </c>
      <c r="G62" s="78"/>
      <c r="H62" s="14"/>
      <c r="I62" s="28">
        <f>+SUM(START:END!I62)</f>
        <v>0</v>
      </c>
      <c r="J62" s="38"/>
      <c r="K62" s="14"/>
      <c r="L62" s="31">
        <f>+SUM(START:END!L62)</f>
        <v>0</v>
      </c>
      <c r="M62" s="38"/>
      <c r="N62" s="55">
        <f t="shared" si="26"/>
        <v>-189.3759898705984</v>
      </c>
      <c r="O62" s="38"/>
      <c r="P62" s="14"/>
      <c r="Q62" s="31">
        <f>+SUM(START:END!Q62)</f>
        <v>0</v>
      </c>
      <c r="R62" s="38"/>
      <c r="S62" s="55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27" t="s">
        <v>58</v>
      </c>
      <c r="D63" s="76"/>
      <c r="E63" s="14"/>
      <c r="F63" s="28">
        <f>+SUM(START:END!F63)</f>
        <v>2290.3531055999993</v>
      </c>
      <c r="G63" s="78"/>
      <c r="H63" s="14"/>
      <c r="I63" s="28">
        <f>+SUM(START:END!I63)</f>
        <v>0</v>
      </c>
      <c r="J63" s="38"/>
      <c r="K63" s="14"/>
      <c r="L63" s="30">
        <f>+SUM(START:END!L63)</f>
        <v>2345.81</v>
      </c>
      <c r="M63" s="38"/>
      <c r="N63" s="55">
        <f t="shared" si="26"/>
        <v>55.456894400000692</v>
      </c>
      <c r="O63" s="38"/>
      <c r="P63" s="14"/>
      <c r="Q63" s="30">
        <f>+SUM(START:END!Q63)</f>
        <v>2582.6400000000003</v>
      </c>
      <c r="R63" s="38"/>
      <c r="S63" s="55">
        <f t="shared" si="27"/>
        <v>-236.83000000000038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27" t="s">
        <v>59</v>
      </c>
      <c r="D64" s="76"/>
      <c r="E64" s="14"/>
      <c r="F64" s="28">
        <f>+SUM(START:END!F64)</f>
        <v>776.16075046666674</v>
      </c>
      <c r="G64" s="78"/>
      <c r="H64" s="14"/>
      <c r="I64" s="28">
        <f>+SUM(START:END!I64)</f>
        <v>0</v>
      </c>
      <c r="J64" s="38"/>
      <c r="K64" s="14"/>
      <c r="L64" s="31">
        <f>+SUM(START:END!L64)</f>
        <v>1125.53</v>
      </c>
      <c r="M64" s="38"/>
      <c r="N64" s="55">
        <f t="shared" si="26"/>
        <v>349.36924953333323</v>
      </c>
      <c r="O64" s="38"/>
      <c r="P64" s="14"/>
      <c r="Q64" s="31">
        <f>+SUM(START:END!Q64)</f>
        <v>761.74</v>
      </c>
      <c r="R64" s="38"/>
      <c r="S64" s="55">
        <f t="shared" si="27"/>
        <v>363.78999999999996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27" t="s">
        <v>60</v>
      </c>
      <c r="D65" s="76"/>
      <c r="E65" s="14"/>
      <c r="F65" s="28">
        <f>+SUM(START:END!F65)</f>
        <v>371.23288153333328</v>
      </c>
      <c r="G65" s="78"/>
      <c r="H65" s="14"/>
      <c r="I65" s="28">
        <f>+SUM(START:END!I65)</f>
        <v>0</v>
      </c>
      <c r="J65" s="38"/>
      <c r="K65" s="14"/>
      <c r="L65" s="31">
        <f>+SUM(START:END!L65)</f>
        <v>367.13</v>
      </c>
      <c r="M65" s="38"/>
      <c r="N65" s="55">
        <f t="shared" si="26"/>
        <v>-4.1028815333332886</v>
      </c>
      <c r="O65" s="38"/>
      <c r="P65" s="14"/>
      <c r="Q65" s="31">
        <f>+SUM(START:END!Q65)</f>
        <v>486.82000000000005</v>
      </c>
      <c r="R65" s="38"/>
      <c r="S65" s="55">
        <f t="shared" si="27"/>
        <v>-119.69000000000005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27" t="s">
        <v>61</v>
      </c>
      <c r="D66" s="76"/>
      <c r="E66" s="14"/>
      <c r="F66" s="28">
        <f>+SUM(START:END!F66)</f>
        <v>1410.5470891333334</v>
      </c>
      <c r="G66" s="78"/>
      <c r="H66" s="14"/>
      <c r="I66" s="28">
        <f>+SUM(START:END!I66)</f>
        <v>0</v>
      </c>
      <c r="J66" s="38"/>
      <c r="K66" s="14"/>
      <c r="L66" s="31">
        <f>+SUM(START:END!L66)</f>
        <v>418.78999999999996</v>
      </c>
      <c r="M66" s="38"/>
      <c r="N66" s="55">
        <f t="shared" si="26"/>
        <v>-991.75708913333347</v>
      </c>
      <c r="O66" s="38"/>
      <c r="P66" s="14"/>
      <c r="Q66" s="31">
        <f>+SUM(START:END!Q66)</f>
        <v>354.51</v>
      </c>
      <c r="R66" s="38"/>
      <c r="S66" s="55">
        <f t="shared" si="27"/>
        <v>64.279999999999973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27" t="s">
        <v>62</v>
      </c>
      <c r="D67" s="76"/>
      <c r="E67" s="14"/>
      <c r="F67" s="28">
        <f>+SUM(START:END!F67)</f>
        <v>1838.2209060091222</v>
      </c>
      <c r="G67" s="78"/>
      <c r="H67" s="14"/>
      <c r="I67" s="28">
        <f>+SUM(START:END!I67)</f>
        <v>0</v>
      </c>
      <c r="J67" s="38"/>
      <c r="K67" s="14"/>
      <c r="L67" s="31">
        <f>+SUM(START:END!L67)</f>
        <v>2653.16</v>
      </c>
      <c r="M67" s="38"/>
      <c r="N67" s="55">
        <f t="shared" si="26"/>
        <v>814.93909399087761</v>
      </c>
      <c r="O67" s="38"/>
      <c r="P67" s="14"/>
      <c r="Q67" s="31">
        <f>+SUM(START:END!Q67)</f>
        <v>3451.57</v>
      </c>
      <c r="R67" s="38"/>
      <c r="S67" s="55">
        <f t="shared" si="27"/>
        <v>-798.41000000000031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27" t="s">
        <v>63</v>
      </c>
      <c r="D68" s="76"/>
      <c r="E68" s="14"/>
      <c r="F68" s="28">
        <f>+SUM(START:END!F68)</f>
        <v>3316.2998860343732</v>
      </c>
      <c r="G68" s="78"/>
      <c r="H68" s="14"/>
      <c r="I68" s="28">
        <f>+SUM(START:END!I68)</f>
        <v>0</v>
      </c>
      <c r="J68" s="38"/>
      <c r="K68" s="14"/>
      <c r="L68" s="30">
        <f>+SUM(START:END!L68)</f>
        <v>9669.83</v>
      </c>
      <c r="M68" s="38"/>
      <c r="N68" s="55">
        <f t="shared" si="26"/>
        <v>6353.5301139656267</v>
      </c>
      <c r="O68" s="38"/>
      <c r="P68" s="14"/>
      <c r="Q68" s="31">
        <f>+SUM(START:END!Q68)</f>
        <v>11267.842500000004</v>
      </c>
      <c r="R68" s="38"/>
      <c r="S68" s="55">
        <f t="shared" si="27"/>
        <v>-1598.0125000000044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27" t="s">
        <v>20</v>
      </c>
      <c r="D69" s="76"/>
      <c r="E69" s="14"/>
      <c r="F69" s="28">
        <f>+SUM(START:END!F69)</f>
        <v>0</v>
      </c>
      <c r="G69" s="78"/>
      <c r="H69" s="14"/>
      <c r="I69" s="28">
        <f>+SUM(START:END!I69)</f>
        <v>0</v>
      </c>
      <c r="J69" s="38"/>
      <c r="K69" s="14"/>
      <c r="L69" s="31">
        <f>+SUM(START:END!L69)</f>
        <v>0</v>
      </c>
      <c r="M69" s="38"/>
      <c r="N69" s="55">
        <f t="shared" si="26"/>
        <v>0</v>
      </c>
      <c r="O69" s="38"/>
      <c r="P69" s="14"/>
      <c r="Q69" s="31">
        <f>+SUM(START:END!Q69)</f>
        <v>0</v>
      </c>
      <c r="R69" s="38"/>
      <c r="S69" s="55">
        <f t="shared" si="27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27" t="s">
        <v>20</v>
      </c>
      <c r="D70" s="76"/>
      <c r="E70" s="14"/>
      <c r="F70" s="28">
        <f>+SUM(START:END!F70)</f>
        <v>0</v>
      </c>
      <c r="G70" s="78"/>
      <c r="H70" s="14"/>
      <c r="I70" s="28">
        <f>+SUM(START:END!I70)</f>
        <v>0</v>
      </c>
      <c r="J70" s="38"/>
      <c r="K70" s="14"/>
      <c r="L70" s="31">
        <f>+SUM(START:END!L70)</f>
        <v>0</v>
      </c>
      <c r="M70" s="38"/>
      <c r="N70" s="55">
        <f t="shared" si="26"/>
        <v>0</v>
      </c>
      <c r="O70" s="38"/>
      <c r="P70" s="14"/>
      <c r="Q70" s="31">
        <f>+SUM(START:END!Q70)</f>
        <v>0</v>
      </c>
      <c r="R70" s="38"/>
      <c r="S70" s="55">
        <f t="shared" si="27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27" t="s">
        <v>20</v>
      </c>
      <c r="D71" s="76"/>
      <c r="E71" s="14"/>
      <c r="F71" s="28">
        <f>+SUM(START:END!F71)</f>
        <v>0</v>
      </c>
      <c r="G71" s="78"/>
      <c r="H71" s="14"/>
      <c r="I71" s="28">
        <f>+SUM(START:END!I71)</f>
        <v>0</v>
      </c>
      <c r="J71" s="38"/>
      <c r="K71" s="14"/>
      <c r="L71" s="31">
        <f>+SUM(START:END!L71)</f>
        <v>0</v>
      </c>
      <c r="M71" s="38"/>
      <c r="N71" s="55">
        <f t="shared" si="26"/>
        <v>0</v>
      </c>
      <c r="O71" s="38"/>
      <c r="P71" s="14"/>
      <c r="Q71" s="31">
        <f>+SUM(START:END!Q71)</f>
        <v>0</v>
      </c>
      <c r="R71" s="38"/>
      <c r="S71" s="55">
        <f t="shared" si="27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0" t="s">
        <v>64</v>
      </c>
      <c r="D72" s="91" t="s">
        <v>39</v>
      </c>
      <c r="E72" s="92">
        <f>F72/F$27</f>
        <v>0.12167473613781843</v>
      </c>
      <c r="F72" s="93">
        <f>+SUM(F55:F71)</f>
        <v>76010.681443578636</v>
      </c>
      <c r="G72" s="94" t="s">
        <v>39</v>
      </c>
      <c r="H72" s="92" t="e">
        <f>I72/I$27</f>
        <v>#DIV/0!</v>
      </c>
      <c r="I72" s="93">
        <f>+SUM(I55:I71)</f>
        <v>0</v>
      </c>
      <c r="J72" s="94" t="s">
        <v>39</v>
      </c>
      <c r="K72" s="92">
        <f>L72/L$27</f>
        <v>0.13569932910199187</v>
      </c>
      <c r="L72" s="93">
        <f>+SUM(L55:L71)</f>
        <v>75218.59</v>
      </c>
      <c r="M72" s="97"/>
      <c r="N72" s="93">
        <f>+SUM(N55:N71)</f>
        <v>-792.09144357861715</v>
      </c>
      <c r="O72" s="94" t="s">
        <v>39</v>
      </c>
      <c r="P72" s="92">
        <f>Q72/Q$27</f>
        <v>0.12031034948094511</v>
      </c>
      <c r="Q72" s="93">
        <f>+SUM(Q55:Q71)</f>
        <v>91605.232500000013</v>
      </c>
      <c r="R72" s="97"/>
      <c r="S72" s="93">
        <f>+SUM(S55:S71)</f>
        <v>-16386.642500000002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2"/>
      <c r="D73" s="83"/>
      <c r="E73" s="108"/>
      <c r="F73" s="55"/>
      <c r="G73" s="85"/>
      <c r="H73" s="108"/>
      <c r="I73" s="55"/>
      <c r="J73" s="23"/>
      <c r="K73" s="108"/>
      <c r="L73" s="88"/>
      <c r="M73" s="23"/>
      <c r="N73" s="88"/>
      <c r="O73" s="23"/>
      <c r="P73" s="108"/>
      <c r="Q73" s="88"/>
      <c r="R73" s="23"/>
      <c r="S73" s="88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0" t="s">
        <v>65</v>
      </c>
      <c r="D74" s="91" t="s">
        <v>39</v>
      </c>
      <c r="E74" s="92">
        <f>F74/F$27</f>
        <v>0.90637386088850924</v>
      </c>
      <c r="F74" s="93">
        <f>F41+F54+F72</f>
        <v>566215.28014449961</v>
      </c>
      <c r="G74" s="94" t="s">
        <v>39</v>
      </c>
      <c r="H74" s="92" t="e">
        <f>I74/I$27</f>
        <v>#DIV/0!</v>
      </c>
      <c r="I74" s="93">
        <f>I41+I54+I72</f>
        <v>0</v>
      </c>
      <c r="J74" s="94" t="s">
        <v>39</v>
      </c>
      <c r="K74" s="92">
        <f>L74/L$27</f>
        <v>0.87020179005599707</v>
      </c>
      <c r="L74" s="93">
        <f>L41+L54+L72</f>
        <v>482355.75</v>
      </c>
      <c r="M74" s="97"/>
      <c r="N74" s="110">
        <f t="shared" ref="N74:N82" si="28">L74-F74</f>
        <v>-83859.530144499615</v>
      </c>
      <c r="O74" s="94" t="s">
        <v>39</v>
      </c>
      <c r="P74" s="92">
        <f>Q74/Q$27</f>
        <v>0.7592034130201597</v>
      </c>
      <c r="Q74" s="93">
        <f>Q41+Q54+Q72</f>
        <v>578063.36250000005</v>
      </c>
      <c r="R74" s="97"/>
      <c r="S74" s="110">
        <f>L74-Q74</f>
        <v>-95707.612500000047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27" t="s">
        <v>198</v>
      </c>
      <c r="D75" s="76"/>
      <c r="E75" s="14"/>
      <c r="F75" s="28">
        <f>+SUM(START:END!F75)</f>
        <v>15729.130133089158</v>
      </c>
      <c r="G75" s="78"/>
      <c r="H75" s="14"/>
      <c r="I75" s="28">
        <f>+SUM(START:END!I75)</f>
        <v>0</v>
      </c>
      <c r="J75" s="38"/>
      <c r="K75" s="14"/>
      <c r="L75" s="30">
        <f>+SUM(START:END!L75)</f>
        <v>0</v>
      </c>
      <c r="M75" s="38"/>
      <c r="N75" s="55">
        <f t="shared" si="28"/>
        <v>-15729.130133089158</v>
      </c>
      <c r="O75" s="38"/>
      <c r="P75" s="14"/>
      <c r="Q75" s="30">
        <f>+SUM(START:END!Q75)</f>
        <v>0</v>
      </c>
      <c r="R75" s="38"/>
      <c r="S75" s="55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27" t="s">
        <v>195</v>
      </c>
      <c r="D76" s="76"/>
      <c r="E76" s="14"/>
      <c r="F76" s="28">
        <f>+SUM(START:END!F76)</f>
        <v>0</v>
      </c>
      <c r="G76" s="78"/>
      <c r="H76" s="14"/>
      <c r="I76" s="28">
        <f>+SUM(START:END!I76)</f>
        <v>0</v>
      </c>
      <c r="J76" s="38"/>
      <c r="K76" s="14"/>
      <c r="L76" s="30">
        <f>+SUM(START:END!L76)</f>
        <v>0</v>
      </c>
      <c r="M76" s="38"/>
      <c r="N76" s="55">
        <f t="shared" si="28"/>
        <v>0</v>
      </c>
      <c r="O76" s="38"/>
      <c r="P76" s="14"/>
      <c r="Q76" s="30">
        <f>+SUM(START:END!Q76)</f>
        <v>0</v>
      </c>
      <c r="R76" s="38"/>
      <c r="S76" s="55">
        <f t="shared" ref="S76:S82" si="29"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27" t="s">
        <v>68</v>
      </c>
      <c r="D77" s="76"/>
      <c r="E77" s="14"/>
      <c r="F77" s="28">
        <f>+SUM(START:END!F77)</f>
        <v>0</v>
      </c>
      <c r="G77" s="78"/>
      <c r="H77" s="14"/>
      <c r="I77" s="28">
        <f>+SUM(START:END!I77)</f>
        <v>0</v>
      </c>
      <c r="J77" s="38"/>
      <c r="K77" s="14"/>
      <c r="L77" s="30">
        <f>+SUM(START:END!L77)</f>
        <v>0</v>
      </c>
      <c r="M77" s="38"/>
      <c r="N77" s="55">
        <f t="shared" si="28"/>
        <v>0</v>
      </c>
      <c r="O77" s="38"/>
      <c r="P77" s="14"/>
      <c r="Q77" s="30">
        <f>+SUM(START:END!Q77)</f>
        <v>0</v>
      </c>
      <c r="R77" s="38"/>
      <c r="S77" s="55">
        <f t="shared" si="29"/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27" t="s">
        <v>69</v>
      </c>
      <c r="D78" s="76"/>
      <c r="E78" s="14"/>
      <c r="F78" s="28">
        <f>+SUM(START:END!F78)</f>
        <v>193205.49833049974</v>
      </c>
      <c r="G78" s="78"/>
      <c r="H78" s="14"/>
      <c r="I78" s="28">
        <f>+SUM(START:END!I78)</f>
        <v>0</v>
      </c>
      <c r="J78" s="38"/>
      <c r="K78" s="14"/>
      <c r="L78" s="31">
        <f>+SUM(START:END!L78)</f>
        <v>161519.4</v>
      </c>
      <c r="M78" s="38"/>
      <c r="N78" s="55">
        <f t="shared" si="28"/>
        <v>-31686.09833049975</v>
      </c>
      <c r="O78" s="38"/>
      <c r="P78" s="14"/>
      <c r="Q78" s="30">
        <f>+SUM(START:END!Q78)</f>
        <v>233500.07</v>
      </c>
      <c r="R78" s="38"/>
      <c r="S78" s="55">
        <f t="shared" si="29"/>
        <v>-71980.670000000013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27" t="s">
        <v>20</v>
      </c>
      <c r="D79" s="76"/>
      <c r="E79" s="14"/>
      <c r="F79" s="28">
        <f>+SUM(START:END!F79)</f>
        <v>0</v>
      </c>
      <c r="G79" s="78"/>
      <c r="H79" s="14"/>
      <c r="I79" s="28">
        <f>+SUM(START:END!I79)</f>
        <v>0</v>
      </c>
      <c r="J79" s="38"/>
      <c r="K79" s="14"/>
      <c r="L79" s="31">
        <f>+SUM(START:END!L79)</f>
        <v>0</v>
      </c>
      <c r="M79" s="38"/>
      <c r="N79" s="55">
        <f t="shared" si="28"/>
        <v>0</v>
      </c>
      <c r="O79" s="38"/>
      <c r="P79" s="14"/>
      <c r="Q79" s="30">
        <f>+SUM(START:END!Q79)</f>
        <v>0</v>
      </c>
      <c r="R79" s="38"/>
      <c r="S79" s="55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27" t="s">
        <v>20</v>
      </c>
      <c r="D80" s="76"/>
      <c r="E80" s="14"/>
      <c r="F80" s="28">
        <f>+SUM(START:END!F80)</f>
        <v>0</v>
      </c>
      <c r="G80" s="78"/>
      <c r="H80" s="14"/>
      <c r="I80" s="28">
        <f>+SUM(START:END!I80)</f>
        <v>0</v>
      </c>
      <c r="J80" s="38"/>
      <c r="K80" s="14"/>
      <c r="L80" s="31">
        <f>+SUM(START:END!L80)</f>
        <v>0</v>
      </c>
      <c r="M80" s="38"/>
      <c r="N80" s="55">
        <f t="shared" si="28"/>
        <v>0</v>
      </c>
      <c r="O80" s="38"/>
      <c r="P80" s="14"/>
      <c r="Q80" s="30">
        <f>+SUM(START:END!Q80)</f>
        <v>0</v>
      </c>
      <c r="R80" s="38"/>
      <c r="S80" s="55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27" t="s">
        <v>20</v>
      </c>
      <c r="D81" s="76"/>
      <c r="E81" s="14"/>
      <c r="F81" s="28">
        <f>+SUM(START:END!F81)</f>
        <v>0</v>
      </c>
      <c r="G81" s="78"/>
      <c r="H81" s="14"/>
      <c r="I81" s="28">
        <f>+SUM(START:END!I81)</f>
        <v>0</v>
      </c>
      <c r="J81" s="38"/>
      <c r="K81" s="14"/>
      <c r="L81" s="31">
        <f>+SUM(START:END!L81)</f>
        <v>0</v>
      </c>
      <c r="M81" s="38"/>
      <c r="N81" s="55">
        <f t="shared" si="28"/>
        <v>0</v>
      </c>
      <c r="O81" s="38"/>
      <c r="P81" s="14"/>
      <c r="Q81" s="30">
        <f>+SUM(START:END!Q81)</f>
        <v>0</v>
      </c>
      <c r="R81" s="38"/>
      <c r="S81" s="55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27" t="s">
        <v>70</v>
      </c>
      <c r="D82" s="76"/>
      <c r="E82" s="14"/>
      <c r="F82" s="28">
        <f>+SUM(START:END!F82)</f>
        <v>60872.199477120004</v>
      </c>
      <c r="G82" s="78"/>
      <c r="H82" s="14"/>
      <c r="I82" s="28">
        <f>+SUM(START:END!I82)</f>
        <v>0</v>
      </c>
      <c r="J82" s="38"/>
      <c r="K82" s="14"/>
      <c r="L82" s="30">
        <f>+SUM(START:END!L82)</f>
        <v>72033</v>
      </c>
      <c r="M82" s="38"/>
      <c r="N82" s="55">
        <f t="shared" si="28"/>
        <v>11160.800522879996</v>
      </c>
      <c r="O82" s="38"/>
      <c r="P82" s="14"/>
      <c r="Q82" s="30">
        <f>+SUM(START:END!Q82)</f>
        <v>68780</v>
      </c>
      <c r="R82" s="38"/>
      <c r="S82" s="55">
        <f t="shared" si="29"/>
        <v>3253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0" t="s">
        <v>71</v>
      </c>
      <c r="D83" s="91"/>
      <c r="E83" s="92"/>
      <c r="F83" s="93">
        <f>+SUM(F75:F82)</f>
        <v>269806.8279407089</v>
      </c>
      <c r="G83" s="94"/>
      <c r="H83" s="92"/>
      <c r="I83" s="93">
        <f>+SUM(I75:I82)</f>
        <v>0</v>
      </c>
      <c r="J83" s="94"/>
      <c r="K83" s="92"/>
      <c r="L83" s="93">
        <f>+SUM(L75:L82)</f>
        <v>233552.4</v>
      </c>
      <c r="M83" s="97"/>
      <c r="N83" s="93">
        <f>+SUM(N75:N82)</f>
        <v>-36254.427940708913</v>
      </c>
      <c r="O83" s="94"/>
      <c r="P83" s="92"/>
      <c r="Q83" s="93">
        <f>+SUM(Q75:Q82)</f>
        <v>302280.07</v>
      </c>
      <c r="R83" s="97"/>
      <c r="S83" s="93">
        <f>+SUM(S75:S82)</f>
        <v>-68727.670000000013</v>
      </c>
      <c r="T83" s="14"/>
      <c r="U83" s="14"/>
      <c r="V83" s="81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12"/>
      <c r="D84" s="113"/>
      <c r="E84" s="114"/>
      <c r="F84" s="115"/>
      <c r="G84" s="116"/>
      <c r="H84" s="114"/>
      <c r="I84" s="115"/>
      <c r="J84" s="117"/>
      <c r="K84" s="118"/>
      <c r="L84" s="115"/>
      <c r="M84" s="117"/>
      <c r="N84" s="119"/>
      <c r="O84" s="117"/>
      <c r="P84" s="118"/>
      <c r="Q84" s="115"/>
      <c r="R84" s="117"/>
      <c r="S84" s="119"/>
      <c r="T84" s="14"/>
      <c r="U84" s="14"/>
      <c r="V84" s="12"/>
      <c r="W84" s="464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20" t="s">
        <v>72</v>
      </c>
      <c r="D85" s="121"/>
      <c r="E85" s="122"/>
      <c r="F85" s="123">
        <f>F27-F74+F83</f>
        <v>328295.44160603784</v>
      </c>
      <c r="G85" s="124"/>
      <c r="H85" s="122"/>
      <c r="I85" s="123">
        <f>I27-I74+I83</f>
        <v>0</v>
      </c>
      <c r="J85" s="124"/>
      <c r="K85" s="121"/>
      <c r="L85" s="123">
        <f>L27-L74+L83</f>
        <v>305499.98</v>
      </c>
      <c r="M85" s="416"/>
      <c r="N85" s="205">
        <f>N27-N41-N54-N72+N83</f>
        <v>-22795.461606037923</v>
      </c>
      <c r="O85" s="124"/>
      <c r="P85" s="121"/>
      <c r="Q85" s="123">
        <f>Q27-Q74+Q83</f>
        <v>485624.45749999938</v>
      </c>
      <c r="R85" s="416"/>
      <c r="S85" s="205">
        <f>S27-S41-S54-S72+S83</f>
        <v>-180124.47749999946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25"/>
      <c r="C86" s="126"/>
      <c r="D86" s="126"/>
      <c r="E86" s="126"/>
      <c r="F86" s="126"/>
      <c r="G86" s="126"/>
      <c r="H86" s="126"/>
      <c r="I86" s="126"/>
      <c r="J86" s="126"/>
      <c r="K86" s="126"/>
      <c r="L86" s="127"/>
      <c r="M86" s="126"/>
      <c r="N86" s="126"/>
      <c r="O86" s="126"/>
      <c r="P86" s="126"/>
      <c r="Q86" s="126"/>
      <c r="R86" s="126"/>
      <c r="S86" s="126"/>
      <c r="T86" s="126"/>
      <c r="U86" s="126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</row>
    <row r="87" spans="1:40" ht="40.5" customHeight="1">
      <c r="B87" s="125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73</v>
      </c>
      <c r="L89" s="2"/>
      <c r="M89" s="2"/>
      <c r="N89" s="1"/>
      <c r="O89" s="1"/>
      <c r="P89" s="2"/>
      <c r="Q89" s="1"/>
      <c r="R89" s="2"/>
      <c r="S89" s="5" t="str">
        <f>$S$1</f>
        <v>Réalisé  Volks T3 2023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842" t="s">
        <v>5</v>
      </c>
      <c r="E91" s="843"/>
      <c r="F91" s="844"/>
      <c r="G91" s="845" t="s">
        <v>74</v>
      </c>
      <c r="H91" s="843"/>
      <c r="I91" s="844"/>
      <c r="J91" s="845" t="s">
        <v>7</v>
      </c>
      <c r="K91" s="843"/>
      <c r="L91" s="844"/>
      <c r="M91" s="840" t="s">
        <v>472</v>
      </c>
      <c r="N91" s="841"/>
      <c r="O91" s="842" t="s">
        <v>9</v>
      </c>
      <c r="P91" s="843"/>
      <c r="Q91" s="844"/>
      <c r="R91" s="840" t="s">
        <v>473</v>
      </c>
      <c r="S91" s="841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27"/>
      <c r="D92" s="128" t="s">
        <v>11</v>
      </c>
      <c r="E92" s="75" t="s">
        <v>12</v>
      </c>
      <c r="F92" s="129" t="s">
        <v>13</v>
      </c>
      <c r="G92" s="130" t="s">
        <v>11</v>
      </c>
      <c r="H92" s="75" t="s">
        <v>12</v>
      </c>
      <c r="I92" s="129" t="s">
        <v>13</v>
      </c>
      <c r="J92" s="130" t="s">
        <v>11</v>
      </c>
      <c r="K92" s="75" t="s">
        <v>14</v>
      </c>
      <c r="L92" s="129" t="s">
        <v>13</v>
      </c>
      <c r="M92" s="19" t="s">
        <v>474</v>
      </c>
      <c r="N92" s="18" t="s">
        <v>13</v>
      </c>
      <c r="O92" s="75" t="s">
        <v>11</v>
      </c>
      <c r="P92" s="75" t="s">
        <v>14</v>
      </c>
      <c r="Q92" s="129" t="s">
        <v>13</v>
      </c>
      <c r="R92" s="19" t="s">
        <v>474</v>
      </c>
      <c r="S92" s="18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0">+B93&amp;C93</f>
        <v>Véhicules usagésVentes nettes</v>
      </c>
      <c r="B93" s="12" t="s">
        <v>73</v>
      </c>
      <c r="C93" s="82" t="s">
        <v>15</v>
      </c>
      <c r="D93" s="24"/>
      <c r="E93" s="24"/>
      <c r="F93" s="22">
        <f>+SUM(START:END!F93)</f>
        <v>4763378.1466667932</v>
      </c>
      <c r="G93" s="43"/>
      <c r="H93" s="24"/>
      <c r="I93" s="22">
        <f>+SUM(START:END!I93)</f>
        <v>0</v>
      </c>
      <c r="J93" s="23"/>
      <c r="K93" s="24"/>
      <c r="L93" s="22">
        <f>+SUM(START:END!L93)</f>
        <v>4866193.17</v>
      </c>
      <c r="M93" s="132"/>
      <c r="N93" s="133"/>
      <c r="O93" s="23"/>
      <c r="P93" s="24"/>
      <c r="Q93" s="22">
        <f>+SUM(START:END!Q93)</f>
        <v>5180887.5199999996</v>
      </c>
      <c r="R93" s="132"/>
      <c r="S93" s="133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0"/>
        <v>Véhicules usagésCertifié</v>
      </c>
      <c r="B94" s="12" t="s">
        <v>73</v>
      </c>
      <c r="C94" s="27" t="s">
        <v>75</v>
      </c>
      <c r="D94" s="28">
        <f>+SUM(START:END!D94)</f>
        <v>114</v>
      </c>
      <c r="E94" s="28">
        <f>IF(D94=0,0,F94/D94)</f>
        <v>1858</v>
      </c>
      <c r="F94" s="374">
        <f>+SUM(START:END!F94)</f>
        <v>211812</v>
      </c>
      <c r="G94" s="28">
        <f>+SUM(START:END!G94)</f>
        <v>0</v>
      </c>
      <c r="H94" s="28">
        <f>IF(G94=0,0,I94/G94)</f>
        <v>0</v>
      </c>
      <c r="I94" s="374">
        <f>+SUM(START:END!I94)</f>
        <v>0</v>
      </c>
      <c r="J94" s="28">
        <f>+SUM(START:END!J94)</f>
        <v>96</v>
      </c>
      <c r="K94" s="28">
        <f>IF(J94=0,0,L94/J94)</f>
        <v>1504.6239583333343</v>
      </c>
      <c r="L94" s="28">
        <f>+SUM(START:END!L94)</f>
        <v>144443.90000000008</v>
      </c>
      <c r="M94" s="29">
        <f>J94-D94</f>
        <v>-18</v>
      </c>
      <c r="N94" s="31">
        <f>L94-F94</f>
        <v>-67368.099999999919</v>
      </c>
      <c r="O94" s="28">
        <f>+SUM(START:END!O94)</f>
        <v>110</v>
      </c>
      <c r="P94" s="28">
        <f>IF(O94=0,0,Q94/O94)</f>
        <v>1759.0521818181824</v>
      </c>
      <c r="Q94" s="28">
        <f>+SUM(START:END!Q94)</f>
        <v>193495.74000000005</v>
      </c>
      <c r="R94" s="29">
        <f t="shared" ref="R94:R95" si="31">J94-O94</f>
        <v>-14</v>
      </c>
      <c r="S94" s="31">
        <f t="shared" ref="S94:S95" si="32">L94-Q94</f>
        <v>-49051.839999999967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0"/>
        <v>Véhicules usagésNon Certifié</v>
      </c>
      <c r="B95" s="12" t="s">
        <v>73</v>
      </c>
      <c r="C95" s="27" t="s">
        <v>76</v>
      </c>
      <c r="D95" s="28">
        <f>+SUM(START:END!D95)</f>
        <v>0</v>
      </c>
      <c r="E95" s="24">
        <f t="shared" ref="E95:E104" si="33">IF(D95=0,0,F95/D95)</f>
        <v>0</v>
      </c>
      <c r="F95" s="49">
        <f>+SUM(START:END!F95)</f>
        <v>0</v>
      </c>
      <c r="G95" s="28">
        <f>+SUM(START:END!G95)</f>
        <v>0</v>
      </c>
      <c r="H95" s="24">
        <f t="shared" ref="H95" si="34">IF(G95=0,0,I95/G95)</f>
        <v>0</v>
      </c>
      <c r="I95" s="49">
        <f>+SUM(START:END!I95)</f>
        <v>0</v>
      </c>
      <c r="J95" s="28">
        <f>+SUM(START:END!J95)</f>
        <v>9</v>
      </c>
      <c r="K95" s="24">
        <f t="shared" ref="K95" si="35">IF(J95=0,0,L95/J95)</f>
        <v>2054.2622222222217</v>
      </c>
      <c r="L95" s="28">
        <f>+SUM(START:END!L95)</f>
        <v>18488.359999999993</v>
      </c>
      <c r="M95" s="29">
        <f>J95-D95</f>
        <v>9</v>
      </c>
      <c r="N95" s="31">
        <f>L95-F95</f>
        <v>18488.359999999993</v>
      </c>
      <c r="O95" s="28">
        <f>+SUM(START:END!O95)</f>
        <v>0</v>
      </c>
      <c r="P95" s="24">
        <f t="shared" ref="P95" si="36">IF(O95=0,0,Q95/O95)</f>
        <v>0</v>
      </c>
      <c r="Q95" s="28">
        <f>+SUM(START:END!Q95)</f>
        <v>0</v>
      </c>
      <c r="R95" s="29">
        <f t="shared" si="31"/>
        <v>9</v>
      </c>
      <c r="S95" s="31">
        <f t="shared" si="32"/>
        <v>18488.359999999993</v>
      </c>
      <c r="T95" s="14"/>
      <c r="U95" s="14"/>
      <c r="V95" s="134"/>
      <c r="W95" s="134"/>
      <c r="X95" s="134"/>
      <c r="Y95" s="13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0"/>
        <v>Véhicules usagésTotal Usagés</v>
      </c>
      <c r="B96" s="12" t="s">
        <v>73</v>
      </c>
      <c r="C96" s="33" t="s">
        <v>77</v>
      </c>
      <c r="D96" s="34">
        <f>+D95+D94</f>
        <v>114</v>
      </c>
      <c r="E96" s="28">
        <f t="shared" si="33"/>
        <v>1858</v>
      </c>
      <c r="F96" s="35">
        <f t="shared" ref="F96" si="37">+F94+F95</f>
        <v>211812</v>
      </c>
      <c r="G96" s="36">
        <f>+G95+G94</f>
        <v>0</v>
      </c>
      <c r="H96" s="34">
        <f t="shared" ref="H96:H98" si="38">IF(G96=0,0,I96/G96)</f>
        <v>0</v>
      </c>
      <c r="I96" s="35">
        <f t="shared" ref="I96:J96" si="39">+I94+I95</f>
        <v>0</v>
      </c>
      <c r="J96" s="36">
        <f t="shared" si="39"/>
        <v>105</v>
      </c>
      <c r="K96" s="34">
        <f>IF(J96&lt;=0,0,L96/J96)</f>
        <v>1551.7358095238101</v>
      </c>
      <c r="L96" s="35">
        <f>+L94+L95</f>
        <v>162932.26000000007</v>
      </c>
      <c r="M96" s="36">
        <f>J96-D96</f>
        <v>-9</v>
      </c>
      <c r="N96" s="35">
        <f>L96-F96</f>
        <v>-48879.739999999932</v>
      </c>
      <c r="O96" s="36">
        <f t="shared" ref="O96" si="40">+O94+O95</f>
        <v>110</v>
      </c>
      <c r="P96" s="34">
        <f>IF(O96&lt;=0,0,Q96/O96)</f>
        <v>1759.0521818181824</v>
      </c>
      <c r="Q96" s="35">
        <f>+Q94+Q95</f>
        <v>193495.74000000005</v>
      </c>
      <c r="R96" s="36">
        <f t="shared" ref="R96:S96" si="41">R94+R95</f>
        <v>-5</v>
      </c>
      <c r="S96" s="35">
        <f t="shared" si="41"/>
        <v>-30563.479999999974</v>
      </c>
      <c r="T96" s="14"/>
      <c r="U96" s="14"/>
      <c r="V96" s="28"/>
      <c r="W96" s="28"/>
      <c r="X96" s="28"/>
      <c r="Y96" s="28"/>
      <c r="Z96" s="14"/>
      <c r="AA96" s="14"/>
      <c r="AB96" s="14"/>
      <c r="AC96" s="77"/>
      <c r="AD96" s="14"/>
      <c r="AE96" s="14"/>
      <c r="AF96" s="77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0"/>
        <v>Véhicules usagés</v>
      </c>
      <c r="B97" s="12" t="s">
        <v>73</v>
      </c>
      <c r="C97" s="27"/>
      <c r="D97" s="14"/>
      <c r="E97" s="28">
        <f t="shared" si="33"/>
        <v>0</v>
      </c>
      <c r="F97" s="37"/>
      <c r="G97" s="38"/>
      <c r="H97" s="14">
        <f t="shared" si="38"/>
        <v>0</v>
      </c>
      <c r="I97" s="37"/>
      <c r="J97" s="38"/>
      <c r="K97" s="14"/>
      <c r="L97" s="37"/>
      <c r="M97" s="412">
        <f>M96/D96</f>
        <v>-7.8947368421052627E-2</v>
      </c>
      <c r="N97" s="413">
        <f>N96/F96</f>
        <v>-0.23076945593261916</v>
      </c>
      <c r="O97" s="38"/>
      <c r="P97" s="14"/>
      <c r="Q97" s="37"/>
      <c r="R97" s="412">
        <f>R96/O96</f>
        <v>-4.5454545454545456E-2</v>
      </c>
      <c r="S97" s="413">
        <f>IF(Q96=0,0,(S96/Q96))</f>
        <v>-0.15795427847662158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0"/>
        <v>Véhicules usagésUS</v>
      </c>
      <c r="B98" s="12" t="s">
        <v>73</v>
      </c>
      <c r="C98" s="27" t="s">
        <v>194</v>
      </c>
      <c r="D98" s="28">
        <f>+SUM(START:END!D98)</f>
        <v>0</v>
      </c>
      <c r="E98" s="28">
        <f t="shared" si="33"/>
        <v>0</v>
      </c>
      <c r="F98" s="28">
        <f>+SUM(START:END!F98)</f>
        <v>0</v>
      </c>
      <c r="G98" s="149">
        <f>+SUM(START:END!G98)</f>
        <v>0</v>
      </c>
      <c r="H98" s="28">
        <f t="shared" si="38"/>
        <v>0</v>
      </c>
      <c r="I98" s="28">
        <f>+SUM(START:END!I98)</f>
        <v>0</v>
      </c>
      <c r="J98" s="29">
        <f>+SUM(START:END!J98)</f>
        <v>0</v>
      </c>
      <c r="K98" s="28">
        <f t="shared" ref="K98" si="42">IF(J98=0,0,L98/J98)</f>
        <v>0</v>
      </c>
      <c r="L98" s="31">
        <f>+SUM(START:END!L98)</f>
        <v>0</v>
      </c>
      <c r="M98" s="29"/>
      <c r="N98" s="31"/>
      <c r="O98" s="29">
        <f>+SUM(START:END!O98)</f>
        <v>0</v>
      </c>
      <c r="P98" s="28">
        <f t="shared" ref="P98" si="43">IF(O98=0,0,Q98/O98)</f>
        <v>0</v>
      </c>
      <c r="Q98" s="30">
        <f>+SUM(START:END!Q98)</f>
        <v>0</v>
      </c>
      <c r="R98" s="29"/>
      <c r="S98" s="31"/>
      <c r="T98" s="14"/>
      <c r="U98" s="14"/>
      <c r="V98" s="28"/>
      <c r="W98" s="28"/>
      <c r="X98" s="28"/>
      <c r="Y98" s="28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0"/>
        <v>Véhicules usagésVentes au Gros</v>
      </c>
      <c r="B99" s="12" t="s">
        <v>73</v>
      </c>
      <c r="C99" s="27" t="s">
        <v>78</v>
      </c>
      <c r="D99" s="28">
        <f>+SUM(START:END!D99)</f>
        <v>96.461538461538453</v>
      </c>
      <c r="E99" s="28">
        <f t="shared" ref="E99" si="44">IF(D99=0,0,F99/D99)</f>
        <v>399</v>
      </c>
      <c r="F99" s="28">
        <f>+SUM(START:END!F99)</f>
        <v>38488.153846153844</v>
      </c>
      <c r="G99" s="149">
        <f>+SUM(START:END!G99)</f>
        <v>0</v>
      </c>
      <c r="H99" s="28">
        <f t="shared" ref="H99" si="45">IF(G99=0,0,I99/G99)</f>
        <v>0</v>
      </c>
      <c r="I99" s="28">
        <f>+SUM(START:END!I99)</f>
        <v>0</v>
      </c>
      <c r="J99" s="29">
        <f>+SUM(START:END!J99)</f>
        <v>92</v>
      </c>
      <c r="K99" s="28">
        <f t="shared" ref="K99" si="46">IF(J99=0,0,L99/J99)</f>
        <v>310.57956521739203</v>
      </c>
      <c r="L99" s="31">
        <f>+SUM(START:END!L99)</f>
        <v>28573.320000000065</v>
      </c>
      <c r="M99" s="29">
        <f>J99-D99</f>
        <v>-4.4615384615384528</v>
      </c>
      <c r="N99" s="31">
        <f>L99-F99</f>
        <v>-9914.8338461537787</v>
      </c>
      <c r="O99" s="29">
        <f>+SUM(START:END!O99)</f>
        <v>117</v>
      </c>
      <c r="P99" s="28">
        <f t="shared" ref="P99" si="47">IF(O99=0,0,Q99/O99)</f>
        <v>382.78247863247901</v>
      </c>
      <c r="Q99" s="30">
        <f>+SUM(START:END!Q99)</f>
        <v>44785.550000000047</v>
      </c>
      <c r="R99" s="29">
        <f>J99-O99</f>
        <v>-25</v>
      </c>
      <c r="S99" s="31">
        <f>L99-Q99</f>
        <v>-16212.229999999981</v>
      </c>
      <c r="T99" s="14"/>
      <c r="U99" s="14"/>
      <c r="V99" s="28"/>
      <c r="W99" s="28"/>
      <c r="X99" s="28"/>
      <c r="Y99" s="28"/>
      <c r="Z99" s="14"/>
      <c r="AA99" s="14"/>
      <c r="AB99" s="14"/>
      <c r="AC99" s="77"/>
      <c r="AD99" s="14"/>
      <c r="AE99" s="14"/>
      <c r="AF99" s="135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0"/>
        <v>Véhicules usagés</v>
      </c>
      <c r="B100" s="12" t="s">
        <v>73</v>
      </c>
      <c r="C100" s="82"/>
      <c r="D100" s="24"/>
      <c r="E100" s="24"/>
      <c r="F100" s="45"/>
      <c r="G100" s="48"/>
      <c r="H100" s="44"/>
      <c r="I100" s="45"/>
      <c r="J100" s="48"/>
      <c r="K100" s="44"/>
      <c r="L100" s="45"/>
      <c r="M100" s="46"/>
      <c r="N100" s="136"/>
      <c r="O100" s="48"/>
      <c r="P100" s="44"/>
      <c r="Q100" s="45"/>
      <c r="R100" s="46"/>
      <c r="S100" s="13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35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0"/>
        <v>Véhicules usagésRev. Finances</v>
      </c>
      <c r="B101" s="12" t="s">
        <v>73</v>
      </c>
      <c r="C101" s="27" t="s">
        <v>25</v>
      </c>
      <c r="D101" s="28">
        <v>0</v>
      </c>
      <c r="E101" s="28">
        <f t="shared" si="33"/>
        <v>0</v>
      </c>
      <c r="F101" s="31">
        <f>+SUM(START:END!F101)</f>
        <v>57000</v>
      </c>
      <c r="G101" s="29">
        <v>0</v>
      </c>
      <c r="H101" s="28">
        <f t="shared" ref="H101:H104" si="48">IF(G101=0,0,I101/G101)</f>
        <v>0</v>
      </c>
      <c r="I101" s="28">
        <f>+SUM(START:END!I101)</f>
        <v>0</v>
      </c>
      <c r="J101" s="29"/>
      <c r="K101" s="28">
        <f>IF(J96=0,0,L101/J96)</f>
        <v>559.65723809523809</v>
      </c>
      <c r="L101" s="31">
        <f>+SUM(START:END!L101)</f>
        <v>58764.01</v>
      </c>
      <c r="M101" s="29"/>
      <c r="N101" s="31">
        <f>L101-F101</f>
        <v>1764.010000000002</v>
      </c>
      <c r="O101" s="29"/>
      <c r="P101" s="28">
        <f>IF(O96=0,0,Q101/O96)</f>
        <v>717.36390909090903</v>
      </c>
      <c r="Q101" s="31">
        <f>+SUM(START:END!Q101)</f>
        <v>78910.03</v>
      </c>
      <c r="R101" s="29">
        <f t="shared" ref="R101:R103" si="49">O101-K101</f>
        <v>-559.65723809523809</v>
      </c>
      <c r="S101" s="31">
        <f t="shared" ref="S101:S104" si="50">L101-Q101</f>
        <v>-20146.019999999997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0"/>
        <v>Véhicules usagésRev. Protections</v>
      </c>
      <c r="B102" s="12" t="s">
        <v>73</v>
      </c>
      <c r="C102" s="27" t="s">
        <v>26</v>
      </c>
      <c r="D102" s="28">
        <v>0</v>
      </c>
      <c r="E102" s="28">
        <f t="shared" si="33"/>
        <v>0</v>
      </c>
      <c r="F102" s="31">
        <f>+SUM(START:END!F102)</f>
        <v>142500</v>
      </c>
      <c r="G102" s="29">
        <v>0</v>
      </c>
      <c r="H102" s="28">
        <f t="shared" si="48"/>
        <v>0</v>
      </c>
      <c r="I102" s="28">
        <f>+SUM(START:END!I102)</f>
        <v>0</v>
      </c>
      <c r="J102" s="29"/>
      <c r="K102" s="28">
        <f>IF(J96=0,0,L102/J96)</f>
        <v>1265.210761904762</v>
      </c>
      <c r="L102" s="31">
        <f>+SUM(START:END!L102)</f>
        <v>132847.13</v>
      </c>
      <c r="M102" s="29"/>
      <c r="N102" s="31">
        <f>L102-F102</f>
        <v>-9652.8699999999953</v>
      </c>
      <c r="O102" s="29"/>
      <c r="P102" s="28">
        <f>IF(O96=0,0,Q102/O96)</f>
        <v>1184.6819090909091</v>
      </c>
      <c r="Q102" s="31">
        <f>+SUM(START:END!Q102)</f>
        <v>130315.01000000001</v>
      </c>
      <c r="R102" s="29">
        <f t="shared" si="49"/>
        <v>-1265.210761904762</v>
      </c>
      <c r="S102" s="31">
        <f t="shared" si="50"/>
        <v>2532.1199999999953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0"/>
        <v>Véhicules usagésRev. Autres</v>
      </c>
      <c r="B103" s="12" t="s">
        <v>73</v>
      </c>
      <c r="C103" s="27" t="s">
        <v>27</v>
      </c>
      <c r="D103" s="28">
        <v>0</v>
      </c>
      <c r="E103" s="24">
        <f t="shared" si="33"/>
        <v>0</v>
      </c>
      <c r="F103" s="31">
        <f>+SUM(START:END!F103)</f>
        <v>39900</v>
      </c>
      <c r="G103" s="29">
        <v>0</v>
      </c>
      <c r="H103" s="44">
        <f t="shared" si="48"/>
        <v>0</v>
      </c>
      <c r="I103" s="28">
        <f>+SUM(START:END!I103)</f>
        <v>0</v>
      </c>
      <c r="J103" s="29"/>
      <c r="K103" s="44">
        <f>IF(J96=0,0,L103/J96)</f>
        <v>31.456380952380954</v>
      </c>
      <c r="L103" s="31">
        <f>+SUM(START:END!L103)</f>
        <v>3302.92</v>
      </c>
      <c r="M103" s="48"/>
      <c r="N103" s="31">
        <f>L103-F103</f>
        <v>-36597.08</v>
      </c>
      <c r="O103" s="29"/>
      <c r="P103" s="44">
        <f>IF(O96=0,0,Q103/O96)</f>
        <v>35.74463636363636</v>
      </c>
      <c r="Q103" s="31">
        <f>+SUM(START:END!Q103)</f>
        <v>3931.91</v>
      </c>
      <c r="R103" s="29">
        <f t="shared" si="49"/>
        <v>-31.456380952380954</v>
      </c>
      <c r="S103" s="31">
        <f t="shared" si="50"/>
        <v>-628.98999999999978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0"/>
        <v>Véhicules usagésTotal F&amp;I</v>
      </c>
      <c r="B104" s="12" t="s">
        <v>73</v>
      </c>
      <c r="C104" s="33" t="s">
        <v>28</v>
      </c>
      <c r="D104" s="34">
        <f>D96</f>
        <v>114</v>
      </c>
      <c r="E104" s="28">
        <f t="shared" si="33"/>
        <v>2100</v>
      </c>
      <c r="F104" s="35">
        <f>F101+F102+F103</f>
        <v>239400</v>
      </c>
      <c r="G104" s="36">
        <f>G96</f>
        <v>0</v>
      </c>
      <c r="H104" s="34">
        <f t="shared" si="48"/>
        <v>0</v>
      </c>
      <c r="I104" s="35">
        <f>I101+I102+I103</f>
        <v>0</v>
      </c>
      <c r="J104" s="36">
        <f>J96</f>
        <v>105</v>
      </c>
      <c r="K104" s="34">
        <f>IF(J104&lt;=0,0,L104/J104)</f>
        <v>1856.3243809523813</v>
      </c>
      <c r="L104" s="35">
        <f>L101+L102+L103</f>
        <v>194914.06000000003</v>
      </c>
      <c r="M104" s="29">
        <f>J104-D104</f>
        <v>-9</v>
      </c>
      <c r="N104" s="35">
        <f>L104-F104</f>
        <v>-44485.939999999973</v>
      </c>
      <c r="O104" s="36">
        <f>O96</f>
        <v>110</v>
      </c>
      <c r="P104" s="34">
        <f>IF(O104&lt;=0,0,Q104/O104)</f>
        <v>1937.7904545454546</v>
      </c>
      <c r="Q104" s="35">
        <f>Q101+Q102+Q103</f>
        <v>213156.95</v>
      </c>
      <c r="R104" s="53"/>
      <c r="S104" s="35">
        <f t="shared" si="50"/>
        <v>-18242.889999999985</v>
      </c>
      <c r="T104" s="14"/>
      <c r="U104" s="14"/>
      <c r="V104" s="28"/>
      <c r="W104" s="28"/>
      <c r="X104" s="28"/>
      <c r="Y104" s="28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0"/>
        <v>Véhicules usagés</v>
      </c>
      <c r="B105" s="12" t="s">
        <v>73</v>
      </c>
      <c r="C105" s="27"/>
      <c r="D105" s="14"/>
      <c r="E105" s="14"/>
      <c r="F105" s="55"/>
      <c r="G105" s="38"/>
      <c r="H105" s="137"/>
      <c r="I105" s="55"/>
      <c r="J105" s="38"/>
      <c r="K105" s="14"/>
      <c r="L105" s="55"/>
      <c r="M105" s="39"/>
      <c r="N105" s="40">
        <f>N104/F104</f>
        <v>-0.18582263993316614</v>
      </c>
      <c r="O105" s="38"/>
      <c r="P105" s="14"/>
      <c r="Q105" s="55"/>
      <c r="R105" s="56"/>
      <c r="S105" s="40">
        <f>IF(Q104=0,0,(S104/Q104))</f>
        <v>-8.5584307713166205E-2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0"/>
        <v>Véhicules usagés</v>
      </c>
      <c r="B106" s="12" t="s">
        <v>73</v>
      </c>
      <c r="C106" s="27"/>
      <c r="D106" s="14"/>
      <c r="E106" s="14"/>
      <c r="F106" s="55"/>
      <c r="G106" s="38"/>
      <c r="H106" s="137"/>
      <c r="I106" s="55"/>
      <c r="J106" s="38"/>
      <c r="K106" s="28"/>
      <c r="L106" s="55"/>
      <c r="M106" s="39"/>
      <c r="N106" s="40"/>
      <c r="O106" s="38"/>
      <c r="P106" s="14"/>
      <c r="Q106" s="55"/>
      <c r="R106" s="56"/>
      <c r="S106" s="40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0"/>
        <v>Véhicules usagésTotal Dépt. Usagés</v>
      </c>
      <c r="B107" s="12" t="s">
        <v>73</v>
      </c>
      <c r="C107" s="58" t="s">
        <v>79</v>
      </c>
      <c r="D107" s="59">
        <f>D96+D99</f>
        <v>210.46153846153845</v>
      </c>
      <c r="E107" s="63">
        <f>IF(D107&lt;=0,0,F107/D107)</f>
        <v>2326.791666666667</v>
      </c>
      <c r="F107" s="61">
        <f>F96+F104+F99</f>
        <v>489700.15384615387</v>
      </c>
      <c r="G107" s="62">
        <f>G96+G99</f>
        <v>0</v>
      </c>
      <c r="H107" s="63">
        <f>IF(G107&lt;=0,0,I107/G107)</f>
        <v>0</v>
      </c>
      <c r="I107" s="61">
        <f>I96+I104+I99</f>
        <v>0</v>
      </c>
      <c r="J107" s="62">
        <f>J96+J99+J98</f>
        <v>197</v>
      </c>
      <c r="K107" s="63">
        <f>IF(J107&lt;=0,0,L107/J107)</f>
        <v>1961.5210152284271</v>
      </c>
      <c r="L107" s="61">
        <f>L96+L104+L99+L98</f>
        <v>386419.64000000013</v>
      </c>
      <c r="M107" s="62">
        <f>J107-D107</f>
        <v>-13.461538461538453</v>
      </c>
      <c r="N107" s="61">
        <f>L107-F107</f>
        <v>-103280.51384615374</v>
      </c>
      <c r="O107" s="62">
        <f>O96+O99+O98</f>
        <v>227</v>
      </c>
      <c r="P107" s="63">
        <f>IF(O107&lt;=0,0,Q107/O107)</f>
        <v>1988.7147136563881</v>
      </c>
      <c r="Q107" s="61">
        <f>Q96+Q104+Q99+Q98</f>
        <v>451438.24000000011</v>
      </c>
      <c r="R107" s="62">
        <f>J107-O107</f>
        <v>-30</v>
      </c>
      <c r="S107" s="61">
        <f>L107-Q107</f>
        <v>-65018.599999999977</v>
      </c>
      <c r="T107" s="14"/>
      <c r="U107" s="14"/>
      <c r="V107" s="28"/>
      <c r="W107" s="28"/>
      <c r="X107" s="28"/>
      <c r="Y107" s="28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0"/>
        <v>Véhicules usagés</v>
      </c>
      <c r="B108" s="12" t="s">
        <v>73</v>
      </c>
      <c r="C108" s="64"/>
      <c r="D108" s="65"/>
      <c r="E108" s="65"/>
      <c r="F108" s="66"/>
      <c r="G108" s="67"/>
      <c r="H108" s="65"/>
      <c r="I108" s="66"/>
      <c r="J108" s="67"/>
      <c r="K108" s="65"/>
      <c r="L108" s="66"/>
      <c r="M108" s="68">
        <f>M107/D107</f>
        <v>-6.3961988304093526E-2</v>
      </c>
      <c r="N108" s="69">
        <f>N107/F107</f>
        <v>-0.2109056185401991</v>
      </c>
      <c r="O108" s="67"/>
      <c r="P108" s="65"/>
      <c r="Q108" s="66"/>
      <c r="R108" s="419">
        <f>O107/R107</f>
        <v>-7.5666666666666664</v>
      </c>
      <c r="S108" s="420">
        <f>IF(Q107=0,0,(S107/Q107))</f>
        <v>-0.14402545960661189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0"/>
        <v>Véhicules usagés</v>
      </c>
      <c r="B109" s="12" t="s">
        <v>73</v>
      </c>
      <c r="C109" s="50"/>
      <c r="D109" s="71"/>
      <c r="E109" s="71"/>
      <c r="F109" s="72"/>
      <c r="G109" s="73"/>
      <c r="H109" s="71"/>
      <c r="I109" s="72"/>
      <c r="J109" s="73"/>
      <c r="K109" s="71"/>
      <c r="L109" s="72"/>
      <c r="M109" s="39"/>
      <c r="N109" s="40"/>
      <c r="O109" s="73"/>
      <c r="P109" s="71"/>
      <c r="Q109" s="72"/>
      <c r="R109" s="39"/>
      <c r="S109" s="40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0"/>
        <v>Véhicules usagésDEPENSES</v>
      </c>
      <c r="B110" s="12" t="s">
        <v>73</v>
      </c>
      <c r="C110" s="74" t="s">
        <v>30</v>
      </c>
      <c r="D110" s="14"/>
      <c r="E110" s="75"/>
      <c r="F110" s="55"/>
      <c r="G110" s="38"/>
      <c r="H110" s="75"/>
      <c r="I110" s="55"/>
      <c r="J110" s="38"/>
      <c r="K110" s="75"/>
      <c r="L110" s="37"/>
      <c r="M110" s="38"/>
      <c r="N110" s="37"/>
      <c r="O110" s="38"/>
      <c r="P110" s="75"/>
      <c r="Q110" s="37"/>
      <c r="R110" s="38"/>
      <c r="S110" s="37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0"/>
        <v>Véhicules usagésComm. vendeurs</v>
      </c>
      <c r="B111" s="12" t="s">
        <v>73</v>
      </c>
      <c r="C111" s="27" t="s">
        <v>31</v>
      </c>
      <c r="D111" s="76"/>
      <c r="E111" s="77">
        <f t="shared" ref="E111:E119" si="51">F111/D$96</f>
        <v>587.53508771929819</v>
      </c>
      <c r="F111" s="28">
        <f>+SUM(START:END!F111)</f>
        <v>66979</v>
      </c>
      <c r="G111" s="138" t="e">
        <f>I111/I96</f>
        <v>#DIV/0!</v>
      </c>
      <c r="H111" s="77" t="e">
        <f t="shared" ref="H111:H119" si="52">I111/G$96</f>
        <v>#DIV/0!</v>
      </c>
      <c r="I111" s="28">
        <f>+SUM(START:END!I111)</f>
        <v>0</v>
      </c>
      <c r="J111" s="138">
        <f>L111/L96</f>
        <v>0.50549884964463121</v>
      </c>
      <c r="K111" s="77">
        <f t="shared" ref="K111:K119" si="53">IF($J$96=0,0,L111/(J$94+J$95))</f>
        <v>784.40066666666655</v>
      </c>
      <c r="L111" s="31">
        <f>+SUM(START:END!L111)</f>
        <v>82362.069999999992</v>
      </c>
      <c r="M111" s="38"/>
      <c r="N111" s="55">
        <f t="shared" ref="N111:N152" si="54">L111-F111</f>
        <v>15383.069999999992</v>
      </c>
      <c r="O111" s="38"/>
      <c r="P111" s="77">
        <f t="shared" ref="P111:P119" si="55">IF($J$96=0,0,Q111/(O$94+O$95))</f>
        <v>731.3188181818183</v>
      </c>
      <c r="Q111" s="31">
        <f>+SUM(START:END!Q111)</f>
        <v>80445.070000000007</v>
      </c>
      <c r="R111" s="38"/>
      <c r="S111" s="55">
        <f t="shared" ref="S111:S152" si="56">L111-Q111</f>
        <v>1916.9999999999854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0"/>
        <v>Véhicules usagésComm. F&amp;I</v>
      </c>
      <c r="B112" s="12" t="s">
        <v>73</v>
      </c>
      <c r="C112" s="82" t="s">
        <v>32</v>
      </c>
      <c r="D112" s="83"/>
      <c r="E112" s="84">
        <f t="shared" si="51"/>
        <v>630</v>
      </c>
      <c r="F112" s="22">
        <f>+SUM(START:END!F112)</f>
        <v>71820</v>
      </c>
      <c r="G112" s="87" t="e">
        <f>I112/I104</f>
        <v>#DIV/0!</v>
      </c>
      <c r="H112" s="84" t="e">
        <f t="shared" si="52"/>
        <v>#DIV/0!</v>
      </c>
      <c r="I112" s="22">
        <f>+SUM(START:END!I112)</f>
        <v>0</v>
      </c>
      <c r="J112" s="87">
        <f>L112/L104</f>
        <v>0.29521774878631118</v>
      </c>
      <c r="K112" s="84">
        <f t="shared" si="53"/>
        <v>548.01990476190474</v>
      </c>
      <c r="L112" s="31">
        <f>+SUM(START:END!L112)</f>
        <v>57542.09</v>
      </c>
      <c r="M112" s="23"/>
      <c r="N112" s="88">
        <f t="shared" si="54"/>
        <v>-14277.910000000003</v>
      </c>
      <c r="O112" s="23"/>
      <c r="P112" s="84">
        <f t="shared" si="55"/>
        <v>516.79418181818187</v>
      </c>
      <c r="Q112" s="31">
        <f>+SUM(START:END!Q112)</f>
        <v>56847.360000000001</v>
      </c>
      <c r="R112" s="23"/>
      <c r="S112" s="88">
        <f t="shared" si="56"/>
        <v>694.72999999999593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0"/>
        <v>Véhicules usagésFrais de livraison</v>
      </c>
      <c r="B113" s="12" t="s">
        <v>73</v>
      </c>
      <c r="C113" s="27" t="s">
        <v>33</v>
      </c>
      <c r="D113" s="76"/>
      <c r="E113" s="77">
        <f t="shared" si="51"/>
        <v>43.638219139208324</v>
      </c>
      <c r="F113" s="28">
        <f>+SUM(START:END!F113)</f>
        <v>4974.7569818697493</v>
      </c>
      <c r="G113" s="78"/>
      <c r="H113" s="77" t="e">
        <f t="shared" si="52"/>
        <v>#DIV/0!</v>
      </c>
      <c r="I113" s="28">
        <f>+SUM(START:END!I113)</f>
        <v>0</v>
      </c>
      <c r="J113" s="38"/>
      <c r="K113" s="77">
        <f t="shared" si="53"/>
        <v>-25.267142857142854</v>
      </c>
      <c r="L113" s="105">
        <f>+SUM(START:END!L113)</f>
        <v>-2653.0499999999997</v>
      </c>
      <c r="M113" s="38"/>
      <c r="N113" s="55">
        <f t="shared" si="54"/>
        <v>-7627.8069818697495</v>
      </c>
      <c r="O113" s="38"/>
      <c r="P113" s="77">
        <f t="shared" si="55"/>
        <v>16.655636363636361</v>
      </c>
      <c r="Q113" s="105">
        <f>+SUM(START:END!Q113)</f>
        <v>1832.12</v>
      </c>
      <c r="R113" s="38"/>
      <c r="S113" s="55">
        <f t="shared" si="56"/>
        <v>-4485.17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0"/>
        <v>Véhicules usagésService gratuit 1</v>
      </c>
      <c r="B114" s="12" t="s">
        <v>73</v>
      </c>
      <c r="C114" s="27" t="s">
        <v>34</v>
      </c>
      <c r="D114" s="76"/>
      <c r="E114" s="77">
        <f t="shared" si="51"/>
        <v>15.731566240051016</v>
      </c>
      <c r="F114" s="28">
        <f>+SUM(START:END!F114)</f>
        <v>1793.3985513658158</v>
      </c>
      <c r="G114" s="78"/>
      <c r="H114" s="77" t="e">
        <f t="shared" si="52"/>
        <v>#DIV/0!</v>
      </c>
      <c r="I114" s="28">
        <f>+SUM(START:END!I114)</f>
        <v>0</v>
      </c>
      <c r="J114" s="38"/>
      <c r="K114" s="77">
        <f t="shared" si="53"/>
        <v>12.797714285714285</v>
      </c>
      <c r="L114" s="31">
        <f>+SUM(START:END!L114)</f>
        <v>1343.76</v>
      </c>
      <c r="M114" s="38"/>
      <c r="N114" s="55">
        <f t="shared" si="54"/>
        <v>-449.63855136581583</v>
      </c>
      <c r="O114" s="38"/>
      <c r="P114" s="77">
        <f t="shared" si="55"/>
        <v>1.415</v>
      </c>
      <c r="Q114" s="31">
        <f>+SUM(START:END!Q114)</f>
        <v>155.65</v>
      </c>
      <c r="R114" s="38"/>
      <c r="S114" s="55">
        <f t="shared" si="56"/>
        <v>1188.1099999999999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0"/>
        <v>Véhicules usagésEntretien stock</v>
      </c>
      <c r="B115" s="12" t="s">
        <v>73</v>
      </c>
      <c r="C115" s="82" t="s">
        <v>35</v>
      </c>
      <c r="D115" s="83"/>
      <c r="E115" s="84">
        <f t="shared" si="51"/>
        <v>125.42456696334298</v>
      </c>
      <c r="F115" s="22">
        <f>+SUM(START:END!F115)</f>
        <v>14298.4006338211</v>
      </c>
      <c r="G115" s="85"/>
      <c r="H115" s="84" t="e">
        <f t="shared" si="52"/>
        <v>#DIV/0!</v>
      </c>
      <c r="I115" s="22">
        <f>+SUM(START:END!I115)</f>
        <v>0</v>
      </c>
      <c r="J115" s="23"/>
      <c r="K115" s="84">
        <f t="shared" si="53"/>
        <v>124.10714285714286</v>
      </c>
      <c r="L115" s="45">
        <f>+SUM(START:END!L115)</f>
        <v>13031.25</v>
      </c>
      <c r="M115" s="23"/>
      <c r="N115" s="88">
        <f t="shared" si="54"/>
        <v>-1267.1506338211002</v>
      </c>
      <c r="O115" s="23"/>
      <c r="P115" s="84">
        <f t="shared" si="55"/>
        <v>141.20936363636363</v>
      </c>
      <c r="Q115" s="45">
        <f>+SUM(START:END!Q115)</f>
        <v>15533.029999999999</v>
      </c>
      <c r="R115" s="23"/>
      <c r="S115" s="88">
        <f t="shared" si="56"/>
        <v>-2501.7799999999988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0"/>
        <v>Véhicules usagésPublicité 1</v>
      </c>
      <c r="B116" s="12" t="s">
        <v>73</v>
      </c>
      <c r="C116" s="27" t="s">
        <v>36</v>
      </c>
      <c r="D116" s="76"/>
      <c r="E116" s="77">
        <f t="shared" si="51"/>
        <v>69.006410256410248</v>
      </c>
      <c r="F116" s="28">
        <f>+SUM(START:END!F116)</f>
        <v>7866.7307692307686</v>
      </c>
      <c r="G116" s="78"/>
      <c r="H116" s="77" t="e">
        <f t="shared" si="52"/>
        <v>#DIV/0!</v>
      </c>
      <c r="I116" s="28">
        <f>+SUM(START:END!I116)</f>
        <v>0</v>
      </c>
      <c r="J116" s="38"/>
      <c r="K116" s="77">
        <f t="shared" si="53"/>
        <v>310.70333333333332</v>
      </c>
      <c r="L116" s="31">
        <f>+SUM(START:END!L116)</f>
        <v>32623.85</v>
      </c>
      <c r="M116" s="38"/>
      <c r="N116" s="55">
        <f t="shared" si="54"/>
        <v>24757.119230769229</v>
      </c>
      <c r="O116" s="38"/>
      <c r="P116" s="77">
        <f t="shared" si="55"/>
        <v>170.43581818181818</v>
      </c>
      <c r="Q116" s="31">
        <f>+SUM(START:END!Q116)</f>
        <v>18747.939999999999</v>
      </c>
      <c r="R116" s="38"/>
      <c r="S116" s="55">
        <f t="shared" si="56"/>
        <v>13875.91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0"/>
        <v>Véhicules usagésIntérêt de gros</v>
      </c>
      <c r="B117" s="12" t="s">
        <v>73</v>
      </c>
      <c r="C117" s="27" t="s">
        <v>37</v>
      </c>
      <c r="D117" s="76"/>
      <c r="E117" s="77">
        <f t="shared" si="51"/>
        <v>176.38121220860367</v>
      </c>
      <c r="F117" s="28">
        <f>+SUM(START:END!F117)</f>
        <v>20107.458191780817</v>
      </c>
      <c r="G117" s="78"/>
      <c r="H117" s="77" t="e">
        <f t="shared" si="52"/>
        <v>#DIV/0!</v>
      </c>
      <c r="I117" s="28">
        <f>+SUM(START:END!I117)</f>
        <v>0</v>
      </c>
      <c r="J117" s="38"/>
      <c r="K117" s="77">
        <f t="shared" si="53"/>
        <v>96.285999999999987</v>
      </c>
      <c r="L117" s="31">
        <f>+SUM(START:END!L117)</f>
        <v>10110.029999999999</v>
      </c>
      <c r="M117" s="38"/>
      <c r="N117" s="55">
        <f t="shared" si="54"/>
        <v>-9997.4281917808185</v>
      </c>
      <c r="O117" s="38"/>
      <c r="P117" s="77">
        <f t="shared" si="55"/>
        <v>122.05172727272728</v>
      </c>
      <c r="Q117" s="31">
        <f>+SUM(START:END!Q117)</f>
        <v>13425.69</v>
      </c>
      <c r="R117" s="38"/>
      <c r="S117" s="55">
        <f t="shared" si="56"/>
        <v>-3315.6600000000017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0"/>
        <v>Véhicules usagés[...]</v>
      </c>
      <c r="B118" s="12" t="s">
        <v>73</v>
      </c>
      <c r="C118" s="27" t="s">
        <v>20</v>
      </c>
      <c r="D118" s="76"/>
      <c r="E118" s="77">
        <f t="shared" si="51"/>
        <v>0</v>
      </c>
      <c r="F118" s="28">
        <f>+SUM(START:END!F118)</f>
        <v>0</v>
      </c>
      <c r="G118" s="78"/>
      <c r="H118" s="77" t="e">
        <f t="shared" si="52"/>
        <v>#DIV/0!</v>
      </c>
      <c r="I118" s="28">
        <f>+SUM(START:END!I118)</f>
        <v>0</v>
      </c>
      <c r="J118" s="38"/>
      <c r="K118" s="77">
        <f t="shared" si="53"/>
        <v>0</v>
      </c>
      <c r="L118" s="31">
        <f>+SUM(START:END!L118)</f>
        <v>0</v>
      </c>
      <c r="M118" s="38"/>
      <c r="N118" s="55">
        <f t="shared" si="54"/>
        <v>0</v>
      </c>
      <c r="O118" s="38"/>
      <c r="P118" s="77">
        <f t="shared" si="55"/>
        <v>0</v>
      </c>
      <c r="Q118" s="31">
        <f>+SUM(START:END!Q118)</f>
        <v>0</v>
      </c>
      <c r="R118" s="38"/>
      <c r="S118" s="55">
        <f t="shared" si="56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0"/>
        <v>Véhicules usagés[...]</v>
      </c>
      <c r="B119" s="12" t="s">
        <v>73</v>
      </c>
      <c r="C119" s="27" t="s">
        <v>20</v>
      </c>
      <c r="D119" s="76"/>
      <c r="E119" s="77">
        <f t="shared" si="51"/>
        <v>0</v>
      </c>
      <c r="F119" s="28">
        <f>+SUM(START:END!F119)</f>
        <v>0</v>
      </c>
      <c r="G119" s="78"/>
      <c r="H119" s="77" t="e">
        <f t="shared" si="52"/>
        <v>#DIV/0!</v>
      </c>
      <c r="I119" s="28">
        <f>+SUM(START:END!I119)</f>
        <v>0</v>
      </c>
      <c r="J119" s="38"/>
      <c r="K119" s="77">
        <f t="shared" si="53"/>
        <v>0</v>
      </c>
      <c r="L119" s="31">
        <f>+SUM(START:END!L119)</f>
        <v>0</v>
      </c>
      <c r="M119" s="38"/>
      <c r="N119" s="55">
        <f t="shared" si="54"/>
        <v>0</v>
      </c>
      <c r="O119" s="38"/>
      <c r="P119" s="77">
        <f t="shared" si="55"/>
        <v>0</v>
      </c>
      <c r="Q119" s="31">
        <f>+SUM(START:END!Q119)</f>
        <v>0</v>
      </c>
      <c r="R119" s="38"/>
      <c r="S119" s="55">
        <f t="shared" si="56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0"/>
        <v>Véhicules usagés[...]</v>
      </c>
      <c r="B120" s="12" t="s">
        <v>73</v>
      </c>
      <c r="C120" s="27" t="s">
        <v>20</v>
      </c>
      <c r="D120" s="76"/>
      <c r="E120" s="77">
        <f>F120/D$96</f>
        <v>0</v>
      </c>
      <c r="F120" s="28">
        <f>+SUM(START:END!F120)</f>
        <v>0</v>
      </c>
      <c r="G120" s="78"/>
      <c r="H120" s="77" t="e">
        <f>I120/G$96</f>
        <v>#DIV/0!</v>
      </c>
      <c r="I120" s="28">
        <f>+SUM(START:END!I120)</f>
        <v>0</v>
      </c>
      <c r="J120" s="38"/>
      <c r="K120" s="77">
        <f>IF($J$96=0,0,L120/(J$94+J$95))</f>
        <v>0</v>
      </c>
      <c r="L120" s="31">
        <f>+SUM(START:END!L120)</f>
        <v>0</v>
      </c>
      <c r="M120" s="38"/>
      <c r="N120" s="55">
        <f t="shared" si="54"/>
        <v>0</v>
      </c>
      <c r="O120" s="38"/>
      <c r="P120" s="77">
        <f>IF($J$96=0,0,Q120/(O$94+O$95))</f>
        <v>0</v>
      </c>
      <c r="Q120" s="31">
        <f>+SUM(START:END!Q120)</f>
        <v>0</v>
      </c>
      <c r="R120" s="38"/>
      <c r="S120" s="55">
        <f t="shared" si="56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0"/>
        <v>Véhicules usagésTOTAL VARIABLES</v>
      </c>
      <c r="B121" s="12" t="s">
        <v>73</v>
      </c>
      <c r="C121" s="90" t="s">
        <v>38</v>
      </c>
      <c r="D121" s="91" t="s">
        <v>39</v>
      </c>
      <c r="E121" s="92">
        <f>F121/F$107</f>
        <v>0.38358114379331137</v>
      </c>
      <c r="F121" s="93">
        <f>SUM(F111:F120)</f>
        <v>187839.74512806826</v>
      </c>
      <c r="G121" s="94" t="s">
        <v>39</v>
      </c>
      <c r="H121" s="92" t="e">
        <f>I121/I$107</f>
        <v>#DIV/0!</v>
      </c>
      <c r="I121" s="93">
        <f>SUM(I111:I120)</f>
        <v>0</v>
      </c>
      <c r="J121" s="94" t="s">
        <v>39</v>
      </c>
      <c r="K121" s="92">
        <f>L121/L$107</f>
        <v>0.50297650502443392</v>
      </c>
      <c r="L121" s="93">
        <f>SUM(L111:L120)</f>
        <v>194360</v>
      </c>
      <c r="M121" s="97"/>
      <c r="N121" s="93">
        <f t="shared" si="54"/>
        <v>6520.2548719317419</v>
      </c>
      <c r="O121" s="94" t="s">
        <v>39</v>
      </c>
      <c r="P121" s="92">
        <f>Q121/Q$107</f>
        <v>0.41420252745979147</v>
      </c>
      <c r="Q121" s="93">
        <f>SUM(Q111:Q120)</f>
        <v>186986.86</v>
      </c>
      <c r="R121" s="97"/>
      <c r="S121" s="93">
        <f t="shared" si="56"/>
        <v>7373.140000000014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0"/>
        <v>Véhicules usagésSalaires cadres</v>
      </c>
      <c r="B122" s="12" t="s">
        <v>73</v>
      </c>
      <c r="C122" s="99" t="s">
        <v>41</v>
      </c>
      <c r="D122" s="14"/>
      <c r="E122" s="14"/>
      <c r="F122" s="28">
        <f>+SUM(START:END!F122)</f>
        <v>30173.30229885058</v>
      </c>
      <c r="G122" s="38"/>
      <c r="H122" s="14"/>
      <c r="I122" s="28">
        <f>+SUM(START:END!I122)</f>
        <v>0</v>
      </c>
      <c r="J122" s="38"/>
      <c r="K122" s="14"/>
      <c r="L122" s="31">
        <f>+SUM(START:END!L122)</f>
        <v>28757.13</v>
      </c>
      <c r="M122" s="38"/>
      <c r="N122" s="55">
        <f t="shared" si="54"/>
        <v>-1416.172298850579</v>
      </c>
      <c r="O122" s="38"/>
      <c r="P122" s="14"/>
      <c r="Q122" s="31">
        <f>+SUM(START:END!Q122)</f>
        <v>33457.06</v>
      </c>
      <c r="R122" s="38"/>
      <c r="S122" s="55">
        <f t="shared" si="56"/>
        <v>-4699.9299999999967</v>
      </c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0"/>
        <v>Véhicules usagésSalaires commis</v>
      </c>
      <c r="B123" s="12" t="s">
        <v>73</v>
      </c>
      <c r="C123" s="100" t="s">
        <v>42</v>
      </c>
      <c r="D123" s="76"/>
      <c r="E123" s="14"/>
      <c r="F123" s="22">
        <f>+SUM(START:END!F123)</f>
        <v>6816.4248275862074</v>
      </c>
      <c r="G123" s="78"/>
      <c r="H123" s="14"/>
      <c r="I123" s="22">
        <f>+SUM(START:END!I123)</f>
        <v>0</v>
      </c>
      <c r="J123" s="38"/>
      <c r="K123" s="14"/>
      <c r="L123" s="22">
        <f>+SUM(START:END!L123)</f>
        <v>16188.15</v>
      </c>
      <c r="M123" s="38"/>
      <c r="N123" s="55">
        <f t="shared" si="54"/>
        <v>9371.7251724137932</v>
      </c>
      <c r="O123" s="38"/>
      <c r="P123" s="14"/>
      <c r="Q123" s="22">
        <f>+SUM(START:END!Q123)</f>
        <v>4841.2299999999996</v>
      </c>
      <c r="R123" s="38"/>
      <c r="S123" s="55">
        <f t="shared" si="56"/>
        <v>11346.92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0"/>
        <v>Véhicules usagésSalaires autres</v>
      </c>
      <c r="B124" s="12" t="s">
        <v>73</v>
      </c>
      <c r="C124" s="99" t="s">
        <v>43</v>
      </c>
      <c r="D124" s="101"/>
      <c r="E124" s="102"/>
      <c r="F124" s="28">
        <f>+SUM(START:END!F124)</f>
        <v>23337.80229885058</v>
      </c>
      <c r="G124" s="103"/>
      <c r="H124" s="102"/>
      <c r="I124" s="28">
        <f>+SUM(START:END!I124)</f>
        <v>0</v>
      </c>
      <c r="J124" s="104"/>
      <c r="K124" s="102"/>
      <c r="L124" s="31">
        <f>+SUM(START:END!L124)</f>
        <v>31827.160000000003</v>
      </c>
      <c r="M124" s="104"/>
      <c r="N124" s="106">
        <f t="shared" si="54"/>
        <v>8489.3577011494235</v>
      </c>
      <c r="O124" s="104"/>
      <c r="P124" s="102"/>
      <c r="Q124" s="31">
        <f>+SUM(START:END!Q124)</f>
        <v>22102.3</v>
      </c>
      <c r="R124" s="104"/>
      <c r="S124" s="106">
        <f t="shared" si="56"/>
        <v>9724.8600000000042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0"/>
        <v>Véhicules usagésSalaires spécialistes</v>
      </c>
      <c r="B125" s="12" t="s">
        <v>73</v>
      </c>
      <c r="C125" s="99" t="s">
        <v>44</v>
      </c>
      <c r="D125" s="76"/>
      <c r="E125" s="14"/>
      <c r="F125" s="28">
        <f>+SUM(START:END!F125)</f>
        <v>0</v>
      </c>
      <c r="G125" s="78"/>
      <c r="H125" s="14"/>
      <c r="I125" s="28">
        <f>+SUM(START:END!I125)</f>
        <v>0</v>
      </c>
      <c r="J125" s="38"/>
      <c r="K125" s="14"/>
      <c r="L125" s="31">
        <f>+SUM(START:END!L125)</f>
        <v>0</v>
      </c>
      <c r="M125" s="38"/>
      <c r="N125" s="55">
        <f t="shared" si="54"/>
        <v>0</v>
      </c>
      <c r="O125" s="38"/>
      <c r="P125" s="14"/>
      <c r="Q125" s="31">
        <f>+SUM(START:END!Q125)</f>
        <v>0</v>
      </c>
      <c r="R125" s="38"/>
      <c r="S125" s="55">
        <f t="shared" si="56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0"/>
        <v>Véhicules usagés[...]</v>
      </c>
      <c r="B126" s="12" t="s">
        <v>73</v>
      </c>
      <c r="C126" s="99" t="s">
        <v>20</v>
      </c>
      <c r="D126" s="76"/>
      <c r="E126" s="14"/>
      <c r="F126" s="28">
        <f>+SUM(START:END!F126)</f>
        <v>0</v>
      </c>
      <c r="G126" s="78"/>
      <c r="H126" s="14"/>
      <c r="I126" s="28">
        <f>+SUM(START:END!I126)</f>
        <v>0</v>
      </c>
      <c r="J126" s="38"/>
      <c r="K126" s="14"/>
      <c r="L126" s="31">
        <f>+SUM(START:END!L126)</f>
        <v>0</v>
      </c>
      <c r="M126" s="38"/>
      <c r="N126" s="55">
        <f t="shared" si="54"/>
        <v>0</v>
      </c>
      <c r="O126" s="38"/>
      <c r="P126" s="14"/>
      <c r="Q126" s="31">
        <f>+SUM(START:END!Q126)</f>
        <v>0</v>
      </c>
      <c r="R126" s="38"/>
      <c r="S126" s="55">
        <f t="shared" si="56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0"/>
        <v>Véhicules usagés[...]</v>
      </c>
      <c r="B127" s="12" t="s">
        <v>73</v>
      </c>
      <c r="C127" s="99" t="s">
        <v>20</v>
      </c>
      <c r="D127" s="76"/>
      <c r="E127" s="14"/>
      <c r="F127" s="28">
        <f>+SUM(START:END!F127)</f>
        <v>0</v>
      </c>
      <c r="G127" s="78"/>
      <c r="H127" s="14"/>
      <c r="I127" s="28">
        <f>+SUM(START:END!I127)</f>
        <v>0</v>
      </c>
      <c r="J127" s="38"/>
      <c r="K127" s="14"/>
      <c r="L127" s="31">
        <f>+SUM(START:END!L127)</f>
        <v>0</v>
      </c>
      <c r="M127" s="38"/>
      <c r="N127" s="55">
        <f t="shared" si="54"/>
        <v>0</v>
      </c>
      <c r="O127" s="38"/>
      <c r="P127" s="14"/>
      <c r="Q127" s="31">
        <f>+SUM(START:END!Q127)</f>
        <v>0</v>
      </c>
      <c r="R127" s="38"/>
      <c r="S127" s="55">
        <f t="shared" si="56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0"/>
        <v>Véhicules usagés[...]</v>
      </c>
      <c r="B128" s="12" t="s">
        <v>73</v>
      </c>
      <c r="C128" s="99" t="s">
        <v>20</v>
      </c>
      <c r="D128" s="76"/>
      <c r="E128" s="14"/>
      <c r="F128" s="28">
        <f>+SUM(START:END!F128)</f>
        <v>0</v>
      </c>
      <c r="G128" s="78"/>
      <c r="H128" s="14"/>
      <c r="I128" s="28">
        <f>+SUM(START:END!I128)</f>
        <v>0</v>
      </c>
      <c r="J128" s="38"/>
      <c r="K128" s="14"/>
      <c r="L128" s="31">
        <f>+SUM(START:END!L128)</f>
        <v>0</v>
      </c>
      <c r="M128" s="38"/>
      <c r="N128" s="55">
        <f t="shared" si="54"/>
        <v>0</v>
      </c>
      <c r="O128" s="38"/>
      <c r="P128" s="14"/>
      <c r="Q128" s="31">
        <f>+SUM(START:END!Q128)</f>
        <v>0</v>
      </c>
      <c r="R128" s="38"/>
      <c r="S128" s="55">
        <f t="shared" si="56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0"/>
        <v>Véhicules usagésSalaires en absences</v>
      </c>
      <c r="B129" s="12" t="s">
        <v>73</v>
      </c>
      <c r="C129" s="100" t="s">
        <v>45</v>
      </c>
      <c r="D129" s="76"/>
      <c r="E129" s="14"/>
      <c r="F129" s="28">
        <f>+SUM(START:END!F129)</f>
        <v>23005.430644864366</v>
      </c>
      <c r="G129" s="78"/>
      <c r="H129" s="14"/>
      <c r="I129" s="28">
        <f>+SUM(START:END!I129)</f>
        <v>0</v>
      </c>
      <c r="J129" s="38"/>
      <c r="K129" s="14"/>
      <c r="L129" s="31">
        <f>+SUM(START:END!L129)</f>
        <v>10550.869999999999</v>
      </c>
      <c r="M129" s="38"/>
      <c r="N129" s="55">
        <f t="shared" si="54"/>
        <v>-12454.560644864367</v>
      </c>
      <c r="O129" s="38"/>
      <c r="P129" s="14"/>
      <c r="Q129" s="31">
        <f>+SUM(START:END!Q129)</f>
        <v>11991.81</v>
      </c>
      <c r="R129" s="38"/>
      <c r="S129" s="55">
        <f t="shared" si="56"/>
        <v>-1440.9400000000005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0"/>
        <v>Véhicules usagésDéduction à la source</v>
      </c>
      <c r="B130" s="12" t="s">
        <v>73</v>
      </c>
      <c r="C130" s="99" t="s">
        <v>46</v>
      </c>
      <c r="D130" s="101"/>
      <c r="E130" s="102"/>
      <c r="F130" s="51">
        <f>+SUM(START:END!F130)</f>
        <v>22869.663113443868</v>
      </c>
      <c r="G130" s="103"/>
      <c r="H130" s="102"/>
      <c r="I130" s="51">
        <f>+SUM(START:END!I130)</f>
        <v>0</v>
      </c>
      <c r="J130" s="104"/>
      <c r="K130" s="102"/>
      <c r="L130" s="52">
        <f>+SUM(START:END!L130)</f>
        <v>21250.32</v>
      </c>
      <c r="M130" s="104"/>
      <c r="N130" s="106">
        <f t="shared" si="54"/>
        <v>-1619.3431134438688</v>
      </c>
      <c r="O130" s="104"/>
      <c r="P130" s="102"/>
      <c r="Q130" s="52">
        <f>+SUM(START:END!Q130)</f>
        <v>9306.08</v>
      </c>
      <c r="R130" s="104"/>
      <c r="S130" s="106">
        <f t="shared" si="56"/>
        <v>11944.24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0"/>
        <v>Véhicules usagésBénéfices marginaux</v>
      </c>
      <c r="B131" s="12" t="s">
        <v>73</v>
      </c>
      <c r="C131" s="99" t="s">
        <v>47</v>
      </c>
      <c r="D131" s="76"/>
      <c r="E131" s="14"/>
      <c r="F131" s="28">
        <f>+SUM(START:END!F131)</f>
        <v>16014.665328415129</v>
      </c>
      <c r="G131" s="78"/>
      <c r="H131" s="14"/>
      <c r="I131" s="28">
        <f>+SUM(START:END!I131)</f>
        <v>0</v>
      </c>
      <c r="J131" s="38"/>
      <c r="K131" s="14"/>
      <c r="L131" s="31">
        <f>+SUM(START:END!L131)</f>
        <v>8650.7799999999988</v>
      </c>
      <c r="M131" s="38"/>
      <c r="N131" s="55">
        <f t="shared" si="54"/>
        <v>-7363.8853284151301</v>
      </c>
      <c r="O131" s="38"/>
      <c r="P131" s="14"/>
      <c r="Q131" s="31">
        <f>+SUM(START:END!Q131)</f>
        <v>6835.6299999999992</v>
      </c>
      <c r="R131" s="38"/>
      <c r="S131" s="55">
        <f t="shared" si="56"/>
        <v>1815.1499999999996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0"/>
        <v>Véhicules usagésCsst</v>
      </c>
      <c r="B132" s="12" t="s">
        <v>73</v>
      </c>
      <c r="C132" s="99" t="s">
        <v>48</v>
      </c>
      <c r="D132" s="76"/>
      <c r="E132" s="14"/>
      <c r="F132" s="28">
        <f>+SUM(START:END!F132)</f>
        <v>7650.6672265461675</v>
      </c>
      <c r="G132" s="78"/>
      <c r="H132" s="14"/>
      <c r="I132" s="28">
        <f>+SUM(START:END!I132)</f>
        <v>0</v>
      </c>
      <c r="J132" s="38"/>
      <c r="K132" s="14"/>
      <c r="L132" s="31">
        <f>+SUM(START:END!L132)</f>
        <v>4023.21</v>
      </c>
      <c r="M132" s="38"/>
      <c r="N132" s="55">
        <f t="shared" si="54"/>
        <v>-3627.4572265461675</v>
      </c>
      <c r="O132" s="38"/>
      <c r="P132" s="14"/>
      <c r="Q132" s="31">
        <f>+SUM(START:END!Q132)</f>
        <v>4623.25</v>
      </c>
      <c r="R132" s="38"/>
      <c r="S132" s="55">
        <f t="shared" si="56"/>
        <v>-600.04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0"/>
        <v>Véhicules usagés[...]</v>
      </c>
      <c r="B133" s="12" t="s">
        <v>73</v>
      </c>
      <c r="C133" s="27" t="s">
        <v>20</v>
      </c>
      <c r="D133" s="83"/>
      <c r="E133" s="108"/>
      <c r="F133" s="28">
        <f>+SUM(START:END!F133)</f>
        <v>0</v>
      </c>
      <c r="G133" s="85"/>
      <c r="H133" s="108"/>
      <c r="I133" s="28">
        <f>+SUM(START:END!I133)</f>
        <v>0</v>
      </c>
      <c r="J133" s="23"/>
      <c r="K133" s="108"/>
      <c r="L133" s="31">
        <f>+SUM(START:END!L133)</f>
        <v>0</v>
      </c>
      <c r="M133" s="23"/>
      <c r="N133" s="88">
        <f t="shared" si="54"/>
        <v>0</v>
      </c>
      <c r="O133" s="23"/>
      <c r="P133" s="108"/>
      <c r="Q133" s="31">
        <f>+SUM(START:END!Q133)</f>
        <v>0</v>
      </c>
      <c r="R133" s="23"/>
      <c r="S133" s="88">
        <f t="shared" si="56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0"/>
        <v>Véhicules usagésTOTAL PERSONNEL</v>
      </c>
      <c r="B134" s="12" t="s">
        <v>73</v>
      </c>
      <c r="C134" s="90" t="s">
        <v>49</v>
      </c>
      <c r="D134" s="91" t="s">
        <v>39</v>
      </c>
      <c r="E134" s="92">
        <f>F134/F$107</f>
        <v>0.26519892778991594</v>
      </c>
      <c r="F134" s="93">
        <f>+SUM(F122:F133)</f>
        <v>129867.95573855689</v>
      </c>
      <c r="G134" s="94" t="s">
        <v>39</v>
      </c>
      <c r="H134" s="92" t="e">
        <f>I134/I$107</f>
        <v>#DIV/0!</v>
      </c>
      <c r="I134" s="93">
        <f>+SUM(I122:I133)</f>
        <v>0</v>
      </c>
      <c r="J134" s="94" t="s">
        <v>39</v>
      </c>
      <c r="K134" s="92">
        <f>L134/L$107</f>
        <v>0.31377188799202849</v>
      </c>
      <c r="L134" s="93">
        <f>SUM(L122:L133)</f>
        <v>121247.62000000001</v>
      </c>
      <c r="M134" s="140"/>
      <c r="N134" s="110">
        <f t="shared" si="54"/>
        <v>-8620.3357385568816</v>
      </c>
      <c r="O134" s="94" t="s">
        <v>39</v>
      </c>
      <c r="P134" s="92">
        <f>Q134/Q$107</f>
        <v>0.20635682081340734</v>
      </c>
      <c r="Q134" s="93">
        <f>SUM(Q122:Q133)</f>
        <v>93157.36</v>
      </c>
      <c r="R134" s="140"/>
      <c r="S134" s="110">
        <f t="shared" si="56"/>
        <v>28090.260000000009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0"/>
        <v>Véhicules usagésPublicité 2</v>
      </c>
      <c r="B135" s="12" t="s">
        <v>73</v>
      </c>
      <c r="C135" s="27" t="s">
        <v>50</v>
      </c>
      <c r="D135" s="76"/>
      <c r="E135" s="14"/>
      <c r="F135" s="28">
        <f>+SUM(START:END!F135)</f>
        <v>0</v>
      </c>
      <c r="G135" s="78"/>
      <c r="H135" s="14"/>
      <c r="I135" s="28">
        <f>+SUM(START:END!I135)</f>
        <v>0</v>
      </c>
      <c r="J135" s="38"/>
      <c r="K135" s="14"/>
      <c r="L135" s="31">
        <f>+SUM(START:END!L135)</f>
        <v>0</v>
      </c>
      <c r="M135" s="38"/>
      <c r="N135" s="55">
        <f t="shared" si="54"/>
        <v>0</v>
      </c>
      <c r="O135" s="38"/>
      <c r="P135" s="14"/>
      <c r="Q135" s="31">
        <f>+SUM(START:END!Q135)</f>
        <v>0</v>
      </c>
      <c r="R135" s="38"/>
      <c r="S135" s="55">
        <f t="shared" si="56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0"/>
        <v>Véhicules usagésService gratuit 2</v>
      </c>
      <c r="B136" s="12" t="s">
        <v>73</v>
      </c>
      <c r="C136" s="27" t="s">
        <v>51</v>
      </c>
      <c r="D136" s="76"/>
      <c r="E136" s="14"/>
      <c r="F136" s="28">
        <f>+SUM(START:END!F136)</f>
        <v>0</v>
      </c>
      <c r="G136" s="78"/>
      <c r="H136" s="14"/>
      <c r="I136" s="28">
        <f>+SUM(START:END!I136)</f>
        <v>0</v>
      </c>
      <c r="J136" s="38"/>
      <c r="K136" s="14"/>
      <c r="L136" s="31">
        <f>+SUM(START:END!L136)</f>
        <v>0</v>
      </c>
      <c r="M136" s="38"/>
      <c r="N136" s="55">
        <f t="shared" si="54"/>
        <v>0</v>
      </c>
      <c r="O136" s="38"/>
      <c r="P136" s="14"/>
      <c r="Q136" s="31">
        <f>+SUM(START:END!Q136)</f>
        <v>0</v>
      </c>
      <c r="R136" s="38"/>
      <c r="S136" s="55">
        <f t="shared" si="56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0"/>
        <v>Véhicules usagésFrais véhicules de cie</v>
      </c>
      <c r="B137" s="12" t="s">
        <v>73</v>
      </c>
      <c r="C137" s="82" t="s">
        <v>52</v>
      </c>
      <c r="D137" s="83"/>
      <c r="E137" s="108"/>
      <c r="F137" s="22">
        <f>+SUM(START:END!F137)</f>
        <v>540</v>
      </c>
      <c r="G137" s="85"/>
      <c r="H137" s="108"/>
      <c r="I137" s="22">
        <f>+SUM(START:END!I137)</f>
        <v>0</v>
      </c>
      <c r="J137" s="23"/>
      <c r="K137" s="108"/>
      <c r="L137" s="22">
        <f>+SUM(START:END!L137)</f>
        <v>4504.67</v>
      </c>
      <c r="M137" s="23"/>
      <c r="N137" s="88">
        <f t="shared" si="54"/>
        <v>3964.67</v>
      </c>
      <c r="O137" s="23"/>
      <c r="P137" s="108"/>
      <c r="Q137" s="22">
        <f>+SUM(START:END!Q137)</f>
        <v>397.08000000000004</v>
      </c>
      <c r="R137" s="23"/>
      <c r="S137" s="88">
        <f t="shared" si="56"/>
        <v>4107.59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0"/>
        <v>Véhicules usagésInformatique</v>
      </c>
      <c r="B138" s="12" t="s">
        <v>73</v>
      </c>
      <c r="C138" s="27" t="s">
        <v>53</v>
      </c>
      <c r="D138" s="76"/>
      <c r="E138" s="14"/>
      <c r="F138" s="28">
        <f>+SUM(START:END!F138)</f>
        <v>8263.093836</v>
      </c>
      <c r="G138" s="78"/>
      <c r="H138" s="14"/>
      <c r="I138" s="28">
        <f>+SUM(START:END!I138)</f>
        <v>0</v>
      </c>
      <c r="J138" s="38"/>
      <c r="K138" s="14"/>
      <c r="L138" s="31">
        <f>+SUM(START:END!L138)</f>
        <v>10714.27</v>
      </c>
      <c r="M138" s="38"/>
      <c r="N138" s="55">
        <f t="shared" si="54"/>
        <v>2451.1761640000004</v>
      </c>
      <c r="O138" s="38"/>
      <c r="P138" s="14"/>
      <c r="Q138" s="31">
        <f>+SUM(START:END!Q138)</f>
        <v>9988.130000000001</v>
      </c>
      <c r="R138" s="38"/>
      <c r="S138" s="55">
        <f t="shared" si="56"/>
        <v>726.13999999999942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0"/>
        <v>Véhicules usagésFrais de déplacement</v>
      </c>
      <c r="B139" s="12" t="s">
        <v>73</v>
      </c>
      <c r="C139" s="27" t="s">
        <v>54</v>
      </c>
      <c r="D139" s="76"/>
      <c r="E139" s="14"/>
      <c r="F139" s="28">
        <f>+SUM(START:END!F139)</f>
        <v>1125.0990502499999</v>
      </c>
      <c r="G139" s="78"/>
      <c r="H139" s="14"/>
      <c r="I139" s="28">
        <f>+SUM(START:END!I139)</f>
        <v>0</v>
      </c>
      <c r="J139" s="38"/>
      <c r="K139" s="14"/>
      <c r="L139" s="31">
        <f>+SUM(START:END!L139)</f>
        <v>1736.0800000000002</v>
      </c>
      <c r="M139" s="38"/>
      <c r="N139" s="55">
        <f t="shared" si="54"/>
        <v>610.98094975000026</v>
      </c>
      <c r="O139" s="38"/>
      <c r="P139" s="14"/>
      <c r="Q139" s="31">
        <f>+SUM(START:END!Q139)</f>
        <v>909.6</v>
      </c>
      <c r="R139" s="38"/>
      <c r="S139" s="55">
        <f t="shared" si="56"/>
        <v>826.48000000000013</v>
      </c>
      <c r="T139" s="141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0"/>
        <v>Véhicules usagésServices extérieurs</v>
      </c>
      <c r="B140" s="12" t="s">
        <v>73</v>
      </c>
      <c r="C140" s="82" t="s">
        <v>55</v>
      </c>
      <c r="D140" s="83"/>
      <c r="E140" s="108"/>
      <c r="F140" s="22">
        <f>+SUM(START:END!F140)</f>
        <v>4427.3984839999994</v>
      </c>
      <c r="G140" s="85"/>
      <c r="H140" s="108"/>
      <c r="I140" s="22">
        <f>+SUM(START:END!I140)</f>
        <v>0</v>
      </c>
      <c r="J140" s="23"/>
      <c r="K140" s="108"/>
      <c r="L140" s="22">
        <f>+SUM(START:END!L140)</f>
        <v>3030.6400000000003</v>
      </c>
      <c r="M140" s="23"/>
      <c r="N140" s="88">
        <f t="shared" si="54"/>
        <v>-1396.758483999999</v>
      </c>
      <c r="O140" s="23"/>
      <c r="P140" s="108"/>
      <c r="Q140" s="22">
        <f>+SUM(START:END!Q140)</f>
        <v>3340.77</v>
      </c>
      <c r="R140" s="23"/>
      <c r="S140" s="88">
        <f t="shared" si="56"/>
        <v>-310.12999999999965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0"/>
        <v>Véhicules usagésFournitures autres</v>
      </c>
      <c r="B141" s="12" t="s">
        <v>73</v>
      </c>
      <c r="C141" s="27" t="s">
        <v>56</v>
      </c>
      <c r="D141" s="76"/>
      <c r="E141" s="14"/>
      <c r="F141" s="28">
        <f>+SUM(START:END!F141)</f>
        <v>366.73154759785461</v>
      </c>
      <c r="G141" s="78"/>
      <c r="H141" s="14"/>
      <c r="I141" s="28">
        <f>+SUM(START:END!I141)</f>
        <v>0</v>
      </c>
      <c r="J141" s="38"/>
      <c r="K141" s="14"/>
      <c r="L141" s="31">
        <f>+SUM(START:END!L141)</f>
        <v>52.94</v>
      </c>
      <c r="M141" s="38"/>
      <c r="N141" s="55">
        <f t="shared" si="54"/>
        <v>-313.79154759785462</v>
      </c>
      <c r="O141" s="38"/>
      <c r="P141" s="14"/>
      <c r="Q141" s="31">
        <f>+SUM(START:END!Q141)</f>
        <v>1251.8899999999999</v>
      </c>
      <c r="R141" s="38"/>
      <c r="S141" s="55">
        <f t="shared" si="56"/>
        <v>-1198.9499999999998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0"/>
        <v>Véhicules usagésUniformes</v>
      </c>
      <c r="B142" s="12" t="s">
        <v>73</v>
      </c>
      <c r="C142" s="27" t="s">
        <v>57</v>
      </c>
      <c r="D142" s="76"/>
      <c r="E142" s="14"/>
      <c r="F142" s="28">
        <f>+SUM(START:END!F142)</f>
        <v>189.3759898705984</v>
      </c>
      <c r="G142" s="78"/>
      <c r="H142" s="14"/>
      <c r="I142" s="28">
        <f>+SUM(START:END!I142)</f>
        <v>0</v>
      </c>
      <c r="J142" s="38"/>
      <c r="K142" s="14"/>
      <c r="L142" s="31">
        <f>+SUM(START:END!L142)</f>
        <v>0</v>
      </c>
      <c r="M142" s="38"/>
      <c r="N142" s="55">
        <f t="shared" si="54"/>
        <v>-189.3759898705984</v>
      </c>
      <c r="O142" s="38"/>
      <c r="P142" s="14"/>
      <c r="Q142" s="31">
        <f>+SUM(START:END!Q142)</f>
        <v>0</v>
      </c>
      <c r="R142" s="38"/>
      <c r="S142" s="55">
        <f t="shared" si="56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0"/>
        <v>Véhicules usagésPapeterie</v>
      </c>
      <c r="B143" s="12" t="s">
        <v>73</v>
      </c>
      <c r="C143" s="27" t="s">
        <v>58</v>
      </c>
      <c r="D143" s="76"/>
      <c r="E143" s="14"/>
      <c r="F143" s="28">
        <f>+SUM(START:END!F143)</f>
        <v>858.88241459999972</v>
      </c>
      <c r="G143" s="78"/>
      <c r="H143" s="14"/>
      <c r="I143" s="28">
        <f>+SUM(START:END!I143)</f>
        <v>0</v>
      </c>
      <c r="J143" s="38"/>
      <c r="K143" s="14"/>
      <c r="L143" s="30">
        <f>+SUM(START:END!L143)</f>
        <v>920.92000000000007</v>
      </c>
      <c r="M143" s="38"/>
      <c r="N143" s="55">
        <f t="shared" si="54"/>
        <v>62.037585400000353</v>
      </c>
      <c r="O143" s="38"/>
      <c r="P143" s="14"/>
      <c r="Q143" s="30">
        <f>+SUM(START:END!Q143)</f>
        <v>968.49</v>
      </c>
      <c r="R143" s="38"/>
      <c r="S143" s="55">
        <f t="shared" si="56"/>
        <v>-47.569999999999936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0"/>
        <v>Véhicules usagésTéléphone</v>
      </c>
      <c r="B144" s="12" t="s">
        <v>73</v>
      </c>
      <c r="C144" s="27" t="s">
        <v>59</v>
      </c>
      <c r="D144" s="76"/>
      <c r="E144" s="14"/>
      <c r="F144" s="28">
        <f>+SUM(START:END!F144)</f>
        <v>291.06028142499997</v>
      </c>
      <c r="G144" s="78"/>
      <c r="H144" s="14"/>
      <c r="I144" s="28">
        <f>+SUM(START:END!I144)</f>
        <v>0</v>
      </c>
      <c r="J144" s="38"/>
      <c r="K144" s="14"/>
      <c r="L144" s="31">
        <f>+SUM(START:END!L144)</f>
        <v>339.4</v>
      </c>
      <c r="M144" s="38"/>
      <c r="N144" s="55">
        <f t="shared" si="54"/>
        <v>48.339718575000006</v>
      </c>
      <c r="O144" s="38"/>
      <c r="P144" s="14"/>
      <c r="Q144" s="31">
        <f>+SUM(START:END!Q144)</f>
        <v>131.54</v>
      </c>
      <c r="R144" s="38"/>
      <c r="S144" s="55">
        <f t="shared" si="56"/>
        <v>207.85999999999999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0"/>
        <v>Véhicules usagésFrais postaux</v>
      </c>
      <c r="B145" s="12" t="s">
        <v>73</v>
      </c>
      <c r="C145" s="27" t="s">
        <v>60</v>
      </c>
      <c r="D145" s="76"/>
      <c r="E145" s="14"/>
      <c r="F145" s="28">
        <f>+SUM(START:END!F145)</f>
        <v>139.21233057499995</v>
      </c>
      <c r="G145" s="78"/>
      <c r="H145" s="14"/>
      <c r="I145" s="28">
        <f>+SUM(START:END!I145)</f>
        <v>0</v>
      </c>
      <c r="J145" s="38"/>
      <c r="K145" s="14"/>
      <c r="L145" s="31">
        <f>+SUM(START:END!L145)</f>
        <v>268.43</v>
      </c>
      <c r="M145" s="38"/>
      <c r="N145" s="55">
        <f t="shared" si="54"/>
        <v>129.21766942500005</v>
      </c>
      <c r="O145" s="38"/>
      <c r="P145" s="14"/>
      <c r="Q145" s="31">
        <f>+SUM(START:END!Q145)</f>
        <v>232.89</v>
      </c>
      <c r="R145" s="38"/>
      <c r="S145" s="55">
        <f t="shared" si="56"/>
        <v>35.54000000000002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0"/>
        <v>Véhicules usagésDivers</v>
      </c>
      <c r="B146" s="12" t="s">
        <v>73</v>
      </c>
      <c r="C146" s="27" t="s">
        <v>61</v>
      </c>
      <c r="D146" s="76"/>
      <c r="E146" s="14"/>
      <c r="F146" s="28">
        <f>+SUM(START:END!F146)</f>
        <v>528.95515842499992</v>
      </c>
      <c r="G146" s="78"/>
      <c r="H146" s="14"/>
      <c r="I146" s="28">
        <f>+SUM(START:END!I146)</f>
        <v>0</v>
      </c>
      <c r="J146" s="38"/>
      <c r="K146" s="14"/>
      <c r="L146" s="31">
        <f>+SUM(START:END!L146)</f>
        <v>146.26</v>
      </c>
      <c r="M146" s="38"/>
      <c r="N146" s="55">
        <f t="shared" si="54"/>
        <v>-382.69515842499993</v>
      </c>
      <c r="O146" s="38"/>
      <c r="P146" s="14"/>
      <c r="Q146" s="31">
        <f>+SUM(START:END!Q146)</f>
        <v>132.94</v>
      </c>
      <c r="R146" s="38"/>
      <c r="S146" s="55">
        <f t="shared" si="56"/>
        <v>13.319999999999993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0"/>
        <v>Véhicules usagésFormation</v>
      </c>
      <c r="B147" s="12" t="s">
        <v>73</v>
      </c>
      <c r="C147" s="27" t="s">
        <v>62</v>
      </c>
      <c r="D147" s="76"/>
      <c r="E147" s="14"/>
      <c r="F147" s="28">
        <f>+SUM(START:END!F147)</f>
        <v>931.7529272731299</v>
      </c>
      <c r="G147" s="78"/>
      <c r="H147" s="14"/>
      <c r="I147" s="28">
        <f>+SUM(START:END!I147)</f>
        <v>0</v>
      </c>
      <c r="J147" s="38"/>
      <c r="K147" s="14"/>
      <c r="L147" s="31">
        <f>+SUM(START:END!L147)</f>
        <v>537.35</v>
      </c>
      <c r="M147" s="38"/>
      <c r="N147" s="55">
        <f t="shared" si="54"/>
        <v>-394.40292727312988</v>
      </c>
      <c r="O147" s="38"/>
      <c r="P147" s="14"/>
      <c r="Q147" s="31">
        <f>+SUM(START:END!Q147)</f>
        <v>794.67</v>
      </c>
      <c r="R147" s="38"/>
      <c r="S147" s="55">
        <f t="shared" si="56"/>
        <v>-257.31999999999994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0"/>
        <v>Véhicules usagésFrais bancaires</v>
      </c>
      <c r="B148" s="12" t="s">
        <v>73</v>
      </c>
      <c r="C148" s="27" t="s">
        <v>63</v>
      </c>
      <c r="D148" s="76"/>
      <c r="E148" s="14"/>
      <c r="F148" s="28">
        <f>+SUM(START:END!F148)</f>
        <v>1680.9579939097591</v>
      </c>
      <c r="G148" s="78"/>
      <c r="H148" s="14"/>
      <c r="I148" s="28">
        <f>+SUM(START:END!I148)</f>
        <v>0</v>
      </c>
      <c r="J148" s="38"/>
      <c r="K148" s="14"/>
      <c r="L148" s="31">
        <f>+SUM(START:END!L148)</f>
        <v>2148.87</v>
      </c>
      <c r="M148" s="38"/>
      <c r="N148" s="55">
        <f t="shared" si="54"/>
        <v>467.91200609024077</v>
      </c>
      <c r="O148" s="38"/>
      <c r="P148" s="14"/>
      <c r="Q148" s="31">
        <f>+SUM(START:END!Q148)</f>
        <v>2503.9650000000011</v>
      </c>
      <c r="R148" s="38"/>
      <c r="S148" s="55">
        <f t="shared" si="56"/>
        <v>-355.09500000000116</v>
      </c>
      <c r="T148" s="77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0"/>
        <v>Véhicules usagés[...]</v>
      </c>
      <c r="B149" s="12" t="s">
        <v>73</v>
      </c>
      <c r="C149" s="27" t="s">
        <v>20</v>
      </c>
      <c r="D149" s="76"/>
      <c r="E149" s="14"/>
      <c r="F149" s="28">
        <f>+SUM(START:END!F149)</f>
        <v>0</v>
      </c>
      <c r="G149" s="78"/>
      <c r="H149" s="14"/>
      <c r="I149" s="28">
        <f>+SUM(START:END!I149)</f>
        <v>0</v>
      </c>
      <c r="J149" s="38"/>
      <c r="K149" s="14"/>
      <c r="L149" s="31">
        <f>+SUM(START:END!L149)</f>
        <v>0</v>
      </c>
      <c r="M149" s="38"/>
      <c r="N149" s="55">
        <f t="shared" si="54"/>
        <v>0</v>
      </c>
      <c r="O149" s="38"/>
      <c r="P149" s="14"/>
      <c r="Q149" s="31">
        <f>+SUM(START:END!Q149)</f>
        <v>0</v>
      </c>
      <c r="R149" s="38"/>
      <c r="S149" s="55">
        <f t="shared" si="56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0"/>
        <v>Véhicules usagés[...]</v>
      </c>
      <c r="B150" s="12" t="s">
        <v>73</v>
      </c>
      <c r="C150" s="27" t="s">
        <v>20</v>
      </c>
      <c r="D150" s="76"/>
      <c r="E150" s="14"/>
      <c r="F150" s="28">
        <f>+SUM(START:END!F150)</f>
        <v>0</v>
      </c>
      <c r="G150" s="78"/>
      <c r="H150" s="14"/>
      <c r="I150" s="28">
        <f>+SUM(START:END!I150)</f>
        <v>0</v>
      </c>
      <c r="J150" s="38"/>
      <c r="K150" s="14"/>
      <c r="L150" s="31">
        <f>+SUM(START:END!L150)</f>
        <v>0</v>
      </c>
      <c r="M150" s="38"/>
      <c r="N150" s="55">
        <f t="shared" si="54"/>
        <v>0</v>
      </c>
      <c r="O150" s="38"/>
      <c r="P150" s="14"/>
      <c r="Q150" s="31">
        <f>+SUM(START:END!Q150)</f>
        <v>0</v>
      </c>
      <c r="R150" s="38"/>
      <c r="S150" s="55">
        <f t="shared" si="56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0"/>
        <v>Véhicules usagés[...]</v>
      </c>
      <c r="B151" s="12" t="s">
        <v>73</v>
      </c>
      <c r="C151" s="27" t="s">
        <v>20</v>
      </c>
      <c r="D151" s="76"/>
      <c r="E151" s="14"/>
      <c r="F151" s="28">
        <f>+SUM(START:END!F151)</f>
        <v>0</v>
      </c>
      <c r="G151" s="78"/>
      <c r="H151" s="14"/>
      <c r="I151" s="28">
        <f>+SUM(START:END!I151)</f>
        <v>0</v>
      </c>
      <c r="J151" s="38"/>
      <c r="K151" s="14"/>
      <c r="L151" s="31">
        <f>+SUM(START:END!L151)</f>
        <v>0</v>
      </c>
      <c r="M151" s="38"/>
      <c r="N151" s="55">
        <f t="shared" si="54"/>
        <v>0</v>
      </c>
      <c r="O151" s="38"/>
      <c r="P151" s="14"/>
      <c r="Q151" s="31">
        <f>+SUM(START:END!Q151)</f>
        <v>0</v>
      </c>
      <c r="R151" s="38"/>
      <c r="S151" s="55">
        <f t="shared" si="56"/>
        <v>0</v>
      </c>
      <c r="T151" s="77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0"/>
        <v>Véhicules usagésTOTAL SEMI-FIXES</v>
      </c>
      <c r="B152" s="12" t="s">
        <v>73</v>
      </c>
      <c r="C152" s="90" t="s">
        <v>64</v>
      </c>
      <c r="D152" s="91" t="s">
        <v>39</v>
      </c>
      <c r="E152" s="92">
        <f>F152/F$107</f>
        <v>3.9498701117425129E-2</v>
      </c>
      <c r="F152" s="93">
        <f>+SUM(F135:F151)</f>
        <v>19342.520013926336</v>
      </c>
      <c r="G152" s="94" t="s">
        <v>39</v>
      </c>
      <c r="H152" s="92" t="e">
        <f>I152/I$107</f>
        <v>#DIV/0!</v>
      </c>
      <c r="I152" s="93">
        <f>+SUM(I135:I151)</f>
        <v>0</v>
      </c>
      <c r="J152" s="94" t="s">
        <v>39</v>
      </c>
      <c r="K152" s="92">
        <f>L152/L$107</f>
        <v>6.3143348510960748E-2</v>
      </c>
      <c r="L152" s="93">
        <f>+SUM(L135:L151)</f>
        <v>24399.829999999994</v>
      </c>
      <c r="M152" s="97"/>
      <c r="N152" s="93">
        <f t="shared" si="54"/>
        <v>5057.3099860736584</v>
      </c>
      <c r="O152" s="94" t="s">
        <v>39</v>
      </c>
      <c r="P152" s="92">
        <f>Q152/Q$107</f>
        <v>4.5747043936729848E-2</v>
      </c>
      <c r="Q152" s="93">
        <f>+SUM(Q135:Q151)</f>
        <v>20651.965</v>
      </c>
      <c r="R152" s="97"/>
      <c r="S152" s="93">
        <f t="shared" si="56"/>
        <v>3747.8649999999943</v>
      </c>
      <c r="T152" s="109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0"/>
        <v>Véhicules usagés</v>
      </c>
      <c r="B153" s="12" t="s">
        <v>73</v>
      </c>
      <c r="C153" s="82"/>
      <c r="D153" s="83"/>
      <c r="E153" s="108"/>
      <c r="F153" s="55"/>
      <c r="G153" s="85"/>
      <c r="H153" s="108"/>
      <c r="I153" s="55"/>
      <c r="J153" s="23"/>
      <c r="K153" s="108"/>
      <c r="L153" s="88"/>
      <c r="M153" s="23"/>
      <c r="N153" s="88"/>
      <c r="O153" s="23"/>
      <c r="P153" s="108"/>
      <c r="Q153" s="88"/>
      <c r="R153" s="23"/>
      <c r="S153" s="88"/>
      <c r="T153" s="109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0"/>
        <v>Véhicules usagésTOTAL DES DÉPENSES</v>
      </c>
      <c r="B154" s="12" t="s">
        <v>73</v>
      </c>
      <c r="C154" s="90" t="s">
        <v>65</v>
      </c>
      <c r="D154" s="91" t="s">
        <v>39</v>
      </c>
      <c r="E154" s="92">
        <f>F154/F$107</f>
        <v>0.68827877270065252</v>
      </c>
      <c r="F154" s="93">
        <f>F121+F134+F152</f>
        <v>337050.2208805515</v>
      </c>
      <c r="G154" s="94" t="s">
        <v>39</v>
      </c>
      <c r="H154" s="92" t="e">
        <f>I154/I$107</f>
        <v>#DIV/0!</v>
      </c>
      <c r="I154" s="93">
        <f>I121+I134+I152</f>
        <v>0</v>
      </c>
      <c r="J154" s="94" t="s">
        <v>39</v>
      </c>
      <c r="K154" s="92">
        <f>L154/L$107</f>
        <v>0.87989174152742311</v>
      </c>
      <c r="L154" s="93">
        <f>L121+L134+L152</f>
        <v>340007.45</v>
      </c>
      <c r="M154" s="97"/>
      <c r="N154" s="110">
        <f t="shared" ref="N154:N161" si="57">L154-F154</f>
        <v>2957.2291194485151</v>
      </c>
      <c r="O154" s="94" t="s">
        <v>39</v>
      </c>
      <c r="P154" s="92">
        <f>Q154/Q$107</f>
        <v>0.66630639220992871</v>
      </c>
      <c r="Q154" s="93">
        <f>Q121+Q134+Q152</f>
        <v>300796.185</v>
      </c>
      <c r="R154" s="97"/>
      <c r="S154" s="110">
        <f t="shared" ref="S154:S161" si="58">L154-Q154</f>
        <v>39211.265000000014</v>
      </c>
      <c r="T154" s="109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0"/>
        <v>Véhicules usagésRemarketing Bonus</v>
      </c>
      <c r="B155" s="12" t="s">
        <v>73</v>
      </c>
      <c r="C155" s="27" t="s">
        <v>80</v>
      </c>
      <c r="D155" s="142"/>
      <c r="E155" s="143"/>
      <c r="F155" s="28">
        <f>+SUM(START:END!F155)</f>
        <v>0</v>
      </c>
      <c r="G155" s="144"/>
      <c r="H155" s="143"/>
      <c r="I155" s="28">
        <f>+SUM(START:END!I155)</f>
        <v>0</v>
      </c>
      <c r="J155" s="144"/>
      <c r="K155" s="143"/>
      <c r="L155" s="30">
        <f>+SUM(START:END!L155)</f>
        <v>0</v>
      </c>
      <c r="M155" s="38"/>
      <c r="N155" s="55">
        <f t="shared" si="57"/>
        <v>0</v>
      </c>
      <c r="O155" s="144"/>
      <c r="P155" s="143"/>
      <c r="Q155" s="31">
        <f>+SUM(START:END!Q155)</f>
        <v>0</v>
      </c>
      <c r="R155" s="38"/>
      <c r="S155" s="55">
        <f t="shared" si="58"/>
        <v>0</v>
      </c>
      <c r="T155" s="109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0"/>
        <v>Véhicules usagésProgramme used 2</v>
      </c>
      <c r="B156" s="12" t="s">
        <v>73</v>
      </c>
      <c r="C156" s="27" t="s">
        <v>81</v>
      </c>
      <c r="D156" s="142"/>
      <c r="E156" s="143"/>
      <c r="F156" s="28">
        <f>+SUM(START:END!F156)</f>
        <v>0</v>
      </c>
      <c r="G156" s="144"/>
      <c r="H156" s="143"/>
      <c r="I156" s="28">
        <f>+SUM(START:END!I156)</f>
        <v>0</v>
      </c>
      <c r="J156" s="144"/>
      <c r="K156" s="143"/>
      <c r="L156" s="31">
        <f>+SUM(START:END!L156)</f>
        <v>0</v>
      </c>
      <c r="M156" s="38"/>
      <c r="N156" s="55">
        <f t="shared" si="57"/>
        <v>0</v>
      </c>
      <c r="O156" s="144"/>
      <c r="P156" s="143"/>
      <c r="Q156" s="31">
        <f>+SUM(START:END!Q156)</f>
        <v>0</v>
      </c>
      <c r="R156" s="38"/>
      <c r="S156" s="55">
        <f t="shared" si="58"/>
        <v>0</v>
      </c>
      <c r="T156" s="109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0"/>
        <v>Véhicules usagésProgramme used 3</v>
      </c>
      <c r="B157" s="12" t="s">
        <v>73</v>
      </c>
      <c r="C157" s="27" t="s">
        <v>82</v>
      </c>
      <c r="D157" s="76"/>
      <c r="E157" s="14"/>
      <c r="F157" s="28">
        <f>+SUM(START:END!F157)</f>
        <v>0</v>
      </c>
      <c r="G157" s="78"/>
      <c r="H157" s="14"/>
      <c r="I157" s="28">
        <f>+SUM(START:END!I157)</f>
        <v>0</v>
      </c>
      <c r="J157" s="38"/>
      <c r="K157" s="14"/>
      <c r="L157" s="31">
        <f>+SUM(START:END!L157)</f>
        <v>0</v>
      </c>
      <c r="M157" s="38"/>
      <c r="N157" s="55">
        <f t="shared" si="57"/>
        <v>0</v>
      </c>
      <c r="O157" s="38"/>
      <c r="P157" s="14"/>
      <c r="Q157" s="31">
        <f>+SUM(START:END!Q157)</f>
        <v>0</v>
      </c>
      <c r="R157" s="38"/>
      <c r="S157" s="55">
        <f t="shared" si="58"/>
        <v>0</v>
      </c>
      <c r="T157" s="109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59">+B158&amp;C158</f>
        <v>Véhicules usagésFrais administration</v>
      </c>
      <c r="B158" s="12" t="s">
        <v>73</v>
      </c>
      <c r="C158" s="27" t="s">
        <v>70</v>
      </c>
      <c r="D158" s="76"/>
      <c r="E158" s="14"/>
      <c r="F158" s="28">
        <f>+SUM(START:END!F158)</f>
        <v>40937.4</v>
      </c>
      <c r="G158" s="78"/>
      <c r="H158" s="14"/>
      <c r="I158" s="28">
        <f>+SUM(START:END!I158)</f>
        <v>0</v>
      </c>
      <c r="J158" s="38"/>
      <c r="K158" s="14"/>
      <c r="L158" s="30">
        <f>+SUM(START:END!L158)</f>
        <v>46364</v>
      </c>
      <c r="M158" s="38"/>
      <c r="N158" s="55">
        <f t="shared" si="57"/>
        <v>5426.5999999999985</v>
      </c>
      <c r="O158" s="38"/>
      <c r="P158" s="14"/>
      <c r="Q158" s="31">
        <f>+SUM(START:END!Q158)</f>
        <v>39542</v>
      </c>
      <c r="R158" s="38"/>
      <c r="S158" s="55">
        <f t="shared" si="58"/>
        <v>6822</v>
      </c>
      <c r="T158" s="109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59"/>
        <v>Véhicules usagés[...]</v>
      </c>
      <c r="B159" s="12" t="s">
        <v>73</v>
      </c>
      <c r="C159" s="27" t="s">
        <v>20</v>
      </c>
      <c r="D159" s="76"/>
      <c r="E159" s="14"/>
      <c r="F159" s="28">
        <f>+SUM(START:END!F159)</f>
        <v>0</v>
      </c>
      <c r="G159" s="78"/>
      <c r="H159" s="14"/>
      <c r="I159" s="28">
        <f>+SUM(START:END!I159)</f>
        <v>0</v>
      </c>
      <c r="J159" s="38"/>
      <c r="K159" s="14"/>
      <c r="L159" s="30">
        <f>+SUM(START:END!L159)</f>
        <v>0</v>
      </c>
      <c r="M159" s="38"/>
      <c r="N159" s="55">
        <f t="shared" si="57"/>
        <v>0</v>
      </c>
      <c r="O159" s="38"/>
      <c r="P159" s="14"/>
      <c r="Q159" s="31">
        <f>+SUM(START:END!Q159)</f>
        <v>0</v>
      </c>
      <c r="R159" s="38"/>
      <c r="S159" s="55">
        <f t="shared" si="58"/>
        <v>0</v>
      </c>
      <c r="T159" s="109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59"/>
        <v>Véhicules usagés[...]</v>
      </c>
      <c r="B160" s="12" t="s">
        <v>73</v>
      </c>
      <c r="C160" s="27" t="s">
        <v>20</v>
      </c>
      <c r="D160" s="76"/>
      <c r="E160" s="14"/>
      <c r="F160" s="28">
        <f>+SUM(START:END!F160)</f>
        <v>0</v>
      </c>
      <c r="G160" s="78"/>
      <c r="H160" s="14"/>
      <c r="I160" s="28">
        <f>+SUM(START:END!I160)</f>
        <v>0</v>
      </c>
      <c r="J160" s="38"/>
      <c r="K160" s="14"/>
      <c r="L160" s="30">
        <f>+SUM(START:END!L160)</f>
        <v>0</v>
      </c>
      <c r="M160" s="38"/>
      <c r="N160" s="55">
        <f t="shared" si="57"/>
        <v>0</v>
      </c>
      <c r="O160" s="38"/>
      <c r="P160" s="14"/>
      <c r="Q160" s="31">
        <f>+SUM(START:END!Q160)</f>
        <v>0</v>
      </c>
      <c r="R160" s="38"/>
      <c r="S160" s="55">
        <f t="shared" si="58"/>
        <v>0</v>
      </c>
      <c r="T160" s="109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59"/>
        <v>Véhicules usagés[...]</v>
      </c>
      <c r="B161" s="12" t="s">
        <v>73</v>
      </c>
      <c r="C161" s="82" t="s">
        <v>20</v>
      </c>
      <c r="D161" s="83"/>
      <c r="E161" s="108"/>
      <c r="F161" s="28">
        <f>+SUM(START:END!F161)</f>
        <v>0</v>
      </c>
      <c r="G161" s="78"/>
      <c r="H161" s="14"/>
      <c r="I161" s="28">
        <f>+SUM(START:END!I161)</f>
        <v>0</v>
      </c>
      <c r="J161" s="38"/>
      <c r="K161" s="14"/>
      <c r="L161" s="30">
        <f>+SUM(START:END!L161)</f>
        <v>0</v>
      </c>
      <c r="M161" s="38"/>
      <c r="N161" s="55">
        <f t="shared" si="57"/>
        <v>0</v>
      </c>
      <c r="O161" s="38"/>
      <c r="P161" s="14"/>
      <c r="Q161" s="31">
        <f>+SUM(START:END!Q161)</f>
        <v>0</v>
      </c>
      <c r="R161" s="38"/>
      <c r="S161" s="55">
        <f t="shared" si="58"/>
        <v>0</v>
      </c>
      <c r="T161" s="109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0" t="s">
        <v>71</v>
      </c>
      <c r="D162" s="91"/>
      <c r="E162" s="92"/>
      <c r="F162" s="93">
        <f>+SUM(F155:F161)</f>
        <v>40937.4</v>
      </c>
      <c r="G162" s="94"/>
      <c r="H162" s="92"/>
      <c r="I162" s="93">
        <f>+SUM(I155:I161)</f>
        <v>0</v>
      </c>
      <c r="J162" s="94"/>
      <c r="K162" s="92"/>
      <c r="L162" s="93">
        <f>+SUM(L155:L161)</f>
        <v>46364</v>
      </c>
      <c r="M162" s="97"/>
      <c r="N162" s="93">
        <f>SUM(N155:N158)</f>
        <v>5426.5999999999985</v>
      </c>
      <c r="O162" s="94"/>
      <c r="P162" s="92"/>
      <c r="Q162" s="93">
        <f>+SUM(Q155:Q161)</f>
        <v>39542</v>
      </c>
      <c r="R162" s="97"/>
      <c r="S162" s="93">
        <f>+SUM(S155:S161)</f>
        <v>6822</v>
      </c>
      <c r="T162" s="109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27"/>
      <c r="D163" s="76"/>
      <c r="E163" s="14"/>
      <c r="F163" s="55"/>
      <c r="G163" s="78"/>
      <c r="H163" s="14"/>
      <c r="I163" s="55"/>
      <c r="J163" s="38"/>
      <c r="K163" s="14"/>
      <c r="L163" s="55"/>
      <c r="M163" s="38"/>
      <c r="N163" s="55"/>
      <c r="O163" s="38"/>
      <c r="P163" s="14"/>
      <c r="Q163" s="55"/>
      <c r="R163" s="38"/>
      <c r="S163" s="55"/>
      <c r="T163" s="143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0" t="s">
        <v>72</v>
      </c>
      <c r="D164" s="145"/>
      <c r="E164" s="121"/>
      <c r="F164" s="123">
        <f>F107-F154+F162</f>
        <v>193587.33296560237</v>
      </c>
      <c r="G164" s="146"/>
      <c r="H164" s="121"/>
      <c r="I164" s="123">
        <f>I107-I154+I162</f>
        <v>0</v>
      </c>
      <c r="J164" s="147"/>
      <c r="K164" s="122"/>
      <c r="L164" s="123">
        <f>L107-L154+L162</f>
        <v>92776.190000000119</v>
      </c>
      <c r="M164" s="418"/>
      <c r="N164" s="205">
        <f>L164-F164</f>
        <v>-100811.14296560225</v>
      </c>
      <c r="O164" s="147"/>
      <c r="P164" s="122"/>
      <c r="Q164" s="123">
        <f>Q107-Q154+Q162</f>
        <v>190184.05500000011</v>
      </c>
      <c r="R164" s="418"/>
      <c r="S164" s="205">
        <f>L164-Q164</f>
        <v>-97407.864999999991</v>
      </c>
      <c r="T164" s="77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48"/>
      <c r="M165" s="11"/>
      <c r="N165" s="11"/>
      <c r="O165" s="11"/>
      <c r="P165" s="11"/>
      <c r="Q165" s="11"/>
      <c r="R165" s="11"/>
      <c r="S165" s="11"/>
      <c r="T165" s="148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48">
        <f>+I27</f>
        <v>0</v>
      </c>
      <c r="J166" s="11"/>
      <c r="K166" s="11"/>
      <c r="L166" s="148"/>
      <c r="M166" s="11"/>
      <c r="N166" s="148"/>
      <c r="O166" s="11"/>
      <c r="P166" s="11"/>
      <c r="Q166" s="11"/>
      <c r="R166" s="11"/>
      <c r="S166" s="11"/>
      <c r="T166" s="148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83</v>
      </c>
      <c r="L167" s="2"/>
      <c r="M167" s="2"/>
      <c r="N167" s="1"/>
      <c r="O167" s="1"/>
      <c r="P167" s="2"/>
      <c r="Q167" s="1"/>
      <c r="R167" s="2"/>
      <c r="S167" s="421" t="str">
        <f>$S$1</f>
        <v>Réalisé  Volks T3 2023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423"/>
      <c r="D169" s="847" t="s">
        <v>5</v>
      </c>
      <c r="E169" s="848"/>
      <c r="F169" s="841"/>
      <c r="G169" s="840" t="s">
        <v>74</v>
      </c>
      <c r="H169" s="848"/>
      <c r="I169" s="841"/>
      <c r="J169" s="840" t="s">
        <v>7</v>
      </c>
      <c r="K169" s="848"/>
      <c r="L169" s="841"/>
      <c r="M169" s="840" t="s">
        <v>472</v>
      </c>
      <c r="N169" s="841"/>
      <c r="O169" s="847" t="s">
        <v>9</v>
      </c>
      <c r="P169" s="848"/>
      <c r="Q169" s="841"/>
      <c r="R169" s="840" t="s">
        <v>473</v>
      </c>
      <c r="S169" s="841"/>
      <c r="T169" s="142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0">+B170&amp;C170</f>
        <v>Service</v>
      </c>
      <c r="B170" s="12" t="s">
        <v>83</v>
      </c>
      <c r="C170" s="38"/>
      <c r="D170" s="75" t="s">
        <v>40</v>
      </c>
      <c r="E170" s="75" t="s">
        <v>84</v>
      </c>
      <c r="F170" s="129" t="s">
        <v>13</v>
      </c>
      <c r="G170" s="130" t="s">
        <v>40</v>
      </c>
      <c r="H170" s="75" t="s">
        <v>84</v>
      </c>
      <c r="I170" s="129" t="s">
        <v>13</v>
      </c>
      <c r="J170" s="130" t="s">
        <v>40</v>
      </c>
      <c r="K170" s="75" t="s">
        <v>84</v>
      </c>
      <c r="L170" s="129" t="s">
        <v>13</v>
      </c>
      <c r="M170" s="130" t="s">
        <v>468</v>
      </c>
      <c r="N170" s="129" t="s">
        <v>475</v>
      </c>
      <c r="O170" s="75" t="s">
        <v>40</v>
      </c>
      <c r="P170" s="75" t="s">
        <v>84</v>
      </c>
      <c r="Q170" s="129" t="s">
        <v>13</v>
      </c>
      <c r="R170" s="130" t="s">
        <v>85</v>
      </c>
      <c r="S170" s="129" t="s">
        <v>13</v>
      </c>
      <c r="T170" s="75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0"/>
        <v>ServiceM/O Client</v>
      </c>
      <c r="B171" s="12" t="s">
        <v>83</v>
      </c>
      <c r="C171" s="38" t="s">
        <v>86</v>
      </c>
      <c r="D171" s="77">
        <f>+SUM(START:END!D171)</f>
        <v>1056.7327225519894</v>
      </c>
      <c r="E171" s="77">
        <f>+SUM(START:END!E171)</f>
        <v>311736.15315283684</v>
      </c>
      <c r="F171" s="77">
        <f>+SUM(START:END!F171)</f>
        <v>236919.47639615601</v>
      </c>
      <c r="G171" s="56">
        <f>+SUM(START:END!G171)</f>
        <v>0</v>
      </c>
      <c r="H171" s="77">
        <f>+SUM(START:END!H171)</f>
        <v>0</v>
      </c>
      <c r="I171" s="77">
        <f>+SUM(START:END!I171)</f>
        <v>0</v>
      </c>
      <c r="J171" s="56">
        <f>+SUM(START:END!J171)</f>
        <v>1073</v>
      </c>
      <c r="K171" s="28">
        <f>+SUM(START:END!K171)</f>
        <v>380197.57999999996</v>
      </c>
      <c r="L171" s="31">
        <f>+SUM(START:END!L171)</f>
        <v>281821.26</v>
      </c>
      <c r="M171" s="150">
        <f>(K171-E171)/E171</f>
        <v>0.21961336904545078</v>
      </c>
      <c r="N171" s="55">
        <f>L171-F171</f>
        <v>44901.783603844</v>
      </c>
      <c r="O171" s="56">
        <f>+SUM(START:END!O171)</f>
        <v>1085</v>
      </c>
      <c r="P171" s="28">
        <f>+SUM(START:END!P171)</f>
        <v>338410.37</v>
      </c>
      <c r="Q171" s="31">
        <f>+SUM(START:END!Q171)</f>
        <v>263479.88</v>
      </c>
      <c r="R171" s="150">
        <f>IF(O171=0,0,J171/O171)</f>
        <v>0.98894009216589862</v>
      </c>
      <c r="S171" s="55">
        <f>L171-Q171</f>
        <v>18341.380000000005</v>
      </c>
      <c r="T171" s="77"/>
      <c r="U171" s="14"/>
      <c r="V171" s="28"/>
      <c r="W171" s="28"/>
      <c r="X171" s="28"/>
      <c r="Y171" s="28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0"/>
        <v>Service% profit / ventes</v>
      </c>
      <c r="B172" s="12" t="s">
        <v>83</v>
      </c>
      <c r="C172" s="38" t="s">
        <v>87</v>
      </c>
      <c r="D172" s="77"/>
      <c r="E172" s="137"/>
      <c r="F172" s="151">
        <f>F171/E171</f>
        <v>0.76</v>
      </c>
      <c r="G172" s="56"/>
      <c r="H172" s="137"/>
      <c r="I172" s="151" t="e">
        <f>I171/H171</f>
        <v>#DIV/0!</v>
      </c>
      <c r="J172" s="56"/>
      <c r="K172" s="14"/>
      <c r="L172" s="151">
        <f>L171/K171</f>
        <v>0.74124948401828339</v>
      </c>
      <c r="M172" s="150"/>
      <c r="N172" s="55"/>
      <c r="O172" s="56"/>
      <c r="P172" s="14"/>
      <c r="Q172" s="151">
        <f>Q171/P171</f>
        <v>0.77858098733794712</v>
      </c>
      <c r="R172" s="56"/>
      <c r="S172" s="55"/>
      <c r="T172" s="77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0"/>
        <v>Service</v>
      </c>
      <c r="B173" s="12" t="s">
        <v>83</v>
      </c>
      <c r="C173" s="23"/>
      <c r="D173" s="84"/>
      <c r="E173" s="424">
        <f t="shared" ref="E173" si="61">IFERROR(E171/D171,0)</f>
        <v>295</v>
      </c>
      <c r="F173" s="153"/>
      <c r="G173" s="154"/>
      <c r="H173" s="424">
        <f t="shared" ref="H173" si="62">IFERROR(H171/G171,0)</f>
        <v>0</v>
      </c>
      <c r="I173" s="153"/>
      <c r="J173" s="154"/>
      <c r="K173" s="424">
        <f t="shared" ref="K173" si="63">IFERROR(K171/J171,0)</f>
        <v>354.33138863000926</v>
      </c>
      <c r="L173" s="153"/>
      <c r="M173" s="155"/>
      <c r="N173" s="88"/>
      <c r="O173" s="154"/>
      <c r="P173" s="424">
        <f t="shared" ref="P173" si="64">IFERROR(P171/O171,0)</f>
        <v>311.89895852534562</v>
      </c>
      <c r="Q173" s="153"/>
      <c r="R173" s="154"/>
      <c r="S173" s="88"/>
      <c r="T173" s="77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0"/>
        <v>ServiceM/O Garantie</v>
      </c>
      <c r="B174" s="12" t="s">
        <v>83</v>
      </c>
      <c r="C174" s="104" t="s">
        <v>88</v>
      </c>
      <c r="D174" s="156">
        <f>+SUM(START:END!D174)</f>
        <v>789.78986354118501</v>
      </c>
      <c r="E174" s="77">
        <f>+SUM(START:END!E174)</f>
        <v>134264.27680200146</v>
      </c>
      <c r="F174" s="77">
        <f>+SUM(START:END!F174)</f>
        <v>91299.708225360999</v>
      </c>
      <c r="G174" s="157">
        <f>+SUM(START:END!G174)</f>
        <v>0</v>
      </c>
      <c r="H174" s="77">
        <f>+SUM(START:END!H174)</f>
        <v>0</v>
      </c>
      <c r="I174" s="77">
        <f>+SUM(START:END!I174)</f>
        <v>0</v>
      </c>
      <c r="J174" s="157">
        <f>+SUM(START:END!J174)</f>
        <v>357</v>
      </c>
      <c r="K174" s="51">
        <f>+SUM(START:END!K174)</f>
        <v>112781.48000000001</v>
      </c>
      <c r="L174" s="31">
        <f>+SUM(START:END!L174)</f>
        <v>69655.960000000006</v>
      </c>
      <c r="M174" s="150">
        <f>(K174-E174)/E174</f>
        <v>-0.1600038172006242</v>
      </c>
      <c r="N174" s="106">
        <f>L174-F174</f>
        <v>-21643.748225360992</v>
      </c>
      <c r="O174" s="157">
        <f>+SUM(START:END!O174)</f>
        <v>568</v>
      </c>
      <c r="P174" s="51">
        <f>+SUM(START:END!P174)</f>
        <v>137356.38</v>
      </c>
      <c r="Q174" s="31">
        <f>+SUM(START:END!Q174)</f>
        <v>89871.9</v>
      </c>
      <c r="R174" s="150">
        <f>IF(O174=0,0,J174/O174)</f>
        <v>0.62852112676056338</v>
      </c>
      <c r="S174" s="55">
        <f>L174-Q174</f>
        <v>-20215.939999999988</v>
      </c>
      <c r="T174" s="77"/>
      <c r="U174" s="14"/>
      <c r="V174" s="28"/>
      <c r="W174" s="28"/>
      <c r="X174" s="28"/>
      <c r="Y174" s="28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0"/>
        <v>Service% profit / ventes</v>
      </c>
      <c r="B175" s="12" t="s">
        <v>83</v>
      </c>
      <c r="C175" s="38" t="s">
        <v>87</v>
      </c>
      <c r="D175" s="14"/>
      <c r="E175" s="14"/>
      <c r="F175" s="151">
        <f>F174/E174</f>
        <v>0.68</v>
      </c>
      <c r="G175" s="38"/>
      <c r="H175" s="14"/>
      <c r="I175" s="151" t="e">
        <f>I174/H174</f>
        <v>#DIV/0!</v>
      </c>
      <c r="J175" s="38"/>
      <c r="K175" s="14"/>
      <c r="L175" s="151">
        <f>L174/K174</f>
        <v>0.61761877925347319</v>
      </c>
      <c r="M175" s="39"/>
      <c r="N175" s="40"/>
      <c r="O175" s="38"/>
      <c r="P175" s="14"/>
      <c r="Q175" s="151">
        <f>Q174/P174</f>
        <v>0.65429723759464242</v>
      </c>
      <c r="R175" s="39"/>
      <c r="S175" s="40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0"/>
        <v>Service</v>
      </c>
      <c r="B176" s="12" t="s">
        <v>83</v>
      </c>
      <c r="C176" s="23"/>
      <c r="D176" s="108"/>
      <c r="E176" s="424"/>
      <c r="F176" s="153"/>
      <c r="G176" s="154"/>
      <c r="H176" s="424"/>
      <c r="I176" s="153"/>
      <c r="J176" s="154"/>
      <c r="K176" s="424"/>
      <c r="L176" s="153"/>
      <c r="M176" s="155"/>
      <c r="N176" s="88"/>
      <c r="O176" s="154"/>
      <c r="P176" s="424"/>
      <c r="Q176" s="153"/>
      <c r="R176" s="159"/>
      <c r="S176" s="160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0"/>
        <v>ServiceM/O Interne</v>
      </c>
      <c r="B177" s="12" t="s">
        <v>83</v>
      </c>
      <c r="C177" s="38" t="s">
        <v>89</v>
      </c>
      <c r="D177" s="77">
        <f>+SUM(START:END!D177)</f>
        <v>665.71779605680331</v>
      </c>
      <c r="E177" s="77">
        <f>+SUM(START:END!E177)</f>
        <v>149786.50411278076</v>
      </c>
      <c r="F177" s="77">
        <f>+SUM(START:END!F177)</f>
        <v>110842.01304345773</v>
      </c>
      <c r="G177" s="56">
        <f>+SUM(START:END!G177)</f>
        <v>0</v>
      </c>
      <c r="H177" s="77">
        <f>+SUM(START:END!H177)</f>
        <v>0</v>
      </c>
      <c r="I177" s="77">
        <f>+SUM(START:END!I177)</f>
        <v>0</v>
      </c>
      <c r="J177" s="56">
        <f>+SUM(START:END!J177)</f>
        <v>658</v>
      </c>
      <c r="K177" s="51">
        <f>+SUM(START:END!K177)</f>
        <v>206883.58999999997</v>
      </c>
      <c r="L177" s="31">
        <f>+SUM(START:END!L177)</f>
        <v>137188.68</v>
      </c>
      <c r="M177" s="150">
        <f>(K177-E177)/E177</f>
        <v>0.38118978892937061</v>
      </c>
      <c r="N177" s="55">
        <f>L177-F177</f>
        <v>26346.666956542264</v>
      </c>
      <c r="O177" s="56">
        <f>+SUM(START:END!O177)</f>
        <v>707</v>
      </c>
      <c r="P177" s="51">
        <f>+SUM(START:END!P177)</f>
        <v>172408.78</v>
      </c>
      <c r="Q177" s="31">
        <f>+SUM(START:END!Q177)</f>
        <v>128187.62</v>
      </c>
      <c r="R177" s="150">
        <f>IF(O177=0,0,J177/O177)</f>
        <v>0.93069306930693074</v>
      </c>
      <c r="S177" s="55">
        <f>L177-Q177</f>
        <v>9001.0599999999977</v>
      </c>
      <c r="T177" s="77"/>
      <c r="U177" s="14"/>
      <c r="V177" s="28"/>
      <c r="W177" s="28"/>
      <c r="X177" s="28"/>
      <c r="Y177" s="28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0"/>
        <v>Service% profit / ventes</v>
      </c>
      <c r="B178" s="12" t="s">
        <v>83</v>
      </c>
      <c r="C178" s="38" t="s">
        <v>87</v>
      </c>
      <c r="D178" s="77"/>
      <c r="E178" s="137"/>
      <c r="F178" s="151">
        <f>F177/E177</f>
        <v>0.73999999999999977</v>
      </c>
      <c r="G178" s="56"/>
      <c r="H178" s="137"/>
      <c r="I178" s="151" t="e">
        <f>I177/H177</f>
        <v>#DIV/0!</v>
      </c>
      <c r="J178" s="56"/>
      <c r="K178" s="137"/>
      <c r="L178" s="151">
        <f>L177/K177</f>
        <v>0.66312016337303514</v>
      </c>
      <c r="M178" s="150"/>
      <c r="N178" s="55">
        <f>L178-F178</f>
        <v>-7.6879836626964626E-2</v>
      </c>
      <c r="O178" s="56"/>
      <c r="P178" s="137"/>
      <c r="Q178" s="151">
        <f>Q177/P177</f>
        <v>0.74350981429136032</v>
      </c>
      <c r="R178" s="56">
        <f>O178-K178</f>
        <v>0</v>
      </c>
      <c r="S178" s="55"/>
      <c r="T178" s="77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0"/>
        <v>Service</v>
      </c>
      <c r="B179" s="12" t="s">
        <v>83</v>
      </c>
      <c r="C179" s="38"/>
      <c r="D179" s="77"/>
      <c r="E179" s="424"/>
      <c r="F179" s="153"/>
      <c r="G179" s="154"/>
      <c r="H179" s="424"/>
      <c r="I179" s="153"/>
      <c r="J179" s="154"/>
      <c r="K179" s="424"/>
      <c r="L179" s="153"/>
      <c r="M179" s="155"/>
      <c r="N179" s="88"/>
      <c r="O179" s="154"/>
      <c r="P179" s="424"/>
      <c r="Q179" s="151"/>
      <c r="R179" s="154"/>
      <c r="S179" s="55"/>
      <c r="T179" s="77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0"/>
        <v>ServiceM/O Esthétique</v>
      </c>
      <c r="B180" s="12" t="s">
        <v>83</v>
      </c>
      <c r="C180" s="104" t="s">
        <v>90</v>
      </c>
      <c r="D180" s="156">
        <f>+SUM(START:END!D180)</f>
        <v>10.859594972413355</v>
      </c>
      <c r="E180" s="77">
        <f>+SUM(START:END!E180)</f>
        <v>1085.9594972413354</v>
      </c>
      <c r="F180" s="77">
        <f>+SUM(START:END!F180)</f>
        <v>760.1716480689347</v>
      </c>
      <c r="G180" s="157">
        <f>+SUM(START:END!G180)</f>
        <v>0</v>
      </c>
      <c r="H180" s="77">
        <f>+SUM(START:END!H180)</f>
        <v>0</v>
      </c>
      <c r="I180" s="77">
        <f>+SUM(START:END!I180)</f>
        <v>0</v>
      </c>
      <c r="J180" s="157">
        <f>+SUM(START:END!J180)</f>
        <v>0</v>
      </c>
      <c r="K180" s="51">
        <f>+SUM(START:END!K180)</f>
        <v>40588.46</v>
      </c>
      <c r="L180" s="52">
        <f>+SUM(START:END!L180)</f>
        <v>33327.160000000003</v>
      </c>
      <c r="M180" s="162">
        <f>IF(E180=0,0,(K180-E180)/E180)</f>
        <v>36.375666498710984</v>
      </c>
      <c r="N180" s="106">
        <f>L180-F180</f>
        <v>32566.988351931068</v>
      </c>
      <c r="O180" s="157">
        <f>+SUM(START:END!O180)</f>
        <v>0</v>
      </c>
      <c r="P180" s="51">
        <f>+SUM(START:END!P180)</f>
        <v>1473.49</v>
      </c>
      <c r="Q180" s="52">
        <f>+SUM(START:END!Q180)</f>
        <v>1034.54</v>
      </c>
      <c r="R180" s="150">
        <f>IF(O180=0,0,J180/O180)</f>
        <v>0</v>
      </c>
      <c r="S180" s="106">
        <f>L180-Q180</f>
        <v>32292.620000000003</v>
      </c>
      <c r="T180" s="77"/>
      <c r="U180" s="14"/>
      <c r="V180" s="28"/>
      <c r="W180" s="28"/>
      <c r="X180" s="28"/>
      <c r="Y180" s="28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0"/>
        <v>Service% profit / ventes</v>
      </c>
      <c r="B181" s="12" t="s">
        <v>83</v>
      </c>
      <c r="C181" s="38" t="s">
        <v>87</v>
      </c>
      <c r="D181" s="71"/>
      <c r="E181" s="163"/>
      <c r="F181" s="151">
        <f>IFERROR(F180/E180,0)</f>
        <v>0.7</v>
      </c>
      <c r="G181" s="73"/>
      <c r="H181" s="163"/>
      <c r="I181" s="151">
        <f>IFERROR(I180/H180,0)</f>
        <v>0</v>
      </c>
      <c r="J181" s="164"/>
      <c r="K181" s="163"/>
      <c r="L181" s="151">
        <f>IFERROR(L180/K180,0)</f>
        <v>0.82109939623232819</v>
      </c>
      <c r="M181" s="56">
        <f>J181-D181</f>
        <v>0</v>
      </c>
      <c r="N181" s="165"/>
      <c r="O181" s="164"/>
      <c r="P181" s="163"/>
      <c r="Q181" s="151">
        <f>IFERROR(Q180/P180,0)</f>
        <v>0.70210181270317407</v>
      </c>
      <c r="R181" s="38"/>
      <c r="S181" s="165"/>
      <c r="T181" s="109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0"/>
        <v>Service</v>
      </c>
      <c r="B182" s="12" t="s">
        <v>83</v>
      </c>
      <c r="C182" s="23"/>
      <c r="D182" s="166"/>
      <c r="E182" s="167"/>
      <c r="F182" s="153"/>
      <c r="G182" s="168"/>
      <c r="H182" s="167"/>
      <c r="I182" s="153"/>
      <c r="J182" s="425"/>
      <c r="K182" s="44"/>
      <c r="L182" s="153"/>
      <c r="M182" s="154"/>
      <c r="N182" s="169"/>
      <c r="O182" s="425"/>
      <c r="P182" s="44"/>
      <c r="Q182" s="153"/>
      <c r="R182" s="23"/>
      <c r="S182" s="169"/>
      <c r="T182" s="109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0"/>
        <v>ServiceAjustement M/O</v>
      </c>
      <c r="B183" s="12" t="s">
        <v>83</v>
      </c>
      <c r="C183" s="38" t="s">
        <v>91</v>
      </c>
      <c r="D183" s="14"/>
      <c r="E183" s="14"/>
      <c r="F183" s="55">
        <f>+SUM(START:END!F183)</f>
        <v>-7478.8627814467854</v>
      </c>
      <c r="G183" s="38"/>
      <c r="H183" s="77"/>
      <c r="I183" s="77">
        <f>+SUM(START:END!I183)</f>
        <v>0</v>
      </c>
      <c r="J183" s="56"/>
      <c r="K183" s="77"/>
      <c r="L183" s="77">
        <f>+SUM(START:END!L183)</f>
        <v>-9160.7199999999993</v>
      </c>
      <c r="M183" s="164"/>
      <c r="N183" s="55">
        <f>L183-F183</f>
        <v>-1681.8572185532139</v>
      </c>
      <c r="O183" s="56"/>
      <c r="P183" s="77"/>
      <c r="Q183" s="31">
        <f>+SUM(START:END!Q183)</f>
        <v>-1503.51</v>
      </c>
      <c r="R183" s="422"/>
      <c r="S183" s="55">
        <f t="shared" ref="S183:S184" si="65">L183-Q183</f>
        <v>-7657.2099999999991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0"/>
        <v>ServiceSous-total M/O</v>
      </c>
      <c r="B184" s="12" t="s">
        <v>83</v>
      </c>
      <c r="C184" s="426" t="s">
        <v>92</v>
      </c>
      <c r="D184" s="170"/>
      <c r="E184" s="170">
        <f t="shared" ref="E184:F184" si="66">E171+E174+E177+E180+E183</f>
        <v>596872.89356486034</v>
      </c>
      <c r="F184" s="171">
        <f t="shared" si="66"/>
        <v>432342.50653159688</v>
      </c>
      <c r="G184" s="172"/>
      <c r="H184" s="170">
        <f t="shared" ref="H184:I184" si="67">H171+H174+H177+H180+H183</f>
        <v>0</v>
      </c>
      <c r="I184" s="171">
        <f t="shared" si="67"/>
        <v>0</v>
      </c>
      <c r="J184" s="172"/>
      <c r="K184" s="170">
        <f t="shared" ref="K184:L184" si="68">K171+K174+K177+K180+K183</f>
        <v>740451.10999999987</v>
      </c>
      <c r="L184" s="171">
        <f t="shared" si="68"/>
        <v>512832.34000000008</v>
      </c>
      <c r="M184" s="173">
        <f>(K184-E184)/E184</f>
        <v>0.24055074033871723</v>
      </c>
      <c r="N184" s="171">
        <f>L184-F184</f>
        <v>80489.833468403202</v>
      </c>
      <c r="O184" s="172"/>
      <c r="P184" s="170">
        <f t="shared" ref="P184:Q184" si="69">P171+P174+P177+P180+P183</f>
        <v>649649.02</v>
      </c>
      <c r="Q184" s="171">
        <f t="shared" si="69"/>
        <v>481070.43</v>
      </c>
      <c r="R184" s="39">
        <f>IF(O184=0,0,J184/O184)</f>
        <v>0</v>
      </c>
      <c r="S184" s="171">
        <f t="shared" si="65"/>
        <v>31761.910000000091</v>
      </c>
      <c r="T184" s="109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0"/>
        <v>Service% protit / ventes</v>
      </c>
      <c r="B185" s="12" t="s">
        <v>83</v>
      </c>
      <c r="C185" s="427" t="s">
        <v>93</v>
      </c>
      <c r="D185" s="174"/>
      <c r="E185" s="428"/>
      <c r="F185" s="175">
        <f>F184/E184</f>
        <v>0.72434602273426174</v>
      </c>
      <c r="G185" s="176"/>
      <c r="H185" s="428"/>
      <c r="I185" s="40" t="e">
        <f>I184/H184</f>
        <v>#DIV/0!</v>
      </c>
      <c r="J185" s="176"/>
      <c r="K185" s="428"/>
      <c r="L185" s="40">
        <f>L184/K184</f>
        <v>0.69259446447450146</v>
      </c>
      <c r="M185" s="176"/>
      <c r="N185" s="175">
        <f>N184/F184</f>
        <v>0.18617145492845674</v>
      </c>
      <c r="O185" s="176"/>
      <c r="P185" s="428"/>
      <c r="Q185" s="40">
        <f>Q184/P184</f>
        <v>0.74050820549225171</v>
      </c>
      <c r="R185" s="176"/>
      <c r="S185" s="40">
        <f>S184/Q184</f>
        <v>6.602340950367723E-2</v>
      </c>
      <c r="T185" s="109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0"/>
        <v>Service</v>
      </c>
      <c r="B186" s="12" t="s">
        <v>83</v>
      </c>
      <c r="C186" s="429"/>
      <c r="D186" s="177"/>
      <c r="E186" s="178"/>
      <c r="F186" s="179"/>
      <c r="G186" s="180"/>
      <c r="H186" s="178"/>
      <c r="I186" s="179"/>
      <c r="J186" s="180"/>
      <c r="K186" s="178"/>
      <c r="L186" s="179"/>
      <c r="M186" s="180"/>
      <c r="N186" s="179"/>
      <c r="O186" s="180"/>
      <c r="P186" s="178"/>
      <c r="Q186" s="179"/>
      <c r="R186" s="180"/>
      <c r="S186" s="179"/>
      <c r="T186" s="109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0"/>
        <v>ServiceSous-traitement</v>
      </c>
      <c r="B187" s="12" t="s">
        <v>83</v>
      </c>
      <c r="C187" s="38" t="s">
        <v>94</v>
      </c>
      <c r="D187" s="77"/>
      <c r="E187" s="77">
        <f>+SUM(START:END!E187)</f>
        <v>71965.627080044957</v>
      </c>
      <c r="F187" s="77">
        <f>+SUM(START:END!F187)</f>
        <v>15832.437957609893</v>
      </c>
      <c r="G187" s="56"/>
      <c r="H187" s="77">
        <f>+SUM(START:END!H187)</f>
        <v>0</v>
      </c>
      <c r="I187" s="77">
        <f>+SUM(START:END!I187)</f>
        <v>0</v>
      </c>
      <c r="J187" s="56"/>
      <c r="K187" s="28">
        <f>+SUM(START:END!K187)</f>
        <v>39951.08</v>
      </c>
      <c r="L187" s="31">
        <f>+SUM(START:END!L187)</f>
        <v>7659.9200000000028</v>
      </c>
      <c r="M187" s="150">
        <f>IF(E187=0,0,(K187-E187)/E187)</f>
        <v>-0.44485886358547599</v>
      </c>
      <c r="N187" s="55">
        <f>L187-F187</f>
        <v>-8172.5179576098899</v>
      </c>
      <c r="O187" s="56"/>
      <c r="P187" s="28">
        <f>+SUM(START:END!P187)</f>
        <v>72439.42</v>
      </c>
      <c r="Q187" s="31">
        <f>+SUM(START:END!Q187)</f>
        <v>16378.689999999997</v>
      </c>
      <c r="R187" s="150">
        <f>IF(O187=0,0,J187/O187)</f>
        <v>0</v>
      </c>
      <c r="S187" s="55">
        <f>L187-Q187</f>
        <v>-8718.7699999999932</v>
      </c>
      <c r="T187" s="109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0"/>
        <v>Service% profit / ventes</v>
      </c>
      <c r="B188" s="12" t="s">
        <v>83</v>
      </c>
      <c r="C188" s="38" t="s">
        <v>87</v>
      </c>
      <c r="D188" s="14"/>
      <c r="E188" s="137"/>
      <c r="F188" s="151">
        <f>IFERROR(F187/E187,0)</f>
        <v>0.22000000000000003</v>
      </c>
      <c r="G188" s="38"/>
      <c r="H188" s="137"/>
      <c r="I188" s="151">
        <f>IFERROR(I187/H187,0)</f>
        <v>0</v>
      </c>
      <c r="J188" s="164"/>
      <c r="K188" s="163"/>
      <c r="L188" s="151">
        <f>IFERROR(L187/K187,0)</f>
        <v>0.19173248883384386</v>
      </c>
      <c r="M188" s="164"/>
      <c r="N188" s="165"/>
      <c r="O188" s="164"/>
      <c r="P188" s="163"/>
      <c r="Q188" s="151">
        <f>IFERROR(Q187/P187,0)</f>
        <v>0.22610189314050275</v>
      </c>
      <c r="R188" s="164"/>
      <c r="S188" s="165"/>
      <c r="T188" s="109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0"/>
        <v>Service</v>
      </c>
      <c r="B189" s="12" t="s">
        <v>83</v>
      </c>
      <c r="C189" s="38"/>
      <c r="D189" s="14"/>
      <c r="E189" s="137"/>
      <c r="F189" s="151"/>
      <c r="G189" s="38"/>
      <c r="H189" s="137"/>
      <c r="I189" s="151"/>
      <c r="J189" s="164"/>
      <c r="K189" s="163"/>
      <c r="L189" s="151"/>
      <c r="M189" s="164"/>
      <c r="N189" s="165"/>
      <c r="O189" s="164"/>
      <c r="P189" s="163"/>
      <c r="Q189" s="151"/>
      <c r="R189" s="164"/>
      <c r="S189" s="165"/>
      <c r="T189" s="109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0"/>
        <v>ServiceM.O. Recond. MCPA</v>
      </c>
      <c r="B190" s="12" t="s">
        <v>83</v>
      </c>
      <c r="C190" s="38" t="s">
        <v>95</v>
      </c>
      <c r="D190" s="14"/>
      <c r="E190" s="77">
        <f>+SUM(START:END!E190)</f>
        <v>0</v>
      </c>
      <c r="F190" s="77">
        <f>+SUM(START:END!F190)</f>
        <v>0</v>
      </c>
      <c r="G190" s="38"/>
      <c r="H190" s="77">
        <f>+SUM(START:END!H190)</f>
        <v>0</v>
      </c>
      <c r="I190" s="77">
        <f>+SUM(START:END!I190)</f>
        <v>0</v>
      </c>
      <c r="J190" s="164"/>
      <c r="K190" s="28">
        <f>+SUM(START:END!K190)</f>
        <v>29631.040000000001</v>
      </c>
      <c r="L190" s="151">
        <f>+SUM(START:END!L190)</f>
        <v>20091.419999999998</v>
      </c>
      <c r="M190" s="164"/>
      <c r="N190" s="165"/>
      <c r="O190" s="164"/>
      <c r="P190" s="28">
        <f>+SUM(START:END!P190)</f>
        <v>0</v>
      </c>
      <c r="Q190" s="151">
        <f>+SUM(START:END!Q190)</f>
        <v>0</v>
      </c>
      <c r="R190" s="164"/>
      <c r="S190" s="165"/>
      <c r="T190" s="109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0"/>
        <v>Service% profit / ventes</v>
      </c>
      <c r="B191" s="12" t="s">
        <v>83</v>
      </c>
      <c r="C191" s="38" t="s">
        <v>87</v>
      </c>
      <c r="D191" s="14"/>
      <c r="E191" s="137"/>
      <c r="F191" s="151">
        <f>IF(F190=0,0,F190/E190)</f>
        <v>0</v>
      </c>
      <c r="G191" s="38"/>
      <c r="H191" s="137"/>
      <c r="I191" s="151">
        <f>IF(I190=0,0,I190/H190)</f>
        <v>0</v>
      </c>
      <c r="J191" s="164"/>
      <c r="K191" s="163"/>
      <c r="L191" s="151">
        <f>IF(L190=0,0,L190/K190)</f>
        <v>0.67805314967007557</v>
      </c>
      <c r="M191" s="164"/>
      <c r="N191" s="165"/>
      <c r="O191" s="164"/>
      <c r="P191" s="163"/>
      <c r="Q191" s="151">
        <f>IF(Q190=0,0,Q190/P190)</f>
        <v>0</v>
      </c>
      <c r="R191" s="164"/>
      <c r="S191" s="165"/>
      <c r="T191" s="109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0"/>
        <v>Service</v>
      </c>
      <c r="B192" s="12" t="s">
        <v>83</v>
      </c>
      <c r="C192" s="430"/>
      <c r="D192" s="182"/>
      <c r="E192" s="183"/>
      <c r="F192" s="184"/>
      <c r="G192" s="185"/>
      <c r="H192" s="183"/>
      <c r="I192" s="184"/>
      <c r="J192" s="185"/>
      <c r="K192" s="183"/>
      <c r="L192" s="184"/>
      <c r="M192" s="185"/>
      <c r="N192" s="184"/>
      <c r="O192" s="185"/>
      <c r="P192" s="183"/>
      <c r="Q192" s="184"/>
      <c r="R192" s="185"/>
      <c r="S192" s="184"/>
      <c r="T192" s="109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0"/>
        <v>ServiceTotal Mécanique</v>
      </c>
      <c r="B193" s="12" t="s">
        <v>83</v>
      </c>
      <c r="C193" s="431" t="s">
        <v>96</v>
      </c>
      <c r="D193" s="59"/>
      <c r="E193" s="59">
        <f t="shared" ref="E193:F193" si="70">E184+E187+E190</f>
        <v>668838.52064490528</v>
      </c>
      <c r="F193" s="61">
        <f t="shared" si="70"/>
        <v>448174.94448920677</v>
      </c>
      <c r="G193" s="62"/>
      <c r="H193" s="59">
        <f t="shared" ref="H193:I193" si="71">H184+H187+H190</f>
        <v>0</v>
      </c>
      <c r="I193" s="61">
        <f t="shared" si="71"/>
        <v>0</v>
      </c>
      <c r="J193" s="62"/>
      <c r="K193" s="59">
        <f t="shared" ref="K193:L193" si="72">K184+K187+K190</f>
        <v>810033.22999999986</v>
      </c>
      <c r="L193" s="61">
        <f t="shared" si="72"/>
        <v>540583.68000000005</v>
      </c>
      <c r="M193" s="186">
        <f>L194-F194</f>
        <v>-2.7195636462231665E-3</v>
      </c>
      <c r="N193" s="61">
        <f>L193-F193</f>
        <v>92408.735510793282</v>
      </c>
      <c r="O193" s="62"/>
      <c r="P193" s="59">
        <f t="shared" ref="P193:Q193" si="73">P184+P187+P190</f>
        <v>722088.44000000006</v>
      </c>
      <c r="Q193" s="61">
        <f t="shared" si="73"/>
        <v>497449.12</v>
      </c>
      <c r="R193" s="186"/>
      <c r="S193" s="61">
        <f>L193-Q193</f>
        <v>43134.560000000056</v>
      </c>
      <c r="T193" s="109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0"/>
        <v>Service</v>
      </c>
      <c r="B194" s="12" t="s">
        <v>83</v>
      </c>
      <c r="C194" s="67"/>
      <c r="D194" s="65"/>
      <c r="E194" s="65"/>
      <c r="F194" s="69">
        <f>F193/E193</f>
        <v>0.67007944467233882</v>
      </c>
      <c r="G194" s="67"/>
      <c r="H194" s="65"/>
      <c r="I194" s="69" t="e">
        <f>I193/H193</f>
        <v>#DIV/0!</v>
      </c>
      <c r="J194" s="67"/>
      <c r="K194" s="65"/>
      <c r="L194" s="69">
        <f>L193/K193</f>
        <v>0.66735988102611565</v>
      </c>
      <c r="M194" s="68"/>
      <c r="N194" s="69">
        <f>N193/F193</f>
        <v>0.20618898188544033</v>
      </c>
      <c r="O194" s="67"/>
      <c r="P194" s="65"/>
      <c r="Q194" s="69">
        <f>Q193/P193</f>
        <v>0.68890331494574264</v>
      </c>
      <c r="R194" s="68"/>
      <c r="S194" s="69">
        <f>L193/S193</f>
        <v>12.532495520992896</v>
      </c>
      <c r="T194" s="71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0"/>
        <v>Service</v>
      </c>
      <c r="B195" s="12" t="s">
        <v>83</v>
      </c>
      <c r="C195" s="73"/>
      <c r="D195" s="71"/>
      <c r="E195" s="71"/>
      <c r="F195" s="40"/>
      <c r="G195" s="73"/>
      <c r="H195" s="71"/>
      <c r="I195" s="40"/>
      <c r="J195" s="73"/>
      <c r="K195" s="109"/>
      <c r="L195" s="40"/>
      <c r="M195" s="39"/>
      <c r="N195" s="40"/>
      <c r="O195" s="73"/>
      <c r="P195" s="71"/>
      <c r="Q195" s="40"/>
      <c r="R195" s="39"/>
      <c r="S195" s="40"/>
      <c r="T195" s="71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0"/>
        <v>ServiceDEPENSES</v>
      </c>
      <c r="B196" s="12" t="s">
        <v>83</v>
      </c>
      <c r="C196" s="432" t="s">
        <v>30</v>
      </c>
      <c r="D196" s="14"/>
      <c r="E196" s="14"/>
      <c r="F196" s="55"/>
      <c r="G196" s="38"/>
      <c r="H196" s="14"/>
      <c r="I196" s="55"/>
      <c r="J196" s="38"/>
      <c r="K196" s="14"/>
      <c r="L196" s="37"/>
      <c r="M196" s="38"/>
      <c r="N196" s="37"/>
      <c r="O196" s="38"/>
      <c r="P196" s="14"/>
      <c r="Q196" s="37"/>
      <c r="R196" s="38"/>
      <c r="S196" s="37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0"/>
        <v>ServiceSalaires cadres</v>
      </c>
      <c r="B197" s="12" t="s">
        <v>83</v>
      </c>
      <c r="C197" s="433" t="s">
        <v>41</v>
      </c>
      <c r="D197" s="14"/>
      <c r="E197" s="14"/>
      <c r="F197" s="28">
        <f>+SUM(START:END!F197)</f>
        <v>38164.618390804593</v>
      </c>
      <c r="G197" s="38"/>
      <c r="H197" s="14"/>
      <c r="I197" s="28">
        <f>+SUM(START:END!I197)</f>
        <v>0</v>
      </c>
      <c r="J197" s="38"/>
      <c r="K197" s="14"/>
      <c r="L197" s="31">
        <f>+SUM(START:END!L197)</f>
        <v>35588.85</v>
      </c>
      <c r="M197" s="38"/>
      <c r="N197" s="55">
        <f t="shared" ref="N197:N228" si="74">L197-F197</f>
        <v>-2575.7683908045947</v>
      </c>
      <c r="O197" s="38"/>
      <c r="P197" s="14"/>
      <c r="Q197" s="31">
        <f>+SUM(START:END!Q197)</f>
        <v>35003.589999999997</v>
      </c>
      <c r="R197" s="38"/>
      <c r="S197" s="31">
        <f t="shared" ref="S197:S228" si="75">L197-Q197</f>
        <v>585.26000000000204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0"/>
        <v>ServiceSalaires commis</v>
      </c>
      <c r="B198" s="12" t="s">
        <v>83</v>
      </c>
      <c r="C198" s="434" t="s">
        <v>42</v>
      </c>
      <c r="D198" s="76"/>
      <c r="E198" s="14"/>
      <c r="F198" s="45">
        <f>+SUM(START:END!F198)</f>
        <v>30258.875862068966</v>
      </c>
      <c r="G198" s="78"/>
      <c r="H198" s="14"/>
      <c r="I198" s="45">
        <f>+SUM(START:END!I198)</f>
        <v>0</v>
      </c>
      <c r="J198" s="38"/>
      <c r="K198" s="14"/>
      <c r="L198" s="31">
        <f>+SUM(START:END!L198)</f>
        <v>25265.980000000003</v>
      </c>
      <c r="M198" s="38"/>
      <c r="N198" s="55">
        <f t="shared" si="74"/>
        <v>-4992.8958620689627</v>
      </c>
      <c r="O198" s="38"/>
      <c r="P198" s="14"/>
      <c r="Q198" s="31">
        <f>+SUM(START:END!Q198)</f>
        <v>21813.260000000002</v>
      </c>
      <c r="R198" s="38"/>
      <c r="S198" s="55">
        <f t="shared" si="75"/>
        <v>3452.7200000000012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0"/>
        <v>ServiceSalaires autres</v>
      </c>
      <c r="B199" s="12" t="s">
        <v>83</v>
      </c>
      <c r="C199" s="433" t="s">
        <v>43</v>
      </c>
      <c r="D199" s="101"/>
      <c r="E199" s="102"/>
      <c r="F199" s="28">
        <f>+SUM(START:END!F199)</f>
        <v>38944.816091954024</v>
      </c>
      <c r="G199" s="103"/>
      <c r="H199" s="102"/>
      <c r="I199" s="28">
        <f>+SUM(START:END!I199)</f>
        <v>0</v>
      </c>
      <c r="J199" s="104"/>
      <c r="K199" s="102"/>
      <c r="L199" s="52">
        <f>+SUM(START:END!L199)</f>
        <v>31870.12</v>
      </c>
      <c r="M199" s="104"/>
      <c r="N199" s="106">
        <f t="shared" si="74"/>
        <v>-7074.6960919540252</v>
      </c>
      <c r="O199" s="104"/>
      <c r="P199" s="102"/>
      <c r="Q199" s="52">
        <f>+SUM(START:END!Q199)</f>
        <v>57018.99</v>
      </c>
      <c r="R199" s="104"/>
      <c r="S199" s="106">
        <f t="shared" si="75"/>
        <v>-25148.87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0"/>
        <v>ServiceSalaires spécialistes</v>
      </c>
      <c r="B200" s="12" t="s">
        <v>83</v>
      </c>
      <c r="C200" s="433" t="s">
        <v>44</v>
      </c>
      <c r="D200" s="76"/>
      <c r="E200" s="14"/>
      <c r="F200" s="28">
        <f>+SUM(START:END!F200)</f>
        <v>90075.335799264314</v>
      </c>
      <c r="G200" s="78"/>
      <c r="H200" s="14"/>
      <c r="I200" s="28">
        <f>+SUM(START:END!I200)</f>
        <v>0</v>
      </c>
      <c r="J200" s="38"/>
      <c r="K200" s="14"/>
      <c r="L200" s="31">
        <f>+SUM(START:END!L200)</f>
        <v>75889.679999999993</v>
      </c>
      <c r="M200" s="38"/>
      <c r="N200" s="55">
        <f t="shared" si="74"/>
        <v>-14185.655799264321</v>
      </c>
      <c r="O200" s="38"/>
      <c r="P200" s="14"/>
      <c r="Q200" s="31">
        <f>+SUM(START:END!Q200)</f>
        <v>75892.479999999996</v>
      </c>
      <c r="R200" s="38"/>
      <c r="S200" s="55">
        <f t="shared" si="75"/>
        <v>-2.8000000000029104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0"/>
        <v>Service[...]</v>
      </c>
      <c r="B201" s="12" t="s">
        <v>83</v>
      </c>
      <c r="C201" s="38" t="s">
        <v>20</v>
      </c>
      <c r="D201" s="76"/>
      <c r="E201" s="14"/>
      <c r="F201" s="28">
        <f>+SUM(START:END!F201)</f>
        <v>0</v>
      </c>
      <c r="G201" s="78"/>
      <c r="H201" s="14"/>
      <c r="I201" s="28">
        <f>+SUM(START:END!I201)</f>
        <v>0</v>
      </c>
      <c r="J201" s="38"/>
      <c r="K201" s="14"/>
      <c r="L201" s="31">
        <f>+SUM(START:END!L201)</f>
        <v>0</v>
      </c>
      <c r="M201" s="38"/>
      <c r="N201" s="55">
        <f t="shared" si="74"/>
        <v>0</v>
      </c>
      <c r="O201" s="38"/>
      <c r="P201" s="14"/>
      <c r="Q201" s="31">
        <f>+SUM(START:END!Q201)</f>
        <v>0</v>
      </c>
      <c r="R201" s="38"/>
      <c r="S201" s="55">
        <f t="shared" si="75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0"/>
        <v>Service[...]</v>
      </c>
      <c r="B202" s="12" t="s">
        <v>83</v>
      </c>
      <c r="C202" s="38" t="s">
        <v>20</v>
      </c>
      <c r="D202" s="76"/>
      <c r="E202" s="14"/>
      <c r="F202" s="28">
        <f>+SUM(START:END!F202)</f>
        <v>0</v>
      </c>
      <c r="G202" s="78"/>
      <c r="H202" s="14"/>
      <c r="I202" s="28">
        <f>+SUM(START:END!I202)</f>
        <v>0</v>
      </c>
      <c r="J202" s="38"/>
      <c r="K202" s="14"/>
      <c r="L202" s="31">
        <f>+SUM(START:END!L202)</f>
        <v>0</v>
      </c>
      <c r="M202" s="38"/>
      <c r="N202" s="55">
        <f t="shared" si="74"/>
        <v>0</v>
      </c>
      <c r="O202" s="38"/>
      <c r="P202" s="14"/>
      <c r="Q202" s="31">
        <f>+SUM(START:END!Q202)</f>
        <v>0</v>
      </c>
      <c r="R202" s="38"/>
      <c r="S202" s="55">
        <f t="shared" si="75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0"/>
        <v>Service[...]</v>
      </c>
      <c r="B203" s="12" t="s">
        <v>83</v>
      </c>
      <c r="C203" s="38" t="s">
        <v>20</v>
      </c>
      <c r="D203" s="76"/>
      <c r="E203" s="14"/>
      <c r="F203" s="28">
        <f>+SUM(START:END!F203)</f>
        <v>0</v>
      </c>
      <c r="G203" s="78"/>
      <c r="H203" s="14"/>
      <c r="I203" s="28">
        <f>+SUM(START:END!I203)</f>
        <v>0</v>
      </c>
      <c r="J203" s="38"/>
      <c r="K203" s="14"/>
      <c r="L203" s="31">
        <f>+SUM(START:END!L203)</f>
        <v>0</v>
      </c>
      <c r="M203" s="38"/>
      <c r="N203" s="55">
        <f t="shared" si="74"/>
        <v>0</v>
      </c>
      <c r="O203" s="38"/>
      <c r="P203" s="14"/>
      <c r="Q203" s="31">
        <f>+SUM(START:END!Q203)</f>
        <v>0</v>
      </c>
      <c r="R203" s="38"/>
      <c r="S203" s="55">
        <f t="shared" si="75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0"/>
        <v>ServiceSalaires en absences</v>
      </c>
      <c r="B204" s="12" t="s">
        <v>83</v>
      </c>
      <c r="C204" s="434" t="s">
        <v>45</v>
      </c>
      <c r="D204" s="76"/>
      <c r="E204" s="14"/>
      <c r="F204" s="28">
        <f>+SUM(START:END!F204)</f>
        <v>42049.595281192305</v>
      </c>
      <c r="G204" s="78"/>
      <c r="H204" s="14"/>
      <c r="I204" s="28">
        <f>+SUM(START:END!I204)</f>
        <v>0</v>
      </c>
      <c r="J204" s="38"/>
      <c r="K204" s="14"/>
      <c r="L204" s="31">
        <f>+SUM(START:END!L204)</f>
        <v>49171.63</v>
      </c>
      <c r="M204" s="38"/>
      <c r="N204" s="55">
        <f t="shared" si="74"/>
        <v>7122.0347188076921</v>
      </c>
      <c r="O204" s="38"/>
      <c r="P204" s="14"/>
      <c r="Q204" s="31">
        <f>+SUM(START:END!Q204)</f>
        <v>47894.6</v>
      </c>
      <c r="R204" s="38"/>
      <c r="S204" s="55">
        <f t="shared" si="75"/>
        <v>1277.0299999999988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0"/>
        <v>ServiceDéduction à la source</v>
      </c>
      <c r="B205" s="12" t="s">
        <v>83</v>
      </c>
      <c r="C205" s="433" t="s">
        <v>46</v>
      </c>
      <c r="D205" s="101"/>
      <c r="E205" s="102"/>
      <c r="F205" s="52">
        <f>+SUM(START:END!F205)</f>
        <v>41801.437798870502</v>
      </c>
      <c r="G205" s="103"/>
      <c r="H205" s="102"/>
      <c r="I205" s="52">
        <f>+SUM(START:END!I205)</f>
        <v>0</v>
      </c>
      <c r="J205" s="104"/>
      <c r="K205" s="102"/>
      <c r="L205" s="52">
        <f>+SUM(START:END!L205)</f>
        <v>57450.790000000008</v>
      </c>
      <c r="M205" s="104"/>
      <c r="N205" s="106">
        <f t="shared" si="74"/>
        <v>15649.352201129506</v>
      </c>
      <c r="O205" s="104"/>
      <c r="P205" s="102"/>
      <c r="Q205" s="52">
        <f>+SUM(START:END!Q205)</f>
        <v>45952.83</v>
      </c>
      <c r="R205" s="104"/>
      <c r="S205" s="106">
        <f t="shared" si="75"/>
        <v>11497.960000000006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0"/>
        <v>ServiceBénéfices marginaux</v>
      </c>
      <c r="B206" s="12" t="s">
        <v>83</v>
      </c>
      <c r="C206" s="433" t="s">
        <v>47</v>
      </c>
      <c r="D206" s="76"/>
      <c r="E206" s="14"/>
      <c r="F206" s="28">
        <f>+SUM(START:END!F206)</f>
        <v>29271.792648399216</v>
      </c>
      <c r="G206" s="78"/>
      <c r="H206" s="14"/>
      <c r="I206" s="28">
        <f>+SUM(START:END!I206)</f>
        <v>0</v>
      </c>
      <c r="J206" s="38"/>
      <c r="K206" s="14"/>
      <c r="L206" s="31">
        <f>+SUM(START:END!L206)</f>
        <v>30306.350000000002</v>
      </c>
      <c r="M206" s="38"/>
      <c r="N206" s="55">
        <f t="shared" si="74"/>
        <v>1034.5573516007862</v>
      </c>
      <c r="O206" s="38"/>
      <c r="P206" s="14"/>
      <c r="Q206" s="31">
        <f>+SUM(START:END!Q206)</f>
        <v>14556.240000000002</v>
      </c>
      <c r="R206" s="38"/>
      <c r="S206" s="55">
        <f t="shared" si="75"/>
        <v>15750.11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0"/>
        <v>ServiceCsst</v>
      </c>
      <c r="B207" s="12" t="s">
        <v>83</v>
      </c>
      <c r="C207" s="433" t="s">
        <v>48</v>
      </c>
      <c r="D207" s="76"/>
      <c r="E207" s="14"/>
      <c r="F207" s="28">
        <f>+SUM(START:END!F207)</f>
        <v>13983.979064489497</v>
      </c>
      <c r="G207" s="78"/>
      <c r="H207" s="14"/>
      <c r="I207" s="28">
        <f>+SUM(START:END!I207)</f>
        <v>0</v>
      </c>
      <c r="J207" s="38"/>
      <c r="K207" s="14"/>
      <c r="L207" s="31">
        <f>+SUM(START:END!L207)</f>
        <v>16418.87</v>
      </c>
      <c r="M207" s="38"/>
      <c r="N207" s="55">
        <f t="shared" si="74"/>
        <v>2434.8909355105025</v>
      </c>
      <c r="O207" s="38"/>
      <c r="P207" s="14"/>
      <c r="Q207" s="31">
        <f>+SUM(START:END!Q207)</f>
        <v>15640.93</v>
      </c>
      <c r="R207" s="38"/>
      <c r="S207" s="55">
        <f t="shared" si="75"/>
        <v>777.93999999999869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0"/>
        <v>Service[...]</v>
      </c>
      <c r="B208" s="12" t="s">
        <v>83</v>
      </c>
      <c r="C208" s="38" t="s">
        <v>20</v>
      </c>
      <c r="D208" s="83"/>
      <c r="E208" s="108"/>
      <c r="F208" s="28">
        <f>+SUM(START:END!F208)</f>
        <v>0</v>
      </c>
      <c r="G208" s="85"/>
      <c r="H208" s="108"/>
      <c r="I208" s="28">
        <f>+SUM(START:END!I208)</f>
        <v>0</v>
      </c>
      <c r="J208" s="23"/>
      <c r="K208" s="108"/>
      <c r="L208" s="31">
        <f>+SUM(START:END!L208)</f>
        <v>0</v>
      </c>
      <c r="M208" s="23"/>
      <c r="N208" s="88">
        <f t="shared" si="74"/>
        <v>0</v>
      </c>
      <c r="O208" s="23"/>
      <c r="P208" s="108"/>
      <c r="Q208" s="31">
        <f>+SUM(START:END!Q208)</f>
        <v>0</v>
      </c>
      <c r="R208" s="23"/>
      <c r="S208" s="88">
        <f t="shared" si="75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0"/>
        <v>ServiceTOTAL PERSONNEL</v>
      </c>
      <c r="B209" s="12" t="s">
        <v>83</v>
      </c>
      <c r="C209" s="226" t="s">
        <v>49</v>
      </c>
      <c r="D209" s="91" t="s">
        <v>97</v>
      </c>
      <c r="E209" s="92">
        <f>F209/F$193</f>
        <v>0.72416018549840966</v>
      </c>
      <c r="F209" s="93">
        <f>+SUM(F197:F208)</f>
        <v>324550.45093704341</v>
      </c>
      <c r="G209" s="94" t="s">
        <v>97</v>
      </c>
      <c r="H209" s="92" t="e">
        <f>I209/I$193</f>
        <v>#DIV/0!</v>
      </c>
      <c r="I209" s="93">
        <f>+SUM(I197:I208)</f>
        <v>0</v>
      </c>
      <c r="J209" s="94" t="s">
        <v>97</v>
      </c>
      <c r="K209" s="92">
        <f>L209/L$193</f>
        <v>0.59558266723849296</v>
      </c>
      <c r="L209" s="93">
        <f>+SUM(L197:L208)</f>
        <v>321962.27</v>
      </c>
      <c r="M209" s="140"/>
      <c r="N209" s="110">
        <f t="shared" si="74"/>
        <v>-2588.1809370433912</v>
      </c>
      <c r="O209" s="94" t="s">
        <v>97</v>
      </c>
      <c r="P209" s="92">
        <f>Q209/Q$193</f>
        <v>0.63076384575773292</v>
      </c>
      <c r="Q209" s="93">
        <f>+SUM(Q197:Q208)</f>
        <v>313772.92</v>
      </c>
      <c r="R209" s="140"/>
      <c r="S209" s="110">
        <f t="shared" si="75"/>
        <v>8189.3500000000349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0"/>
        <v>ServicePublicité 2</v>
      </c>
      <c r="B210" s="12" t="s">
        <v>83</v>
      </c>
      <c r="C210" s="38" t="s">
        <v>50</v>
      </c>
      <c r="D210" s="76"/>
      <c r="E210" s="14"/>
      <c r="F210" s="28">
        <f>+SUM(START:END!F210)</f>
        <v>25288.780806250004</v>
      </c>
      <c r="G210" s="78"/>
      <c r="H210" s="14"/>
      <c r="I210" s="28">
        <f>+SUM(START:END!I210)</f>
        <v>0</v>
      </c>
      <c r="J210" s="38"/>
      <c r="K210" s="14"/>
      <c r="L210" s="31">
        <f>+SUM(START:END!L210)</f>
        <v>34658.39</v>
      </c>
      <c r="M210" s="38"/>
      <c r="N210" s="55">
        <f t="shared" si="74"/>
        <v>9369.609193749995</v>
      </c>
      <c r="O210" s="38"/>
      <c r="P210" s="14"/>
      <c r="Q210" s="31">
        <f>+SUM(START:END!Q210)</f>
        <v>32310.800000000003</v>
      </c>
      <c r="R210" s="38"/>
      <c r="S210" s="55">
        <f t="shared" si="75"/>
        <v>2347.5899999999965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0"/>
        <v>ServiceService gratuit 2</v>
      </c>
      <c r="B211" s="12" t="s">
        <v>83</v>
      </c>
      <c r="C211" s="38" t="s">
        <v>51</v>
      </c>
      <c r="D211" s="76"/>
      <c r="E211" s="14"/>
      <c r="F211" s="28">
        <f>+SUM(START:END!F211)</f>
        <v>6464.9548060952911</v>
      </c>
      <c r="G211" s="78"/>
      <c r="H211" s="14"/>
      <c r="I211" s="28">
        <f>+SUM(START:END!I211)</f>
        <v>0</v>
      </c>
      <c r="J211" s="38"/>
      <c r="K211" s="14"/>
      <c r="L211" s="31">
        <f>+SUM(START:END!L211)</f>
        <v>17538.2</v>
      </c>
      <c r="M211" s="38"/>
      <c r="N211" s="55">
        <f t="shared" si="74"/>
        <v>11073.24519390471</v>
      </c>
      <c r="O211" s="38"/>
      <c r="P211" s="14"/>
      <c r="Q211" s="31">
        <f>+SUM(START:END!Q211)</f>
        <v>9860.74</v>
      </c>
      <c r="R211" s="38"/>
      <c r="S211" s="55">
        <f t="shared" si="75"/>
        <v>7677.4600000000009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0"/>
        <v>ServiceFrais véhicules de cie</v>
      </c>
      <c r="B212" s="12" t="s">
        <v>83</v>
      </c>
      <c r="C212" s="23" t="s">
        <v>52</v>
      </c>
      <c r="D212" s="83"/>
      <c r="E212" s="108"/>
      <c r="F212" s="45">
        <f>+SUM(START:END!F212)</f>
        <v>39695</v>
      </c>
      <c r="G212" s="85"/>
      <c r="H212" s="108"/>
      <c r="I212" s="45">
        <f>+SUM(START:END!I212)</f>
        <v>0</v>
      </c>
      <c r="J212" s="23"/>
      <c r="K212" s="108"/>
      <c r="L212" s="31">
        <f>+SUM(START:END!L212)</f>
        <v>32426.35</v>
      </c>
      <c r="M212" s="23"/>
      <c r="N212" s="88">
        <f t="shared" si="74"/>
        <v>-7268.6500000000015</v>
      </c>
      <c r="O212" s="23"/>
      <c r="P212" s="108"/>
      <c r="Q212" s="31">
        <f>+SUM(START:END!Q212)</f>
        <v>47727.040000000001</v>
      </c>
      <c r="R212" s="23"/>
      <c r="S212" s="88">
        <f t="shared" si="75"/>
        <v>-15300.690000000002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0"/>
        <v>ServiceInformatique</v>
      </c>
      <c r="B213" s="12" t="s">
        <v>83</v>
      </c>
      <c r="C213" s="38" t="s">
        <v>53</v>
      </c>
      <c r="D213" s="76"/>
      <c r="E213" s="14"/>
      <c r="F213" s="28">
        <f>+SUM(START:END!F213)</f>
        <v>18009.016872</v>
      </c>
      <c r="G213" s="78"/>
      <c r="H213" s="14"/>
      <c r="I213" s="28">
        <f>+SUM(START:END!I213)</f>
        <v>0</v>
      </c>
      <c r="J213" s="38"/>
      <c r="K213" s="14"/>
      <c r="L213" s="52">
        <f>+SUM(START:END!L213)</f>
        <v>14099.419999999998</v>
      </c>
      <c r="M213" s="38"/>
      <c r="N213" s="55">
        <f t="shared" si="74"/>
        <v>-3909.5968720000019</v>
      </c>
      <c r="O213" s="38"/>
      <c r="P213" s="14"/>
      <c r="Q213" s="52">
        <f>+SUM(START:END!Q213)</f>
        <v>12028.93</v>
      </c>
      <c r="R213" s="38"/>
      <c r="S213" s="55">
        <f t="shared" si="75"/>
        <v>2070.489999999998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0"/>
        <v>ServiceFrais de déplacement</v>
      </c>
      <c r="B214" s="12" t="s">
        <v>83</v>
      </c>
      <c r="C214" s="38" t="s">
        <v>54</v>
      </c>
      <c r="D214" s="76"/>
      <c r="E214" s="14"/>
      <c r="F214" s="28">
        <f>+SUM(START:END!F214)</f>
        <v>2250.1981004999998</v>
      </c>
      <c r="G214" s="78"/>
      <c r="H214" s="14"/>
      <c r="I214" s="28">
        <f>+SUM(START:END!I214)</f>
        <v>0</v>
      </c>
      <c r="J214" s="38"/>
      <c r="K214" s="14"/>
      <c r="L214" s="31">
        <f>+SUM(START:END!L214)</f>
        <v>4889.13</v>
      </c>
      <c r="M214" s="38"/>
      <c r="N214" s="55">
        <f t="shared" si="74"/>
        <v>2638.9318995000003</v>
      </c>
      <c r="O214" s="38"/>
      <c r="P214" s="14"/>
      <c r="Q214" s="31">
        <f>+SUM(START:END!Q214)</f>
        <v>3298.7799999999997</v>
      </c>
      <c r="R214" s="38"/>
      <c r="S214" s="55">
        <f t="shared" si="75"/>
        <v>1590.3500000000004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0"/>
        <v>ServiceServices extérieurs</v>
      </c>
      <c r="B215" s="12" t="s">
        <v>83</v>
      </c>
      <c r="C215" s="23" t="s">
        <v>55</v>
      </c>
      <c r="D215" s="83"/>
      <c r="E215" s="108"/>
      <c r="F215" s="45">
        <f>+SUM(START:END!F215)</f>
        <v>8854.7969679999987</v>
      </c>
      <c r="G215" s="85"/>
      <c r="H215" s="108"/>
      <c r="I215" s="45">
        <f>+SUM(START:END!I215)</f>
        <v>0</v>
      </c>
      <c r="J215" s="23"/>
      <c r="K215" s="108"/>
      <c r="L215" s="31">
        <f>+SUM(START:END!L215)</f>
        <v>8026.39</v>
      </c>
      <c r="M215" s="23"/>
      <c r="N215" s="88">
        <f t="shared" si="74"/>
        <v>-828.40696799999841</v>
      </c>
      <c r="O215" s="23"/>
      <c r="P215" s="108"/>
      <c r="Q215" s="31">
        <f>+SUM(START:END!Q215)</f>
        <v>6567.72</v>
      </c>
      <c r="R215" s="23"/>
      <c r="S215" s="88">
        <f t="shared" si="75"/>
        <v>1458.67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0"/>
        <v>ServiceFournitures d'atelier</v>
      </c>
      <c r="B216" s="12" t="s">
        <v>83</v>
      </c>
      <c r="C216" s="38" t="s">
        <v>98</v>
      </c>
      <c r="D216" s="76"/>
      <c r="E216" s="14"/>
      <c r="F216" s="28">
        <f>+SUM(START:END!F216)</f>
        <v>0</v>
      </c>
      <c r="G216" s="78"/>
      <c r="H216" s="14"/>
      <c r="I216" s="28">
        <f>+SUM(START:END!I216)</f>
        <v>0</v>
      </c>
      <c r="J216" s="38"/>
      <c r="K216" s="14"/>
      <c r="L216" s="52">
        <f>+SUM(START:END!L216)</f>
        <v>0</v>
      </c>
      <c r="M216" s="38"/>
      <c r="N216" s="55">
        <f t="shared" si="74"/>
        <v>0</v>
      </c>
      <c r="O216" s="38"/>
      <c r="P216" s="14"/>
      <c r="Q216" s="52">
        <f>+SUM(START:END!Q216)</f>
        <v>0</v>
      </c>
      <c r="R216" s="38"/>
      <c r="S216" s="55">
        <f t="shared" si="75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0"/>
        <v>ServiceFournitures autres</v>
      </c>
      <c r="B217" s="12" t="s">
        <v>83</v>
      </c>
      <c r="C217" s="38" t="s">
        <v>56</v>
      </c>
      <c r="D217" s="76"/>
      <c r="E217" s="14"/>
      <c r="F217" s="28">
        <f>+SUM(START:END!F217)</f>
        <v>4911.0137678321407</v>
      </c>
      <c r="G217" s="78"/>
      <c r="H217" s="14"/>
      <c r="I217" s="28">
        <f>+SUM(START:END!I217)</f>
        <v>0</v>
      </c>
      <c r="J217" s="38"/>
      <c r="K217" s="14"/>
      <c r="L217" s="31">
        <f>+SUM(START:END!L217)</f>
        <v>25233.18</v>
      </c>
      <c r="M217" s="38"/>
      <c r="N217" s="55">
        <f t="shared" si="74"/>
        <v>20322.16623216786</v>
      </c>
      <c r="O217" s="38"/>
      <c r="P217" s="14"/>
      <c r="Q217" s="31">
        <f>+SUM(START:END!Q217)</f>
        <v>4225.88</v>
      </c>
      <c r="R217" s="38"/>
      <c r="S217" s="55">
        <f t="shared" si="75"/>
        <v>21007.3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0"/>
        <v>ServiceUniformes</v>
      </c>
      <c r="B218" s="12" t="s">
        <v>83</v>
      </c>
      <c r="C218" s="38" t="s">
        <v>57</v>
      </c>
      <c r="D218" s="76"/>
      <c r="E218" s="14"/>
      <c r="F218" s="28">
        <f>+SUM(START:END!F218)</f>
        <v>2535.9915165280136</v>
      </c>
      <c r="G218" s="78"/>
      <c r="H218" s="14"/>
      <c r="I218" s="28">
        <f>+SUM(START:END!I218)</f>
        <v>0</v>
      </c>
      <c r="J218" s="38"/>
      <c r="K218" s="14"/>
      <c r="L218" s="31">
        <f>+SUM(START:END!L218)</f>
        <v>2604.9299999999998</v>
      </c>
      <c r="M218" s="38"/>
      <c r="N218" s="55">
        <f t="shared" si="74"/>
        <v>68.938483471986274</v>
      </c>
      <c r="O218" s="38"/>
      <c r="P218" s="14"/>
      <c r="Q218" s="31">
        <f>+SUM(START:END!Q218)</f>
        <v>1477.5900000000001</v>
      </c>
      <c r="R218" s="38"/>
      <c r="S218" s="55">
        <f t="shared" si="75"/>
        <v>1127.3399999999997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0"/>
        <v>ServicePapeterie</v>
      </c>
      <c r="B219" s="12" t="s">
        <v>83</v>
      </c>
      <c r="C219" s="38" t="s">
        <v>58</v>
      </c>
      <c r="D219" s="76"/>
      <c r="E219" s="14"/>
      <c r="F219" s="28">
        <f>+SUM(START:END!F219)</f>
        <v>1717.7648291999994</v>
      </c>
      <c r="G219" s="78"/>
      <c r="H219" s="14"/>
      <c r="I219" s="28">
        <f>+SUM(START:END!I219)</f>
        <v>0</v>
      </c>
      <c r="J219" s="38"/>
      <c r="K219" s="14"/>
      <c r="L219" s="31">
        <f>+SUM(START:END!L219)</f>
        <v>2246.79</v>
      </c>
      <c r="M219" s="38"/>
      <c r="N219" s="55">
        <f t="shared" si="74"/>
        <v>529.02517080000052</v>
      </c>
      <c r="O219" s="38"/>
      <c r="P219" s="14"/>
      <c r="Q219" s="31">
        <f>+SUM(START:END!Q219)</f>
        <v>1936.9300000000003</v>
      </c>
      <c r="R219" s="38"/>
      <c r="S219" s="55">
        <f t="shared" si="75"/>
        <v>309.85999999999967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0"/>
        <v>ServiceTéléphone</v>
      </c>
      <c r="B220" s="12" t="s">
        <v>83</v>
      </c>
      <c r="C220" s="38" t="s">
        <v>59</v>
      </c>
      <c r="D220" s="76"/>
      <c r="E220" s="14"/>
      <c r="F220" s="28">
        <f>+SUM(START:END!F220)</f>
        <v>582.12056284999994</v>
      </c>
      <c r="G220" s="78"/>
      <c r="H220" s="14"/>
      <c r="I220" s="28">
        <f>+SUM(START:END!I220)</f>
        <v>0</v>
      </c>
      <c r="J220" s="38"/>
      <c r="K220" s="14"/>
      <c r="L220" s="31">
        <f>+SUM(START:END!L220)</f>
        <v>601.04999999999995</v>
      </c>
      <c r="M220" s="38"/>
      <c r="N220" s="55">
        <f t="shared" si="74"/>
        <v>18.929437150000012</v>
      </c>
      <c r="O220" s="38"/>
      <c r="P220" s="14"/>
      <c r="Q220" s="31">
        <f>+SUM(START:END!Q220)</f>
        <v>1002.05</v>
      </c>
      <c r="R220" s="38"/>
      <c r="S220" s="55">
        <f t="shared" si="75"/>
        <v>-401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0"/>
        <v>ServiceFrais postaux</v>
      </c>
      <c r="B221" s="12" t="s">
        <v>83</v>
      </c>
      <c r="C221" s="38" t="s">
        <v>60</v>
      </c>
      <c r="D221" s="76"/>
      <c r="E221" s="14"/>
      <c r="F221" s="28">
        <f>+SUM(START:END!F221)</f>
        <v>278.42466114999991</v>
      </c>
      <c r="G221" s="78"/>
      <c r="H221" s="14"/>
      <c r="I221" s="28">
        <f>+SUM(START:END!I221)</f>
        <v>0</v>
      </c>
      <c r="J221" s="38"/>
      <c r="K221" s="14"/>
      <c r="L221" s="31">
        <f>+SUM(START:END!L221)</f>
        <v>275.33000000000004</v>
      </c>
      <c r="M221" s="38"/>
      <c r="N221" s="55">
        <f t="shared" si="74"/>
        <v>-3.0946611499998653</v>
      </c>
      <c r="O221" s="38"/>
      <c r="P221" s="14"/>
      <c r="Q221" s="31">
        <f>+SUM(START:END!Q221)</f>
        <v>365.11</v>
      </c>
      <c r="R221" s="38"/>
      <c r="S221" s="55">
        <f t="shared" si="75"/>
        <v>-89.779999999999973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0"/>
        <v>ServiceDivers</v>
      </c>
      <c r="B222" s="12" t="s">
        <v>83</v>
      </c>
      <c r="C222" s="38" t="s">
        <v>61</v>
      </c>
      <c r="D222" s="76"/>
      <c r="E222" s="14"/>
      <c r="F222" s="28">
        <f>+SUM(START:END!F222)</f>
        <v>1057.9103168499998</v>
      </c>
      <c r="G222" s="78"/>
      <c r="H222" s="14"/>
      <c r="I222" s="28">
        <f>+SUM(START:END!I222)</f>
        <v>0</v>
      </c>
      <c r="J222" s="38"/>
      <c r="K222" s="14"/>
      <c r="L222" s="31">
        <f>+SUM(START:END!L222)</f>
        <v>417.53000000000003</v>
      </c>
      <c r="M222" s="38"/>
      <c r="N222" s="55">
        <f t="shared" si="74"/>
        <v>-640.38031684999987</v>
      </c>
      <c r="O222" s="38"/>
      <c r="P222" s="14"/>
      <c r="Q222" s="31">
        <f>+SUM(START:END!Q222)</f>
        <v>265.88</v>
      </c>
      <c r="R222" s="38"/>
      <c r="S222" s="55">
        <f t="shared" si="75"/>
        <v>151.65000000000003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0"/>
        <v>ServiceFormation</v>
      </c>
      <c r="B223" s="12" t="s">
        <v>83</v>
      </c>
      <c r="C223" s="38" t="s">
        <v>62</v>
      </c>
      <c r="D223" s="76"/>
      <c r="E223" s="14"/>
      <c r="F223" s="28">
        <f>+SUM(START:END!F223)</f>
        <v>5918.9509990363913</v>
      </c>
      <c r="G223" s="78"/>
      <c r="H223" s="14"/>
      <c r="I223" s="28">
        <f>+SUM(START:END!I223)</f>
        <v>0</v>
      </c>
      <c r="J223" s="38"/>
      <c r="K223" s="14"/>
      <c r="L223" s="31">
        <f>+SUM(START:END!L223)</f>
        <v>14051.900000000001</v>
      </c>
      <c r="M223" s="38"/>
      <c r="N223" s="55">
        <f t="shared" si="74"/>
        <v>8132.9490009636102</v>
      </c>
      <c r="O223" s="38"/>
      <c r="P223" s="14"/>
      <c r="Q223" s="31">
        <f>+SUM(START:END!Q223)</f>
        <v>3571.91</v>
      </c>
      <c r="R223" s="38"/>
      <c r="S223" s="55">
        <f t="shared" si="75"/>
        <v>10479.990000000002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0"/>
        <v>ServiceFrais bancaires</v>
      </c>
      <c r="B224" s="12" t="s">
        <v>83</v>
      </c>
      <c r="C224" s="38" t="s">
        <v>63</v>
      </c>
      <c r="D224" s="76"/>
      <c r="E224" s="14"/>
      <c r="F224" s="28">
        <f>+SUM(START:END!F224)</f>
        <v>10678.268569017142</v>
      </c>
      <c r="G224" s="78"/>
      <c r="H224" s="14"/>
      <c r="I224" s="28">
        <f>+SUM(START:END!I224)</f>
        <v>0</v>
      </c>
      <c r="J224" s="38"/>
      <c r="K224" s="14"/>
      <c r="L224" s="31">
        <f>+SUM(START:END!L224)</f>
        <v>4834.92</v>
      </c>
      <c r="M224" s="38"/>
      <c r="N224" s="55">
        <f t="shared" si="74"/>
        <v>-5843.3485690171419</v>
      </c>
      <c r="O224" s="38"/>
      <c r="P224" s="14"/>
      <c r="Q224" s="31">
        <f>+SUM(START:END!Q224)</f>
        <v>5633.9212500000021</v>
      </c>
      <c r="R224" s="38"/>
      <c r="S224" s="55">
        <f t="shared" si="75"/>
        <v>-799.00125000000207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0"/>
        <v>Service[...]</v>
      </c>
      <c r="B225" s="12" t="s">
        <v>83</v>
      </c>
      <c r="C225" s="38" t="s">
        <v>20</v>
      </c>
      <c r="D225" s="76"/>
      <c r="E225" s="14"/>
      <c r="F225" s="28">
        <f>+SUM(START:END!F225)</f>
        <v>0</v>
      </c>
      <c r="G225" s="78"/>
      <c r="H225" s="14"/>
      <c r="I225" s="28">
        <f>+SUM(START:END!I225)</f>
        <v>0</v>
      </c>
      <c r="J225" s="38"/>
      <c r="K225" s="14"/>
      <c r="L225" s="31">
        <f>+SUM(START:END!L225)</f>
        <v>0</v>
      </c>
      <c r="M225" s="38"/>
      <c r="N225" s="55">
        <f t="shared" si="74"/>
        <v>0</v>
      </c>
      <c r="O225" s="38"/>
      <c r="P225" s="14"/>
      <c r="Q225" s="31">
        <f>+SUM(START:END!Q225)</f>
        <v>0</v>
      </c>
      <c r="R225" s="38"/>
      <c r="S225" s="55">
        <f t="shared" si="75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8" t="s">
        <v>20</v>
      </c>
      <c r="D226" s="76"/>
      <c r="E226" s="14"/>
      <c r="F226" s="28">
        <f>+SUM(START:END!F226)</f>
        <v>0</v>
      </c>
      <c r="G226" s="78"/>
      <c r="H226" s="14"/>
      <c r="I226" s="28">
        <f>+SUM(START:END!I226)</f>
        <v>0</v>
      </c>
      <c r="J226" s="38"/>
      <c r="K226" s="14"/>
      <c r="L226" s="31">
        <f>+SUM(START:END!L226)</f>
        <v>0</v>
      </c>
      <c r="M226" s="38"/>
      <c r="N226" s="55">
        <f t="shared" si="74"/>
        <v>0</v>
      </c>
      <c r="O226" s="38"/>
      <c r="P226" s="14"/>
      <c r="Q226" s="31">
        <f>+SUM(START:END!Q226)</f>
        <v>0</v>
      </c>
      <c r="R226" s="38"/>
      <c r="S226" s="55">
        <f t="shared" si="75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0"/>
        <v>Service[...]</v>
      </c>
      <c r="B227" s="12" t="s">
        <v>83</v>
      </c>
      <c r="C227" s="38" t="s">
        <v>20</v>
      </c>
      <c r="D227" s="76"/>
      <c r="E227" s="14"/>
      <c r="F227" s="28">
        <f>+SUM(START:END!F227)</f>
        <v>0</v>
      </c>
      <c r="G227" s="78"/>
      <c r="H227" s="14"/>
      <c r="I227" s="28">
        <f>+SUM(START:END!I227)</f>
        <v>0</v>
      </c>
      <c r="J227" s="38"/>
      <c r="K227" s="14"/>
      <c r="L227" s="31">
        <f>+SUM(START:END!L227)</f>
        <v>0</v>
      </c>
      <c r="M227" s="38"/>
      <c r="N227" s="55">
        <f t="shared" si="74"/>
        <v>0</v>
      </c>
      <c r="O227" s="38"/>
      <c r="P227" s="14"/>
      <c r="Q227" s="31">
        <f>+SUM(START:END!Q227)</f>
        <v>0</v>
      </c>
      <c r="R227" s="38"/>
      <c r="S227" s="55">
        <f t="shared" si="75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226" t="s">
        <v>64</v>
      </c>
      <c r="D228" s="91" t="s">
        <v>97</v>
      </c>
      <c r="E228" s="92">
        <f>F228/F$193</f>
        <v>0.28614538664465072</v>
      </c>
      <c r="F228" s="93">
        <f>+SUM(F210:F227)</f>
        <v>128243.19277530894</v>
      </c>
      <c r="G228" s="94" t="s">
        <v>97</v>
      </c>
      <c r="H228" s="92" t="e">
        <f>I228/I$193</f>
        <v>#DIV/0!</v>
      </c>
      <c r="I228" s="93">
        <f>+SUM(I210:I227)</f>
        <v>0</v>
      </c>
      <c r="J228" s="94" t="s">
        <v>97</v>
      </c>
      <c r="K228" s="92">
        <f>L228/L$193</f>
        <v>0.29949759119624175</v>
      </c>
      <c r="L228" s="93">
        <f>+SUM(L210:L227)</f>
        <v>161903.50999999998</v>
      </c>
      <c r="M228" s="97"/>
      <c r="N228" s="93">
        <f t="shared" si="74"/>
        <v>33660.31722469104</v>
      </c>
      <c r="O228" s="94" t="s">
        <v>97</v>
      </c>
      <c r="P228" s="92">
        <f>Q228/Q$193</f>
        <v>0.26188262479989916</v>
      </c>
      <c r="Q228" s="93">
        <f>+SUM(Q210:Q227)</f>
        <v>130273.28125000001</v>
      </c>
      <c r="R228" s="97"/>
      <c r="S228" s="93">
        <f t="shared" si="75"/>
        <v>31630.228749999966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23"/>
      <c r="D229" s="83"/>
      <c r="E229" s="108"/>
      <c r="F229" s="55"/>
      <c r="G229" s="85"/>
      <c r="H229" s="108"/>
      <c r="I229" s="55"/>
      <c r="J229" s="23"/>
      <c r="K229" s="108"/>
      <c r="L229" s="88"/>
      <c r="M229" s="23"/>
      <c r="N229" s="88"/>
      <c r="O229" s="23"/>
      <c r="P229" s="108"/>
      <c r="Q229" s="88"/>
      <c r="R229" s="23"/>
      <c r="S229" s="88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226" t="s">
        <v>65</v>
      </c>
      <c r="D230" s="91" t="s">
        <v>39</v>
      </c>
      <c r="E230" s="92">
        <f>F230/F$193</f>
        <v>1.0103055721430605</v>
      </c>
      <c r="F230" s="93">
        <f>F209+F228</f>
        <v>452793.64371235238</v>
      </c>
      <c r="G230" s="94" t="s">
        <v>39</v>
      </c>
      <c r="H230" s="92" t="e">
        <f>I230/I$193</f>
        <v>#DIV/0!</v>
      </c>
      <c r="I230" s="93">
        <f>I209+I228</f>
        <v>0</v>
      </c>
      <c r="J230" s="94" t="s">
        <v>39</v>
      </c>
      <c r="K230" s="92">
        <f>L230/L$193</f>
        <v>0.89508025843473482</v>
      </c>
      <c r="L230" s="93">
        <f>L209+L228</f>
        <v>483865.78</v>
      </c>
      <c r="M230" s="97"/>
      <c r="N230" s="110">
        <f>L230-F230</f>
        <v>31072.136287647649</v>
      </c>
      <c r="O230" s="94" t="s">
        <v>39</v>
      </c>
      <c r="P230" s="92">
        <f>Q230/Q$193</f>
        <v>0.89264647055763213</v>
      </c>
      <c r="Q230" s="93">
        <f>Q209+Q228</f>
        <v>444046.20124999998</v>
      </c>
      <c r="R230" s="97"/>
      <c r="S230" s="110">
        <f>L230-Q230</f>
        <v>39819.578750000044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8"/>
      <c r="D231" s="76"/>
      <c r="E231" s="14"/>
      <c r="F231" s="55"/>
      <c r="G231" s="78"/>
      <c r="H231" s="14"/>
      <c r="I231" s="55"/>
      <c r="J231" s="38"/>
      <c r="K231" s="14"/>
      <c r="L231" s="55"/>
      <c r="M231" s="38"/>
      <c r="N231" s="55">
        <f>L231-F231</f>
        <v>0</v>
      </c>
      <c r="O231" s="38"/>
      <c r="P231" s="14"/>
      <c r="Q231" s="55"/>
      <c r="R231" s="38"/>
      <c r="S231" s="55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418" t="s">
        <v>72</v>
      </c>
      <c r="D232" s="435"/>
      <c r="E232" s="417"/>
      <c r="F232" s="205">
        <f>F193-F230</f>
        <v>-4618.6992231456097</v>
      </c>
      <c r="G232" s="436"/>
      <c r="H232" s="417"/>
      <c r="I232" s="205">
        <f>I193-I230</f>
        <v>0</v>
      </c>
      <c r="J232" s="418"/>
      <c r="K232" s="437"/>
      <c r="L232" s="205">
        <f>L193-L230</f>
        <v>56717.900000000023</v>
      </c>
      <c r="M232" s="418"/>
      <c r="N232" s="205">
        <f>L232-F232</f>
        <v>61336.599223145633</v>
      </c>
      <c r="O232" s="418"/>
      <c r="P232" s="437"/>
      <c r="Q232" s="205">
        <f>Q193-Q230</f>
        <v>53402.918750000012</v>
      </c>
      <c r="R232" s="418"/>
      <c r="S232" s="205">
        <f>L232-Q232</f>
        <v>3314.9812500000116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77"/>
      <c r="M233" s="77"/>
      <c r="N233" s="14"/>
      <c r="O233" s="77"/>
      <c r="P233" s="14"/>
      <c r="Q233" s="77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48"/>
      <c r="M234" s="148"/>
      <c r="N234" s="11"/>
      <c r="O234" s="148"/>
      <c r="P234" s="11"/>
      <c r="Q234" s="148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99</v>
      </c>
      <c r="L235" s="2"/>
      <c r="M235" s="2"/>
      <c r="N235" s="1"/>
      <c r="O235" s="1"/>
      <c r="P235" s="2"/>
      <c r="Q235" s="1"/>
      <c r="R235" s="2"/>
      <c r="S235" s="421" t="str">
        <f>$S$1</f>
        <v>Réalisé  Volks T3 2023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842" t="s">
        <v>5</v>
      </c>
      <c r="E237" s="843"/>
      <c r="F237" s="843"/>
      <c r="G237" s="849" t="s">
        <v>74</v>
      </c>
      <c r="H237" s="843"/>
      <c r="I237" s="844"/>
      <c r="J237" s="845" t="s">
        <v>7</v>
      </c>
      <c r="K237" s="843"/>
      <c r="L237" s="844"/>
      <c r="M237" s="840" t="s">
        <v>472</v>
      </c>
      <c r="N237" s="841"/>
      <c r="O237" s="842" t="s">
        <v>9</v>
      </c>
      <c r="P237" s="843"/>
      <c r="Q237" s="844"/>
      <c r="R237" s="840" t="s">
        <v>473</v>
      </c>
      <c r="S237" s="841"/>
      <c r="T237" s="142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76">+B238&amp;C238</f>
        <v>Carrosserie</v>
      </c>
      <c r="B238" s="12" t="s">
        <v>99</v>
      </c>
      <c r="C238" s="27"/>
      <c r="D238" s="75" t="s">
        <v>40</v>
      </c>
      <c r="E238" s="75" t="s">
        <v>84</v>
      </c>
      <c r="F238" s="75" t="s">
        <v>13</v>
      </c>
      <c r="G238" s="378" t="s">
        <v>40</v>
      </c>
      <c r="H238" s="75" t="s">
        <v>84</v>
      </c>
      <c r="I238" s="129" t="s">
        <v>13</v>
      </c>
      <c r="J238" s="130" t="s">
        <v>40</v>
      </c>
      <c r="K238" s="75" t="s">
        <v>84</v>
      </c>
      <c r="L238" s="129" t="s">
        <v>13</v>
      </c>
      <c r="M238" s="130" t="s">
        <v>40</v>
      </c>
      <c r="N238" s="129" t="s">
        <v>475</v>
      </c>
      <c r="O238" s="75" t="s">
        <v>40</v>
      </c>
      <c r="P238" s="75" t="s">
        <v>84</v>
      </c>
      <c r="Q238" s="129" t="s">
        <v>13</v>
      </c>
      <c r="R238" s="130" t="s">
        <v>85</v>
      </c>
      <c r="S238" s="129" t="s">
        <v>13</v>
      </c>
      <c r="T238" s="75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76"/>
        <v>Carrosserie</v>
      </c>
      <c r="B239" s="12" t="s">
        <v>99</v>
      </c>
      <c r="C239" s="27"/>
      <c r="D239" s="75"/>
      <c r="E239" s="75"/>
      <c r="F239" s="75"/>
      <c r="G239" s="130"/>
      <c r="H239" s="75"/>
      <c r="I239" s="75"/>
      <c r="J239" s="130"/>
      <c r="K239" s="28"/>
      <c r="L239" s="31"/>
      <c r="M239" s="130"/>
      <c r="N239" s="129"/>
      <c r="O239" s="75"/>
      <c r="P239" s="75"/>
      <c r="Q239" s="129"/>
      <c r="R239" s="130"/>
      <c r="S239" s="129"/>
      <c r="T239" s="75"/>
      <c r="U239" s="14"/>
      <c r="V239" s="28"/>
      <c r="W239" s="28"/>
      <c r="X239" s="28"/>
      <c r="Y239" s="28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76"/>
        <v>CarrosserieM/O Sous-traitement</v>
      </c>
      <c r="B240" s="12" t="s">
        <v>99</v>
      </c>
      <c r="C240" s="27" t="s">
        <v>100</v>
      </c>
      <c r="D240" s="407">
        <f>+SUM(START:END!D240)</f>
        <v>0</v>
      </c>
      <c r="E240" s="77">
        <f>+SUM(START:END!E240)</f>
        <v>267057.10414477182</v>
      </c>
      <c r="F240" s="77">
        <f>+SUM(START:END!F240)</f>
        <v>62783.521624851994</v>
      </c>
      <c r="G240" s="408">
        <f>+SUM(START:END!G240)</f>
        <v>0</v>
      </c>
      <c r="H240" s="77">
        <f>+SUM(START:END!H240)</f>
        <v>0</v>
      </c>
      <c r="I240" s="77">
        <f>+SUM(START:END!I240)</f>
        <v>0</v>
      </c>
      <c r="J240" s="56">
        <f>+SUM(START:END!J240)</f>
        <v>136</v>
      </c>
      <c r="K240" s="28">
        <f>+SUM(START:END!K240)</f>
        <v>260879.87999999998</v>
      </c>
      <c r="L240" s="31">
        <f>+SUM(START:END!L240)</f>
        <v>57998.549999999981</v>
      </c>
      <c r="M240" s="150">
        <f>IFERROR((K240-E240)/E240,0)</f>
        <v>-2.3130723912228014E-2</v>
      </c>
      <c r="N240" s="55">
        <f>L240-F240</f>
        <v>-4784.9716248520126</v>
      </c>
      <c r="O240" s="56">
        <f>+SUM(START:END!O240)</f>
        <v>145</v>
      </c>
      <c r="P240" s="28">
        <f>+SUM(START:END!P240)</f>
        <v>262254.3</v>
      </c>
      <c r="Q240" s="31">
        <f>+SUM(START:END!Q240)</f>
        <v>54699.549999999996</v>
      </c>
      <c r="R240" s="150">
        <f>IF(O240=0,0,J240/O240)</f>
        <v>0.93793103448275861</v>
      </c>
      <c r="S240" s="55">
        <f>L240-Q240</f>
        <v>3298.9999999999854</v>
      </c>
      <c r="T240" s="75"/>
      <c r="U240" s="14"/>
      <c r="V240" s="28"/>
      <c r="W240" s="28"/>
      <c r="X240" s="28"/>
      <c r="Y240" s="28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76"/>
        <v>Carrosserie% profit / ventes</v>
      </c>
      <c r="B241" s="12" t="s">
        <v>99</v>
      </c>
      <c r="C241" s="27" t="s">
        <v>87</v>
      </c>
      <c r="D241" s="75"/>
      <c r="E241" s="137"/>
      <c r="F241" s="141">
        <f>IFERROR(F240/E240,0)</f>
        <v>0.23509399544307577</v>
      </c>
      <c r="G241" s="130"/>
      <c r="H241" s="137"/>
      <c r="I241" s="141">
        <f>IFERROR(I240/H240,0)</f>
        <v>0</v>
      </c>
      <c r="J241" s="56"/>
      <c r="K241" s="14"/>
      <c r="L241" s="151">
        <f>IFERROR(L240/K240,0)</f>
        <v>0.22231898450735252</v>
      </c>
      <c r="M241" s="150"/>
      <c r="N241" s="55">
        <f>IFERROR(N240/M240,0)</f>
        <v>206866.48818295074</v>
      </c>
      <c r="O241" s="56"/>
      <c r="P241" s="14"/>
      <c r="Q241" s="151">
        <f>IFERROR(Q240/P240,0)</f>
        <v>0.20857446379334865</v>
      </c>
      <c r="R241" s="56"/>
      <c r="S241" s="55">
        <f>IFERROR(S240/R240,0)</f>
        <v>3517.3161764705728</v>
      </c>
      <c r="T241" s="75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76"/>
        <v>Carrosserie</v>
      </c>
      <c r="B242" s="12" t="s">
        <v>99</v>
      </c>
      <c r="C242" s="27"/>
      <c r="D242" s="75"/>
      <c r="E242" s="187"/>
      <c r="F242" s="187"/>
      <c r="G242" s="130"/>
      <c r="H242" s="187"/>
      <c r="I242" s="187"/>
      <c r="J242" s="130"/>
      <c r="K242" s="75"/>
      <c r="L242" s="129"/>
      <c r="M242" s="130"/>
      <c r="N242" s="129"/>
      <c r="O242" s="130"/>
      <c r="P242" s="75"/>
      <c r="Q242" s="129"/>
      <c r="R242" s="132"/>
      <c r="S242" s="129"/>
      <c r="T242" s="75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76"/>
        <v>CarrosserieM/O Carrosserie</v>
      </c>
      <c r="B243" s="12" t="s">
        <v>99</v>
      </c>
      <c r="C243" s="15" t="s">
        <v>101</v>
      </c>
      <c r="D243" s="376">
        <f>+SUM(START:END!D243)</f>
        <v>0</v>
      </c>
      <c r="E243" s="77">
        <f>+SUM(START:END!E243)</f>
        <v>0</v>
      </c>
      <c r="F243" s="77">
        <f>+SUM(START:END!F243)</f>
        <v>0</v>
      </c>
      <c r="G243" s="188">
        <f>+SUM(START:END!G243)</f>
        <v>0</v>
      </c>
      <c r="H243" s="77">
        <f>+SUM(START:END!H243)</f>
        <v>0</v>
      </c>
      <c r="I243" s="77">
        <f>+SUM(START:END!I243)</f>
        <v>0</v>
      </c>
      <c r="J243" s="157">
        <f>+SUM(START:END!J243)</f>
        <v>0</v>
      </c>
      <c r="K243" s="158">
        <f>+SUM(START:END!K243)</f>
        <v>0</v>
      </c>
      <c r="L243" s="105">
        <f>+SUM(START:END!L243)</f>
        <v>0</v>
      </c>
      <c r="M243" s="162">
        <f>IFERROR((K243-E243)/E243,0)</f>
        <v>0</v>
      </c>
      <c r="N243" s="106">
        <f>L243-F243</f>
        <v>0</v>
      </c>
      <c r="O243" s="157">
        <f>+SUM(START:END!O243)</f>
        <v>0</v>
      </c>
      <c r="P243" s="158">
        <f>+SUM(START:END!P243)</f>
        <v>0</v>
      </c>
      <c r="Q243" s="105">
        <f>+SUM(START:END!Q243)</f>
        <v>0</v>
      </c>
      <c r="R243" s="150">
        <f>IF(O243=0,0,J243/O243)</f>
        <v>0</v>
      </c>
      <c r="S243" s="106">
        <f>L243-Q243</f>
        <v>0</v>
      </c>
      <c r="T243" s="141"/>
      <c r="U243" s="14"/>
      <c r="V243" s="28"/>
      <c r="W243" s="28"/>
      <c r="X243" s="28"/>
      <c r="Y243" s="28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76"/>
        <v>Carrosserie% profit / ventes</v>
      </c>
      <c r="B244" s="12" t="s">
        <v>99</v>
      </c>
      <c r="C244" s="27" t="s">
        <v>87</v>
      </c>
      <c r="D244" s="14"/>
      <c r="E244" s="137"/>
      <c r="F244" s="141" t="e">
        <f>F243/E243</f>
        <v>#DIV/0!</v>
      </c>
      <c r="G244" s="38"/>
      <c r="H244" s="137"/>
      <c r="I244" s="141" t="e">
        <f>I243/H243</f>
        <v>#DIV/0!</v>
      </c>
      <c r="J244" s="56"/>
      <c r="K244" s="14"/>
      <c r="L244" s="151">
        <f>IFERROR(L243/K243,0)</f>
        <v>0</v>
      </c>
      <c r="M244" s="150"/>
      <c r="N244" s="55">
        <f>IFERROR(N243/F243,0)</f>
        <v>0</v>
      </c>
      <c r="O244" s="56"/>
      <c r="P244" s="14"/>
      <c r="Q244" s="151">
        <f>IFERROR(Q243/P243,0)</f>
        <v>0</v>
      </c>
      <c r="R244" s="56"/>
      <c r="S244" s="55">
        <f>IF(Q243=0,0,S243/Q243)</f>
        <v>0</v>
      </c>
      <c r="T244" s="141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76"/>
        <v>Carrosserie</v>
      </c>
      <c r="B245" s="12" t="s">
        <v>99</v>
      </c>
      <c r="C245" s="82"/>
      <c r="D245" s="108"/>
      <c r="E245" s="152"/>
      <c r="F245" s="197"/>
      <c r="G245" s="23"/>
      <c r="H245" s="152"/>
      <c r="I245" s="197"/>
      <c r="J245" s="154"/>
      <c r="K245" s="189"/>
      <c r="L245" s="153"/>
      <c r="M245" s="155"/>
      <c r="N245" s="88"/>
      <c r="O245" s="154"/>
      <c r="P245" s="189"/>
      <c r="Q245" s="153"/>
      <c r="R245" s="154"/>
      <c r="S245" s="88"/>
      <c r="T245" s="141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76"/>
        <v>CarrosserieM/O Esthétique Carr.</v>
      </c>
      <c r="B246" s="12" t="s">
        <v>99</v>
      </c>
      <c r="C246" s="15" t="s">
        <v>102</v>
      </c>
      <c r="D246" s="156">
        <f>+SUM(START:END!D246)</f>
        <v>0</v>
      </c>
      <c r="E246" s="77">
        <f>+SUM(START:END!E246)</f>
        <v>0</v>
      </c>
      <c r="F246" s="77">
        <f>+SUM(START:END!F246)</f>
        <v>0</v>
      </c>
      <c r="G246" s="157">
        <f>+SUM(START:END!G246)</f>
        <v>0</v>
      </c>
      <c r="H246" s="77">
        <f>+SUM(START:END!H246)</f>
        <v>0</v>
      </c>
      <c r="I246" s="77">
        <f>+SUM(START:END!I246)</f>
        <v>0</v>
      </c>
      <c r="J246" s="157">
        <f>+SUM(START:END!J246)</f>
        <v>0</v>
      </c>
      <c r="K246" s="28">
        <f>+SUM(START:END!K246)</f>
        <v>0</v>
      </c>
      <c r="L246" s="31">
        <f>+SUM(START:END!L246)</f>
        <v>0</v>
      </c>
      <c r="M246" s="150">
        <f>IFERROR((K246-E246)/E246,0)</f>
        <v>0</v>
      </c>
      <c r="N246" s="106">
        <f>L246-F246</f>
        <v>0</v>
      </c>
      <c r="O246" s="157">
        <f>+SUM(START:END!O246)</f>
        <v>0</v>
      </c>
      <c r="P246" s="28">
        <f>+SUM(START:END!P246)</f>
        <v>0</v>
      </c>
      <c r="Q246" s="31">
        <f>+SUM(START:END!Q246)</f>
        <v>0</v>
      </c>
      <c r="R246" s="150">
        <f>IF(O246=0,0,J246/O246)</f>
        <v>0</v>
      </c>
      <c r="S246" s="55">
        <f>L246-Q246</f>
        <v>0</v>
      </c>
      <c r="T246" s="141"/>
      <c r="U246" s="14"/>
      <c r="V246" s="28"/>
      <c r="W246" s="28"/>
      <c r="X246" s="28"/>
      <c r="Y246" s="28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76"/>
        <v>Carrosserie% profit / ventes</v>
      </c>
      <c r="B247" s="12" t="s">
        <v>99</v>
      </c>
      <c r="C247" s="27" t="s">
        <v>87</v>
      </c>
      <c r="D247" s="14"/>
      <c r="E247" s="14"/>
      <c r="F247" s="141" t="e">
        <f>F246/E246</f>
        <v>#DIV/0!</v>
      </c>
      <c r="G247" s="38"/>
      <c r="H247" s="14"/>
      <c r="I247" s="141" t="e">
        <f>I246/H246</f>
        <v>#DIV/0!</v>
      </c>
      <c r="J247" s="38"/>
      <c r="K247" s="14"/>
      <c r="L247" s="151">
        <f>IFERROR(L246/K246,0)</f>
        <v>0</v>
      </c>
      <c r="M247" s="39"/>
      <c r="N247" s="40">
        <f>IF(L246=0,0,N246/L246)</f>
        <v>0</v>
      </c>
      <c r="O247" s="38"/>
      <c r="P247" s="14"/>
      <c r="Q247" s="151">
        <f>IFERROR(Q246/P246,0)</f>
        <v>0</v>
      </c>
      <c r="R247" s="39"/>
      <c r="S247" s="40">
        <f>IF(Q246=0,0,S246/Q246)</f>
        <v>0</v>
      </c>
      <c r="T247" s="141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76"/>
        <v>Carrosserie</v>
      </c>
      <c r="B248" s="12" t="s">
        <v>99</v>
      </c>
      <c r="C248" s="27"/>
      <c r="D248" s="14"/>
      <c r="E248" s="14"/>
      <c r="F248" s="141"/>
      <c r="G248" s="38"/>
      <c r="H248" s="14"/>
      <c r="I248" s="141"/>
      <c r="J248" s="38"/>
      <c r="K248" s="14"/>
      <c r="L248" s="151"/>
      <c r="M248" s="39"/>
      <c r="N248" s="40"/>
      <c r="O248" s="38"/>
      <c r="P248" s="14"/>
      <c r="Q248" s="151"/>
      <c r="R248" s="39"/>
      <c r="S248" s="40"/>
      <c r="T248" s="141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76"/>
        <v>CarrosserieTotal Mécanique</v>
      </c>
      <c r="B249" s="12" t="s">
        <v>99</v>
      </c>
      <c r="C249" s="58" t="s">
        <v>96</v>
      </c>
      <c r="D249" s="59"/>
      <c r="E249" s="59">
        <f t="shared" ref="E249:F249" si="77">E243+E246+E240</f>
        <v>267057.10414477182</v>
      </c>
      <c r="F249" s="59">
        <f t="shared" si="77"/>
        <v>62783.521624851994</v>
      </c>
      <c r="G249" s="62"/>
      <c r="H249" s="59">
        <f t="shared" ref="H249:I249" si="78">H243+H246+H240</f>
        <v>0</v>
      </c>
      <c r="I249" s="59">
        <f t="shared" si="78"/>
        <v>0</v>
      </c>
      <c r="J249" s="62"/>
      <c r="K249" s="59">
        <f t="shared" ref="K249:L249" si="79">K243+K246+K240</f>
        <v>260879.87999999998</v>
      </c>
      <c r="L249" s="61">
        <f t="shared" si="79"/>
        <v>57998.549999999981</v>
      </c>
      <c r="M249" s="186">
        <f>L250-F250</f>
        <v>-1.2775010935723252E-2</v>
      </c>
      <c r="N249" s="61">
        <f>L249-F249</f>
        <v>-4784.9716248520126</v>
      </c>
      <c r="O249" s="62"/>
      <c r="P249" s="59">
        <f t="shared" ref="P249:Q249" si="80">P243+P246+P240</f>
        <v>262254.3</v>
      </c>
      <c r="Q249" s="61">
        <f t="shared" si="80"/>
        <v>54699.549999999996</v>
      </c>
      <c r="R249" s="438">
        <f>L250-Q250</f>
        <v>1.3744520714003866E-2</v>
      </c>
      <c r="S249" s="61">
        <f>L249-Q249</f>
        <v>3298.9999999999854</v>
      </c>
      <c r="T249" s="141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76"/>
        <v>Carrosserie</v>
      </c>
      <c r="B250" s="12" t="s">
        <v>99</v>
      </c>
      <c r="C250" s="64"/>
      <c r="D250" s="65"/>
      <c r="E250" s="65"/>
      <c r="F250" s="375">
        <f>F249/E249</f>
        <v>0.23509399544307577</v>
      </c>
      <c r="G250" s="67"/>
      <c r="H250" s="65"/>
      <c r="I250" s="375" t="e">
        <f>I249/H249</f>
        <v>#DIV/0!</v>
      </c>
      <c r="J250" s="67"/>
      <c r="K250" s="65"/>
      <c r="L250" s="69">
        <f>IF(K249=0,0,L249/K249)</f>
        <v>0.22231898450735252</v>
      </c>
      <c r="M250" s="68"/>
      <c r="N250" s="69">
        <f>N249/F249</f>
        <v>-7.6213813768578845E-2</v>
      </c>
      <c r="O250" s="67"/>
      <c r="P250" s="65"/>
      <c r="Q250" s="69">
        <f>IF(P249=0,0,Q249/P249)</f>
        <v>0.20857446379334865</v>
      </c>
      <c r="R250" s="68"/>
      <c r="S250" s="69">
        <f>S249/Q249</f>
        <v>6.0311282268318216E-2</v>
      </c>
      <c r="T250" s="141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76"/>
        <v>Carrosserie</v>
      </c>
      <c r="B251" s="12" t="s">
        <v>99</v>
      </c>
      <c r="C251" s="27"/>
      <c r="D251" s="14"/>
      <c r="E251" s="14"/>
      <c r="F251" s="77"/>
      <c r="G251" s="38"/>
      <c r="H251" s="14"/>
      <c r="I251" s="77"/>
      <c r="J251" s="38"/>
      <c r="K251" s="14"/>
      <c r="L251" s="37"/>
      <c r="M251" s="38"/>
      <c r="N251" s="37"/>
      <c r="O251" s="38"/>
      <c r="P251" s="14"/>
      <c r="Q251" s="37"/>
      <c r="R251" s="38"/>
      <c r="S251" s="37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76"/>
        <v>CarrosserieDEPENSES</v>
      </c>
      <c r="B252" s="12" t="s">
        <v>99</v>
      </c>
      <c r="C252" s="74" t="s">
        <v>30</v>
      </c>
      <c r="D252" s="14"/>
      <c r="E252" s="14"/>
      <c r="F252" s="77"/>
      <c r="G252" s="38"/>
      <c r="H252" s="14"/>
      <c r="I252" s="77"/>
      <c r="J252" s="38"/>
      <c r="K252" s="14"/>
      <c r="L252" s="37"/>
      <c r="M252" s="38"/>
      <c r="N252" s="37"/>
      <c r="O252" s="38"/>
      <c r="P252" s="14"/>
      <c r="Q252" s="37"/>
      <c r="R252" s="38"/>
      <c r="S252" s="37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76"/>
        <v>CarrosserieSalaires cadres</v>
      </c>
      <c r="B253" s="12" t="s">
        <v>99</v>
      </c>
      <c r="C253" s="99" t="s">
        <v>41</v>
      </c>
      <c r="D253" s="14"/>
      <c r="E253" s="14"/>
      <c r="F253" s="28">
        <f>+SUM(START:END!F253)</f>
        <v>977.41321839080456</v>
      </c>
      <c r="G253" s="38"/>
      <c r="H253" s="14"/>
      <c r="I253" s="28">
        <f>+SUM(START:END!I253)</f>
        <v>0</v>
      </c>
      <c r="J253" s="38"/>
      <c r="K253" s="14"/>
      <c r="L253" s="31">
        <f>+SUM(START:END!L253)</f>
        <v>1955.6400000000003</v>
      </c>
      <c r="M253" s="38"/>
      <c r="N253" s="55">
        <f t="shared" ref="N253:N283" si="81">L253-F253</f>
        <v>978.22678160919577</v>
      </c>
      <c r="O253" s="38"/>
      <c r="P253" s="14"/>
      <c r="Q253" s="31">
        <f>+SUM(START:END!Q253)</f>
        <v>2705.64</v>
      </c>
      <c r="R253" s="38"/>
      <c r="S253" s="31">
        <f t="shared" ref="S253:S284" si="82">L253-Q253</f>
        <v>-749.99999999999955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76"/>
        <v>CarrosserieSalaires commis</v>
      </c>
      <c r="B254" s="12" t="s">
        <v>99</v>
      </c>
      <c r="C254" s="100" t="s">
        <v>42</v>
      </c>
      <c r="D254" s="76"/>
      <c r="E254" s="14"/>
      <c r="F254" s="24">
        <f>+SUM(START:END!F254)</f>
        <v>1704.1062068965518</v>
      </c>
      <c r="G254" s="78"/>
      <c r="H254" s="14"/>
      <c r="I254" s="24">
        <f>+SUM(START:END!I254)</f>
        <v>0</v>
      </c>
      <c r="J254" s="38"/>
      <c r="K254" s="14"/>
      <c r="L254" s="31">
        <f>+SUM(START:END!L254)</f>
        <v>0</v>
      </c>
      <c r="M254" s="38"/>
      <c r="N254" s="55">
        <f t="shared" si="81"/>
        <v>-1704.1062068965518</v>
      </c>
      <c r="O254" s="38"/>
      <c r="P254" s="14"/>
      <c r="Q254" s="31">
        <f>+SUM(START:END!Q254)</f>
        <v>0</v>
      </c>
      <c r="R254" s="38"/>
      <c r="S254" s="55">
        <f t="shared" si="82"/>
        <v>0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76"/>
        <v>CarrosserieSalaires autres</v>
      </c>
      <c r="B255" s="12" t="s">
        <v>99</v>
      </c>
      <c r="C255" s="99" t="s">
        <v>43</v>
      </c>
      <c r="D255" s="101"/>
      <c r="E255" s="102"/>
      <c r="F255" s="28">
        <f>+SUM(START:END!F255)</f>
        <v>1113.9080459770116</v>
      </c>
      <c r="G255" s="103"/>
      <c r="H255" s="102"/>
      <c r="I255" s="28">
        <f>+SUM(START:END!I255)</f>
        <v>0</v>
      </c>
      <c r="J255" s="104"/>
      <c r="K255" s="102"/>
      <c r="L255" s="105">
        <f>+SUM(START:END!L255)</f>
        <v>0.14000000000000001</v>
      </c>
      <c r="M255" s="104"/>
      <c r="N255" s="106">
        <f t="shared" si="81"/>
        <v>-1113.7680459770115</v>
      </c>
      <c r="O255" s="104"/>
      <c r="P255" s="102"/>
      <c r="Q255" s="105">
        <f>+SUM(START:END!Q255)</f>
        <v>3.7199999999999998</v>
      </c>
      <c r="R255" s="104"/>
      <c r="S255" s="106">
        <f t="shared" si="82"/>
        <v>-3.5799999999999996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76"/>
        <v>CarrosserieSalaires spécialistes</v>
      </c>
      <c r="B256" s="12" t="s">
        <v>99</v>
      </c>
      <c r="C256" s="99" t="s">
        <v>44</v>
      </c>
      <c r="D256" s="76"/>
      <c r="E256" s="14"/>
      <c r="F256" s="28">
        <f>+SUM(START:END!F256)</f>
        <v>10967.586206896551</v>
      </c>
      <c r="G256" s="78"/>
      <c r="H256" s="14"/>
      <c r="I256" s="28">
        <f>+SUM(START:END!I256)</f>
        <v>0</v>
      </c>
      <c r="J256" s="38"/>
      <c r="K256" s="14"/>
      <c r="L256" s="31">
        <f>+SUM(START:END!L256)</f>
        <v>12726.31</v>
      </c>
      <c r="M256" s="38"/>
      <c r="N256" s="55">
        <f t="shared" si="81"/>
        <v>1758.7237931034488</v>
      </c>
      <c r="O256" s="38"/>
      <c r="P256" s="14"/>
      <c r="Q256" s="31">
        <f>+SUM(START:END!Q256)</f>
        <v>13629.18</v>
      </c>
      <c r="R256" s="38"/>
      <c r="S256" s="55">
        <f t="shared" si="82"/>
        <v>-902.8700000000008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76"/>
        <v>Carrosserie[...]</v>
      </c>
      <c r="B257" s="12" t="s">
        <v>99</v>
      </c>
      <c r="C257" s="27" t="s">
        <v>20</v>
      </c>
      <c r="D257" s="76"/>
      <c r="E257" s="14"/>
      <c r="F257" s="28">
        <f>+SUM(START:END!F257)</f>
        <v>0</v>
      </c>
      <c r="G257" s="78"/>
      <c r="H257" s="14"/>
      <c r="I257" s="28">
        <f>+SUM(START:END!I257)</f>
        <v>0</v>
      </c>
      <c r="J257" s="38"/>
      <c r="K257" s="14"/>
      <c r="L257" s="31">
        <f>+SUM(START:END!L257)</f>
        <v>0</v>
      </c>
      <c r="M257" s="38"/>
      <c r="N257" s="55">
        <f t="shared" si="81"/>
        <v>0</v>
      </c>
      <c r="O257" s="38"/>
      <c r="P257" s="14"/>
      <c r="Q257" s="31">
        <f>+SUM(START:END!Q257)</f>
        <v>0</v>
      </c>
      <c r="R257" s="38"/>
      <c r="S257" s="55">
        <f t="shared" si="82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76"/>
        <v>Carrosserie[...]</v>
      </c>
      <c r="B258" s="12" t="s">
        <v>99</v>
      </c>
      <c r="C258" s="27" t="s">
        <v>20</v>
      </c>
      <c r="D258" s="76"/>
      <c r="E258" s="14"/>
      <c r="F258" s="28">
        <f>+SUM(START:END!F258)</f>
        <v>0</v>
      </c>
      <c r="G258" s="78"/>
      <c r="H258" s="14"/>
      <c r="I258" s="28">
        <f>+SUM(START:END!I258)</f>
        <v>0</v>
      </c>
      <c r="J258" s="38"/>
      <c r="K258" s="14"/>
      <c r="L258" s="31">
        <f>+SUM(START:END!L258)</f>
        <v>0</v>
      </c>
      <c r="M258" s="38"/>
      <c r="N258" s="55">
        <f t="shared" si="81"/>
        <v>0</v>
      </c>
      <c r="O258" s="38"/>
      <c r="P258" s="14"/>
      <c r="Q258" s="31">
        <f>+SUM(START:END!Q258)</f>
        <v>0</v>
      </c>
      <c r="R258" s="38"/>
      <c r="S258" s="55">
        <f t="shared" si="82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76"/>
        <v>Carrosserie[...]</v>
      </c>
      <c r="B259" s="12" t="s">
        <v>99</v>
      </c>
      <c r="C259" s="27" t="s">
        <v>20</v>
      </c>
      <c r="D259" s="76"/>
      <c r="E259" s="14"/>
      <c r="F259" s="28">
        <f>+SUM(START:END!F259)</f>
        <v>0</v>
      </c>
      <c r="G259" s="78"/>
      <c r="H259" s="14"/>
      <c r="I259" s="28">
        <f>+SUM(START:END!I259)</f>
        <v>0</v>
      </c>
      <c r="J259" s="38"/>
      <c r="K259" s="14"/>
      <c r="L259" s="31">
        <f>+SUM(START:END!L259)</f>
        <v>0</v>
      </c>
      <c r="M259" s="38"/>
      <c r="N259" s="55">
        <f t="shared" si="81"/>
        <v>0</v>
      </c>
      <c r="O259" s="38"/>
      <c r="P259" s="14"/>
      <c r="Q259" s="31">
        <f>+SUM(START:END!Q259)</f>
        <v>0</v>
      </c>
      <c r="R259" s="38"/>
      <c r="S259" s="55">
        <f t="shared" si="82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76"/>
        <v>CarrosserieSalaires en absences</v>
      </c>
      <c r="B260" s="12" t="s">
        <v>99</v>
      </c>
      <c r="C260" s="100" t="s">
        <v>45</v>
      </c>
      <c r="D260" s="76"/>
      <c r="E260" s="14"/>
      <c r="F260" s="24">
        <f>+SUM(START:END!F260)</f>
        <v>1799.2304936688388</v>
      </c>
      <c r="G260" s="78"/>
      <c r="H260" s="14"/>
      <c r="I260" s="24">
        <f>+SUM(START:END!I260)</f>
        <v>0</v>
      </c>
      <c r="J260" s="38"/>
      <c r="K260" s="14"/>
      <c r="L260" s="31">
        <f>+SUM(START:END!L260)</f>
        <v>1007.8900000000001</v>
      </c>
      <c r="M260" s="38"/>
      <c r="N260" s="55">
        <f t="shared" si="81"/>
        <v>-791.34049366883869</v>
      </c>
      <c r="O260" s="38"/>
      <c r="P260" s="14"/>
      <c r="Q260" s="31">
        <f>+SUM(START:END!Q260)</f>
        <v>2409.88</v>
      </c>
      <c r="R260" s="38"/>
      <c r="S260" s="55">
        <f t="shared" si="82"/>
        <v>-1401.99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76"/>
        <v>CarrosserieDéduction à la source</v>
      </c>
      <c r="B261" s="12" t="s">
        <v>99</v>
      </c>
      <c r="C261" s="99" t="s">
        <v>46</v>
      </c>
      <c r="D261" s="101"/>
      <c r="E261" s="102"/>
      <c r="F261" s="28">
        <f>+SUM(START:END!F261)</f>
        <v>1788.6122580725219</v>
      </c>
      <c r="G261" s="103"/>
      <c r="H261" s="102"/>
      <c r="I261" s="28">
        <f>+SUM(START:END!I261)</f>
        <v>0</v>
      </c>
      <c r="J261" s="104"/>
      <c r="K261" s="102"/>
      <c r="L261" s="105">
        <f>+SUM(START:END!L261)</f>
        <v>4007.6499999999996</v>
      </c>
      <c r="M261" s="104"/>
      <c r="N261" s="106">
        <f t="shared" si="81"/>
        <v>2219.0377419274778</v>
      </c>
      <c r="O261" s="104"/>
      <c r="P261" s="102"/>
      <c r="Q261" s="105">
        <f>+SUM(START:END!Q261)</f>
        <v>4940.32</v>
      </c>
      <c r="R261" s="104"/>
      <c r="S261" s="106">
        <f t="shared" si="82"/>
        <v>-932.67000000000007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76"/>
        <v>CarrosserieBénéfices marginaux</v>
      </c>
      <c r="B262" s="12" t="s">
        <v>99</v>
      </c>
      <c r="C262" s="99" t="s">
        <v>47</v>
      </c>
      <c r="D262" s="76"/>
      <c r="E262" s="14"/>
      <c r="F262" s="28">
        <f>+SUM(START:END!F262)</f>
        <v>1252.4901032973237</v>
      </c>
      <c r="G262" s="78"/>
      <c r="H262" s="14"/>
      <c r="I262" s="28">
        <f>+SUM(START:END!I262)</f>
        <v>0</v>
      </c>
      <c r="J262" s="38"/>
      <c r="K262" s="14"/>
      <c r="L262" s="31">
        <f>+SUM(START:END!L262)</f>
        <v>1396.73</v>
      </c>
      <c r="M262" s="38"/>
      <c r="N262" s="55">
        <f t="shared" si="81"/>
        <v>144.23989670267633</v>
      </c>
      <c r="O262" s="38"/>
      <c r="P262" s="14"/>
      <c r="Q262" s="31">
        <f>+SUM(START:END!Q262)</f>
        <v>3987.4600000000005</v>
      </c>
      <c r="R262" s="38"/>
      <c r="S262" s="55">
        <f t="shared" si="82"/>
        <v>-2590.7300000000005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76"/>
        <v>CarrosserieCsst</v>
      </c>
      <c r="B263" s="12" t="s">
        <v>99</v>
      </c>
      <c r="C263" s="99" t="s">
        <v>48</v>
      </c>
      <c r="D263" s="76"/>
      <c r="E263" s="14"/>
      <c r="F263" s="28">
        <f>+SUM(START:END!F263)</f>
        <v>598.35062352930038</v>
      </c>
      <c r="G263" s="78"/>
      <c r="H263" s="14"/>
      <c r="I263" s="28">
        <f>+SUM(START:END!I263)</f>
        <v>0</v>
      </c>
      <c r="J263" s="38"/>
      <c r="K263" s="14"/>
      <c r="L263" s="31">
        <f>+SUM(START:END!L263)</f>
        <v>460.37</v>
      </c>
      <c r="M263" s="38"/>
      <c r="N263" s="55">
        <f t="shared" si="81"/>
        <v>-137.98062352930037</v>
      </c>
      <c r="O263" s="38"/>
      <c r="P263" s="14"/>
      <c r="Q263" s="31">
        <f>+SUM(START:END!Q263)</f>
        <v>1002.12</v>
      </c>
      <c r="R263" s="38"/>
      <c r="S263" s="55">
        <f t="shared" si="82"/>
        <v>-541.75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76"/>
        <v>Carrosserie[...]</v>
      </c>
      <c r="B264" s="12" t="s">
        <v>99</v>
      </c>
      <c r="C264" s="27" t="s">
        <v>20</v>
      </c>
      <c r="D264" s="83"/>
      <c r="E264" s="108"/>
      <c r="F264" s="28">
        <f>+SUM(START:END!F264)</f>
        <v>0</v>
      </c>
      <c r="G264" s="85"/>
      <c r="H264" s="108"/>
      <c r="I264" s="28">
        <f>+SUM(START:END!I264)</f>
        <v>0</v>
      </c>
      <c r="J264" s="23"/>
      <c r="K264" s="108"/>
      <c r="L264" s="31">
        <f>+SUM(START:END!L264)</f>
        <v>0</v>
      </c>
      <c r="M264" s="23"/>
      <c r="N264" s="88">
        <f t="shared" si="81"/>
        <v>0</v>
      </c>
      <c r="O264" s="23"/>
      <c r="P264" s="108"/>
      <c r="Q264" s="31">
        <f>+SUM(START:END!Q264)</f>
        <v>0</v>
      </c>
      <c r="R264" s="23"/>
      <c r="S264" s="88">
        <f t="shared" si="82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76"/>
        <v>CarrosserieTOTAL PERSONNEL</v>
      </c>
      <c r="B265" s="12" t="s">
        <v>99</v>
      </c>
      <c r="C265" s="90" t="s">
        <v>49</v>
      </c>
      <c r="D265" s="91" t="s">
        <v>39</v>
      </c>
      <c r="E265" s="92" t="e">
        <f>F265/F$243</f>
        <v>#DIV/0!</v>
      </c>
      <c r="F265" s="96">
        <f>+SUM(F253:F264)</f>
        <v>20201.6971567289</v>
      </c>
      <c r="G265" s="94" t="s">
        <v>39</v>
      </c>
      <c r="H265" s="92" t="e">
        <f>I265/I$243</f>
        <v>#DIV/0!</v>
      </c>
      <c r="I265" s="96">
        <f>+SUM(I253:I264)</f>
        <v>0</v>
      </c>
      <c r="J265" s="94" t="s">
        <v>39</v>
      </c>
      <c r="K265" s="92">
        <f>IF(L243=0,0,L265/L$243)</f>
        <v>0</v>
      </c>
      <c r="L265" s="93">
        <f>+SUM(L253:L264)</f>
        <v>21554.729999999996</v>
      </c>
      <c r="M265" s="140"/>
      <c r="N265" s="110">
        <f t="shared" si="81"/>
        <v>1353.0328432710958</v>
      </c>
      <c r="O265" s="94" t="s">
        <v>39</v>
      </c>
      <c r="P265" s="92">
        <f>IF(Q243=0,0,Q265/Q$243)</f>
        <v>0</v>
      </c>
      <c r="Q265" s="93">
        <f>+SUM(Q253:Q264)</f>
        <v>28678.32</v>
      </c>
      <c r="R265" s="140"/>
      <c r="S265" s="110">
        <f t="shared" si="82"/>
        <v>-7123.5900000000038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76"/>
        <v>CarrosseriePublicité 2</v>
      </c>
      <c r="B266" s="12" t="s">
        <v>99</v>
      </c>
      <c r="C266" s="190" t="s">
        <v>50</v>
      </c>
      <c r="D266" s="76"/>
      <c r="E266" s="14"/>
      <c r="F266" s="28">
        <f>+SUM(START:END!F266)</f>
        <v>0</v>
      </c>
      <c r="G266" s="78"/>
      <c r="H266" s="14"/>
      <c r="I266" s="28">
        <f>+SUM(START:END!I266)</f>
        <v>0</v>
      </c>
      <c r="J266" s="38"/>
      <c r="K266" s="14"/>
      <c r="L266" s="31">
        <f>+SUM(START:END!L266)</f>
        <v>261.45</v>
      </c>
      <c r="M266" s="38"/>
      <c r="N266" s="55">
        <f t="shared" si="81"/>
        <v>261.45</v>
      </c>
      <c r="O266" s="38"/>
      <c r="P266" s="14"/>
      <c r="Q266" s="31">
        <f>+SUM(START:END!Q266)</f>
        <v>6.24</v>
      </c>
      <c r="R266" s="38"/>
      <c r="S266" s="55">
        <f t="shared" si="82"/>
        <v>255.20999999999998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76"/>
        <v>CarrosserieService gratuit 2</v>
      </c>
      <c r="B267" s="12" t="s">
        <v>99</v>
      </c>
      <c r="C267" s="99" t="s">
        <v>51</v>
      </c>
      <c r="D267" s="76"/>
      <c r="E267" s="14"/>
      <c r="F267" s="28">
        <f>+SUM(START:END!F267)</f>
        <v>812.0769436864781</v>
      </c>
      <c r="G267" s="78"/>
      <c r="H267" s="14"/>
      <c r="I267" s="28">
        <f>+SUM(START:END!I267)</f>
        <v>0</v>
      </c>
      <c r="J267" s="38"/>
      <c r="K267" s="14"/>
      <c r="L267" s="31">
        <f>+SUM(START:END!L267)</f>
        <v>5891.95</v>
      </c>
      <c r="M267" s="38"/>
      <c r="N267" s="55">
        <f t="shared" si="81"/>
        <v>5079.8730563135214</v>
      </c>
      <c r="O267" s="38"/>
      <c r="P267" s="14"/>
      <c r="Q267" s="31">
        <f>+SUM(START:END!Q267)</f>
        <v>1825.74</v>
      </c>
      <c r="R267" s="38"/>
      <c r="S267" s="55">
        <f t="shared" si="82"/>
        <v>4066.21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76"/>
        <v>CarrosserieFrais véhicules de cie</v>
      </c>
      <c r="B268" s="12" t="s">
        <v>99</v>
      </c>
      <c r="C268" s="100" t="s">
        <v>52</v>
      </c>
      <c r="D268" s="83"/>
      <c r="E268" s="108"/>
      <c r="F268" s="24">
        <f>+SUM(START:END!F268)</f>
        <v>1375</v>
      </c>
      <c r="G268" s="85"/>
      <c r="H268" s="108"/>
      <c r="I268" s="24">
        <f>+SUM(START:END!I268)</f>
        <v>0</v>
      </c>
      <c r="J268" s="23"/>
      <c r="K268" s="108"/>
      <c r="L268" s="31">
        <f>+SUM(START:END!L268)</f>
        <v>1054.3800000000001</v>
      </c>
      <c r="M268" s="23"/>
      <c r="N268" s="88">
        <f t="shared" si="81"/>
        <v>-320.61999999999989</v>
      </c>
      <c r="O268" s="23"/>
      <c r="P268" s="108"/>
      <c r="Q268" s="31">
        <f>+SUM(START:END!Q268)</f>
        <v>1833.12</v>
      </c>
      <c r="R268" s="23"/>
      <c r="S268" s="88">
        <f t="shared" si="82"/>
        <v>-778.73999999999978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76"/>
        <v>CarrosserieInformatique</v>
      </c>
      <c r="B269" s="12" t="s">
        <v>99</v>
      </c>
      <c r="C269" s="99" t="s">
        <v>53</v>
      </c>
      <c r="D269" s="76"/>
      <c r="E269" s="14"/>
      <c r="F269" s="28">
        <f>+SUM(START:END!F269)</f>
        <v>3974.9303710000004</v>
      </c>
      <c r="G269" s="78"/>
      <c r="H269" s="14"/>
      <c r="I269" s="28">
        <f>+SUM(START:END!I269)</f>
        <v>0</v>
      </c>
      <c r="J269" s="38"/>
      <c r="K269" s="14"/>
      <c r="L269" s="105">
        <f>+SUM(START:END!L269)</f>
        <v>4576.9699999999993</v>
      </c>
      <c r="M269" s="38"/>
      <c r="N269" s="55">
        <f t="shared" si="81"/>
        <v>602.03962899999897</v>
      </c>
      <c r="O269" s="38"/>
      <c r="P269" s="14"/>
      <c r="Q269" s="105">
        <f>+SUM(START:END!Q269)</f>
        <v>4335.24</v>
      </c>
      <c r="R269" s="38"/>
      <c r="S269" s="55">
        <f t="shared" si="82"/>
        <v>241.72999999999956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76"/>
        <v>CarrosserieFrais de déplacement</v>
      </c>
      <c r="B270" s="12" t="s">
        <v>99</v>
      </c>
      <c r="C270" s="99" t="s">
        <v>54</v>
      </c>
      <c r="D270" s="76"/>
      <c r="E270" s="14"/>
      <c r="F270" s="28">
        <f>+SUM(START:END!F270)</f>
        <v>656.30777931249997</v>
      </c>
      <c r="G270" s="78"/>
      <c r="H270" s="14"/>
      <c r="I270" s="28">
        <f>+SUM(START:END!I270)</f>
        <v>0</v>
      </c>
      <c r="J270" s="38"/>
      <c r="K270" s="14"/>
      <c r="L270" s="31">
        <f>+SUM(START:END!L270)</f>
        <v>653.59999999999991</v>
      </c>
      <c r="M270" s="38"/>
      <c r="N270" s="55">
        <f t="shared" si="81"/>
        <v>-2.7077793125000653</v>
      </c>
      <c r="O270" s="38"/>
      <c r="P270" s="14"/>
      <c r="Q270" s="31">
        <f>+SUM(START:END!Q270)</f>
        <v>532.67000000000007</v>
      </c>
      <c r="R270" s="38"/>
      <c r="S270" s="55">
        <f t="shared" si="82"/>
        <v>120.92999999999984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76"/>
        <v>CarrosserieServices extérieurs</v>
      </c>
      <c r="B271" s="12" t="s">
        <v>99</v>
      </c>
      <c r="C271" s="99" t="s">
        <v>55</v>
      </c>
      <c r="D271" s="83"/>
      <c r="E271" s="108"/>
      <c r="F271" s="24">
        <f>+SUM(START:END!F271)</f>
        <v>2582.6491156666671</v>
      </c>
      <c r="G271" s="85"/>
      <c r="H271" s="108"/>
      <c r="I271" s="24">
        <f>+SUM(START:END!I271)</f>
        <v>0</v>
      </c>
      <c r="J271" s="23"/>
      <c r="K271" s="108"/>
      <c r="L271" s="31">
        <f>+SUM(START:END!L271)</f>
        <v>1471.08</v>
      </c>
      <c r="M271" s="23"/>
      <c r="N271" s="88">
        <f t="shared" si="81"/>
        <v>-1111.5691156666671</v>
      </c>
      <c r="O271" s="23"/>
      <c r="P271" s="108"/>
      <c r="Q271" s="31">
        <f>+SUM(START:END!Q271)</f>
        <v>1718.42</v>
      </c>
      <c r="R271" s="23"/>
      <c r="S271" s="88">
        <f t="shared" si="82"/>
        <v>-247.34000000000015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76"/>
        <v>CarrosserieFournitures d'atelier</v>
      </c>
      <c r="B272" s="12" t="s">
        <v>99</v>
      </c>
      <c r="C272" s="191" t="s">
        <v>98</v>
      </c>
      <c r="D272" s="76"/>
      <c r="E272" s="14"/>
      <c r="F272" s="28">
        <f>+SUM(START:END!F272)</f>
        <v>0</v>
      </c>
      <c r="G272" s="78"/>
      <c r="H272" s="14"/>
      <c r="I272" s="28">
        <f>+SUM(START:END!I272)</f>
        <v>0</v>
      </c>
      <c r="J272" s="38"/>
      <c r="K272" s="14"/>
      <c r="L272" s="52">
        <f>+SUM(START:END!L272)</f>
        <v>0</v>
      </c>
      <c r="M272" s="38"/>
      <c r="N272" s="55">
        <f t="shared" si="81"/>
        <v>0</v>
      </c>
      <c r="O272" s="38"/>
      <c r="P272" s="14"/>
      <c r="Q272" s="52">
        <f>+SUM(START:END!Q272)</f>
        <v>0</v>
      </c>
      <c r="R272" s="38"/>
      <c r="S272" s="55">
        <f t="shared" si="82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76"/>
        <v>CarrosserieFournitures autres</v>
      </c>
      <c r="B273" s="12" t="s">
        <v>99</v>
      </c>
      <c r="C273" s="99" t="s">
        <v>56</v>
      </c>
      <c r="D273" s="76"/>
      <c r="E273" s="14"/>
      <c r="F273" s="28">
        <f>+SUM(START:END!F273)</f>
        <v>366.73154759785461</v>
      </c>
      <c r="G273" s="78"/>
      <c r="H273" s="14"/>
      <c r="I273" s="28">
        <f>+SUM(START:END!I273)</f>
        <v>0</v>
      </c>
      <c r="J273" s="38"/>
      <c r="K273" s="14"/>
      <c r="L273" s="31">
        <f>+SUM(START:END!L273)</f>
        <v>30.88</v>
      </c>
      <c r="M273" s="38"/>
      <c r="N273" s="55">
        <f t="shared" si="81"/>
        <v>-335.85154759785462</v>
      </c>
      <c r="O273" s="38"/>
      <c r="P273" s="14"/>
      <c r="Q273" s="31">
        <f>+SUM(START:END!Q273)</f>
        <v>33.910000000000004</v>
      </c>
      <c r="R273" s="38"/>
      <c r="S273" s="55">
        <f t="shared" si="82"/>
        <v>-3.0300000000000047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76"/>
        <v>CarrosserieUniformes</v>
      </c>
      <c r="B274" s="12" t="s">
        <v>99</v>
      </c>
      <c r="C274" s="99" t="s">
        <v>57</v>
      </c>
      <c r="D274" s="76"/>
      <c r="E274" s="14"/>
      <c r="F274" s="28">
        <f>+SUM(START:END!F274)</f>
        <v>189.3759898705984</v>
      </c>
      <c r="G274" s="78"/>
      <c r="H274" s="14"/>
      <c r="I274" s="28">
        <f>+SUM(START:END!I274)</f>
        <v>0</v>
      </c>
      <c r="J274" s="38"/>
      <c r="K274" s="14"/>
      <c r="L274" s="31">
        <f>+SUM(START:END!L274)</f>
        <v>0</v>
      </c>
      <c r="M274" s="38"/>
      <c r="N274" s="55">
        <f t="shared" si="81"/>
        <v>-189.3759898705984</v>
      </c>
      <c r="O274" s="38"/>
      <c r="P274" s="14"/>
      <c r="Q274" s="31">
        <f>+SUM(START:END!Q274)</f>
        <v>0</v>
      </c>
      <c r="R274" s="38"/>
      <c r="S274" s="55">
        <f t="shared" si="82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76"/>
        <v>CarrosseriePapeterie</v>
      </c>
      <c r="B275" s="12" t="s">
        <v>99</v>
      </c>
      <c r="C275" s="99" t="s">
        <v>58</v>
      </c>
      <c r="D275" s="76"/>
      <c r="E275" s="14"/>
      <c r="F275" s="28">
        <f>+SUM(START:END!F275)</f>
        <v>501.01474184999995</v>
      </c>
      <c r="G275" s="78"/>
      <c r="H275" s="14"/>
      <c r="I275" s="28">
        <f>+SUM(START:END!I275)</f>
        <v>0</v>
      </c>
      <c r="J275" s="38"/>
      <c r="K275" s="14"/>
      <c r="L275" s="30">
        <f>+SUM(START:END!L275)</f>
        <v>498.73</v>
      </c>
      <c r="M275" s="38"/>
      <c r="N275" s="55">
        <f t="shared" si="81"/>
        <v>-2.2847418499999321</v>
      </c>
      <c r="O275" s="38"/>
      <c r="P275" s="14"/>
      <c r="Q275" s="30">
        <f>+SUM(START:END!Q275)</f>
        <v>564.96</v>
      </c>
      <c r="R275" s="38"/>
      <c r="S275" s="55">
        <f t="shared" si="82"/>
        <v>-66.230000000000018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76"/>
        <v>CarrosserieTéléphone</v>
      </c>
      <c r="B276" s="12" t="s">
        <v>99</v>
      </c>
      <c r="C276" s="99" t="s">
        <v>59</v>
      </c>
      <c r="D276" s="76"/>
      <c r="E276" s="14"/>
      <c r="F276" s="28">
        <f>+SUM(START:END!F276)</f>
        <v>169.78516416458334</v>
      </c>
      <c r="G276" s="78"/>
      <c r="H276" s="14"/>
      <c r="I276" s="28">
        <f>+SUM(START:END!I276)</f>
        <v>0</v>
      </c>
      <c r="J276" s="38"/>
      <c r="K276" s="14"/>
      <c r="L276" s="31">
        <f>+SUM(START:END!L276)</f>
        <v>99.33</v>
      </c>
      <c r="M276" s="38"/>
      <c r="N276" s="55">
        <f t="shared" si="81"/>
        <v>-70.455164164583337</v>
      </c>
      <c r="O276" s="38"/>
      <c r="P276" s="14"/>
      <c r="Q276" s="31">
        <f>+SUM(START:END!Q276)</f>
        <v>76.75</v>
      </c>
      <c r="R276" s="38"/>
      <c r="S276" s="55">
        <f t="shared" si="82"/>
        <v>22.58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76"/>
        <v>CarrosserieFrais postaux</v>
      </c>
      <c r="B277" s="12" t="s">
        <v>99</v>
      </c>
      <c r="C277" s="99" t="s">
        <v>60</v>
      </c>
      <c r="D277" s="76"/>
      <c r="E277" s="14"/>
      <c r="F277" s="28">
        <f>+SUM(START:END!F277)</f>
        <v>81.207192835416663</v>
      </c>
      <c r="G277" s="78"/>
      <c r="H277" s="14"/>
      <c r="I277" s="28">
        <f>+SUM(START:END!I277)</f>
        <v>0</v>
      </c>
      <c r="J277" s="38"/>
      <c r="K277" s="14"/>
      <c r="L277" s="31">
        <f>+SUM(START:END!L277)</f>
        <v>80.31</v>
      </c>
      <c r="M277" s="38"/>
      <c r="N277" s="55">
        <f t="shared" si="81"/>
        <v>-0.89719283541666073</v>
      </c>
      <c r="O277" s="38"/>
      <c r="P277" s="14"/>
      <c r="Q277" s="31">
        <f>+SUM(START:END!Q277)</f>
        <v>106.5</v>
      </c>
      <c r="R277" s="38"/>
      <c r="S277" s="55">
        <f t="shared" si="82"/>
        <v>-26.189999999999998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76"/>
        <v>CarrosserieDivers</v>
      </c>
      <c r="B278" s="12" t="s">
        <v>99</v>
      </c>
      <c r="C278" s="99" t="s">
        <v>61</v>
      </c>
      <c r="D278" s="76"/>
      <c r="E278" s="14"/>
      <c r="F278" s="28">
        <f>+SUM(START:END!F278)</f>
        <v>308.55717574791669</v>
      </c>
      <c r="G278" s="78"/>
      <c r="H278" s="14"/>
      <c r="I278" s="28">
        <f>+SUM(START:END!I278)</f>
        <v>0</v>
      </c>
      <c r="J278" s="38"/>
      <c r="K278" s="14"/>
      <c r="L278" s="31">
        <f>+SUM(START:END!L278)</f>
        <v>85.32</v>
      </c>
      <c r="M278" s="38"/>
      <c r="N278" s="55">
        <f t="shared" si="81"/>
        <v>-223.23717574791669</v>
      </c>
      <c r="O278" s="38"/>
      <c r="P278" s="14"/>
      <c r="Q278" s="31">
        <f>+SUM(START:END!Q278)</f>
        <v>77.55</v>
      </c>
      <c r="R278" s="38"/>
      <c r="S278" s="55">
        <f t="shared" si="82"/>
        <v>7.769999999999996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76"/>
        <v>CarrosserieFormation</v>
      </c>
      <c r="B279" s="12" t="s">
        <v>99</v>
      </c>
      <c r="C279" s="99" t="s">
        <v>62</v>
      </c>
      <c r="D279" s="76"/>
      <c r="E279" s="14"/>
      <c r="F279" s="28">
        <f>+SUM(START:END!F279)</f>
        <v>264.81887083188934</v>
      </c>
      <c r="G279" s="78"/>
      <c r="H279" s="14"/>
      <c r="I279" s="28">
        <f>+SUM(START:END!I279)</f>
        <v>0</v>
      </c>
      <c r="J279" s="38"/>
      <c r="K279" s="14"/>
      <c r="L279" s="31">
        <f>+SUM(START:END!L279)</f>
        <v>4501.21</v>
      </c>
      <c r="M279" s="38"/>
      <c r="N279" s="55">
        <f t="shared" si="81"/>
        <v>4236.3911291681106</v>
      </c>
      <c r="O279" s="38"/>
      <c r="P279" s="14"/>
      <c r="Q279" s="31">
        <f>+SUM(START:END!Q279)</f>
        <v>183.56</v>
      </c>
      <c r="R279" s="38"/>
      <c r="S279" s="55">
        <f t="shared" si="82"/>
        <v>4317.6499999999996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76"/>
        <v>CarrosserieFrais bancaires</v>
      </c>
      <c r="B280" s="12" t="s">
        <v>99</v>
      </c>
      <c r="C280" s="99" t="s">
        <v>63</v>
      </c>
      <c r="D280" s="76"/>
      <c r="E280" s="14"/>
      <c r="F280" s="28">
        <f>+SUM(START:END!F280)</f>
        <v>477.75476183991776</v>
      </c>
      <c r="G280" s="78"/>
      <c r="H280" s="14"/>
      <c r="I280" s="28">
        <f>+SUM(START:END!I280)</f>
        <v>0</v>
      </c>
      <c r="J280" s="38"/>
      <c r="K280" s="14"/>
      <c r="L280" s="31">
        <f>+SUM(START:END!L280)</f>
        <v>537.22</v>
      </c>
      <c r="M280" s="38"/>
      <c r="N280" s="55">
        <f t="shared" si="81"/>
        <v>59.465238160082265</v>
      </c>
      <c r="O280" s="38"/>
      <c r="P280" s="14"/>
      <c r="Q280" s="31">
        <f>+SUM(START:END!Q280)</f>
        <v>625.99125000000026</v>
      </c>
      <c r="R280" s="38"/>
      <c r="S280" s="55">
        <f t="shared" si="82"/>
        <v>-88.771250000000236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76"/>
        <v>Carrosserie[...]</v>
      </c>
      <c r="B281" s="12" t="s">
        <v>99</v>
      </c>
      <c r="C281" s="99" t="s">
        <v>20</v>
      </c>
      <c r="D281" s="76"/>
      <c r="E281" s="14"/>
      <c r="F281" s="28">
        <f>+SUM(START:END!F281)</f>
        <v>0</v>
      </c>
      <c r="G281" s="78"/>
      <c r="H281" s="14"/>
      <c r="I281" s="28">
        <f>+SUM(START:END!I281)</f>
        <v>0</v>
      </c>
      <c r="J281" s="38"/>
      <c r="K281" s="14"/>
      <c r="L281" s="31">
        <f>+SUM(START:END!L281)</f>
        <v>0</v>
      </c>
      <c r="M281" s="38"/>
      <c r="N281" s="55">
        <f t="shared" si="81"/>
        <v>0</v>
      </c>
      <c r="O281" s="38"/>
      <c r="P281" s="14"/>
      <c r="Q281" s="31">
        <f>+SUM(START:END!Q281)</f>
        <v>0</v>
      </c>
      <c r="R281" s="38"/>
      <c r="S281" s="55">
        <f t="shared" si="82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76"/>
        <v>Carrosserie[...]</v>
      </c>
      <c r="B282" s="12" t="s">
        <v>99</v>
      </c>
      <c r="C282" s="99" t="s">
        <v>20</v>
      </c>
      <c r="D282" s="76"/>
      <c r="E282" s="14"/>
      <c r="F282" s="28">
        <f>+SUM(START:END!F282)</f>
        <v>0</v>
      </c>
      <c r="G282" s="78"/>
      <c r="H282" s="14"/>
      <c r="I282" s="28">
        <f>+SUM(START:END!I282)</f>
        <v>0</v>
      </c>
      <c r="J282" s="38"/>
      <c r="K282" s="14"/>
      <c r="L282" s="31">
        <f>+SUM(START:END!L282)</f>
        <v>0</v>
      </c>
      <c r="M282" s="38"/>
      <c r="N282" s="55">
        <f t="shared" si="81"/>
        <v>0</v>
      </c>
      <c r="O282" s="38"/>
      <c r="P282" s="14"/>
      <c r="Q282" s="31">
        <f>+SUM(START:END!Q282)</f>
        <v>0</v>
      </c>
      <c r="R282" s="38"/>
      <c r="S282" s="55">
        <f t="shared" si="82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76"/>
        <v>Carrosserie[...]</v>
      </c>
      <c r="B283" s="12" t="s">
        <v>99</v>
      </c>
      <c r="C283" s="99" t="s">
        <v>20</v>
      </c>
      <c r="D283" s="76"/>
      <c r="E283" s="14"/>
      <c r="F283" s="28">
        <f>+SUM(START:END!F283)</f>
        <v>0</v>
      </c>
      <c r="G283" s="78"/>
      <c r="H283" s="14"/>
      <c r="I283" s="28">
        <f>+SUM(START:END!I283)</f>
        <v>0</v>
      </c>
      <c r="J283" s="38"/>
      <c r="K283" s="14"/>
      <c r="L283" s="31">
        <f>+SUM(START:END!L283)</f>
        <v>0</v>
      </c>
      <c r="M283" s="38"/>
      <c r="N283" s="55">
        <f t="shared" si="81"/>
        <v>0</v>
      </c>
      <c r="O283" s="38"/>
      <c r="P283" s="14"/>
      <c r="Q283" s="31">
        <f>+SUM(START:END!Q283)</f>
        <v>0</v>
      </c>
      <c r="R283" s="38"/>
      <c r="S283" s="55">
        <f t="shared" si="82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0" t="s">
        <v>64</v>
      </c>
      <c r="D284" s="91" t="s">
        <v>39</v>
      </c>
      <c r="E284" s="92">
        <f>F284/F$249</f>
        <v>0.18731363501197271</v>
      </c>
      <c r="F284" s="96">
        <f>+SUM(F266:F283)</f>
        <v>11760.209654403821</v>
      </c>
      <c r="G284" s="94" t="s">
        <v>39</v>
      </c>
      <c r="H284" s="92" t="e">
        <f>I284/I$249</f>
        <v>#DIV/0!</v>
      </c>
      <c r="I284" s="96">
        <f>+SUM(I266:I283)</f>
        <v>0</v>
      </c>
      <c r="J284" s="94" t="s">
        <v>39</v>
      </c>
      <c r="K284" s="92">
        <f>L284/L$249</f>
        <v>0.34039523401878163</v>
      </c>
      <c r="L284" s="93">
        <f>+SUM(L266:L283)</f>
        <v>19742.43</v>
      </c>
      <c r="M284" s="97"/>
      <c r="N284" s="93">
        <f>+SUM(N266:N283)</f>
        <v>7982.2203455961762</v>
      </c>
      <c r="O284" s="94" t="s">
        <v>39</v>
      </c>
      <c r="P284" s="92">
        <f>Q284/Q$249</f>
        <v>0.21792960362562397</v>
      </c>
      <c r="Q284" s="93">
        <f>+SUM(Q266:Q283)</f>
        <v>11920.651249999999</v>
      </c>
      <c r="R284" s="97"/>
      <c r="S284" s="93">
        <f t="shared" si="82"/>
        <v>7821.7787500000013</v>
      </c>
      <c r="T284" s="71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2"/>
      <c r="D285" s="83"/>
      <c r="E285" s="108"/>
      <c r="F285" s="77"/>
      <c r="G285" s="85"/>
      <c r="H285" s="108"/>
      <c r="I285" s="77"/>
      <c r="J285" s="23"/>
      <c r="K285" s="108"/>
      <c r="L285" s="88"/>
      <c r="M285" s="23"/>
      <c r="N285" s="88"/>
      <c r="O285" s="23"/>
      <c r="P285" s="108"/>
      <c r="Q285" s="88"/>
      <c r="R285" s="23"/>
      <c r="S285" s="88"/>
      <c r="T285" s="71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0" t="s">
        <v>65</v>
      </c>
      <c r="D286" s="91" t="s">
        <v>39</v>
      </c>
      <c r="E286" s="92">
        <f>F286/F$249</f>
        <v>0.5090811407826642</v>
      </c>
      <c r="F286" s="96">
        <f>F265+F284</f>
        <v>31961.906811132721</v>
      </c>
      <c r="G286" s="94" t="s">
        <v>39</v>
      </c>
      <c r="H286" s="92" t="e">
        <f>I286/I$249</f>
        <v>#DIV/0!</v>
      </c>
      <c r="I286" s="96">
        <f>I265+I284</f>
        <v>0</v>
      </c>
      <c r="J286" s="94" t="s">
        <v>39</v>
      </c>
      <c r="K286" s="92">
        <f>L286/L$249</f>
        <v>0.71203780094502378</v>
      </c>
      <c r="L286" s="93">
        <f>L265+L284</f>
        <v>41297.159999999996</v>
      </c>
      <c r="M286" s="97"/>
      <c r="N286" s="110">
        <f>L286-F286</f>
        <v>9335.2531888672747</v>
      </c>
      <c r="O286" s="94" t="s">
        <v>39</v>
      </c>
      <c r="P286" s="92">
        <f>Q286/Q$249</f>
        <v>0.74221764621463993</v>
      </c>
      <c r="Q286" s="93">
        <f>Q265+Q284</f>
        <v>40598.971250000002</v>
      </c>
      <c r="R286" s="97"/>
      <c r="S286" s="110">
        <f>L286-Q286</f>
        <v>698.18874999999389</v>
      </c>
      <c r="T286" s="71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27"/>
      <c r="D287" s="76"/>
      <c r="E287" s="14"/>
      <c r="F287" s="77"/>
      <c r="G287" s="78"/>
      <c r="H287" s="14"/>
      <c r="I287" s="55"/>
      <c r="J287" s="38"/>
      <c r="K287" s="14"/>
      <c r="L287" s="55"/>
      <c r="M287" s="38"/>
      <c r="N287" s="55">
        <f>L287-F287</f>
        <v>0</v>
      </c>
      <c r="O287" s="38"/>
      <c r="P287" s="14"/>
      <c r="Q287" s="55"/>
      <c r="R287" s="38"/>
      <c r="S287" s="55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0" t="s">
        <v>72</v>
      </c>
      <c r="D288" s="145"/>
      <c r="E288" s="121"/>
      <c r="F288" s="377">
        <f>F249-F286</f>
        <v>30821.614813719272</v>
      </c>
      <c r="G288" s="146"/>
      <c r="H288" s="121"/>
      <c r="I288" s="123">
        <f>I249-I286</f>
        <v>0</v>
      </c>
      <c r="J288" s="147"/>
      <c r="K288" s="122"/>
      <c r="L288" s="123">
        <f>L249-L286</f>
        <v>16701.389999999985</v>
      </c>
      <c r="M288" s="418"/>
      <c r="N288" s="205">
        <f>L288-F288</f>
        <v>-14120.224813719287</v>
      </c>
      <c r="O288" s="147"/>
      <c r="P288" s="122"/>
      <c r="Q288" s="123">
        <f>Q249-Q286</f>
        <v>14100.578749999993</v>
      </c>
      <c r="R288" s="418"/>
      <c r="S288" s="205">
        <f>L288-Q288</f>
        <v>2600.8112499999916</v>
      </c>
      <c r="T288" s="71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77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103</v>
      </c>
      <c r="L290" s="2"/>
      <c r="M290" s="2"/>
      <c r="N290" s="1"/>
      <c r="O290" s="1"/>
      <c r="P290" s="2"/>
      <c r="Q290" s="1"/>
      <c r="R290" s="2"/>
      <c r="S290" s="421" t="str">
        <f>$S$1</f>
        <v>Réalisé  Volks T3 2023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842" t="s">
        <v>5</v>
      </c>
      <c r="E292" s="843"/>
      <c r="F292" s="844"/>
      <c r="G292" s="845" t="s">
        <v>74</v>
      </c>
      <c r="H292" s="843"/>
      <c r="I292" s="844"/>
      <c r="J292" s="845" t="s">
        <v>7</v>
      </c>
      <c r="K292" s="843"/>
      <c r="L292" s="844"/>
      <c r="M292" s="840" t="s">
        <v>472</v>
      </c>
      <c r="N292" s="841"/>
      <c r="O292" s="842" t="s">
        <v>9</v>
      </c>
      <c r="P292" s="843"/>
      <c r="Q292" s="844"/>
      <c r="R292" s="840" t="s">
        <v>473</v>
      </c>
      <c r="S292" s="841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3">+B293&amp;C293</f>
        <v>Pièces</v>
      </c>
      <c r="B293" s="12" t="s">
        <v>103</v>
      </c>
      <c r="C293" s="27"/>
      <c r="D293" s="75" t="s">
        <v>84</v>
      </c>
      <c r="E293" s="75" t="s">
        <v>104</v>
      </c>
      <c r="F293" s="129" t="s">
        <v>13</v>
      </c>
      <c r="G293" s="130" t="s">
        <v>84</v>
      </c>
      <c r="H293" s="75" t="s">
        <v>104</v>
      </c>
      <c r="I293" s="129" t="s">
        <v>13</v>
      </c>
      <c r="J293" s="130" t="s">
        <v>84</v>
      </c>
      <c r="K293" s="75" t="s">
        <v>104</v>
      </c>
      <c r="L293" s="129" t="s">
        <v>13</v>
      </c>
      <c r="M293" s="130" t="s">
        <v>40</v>
      </c>
      <c r="N293" s="129" t="s">
        <v>475</v>
      </c>
      <c r="O293" s="75" t="s">
        <v>84</v>
      </c>
      <c r="P293" s="75" t="s">
        <v>104</v>
      </c>
      <c r="Q293" s="129" t="s">
        <v>13</v>
      </c>
      <c r="R293" s="130" t="s">
        <v>85</v>
      </c>
      <c r="S293" s="12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3"/>
        <v>PiècesPièces Ro Clients</v>
      </c>
      <c r="B294" s="12" t="s">
        <v>103</v>
      </c>
      <c r="C294" s="27" t="s">
        <v>105</v>
      </c>
      <c r="D294" s="77">
        <f>+SUM(START:END!D294)</f>
        <v>242769.70516553329</v>
      </c>
      <c r="E294" s="141">
        <f>IF(D294=0,0,F294/D294)</f>
        <v>0.36099999999999999</v>
      </c>
      <c r="F294" s="80">
        <f>+SUM(START:END!F294)</f>
        <v>87639.863564757514</v>
      </c>
      <c r="G294" s="77">
        <f>+SUM(START:END!G294)</f>
        <v>0</v>
      </c>
      <c r="H294" s="141">
        <f>IF(G294=0,0,I294/G294)</f>
        <v>0</v>
      </c>
      <c r="I294" s="80">
        <f>+SUM(START:END!I294)</f>
        <v>0</v>
      </c>
      <c r="J294" s="28">
        <f>+SUM(START:END!J294)</f>
        <v>300181.34000000003</v>
      </c>
      <c r="K294" s="141">
        <f>IF(J294=0,0,L294/J294)</f>
        <v>0.33916918353419301</v>
      </c>
      <c r="L294" s="31">
        <f>+SUM(START:END!L294)</f>
        <v>101812.26</v>
      </c>
      <c r="M294" s="150">
        <f t="shared" ref="M294:M300" si="84">(+J294-D294)/D294</f>
        <v>0.23648599315684973</v>
      </c>
      <c r="N294" s="55">
        <f t="shared" ref="N294:N303" si="85">L294-F294</f>
        <v>14172.396435242481</v>
      </c>
      <c r="O294" s="28">
        <f>+SUM(START:END!O294)</f>
        <v>259242.13999999998</v>
      </c>
      <c r="P294" s="141">
        <f>IF(O294=0,0,Q294/O294)</f>
        <v>0.36824618867904724</v>
      </c>
      <c r="Q294" s="31">
        <f>+SUM(START:END!Q294)</f>
        <v>95464.929999999978</v>
      </c>
      <c r="R294" s="150">
        <f t="shared" ref="R294:R303" si="86">IF(O294=0,0,(J294-O294)/O294)</f>
        <v>0.15791877045915467</v>
      </c>
      <c r="S294" s="55">
        <f t="shared" ref="S294:S303" si="87">L294-Q294</f>
        <v>6347.3300000000163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3"/>
        <v>PiècesPièces Ro Carrosserie</v>
      </c>
      <c r="B295" s="12" t="s">
        <v>103</v>
      </c>
      <c r="C295" s="27" t="s">
        <v>106</v>
      </c>
      <c r="D295" s="77">
        <f>+SUM(START:END!D295)</f>
        <v>147542.53833273155</v>
      </c>
      <c r="E295" s="141">
        <f t="shared" ref="E295:E302" si="88">IF(D295=0,0,F295/D295)</f>
        <v>0.248</v>
      </c>
      <c r="F295" s="80">
        <f>+SUM(START:END!F295)</f>
        <v>36590.549506517425</v>
      </c>
      <c r="G295" s="77">
        <f>+SUM(START:END!G295)</f>
        <v>0</v>
      </c>
      <c r="H295" s="141">
        <f t="shared" ref="H295:H302" si="89">IF(G295=0,0,I295/G295)</f>
        <v>0</v>
      </c>
      <c r="I295" s="80">
        <f>+SUM(START:END!I295)</f>
        <v>0</v>
      </c>
      <c r="J295" s="28">
        <f>+SUM(START:END!J295)</f>
        <v>135168.20000000001</v>
      </c>
      <c r="K295" s="141">
        <f t="shared" ref="K295:K302" si="90">IF(J295=0,0,L295/J295)</f>
        <v>0.28566615520514443</v>
      </c>
      <c r="L295" s="31">
        <f>+SUM(START:END!L295)</f>
        <v>38612.98000000001</v>
      </c>
      <c r="M295" s="150">
        <f t="shared" si="84"/>
        <v>-8.3869631582625115E-2</v>
      </c>
      <c r="N295" s="55">
        <f t="shared" si="85"/>
        <v>2022.430493482585</v>
      </c>
      <c r="O295" s="28">
        <f>+SUM(START:END!O295)</f>
        <v>165887.86000000002</v>
      </c>
      <c r="P295" s="141">
        <f t="shared" ref="P295:P302" si="91">IF(O295=0,0,Q295/O295)</f>
        <v>0.2507656075616384</v>
      </c>
      <c r="Q295" s="31">
        <f>+SUM(START:END!Q295)</f>
        <v>41598.970000000016</v>
      </c>
      <c r="R295" s="150">
        <f t="shared" si="86"/>
        <v>-0.18518329189369254</v>
      </c>
      <c r="S295" s="55">
        <f t="shared" si="87"/>
        <v>-2985.9900000000052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3"/>
        <v>PiècesP/A Garantie</v>
      </c>
      <c r="B296" s="12" t="s">
        <v>103</v>
      </c>
      <c r="C296" s="27" t="s">
        <v>107</v>
      </c>
      <c r="D296" s="77">
        <f>+SUM(START:END!D296)</f>
        <v>189427.34185896727</v>
      </c>
      <c r="E296" s="141">
        <f t="shared" si="88"/>
        <v>0.24299999999999999</v>
      </c>
      <c r="F296" s="80">
        <f>+SUM(START:END!F296)</f>
        <v>46030.844071729043</v>
      </c>
      <c r="G296" s="77">
        <f>+SUM(START:END!G296)</f>
        <v>0</v>
      </c>
      <c r="H296" s="141">
        <f t="shared" si="89"/>
        <v>0</v>
      </c>
      <c r="I296" s="80">
        <f>+SUM(START:END!I296)</f>
        <v>0</v>
      </c>
      <c r="J296" s="28">
        <f>+SUM(START:END!J296)</f>
        <v>187193.47000000003</v>
      </c>
      <c r="K296" s="141">
        <f t="shared" si="90"/>
        <v>0.23136640396697603</v>
      </c>
      <c r="L296" s="31">
        <f>+SUM(START:END!L296)</f>
        <v>43310.280000000013</v>
      </c>
      <c r="M296" s="150">
        <f t="shared" si="84"/>
        <v>-1.1792763584416452E-2</v>
      </c>
      <c r="N296" s="55">
        <f t="shared" si="85"/>
        <v>-2720.5640717290298</v>
      </c>
      <c r="O296" s="28">
        <f>+SUM(START:END!O296)</f>
        <v>218536.93</v>
      </c>
      <c r="P296" s="141">
        <f t="shared" si="91"/>
        <v>0.24459170356241389</v>
      </c>
      <c r="Q296" s="31">
        <f>+SUM(START:END!Q296)</f>
        <v>53452.319999999992</v>
      </c>
      <c r="R296" s="150">
        <f t="shared" si="86"/>
        <v>-0.14342408855107447</v>
      </c>
      <c r="S296" s="55">
        <f t="shared" si="87"/>
        <v>-10142.039999999979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3"/>
        <v>PiècesVentes Internes</v>
      </c>
      <c r="B297" s="12" t="s">
        <v>103</v>
      </c>
      <c r="C297" s="27" t="s">
        <v>108</v>
      </c>
      <c r="D297" s="77">
        <f>+SUM(START:END!D297)</f>
        <v>172878.8124263499</v>
      </c>
      <c r="E297" s="141">
        <f t="shared" si="88"/>
        <v>0.316</v>
      </c>
      <c r="F297" s="80">
        <f>+SUM(START:END!F297)</f>
        <v>54629.704726726573</v>
      </c>
      <c r="G297" s="77">
        <f>+SUM(START:END!G297)</f>
        <v>0</v>
      </c>
      <c r="H297" s="141">
        <f t="shared" si="89"/>
        <v>0</v>
      </c>
      <c r="I297" s="80">
        <f>+SUM(START:END!I297)</f>
        <v>0</v>
      </c>
      <c r="J297" s="28">
        <f>+SUM(START:END!J297)</f>
        <v>131972.24000000002</v>
      </c>
      <c r="K297" s="141">
        <f t="shared" si="90"/>
        <v>0.32144782872519245</v>
      </c>
      <c r="L297" s="31">
        <f>+SUM(START:END!L297)</f>
        <v>42422.19</v>
      </c>
      <c r="M297" s="150">
        <f t="shared" si="84"/>
        <v>-0.23661992960402228</v>
      </c>
      <c r="N297" s="55">
        <f t="shared" si="85"/>
        <v>-12207.514726726571</v>
      </c>
      <c r="O297" s="28">
        <f>+SUM(START:END!O297)</f>
        <v>151773.31</v>
      </c>
      <c r="P297" s="141">
        <f t="shared" si="91"/>
        <v>0.30557012955703489</v>
      </c>
      <c r="Q297" s="31">
        <f>+SUM(START:END!Q297)</f>
        <v>46377.390000000014</v>
      </c>
      <c r="R297" s="150">
        <f t="shared" si="86"/>
        <v>-0.13046477012328439</v>
      </c>
      <c r="S297" s="55">
        <f t="shared" si="87"/>
        <v>-3955.2000000000116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3"/>
        <v>PiècesVentes Détails</v>
      </c>
      <c r="B298" s="12" t="s">
        <v>103</v>
      </c>
      <c r="C298" s="27" t="s">
        <v>109</v>
      </c>
      <c r="D298" s="77">
        <f>+SUM(START:END!D298)</f>
        <v>56103.31312405107</v>
      </c>
      <c r="E298" s="141">
        <f t="shared" si="88"/>
        <v>0.29799999999999999</v>
      </c>
      <c r="F298" s="80">
        <f>+SUM(START:END!F298)</f>
        <v>16718.787310967218</v>
      </c>
      <c r="G298" s="77">
        <f>+SUM(START:END!G298)</f>
        <v>0</v>
      </c>
      <c r="H298" s="141">
        <f t="shared" si="89"/>
        <v>0</v>
      </c>
      <c r="I298" s="80">
        <f>+SUM(START:END!I298)</f>
        <v>0</v>
      </c>
      <c r="J298" s="28">
        <f>+SUM(START:END!J298)</f>
        <v>46069.46</v>
      </c>
      <c r="K298" s="141">
        <f t="shared" si="90"/>
        <v>0.24601113188650348</v>
      </c>
      <c r="L298" s="31">
        <f>+SUM(START:END!L298)</f>
        <v>11333.599999999997</v>
      </c>
      <c r="M298" s="150">
        <f t="shared" si="84"/>
        <v>-0.17884599973383092</v>
      </c>
      <c r="N298" s="55">
        <f t="shared" si="85"/>
        <v>-5385.1873109672215</v>
      </c>
      <c r="O298" s="28">
        <f>+SUM(START:END!O298)</f>
        <v>51367.360000000001</v>
      </c>
      <c r="P298" s="141">
        <f t="shared" si="91"/>
        <v>0.27134390398883657</v>
      </c>
      <c r="Q298" s="31">
        <f>+SUM(START:END!Q298)</f>
        <v>13938.220000000003</v>
      </c>
      <c r="R298" s="150">
        <f t="shared" si="86"/>
        <v>-0.1031374787413642</v>
      </c>
      <c r="S298" s="55">
        <f t="shared" si="87"/>
        <v>-2604.6200000000063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3"/>
        <v>PiècesVentes de Gros</v>
      </c>
      <c r="B299" s="12" t="s">
        <v>103</v>
      </c>
      <c r="C299" s="27" t="s">
        <v>110</v>
      </c>
      <c r="D299" s="77">
        <f>+SUM(START:END!D299)</f>
        <v>252990.6263178112</v>
      </c>
      <c r="E299" s="141">
        <f t="shared" si="88"/>
        <v>0.17500000000000002</v>
      </c>
      <c r="F299" s="80">
        <f>+SUM(START:END!F299)</f>
        <v>44273.359605616963</v>
      </c>
      <c r="G299" s="77">
        <f>+SUM(START:END!G299)</f>
        <v>0</v>
      </c>
      <c r="H299" s="141">
        <f t="shared" si="89"/>
        <v>0</v>
      </c>
      <c r="I299" s="80">
        <f>+SUM(START:END!I299)</f>
        <v>0</v>
      </c>
      <c r="J299" s="28">
        <f>+SUM(START:END!J299)</f>
        <v>371949.66</v>
      </c>
      <c r="K299" s="141">
        <f t="shared" si="90"/>
        <v>0.18108877959452893</v>
      </c>
      <c r="L299" s="31">
        <f>+SUM(START:END!L299)</f>
        <v>67355.909999999974</v>
      </c>
      <c r="M299" s="150">
        <f t="shared" si="84"/>
        <v>0.47021123040641982</v>
      </c>
      <c r="N299" s="55">
        <f t="shared" si="85"/>
        <v>23082.550394383012</v>
      </c>
      <c r="O299" s="28">
        <f>+SUM(START:END!O299)</f>
        <v>263675.61</v>
      </c>
      <c r="P299" s="141">
        <f t="shared" si="91"/>
        <v>0.17810441398049676</v>
      </c>
      <c r="Q299" s="31">
        <f>+SUM(START:END!Q299)</f>
        <v>46961.790000000008</v>
      </c>
      <c r="R299" s="150">
        <f t="shared" si="86"/>
        <v>0.41063354323898216</v>
      </c>
      <c r="S299" s="55">
        <f t="shared" si="87"/>
        <v>20394.119999999966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3"/>
        <v>Pièces[...]</v>
      </c>
      <c r="B300" s="12" t="s">
        <v>103</v>
      </c>
      <c r="C300" s="27" t="s">
        <v>20</v>
      </c>
      <c r="D300" s="77">
        <f>+SUM(START:END!D300)</f>
        <v>0</v>
      </c>
      <c r="E300" s="141">
        <f t="shared" si="88"/>
        <v>0</v>
      </c>
      <c r="F300" s="80">
        <f>+SUM(START:END!F300)</f>
        <v>0</v>
      </c>
      <c r="G300" s="77">
        <f>+SUM(START:END!G300)</f>
        <v>0</v>
      </c>
      <c r="H300" s="141">
        <f t="shared" si="89"/>
        <v>0</v>
      </c>
      <c r="I300" s="80">
        <f>+SUM(START:END!I300)</f>
        <v>0</v>
      </c>
      <c r="J300" s="28">
        <f>+SUM(START:END!J300)</f>
        <v>0</v>
      </c>
      <c r="K300" s="141">
        <f t="shared" si="90"/>
        <v>0</v>
      </c>
      <c r="L300" s="31">
        <f>+SUM(START:END!L300)</f>
        <v>0</v>
      </c>
      <c r="M300" s="150" t="e">
        <f t="shared" si="84"/>
        <v>#DIV/0!</v>
      </c>
      <c r="N300" s="55">
        <f t="shared" si="85"/>
        <v>0</v>
      </c>
      <c r="O300" s="28">
        <f>+SUM(START:END!O300)</f>
        <v>0</v>
      </c>
      <c r="P300" s="141">
        <f t="shared" si="91"/>
        <v>0</v>
      </c>
      <c r="Q300" s="31">
        <f>+SUM(START:END!Q300)</f>
        <v>0</v>
      </c>
      <c r="R300" s="150">
        <f t="shared" si="86"/>
        <v>0</v>
      </c>
      <c r="S300" s="55">
        <f t="shared" si="87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3"/>
        <v>PiècesEscomptes</v>
      </c>
      <c r="B301" s="12" t="s">
        <v>103</v>
      </c>
      <c r="C301" s="27" t="s">
        <v>111</v>
      </c>
      <c r="D301" s="77">
        <f>+SUM(START:END!D301)</f>
        <v>0</v>
      </c>
      <c r="E301" s="141">
        <f t="shared" si="88"/>
        <v>0</v>
      </c>
      <c r="F301" s="80">
        <f>+SUM(START:END!F301)</f>
        <v>18008.04052039051</v>
      </c>
      <c r="G301" s="77">
        <f>+SUM(START:END!G301)</f>
        <v>0</v>
      </c>
      <c r="H301" s="141">
        <f t="shared" si="89"/>
        <v>0</v>
      </c>
      <c r="I301" s="80">
        <f>+SUM(START:END!I301)</f>
        <v>0</v>
      </c>
      <c r="J301" s="28">
        <f>+SUM(START:END!J301)</f>
        <v>0</v>
      </c>
      <c r="K301" s="141">
        <f t="shared" si="90"/>
        <v>0</v>
      </c>
      <c r="L301" s="31">
        <f>+SUM(START:END!L301)</f>
        <v>19997.260000000002</v>
      </c>
      <c r="M301" s="150"/>
      <c r="N301" s="55">
        <f t="shared" si="85"/>
        <v>1989.2194796094918</v>
      </c>
      <c r="O301" s="28">
        <f>+SUM(START:END!O301)</f>
        <v>0</v>
      </c>
      <c r="P301" s="141">
        <f t="shared" si="91"/>
        <v>0</v>
      </c>
      <c r="Q301" s="31">
        <f>+SUM(START:END!Q301)</f>
        <v>23883.4</v>
      </c>
      <c r="R301" s="150">
        <f t="shared" si="86"/>
        <v>0</v>
      </c>
      <c r="S301" s="55">
        <f t="shared" si="87"/>
        <v>-3886.1399999999994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3"/>
        <v>PiècesRectif. Inventaire</v>
      </c>
      <c r="B302" s="12" t="s">
        <v>103</v>
      </c>
      <c r="C302" s="82" t="s">
        <v>112</v>
      </c>
      <c r="D302" s="77">
        <f>+SUM(START:END!D302)</f>
        <v>0</v>
      </c>
      <c r="E302" s="141">
        <f t="shared" si="88"/>
        <v>0</v>
      </c>
      <c r="F302" s="80">
        <f>+SUM(START:END!F302)</f>
        <v>0</v>
      </c>
      <c r="G302" s="77">
        <f>+SUM(START:END!G302)</f>
        <v>0</v>
      </c>
      <c r="H302" s="141">
        <f t="shared" si="89"/>
        <v>0</v>
      </c>
      <c r="I302" s="80">
        <f>+SUM(START:END!I302)</f>
        <v>0</v>
      </c>
      <c r="J302" s="28">
        <f>+SUM(START:END!J302)</f>
        <v>0</v>
      </c>
      <c r="K302" s="141">
        <f t="shared" si="90"/>
        <v>0</v>
      </c>
      <c r="L302" s="31">
        <f>+SUM(START:END!L302)</f>
        <v>0</v>
      </c>
      <c r="M302" s="150"/>
      <c r="N302" s="55">
        <f t="shared" si="85"/>
        <v>0</v>
      </c>
      <c r="O302" s="28">
        <f>+SUM(START:END!O302)</f>
        <v>0</v>
      </c>
      <c r="P302" s="141">
        <f t="shared" si="91"/>
        <v>0</v>
      </c>
      <c r="Q302" s="31">
        <f>+SUM(START:END!Q302)</f>
        <v>0</v>
      </c>
      <c r="R302" s="150">
        <f t="shared" si="86"/>
        <v>0</v>
      </c>
      <c r="S302" s="55">
        <f t="shared" si="87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3"/>
        <v>PiècesSous-total Pièces</v>
      </c>
      <c r="B303" s="12" t="s">
        <v>103</v>
      </c>
      <c r="C303" s="50" t="s">
        <v>113</v>
      </c>
      <c r="D303" s="177">
        <f>SUM(D294:D302)</f>
        <v>1061712.3372254441</v>
      </c>
      <c r="E303" s="192">
        <f>IF(D303&lt;=0,0,F303/D303)</f>
        <v>0.28622738820277732</v>
      </c>
      <c r="F303" s="181">
        <f>SUM(F294:F302)</f>
        <v>303891.14930670522</v>
      </c>
      <c r="G303" s="177">
        <f>SUM(G294:G302)</f>
        <v>0</v>
      </c>
      <c r="H303" s="192">
        <f>IF(G303&lt;=0,0,I303/G303)</f>
        <v>0</v>
      </c>
      <c r="I303" s="181">
        <f>SUM(I294:I302)</f>
        <v>0</v>
      </c>
      <c r="J303" s="177">
        <f>SUM(J294:J302)</f>
        <v>1172534.3699999999</v>
      </c>
      <c r="K303" s="192">
        <f>IF(J303&lt;=0,0,L303/J303)</f>
        <v>0.27704474027486292</v>
      </c>
      <c r="L303" s="179">
        <f>SUM(L294:L302)</f>
        <v>324844.48</v>
      </c>
      <c r="M303" s="193">
        <f>(+J303-D303)/D303</f>
        <v>0.10438047000957451</v>
      </c>
      <c r="N303" s="179">
        <f t="shared" si="85"/>
        <v>20953.33069329476</v>
      </c>
      <c r="O303" s="177">
        <f>SUM(O294:O302)</f>
        <v>1110483.21</v>
      </c>
      <c r="P303" s="192">
        <f>IF(O303&lt;=0,0,Q303/O303)</f>
        <v>0.28967301540740992</v>
      </c>
      <c r="Q303" s="179">
        <f>SUM(Q294:Q302)</f>
        <v>321677.02</v>
      </c>
      <c r="R303" s="193">
        <f t="shared" si="86"/>
        <v>5.5877621058313814E-2</v>
      </c>
      <c r="S303" s="179">
        <f t="shared" si="87"/>
        <v>3167.4599999999627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3"/>
        <v>Pièces</v>
      </c>
      <c r="B304" s="12" t="s">
        <v>103</v>
      </c>
      <c r="C304" s="27"/>
      <c r="D304" s="14"/>
      <c r="E304" s="14"/>
      <c r="F304" s="37"/>
      <c r="G304" s="38"/>
      <c r="H304" s="14"/>
      <c r="I304" s="37"/>
      <c r="J304" s="38"/>
      <c r="K304" s="14"/>
      <c r="L304" s="37"/>
      <c r="M304" s="38"/>
      <c r="N304" s="40">
        <f>N303/F303</f>
        <v>6.8950118294321891E-2</v>
      </c>
      <c r="O304" s="38"/>
      <c r="P304" s="14"/>
      <c r="Q304" s="37"/>
      <c r="R304" s="38"/>
      <c r="S304" s="40">
        <f>IF(Q303=0,0,S303/Q303)</f>
        <v>9.8467089753565933E-3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3"/>
        <v>Pièces</v>
      </c>
      <c r="B305" s="12" t="s">
        <v>103</v>
      </c>
      <c r="C305" s="82"/>
      <c r="D305" s="108"/>
      <c r="E305" s="108"/>
      <c r="F305" s="194"/>
      <c r="G305" s="23"/>
      <c r="H305" s="195"/>
      <c r="I305" s="194"/>
      <c r="J305" s="23"/>
      <c r="K305" s="108"/>
      <c r="L305" s="194"/>
      <c r="M305" s="23"/>
      <c r="N305" s="160"/>
      <c r="O305" s="23"/>
      <c r="P305" s="108"/>
      <c r="Q305" s="194"/>
      <c r="R305" s="23"/>
      <c r="S305" s="160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3"/>
        <v>PiècesVentes Pneus</v>
      </c>
      <c r="B306" s="12" t="s">
        <v>103</v>
      </c>
      <c r="C306" s="27" t="s">
        <v>114</v>
      </c>
      <c r="D306" s="77">
        <f>+SUM(START:END!D306)</f>
        <v>87338.002245836426</v>
      </c>
      <c r="E306" s="141">
        <f t="shared" ref="E306:E307" si="92">IF(D306=0,0,F306/D306)</f>
        <v>0.18</v>
      </c>
      <c r="F306" s="107">
        <f>+SUM(START:END!F306)</f>
        <v>15720.840404250557</v>
      </c>
      <c r="G306" s="77">
        <f>+SUM(START:END!G306)</f>
        <v>0</v>
      </c>
      <c r="H306" s="141">
        <f t="shared" ref="H306:H307" si="93">IF(G306=0,0,I306/G306)</f>
        <v>0</v>
      </c>
      <c r="I306" s="107">
        <f>+SUM(START:END!I306)</f>
        <v>0</v>
      </c>
      <c r="J306" s="28">
        <f>+SUM(START:END!J306)</f>
        <v>66167.17</v>
      </c>
      <c r="K306" s="141">
        <f t="shared" ref="K306:K307" si="94">IF(J306=0,0,L306/J306)</f>
        <v>0.1878340875089565</v>
      </c>
      <c r="L306" s="31">
        <f>+SUM(START:END!L306)</f>
        <v>12428.45</v>
      </c>
      <c r="M306" s="150">
        <f>(+J306-D306)/D306</f>
        <v>-0.24240115071839399</v>
      </c>
      <c r="N306" s="55">
        <f>L306-F306</f>
        <v>-3292.3904042505565</v>
      </c>
      <c r="O306" s="28">
        <f>+SUM(START:END!O306)</f>
        <v>118784.3</v>
      </c>
      <c r="P306" s="141">
        <f t="shared" ref="P306:P307" si="95">IF(O306=0,0,Q306/O306)</f>
        <v>0.19039182787624287</v>
      </c>
      <c r="Q306" s="31">
        <f>+SUM(START:END!Q306)</f>
        <v>22615.559999999998</v>
      </c>
      <c r="R306" s="150">
        <f t="shared" ref="R306:R308" si="96">IF(O306=0,0,(J306-O306)/O306)</f>
        <v>-0.44296367449233615</v>
      </c>
      <c r="S306" s="55">
        <f t="shared" ref="S306:S308" si="97">L306-Q306</f>
        <v>-10187.109999999997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3"/>
        <v>PiècesHuiles et Graisse</v>
      </c>
      <c r="B307" s="12" t="s">
        <v>103</v>
      </c>
      <c r="C307" s="82" t="s">
        <v>115</v>
      </c>
      <c r="D307" s="77">
        <f>+SUM(START:END!D307)</f>
        <v>61604.05609943805</v>
      </c>
      <c r="E307" s="141">
        <f t="shared" si="92"/>
        <v>0.313</v>
      </c>
      <c r="F307" s="89">
        <f>+SUM(START:END!F307)</f>
        <v>19282.069559124109</v>
      </c>
      <c r="G307" s="77">
        <f>+SUM(START:END!G307)</f>
        <v>0</v>
      </c>
      <c r="H307" s="141">
        <f t="shared" si="93"/>
        <v>0</v>
      </c>
      <c r="I307" s="89">
        <f>+SUM(START:END!I307)</f>
        <v>0</v>
      </c>
      <c r="J307" s="28">
        <f>+SUM(START:END!J307)</f>
        <v>62888.970000000008</v>
      </c>
      <c r="K307" s="141">
        <f t="shared" si="94"/>
        <v>0.23464178217579332</v>
      </c>
      <c r="L307" s="31">
        <f>+SUM(START:END!L307)</f>
        <v>14756.380000000003</v>
      </c>
      <c r="M307" s="150">
        <f>(+J307-D307)/D307</f>
        <v>2.0857618506286618E-2</v>
      </c>
      <c r="N307" s="55">
        <f>L307-F307</f>
        <v>-4525.6895591241064</v>
      </c>
      <c r="O307" s="28">
        <f>+SUM(START:END!O307)</f>
        <v>70302.789999999994</v>
      </c>
      <c r="P307" s="141">
        <f t="shared" si="95"/>
        <v>0.31912033647597765</v>
      </c>
      <c r="Q307" s="31">
        <f>+SUM(START:END!Q307)</f>
        <v>22435.049999999996</v>
      </c>
      <c r="R307" s="150">
        <f t="shared" si="96"/>
        <v>-0.10545555873387082</v>
      </c>
      <c r="S307" s="55">
        <f t="shared" si="97"/>
        <v>-7678.6699999999928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3"/>
        <v>PiècesSous-total Pièces et Acc.</v>
      </c>
      <c r="B308" s="12" t="s">
        <v>103</v>
      </c>
      <c r="C308" s="50" t="s">
        <v>116</v>
      </c>
      <c r="D308" s="177">
        <f>D303+D306+D307</f>
        <v>1210654.3955707187</v>
      </c>
      <c r="E308" s="192">
        <f>IF(D308&lt;=0,0,F308/D308)</f>
        <v>0.27992634438858227</v>
      </c>
      <c r="F308" s="179">
        <f t="shared" ref="F308" si="98">F303+F306+F307</f>
        <v>338894.05927007989</v>
      </c>
      <c r="G308" s="180">
        <f>G303+G306+G307</f>
        <v>0</v>
      </c>
      <c r="H308" s="192">
        <f>IF(G308&lt;=0,0,I308/G308)</f>
        <v>0</v>
      </c>
      <c r="I308" s="179">
        <f t="shared" ref="I308" si="99">I303+I306+I307</f>
        <v>0</v>
      </c>
      <c r="J308" s="180">
        <f>J303+J306+J307</f>
        <v>1301590.5099999998</v>
      </c>
      <c r="K308" s="192">
        <f>IF(J308&lt;=0,0,L308/J308)</f>
        <v>0.27046087636272031</v>
      </c>
      <c r="L308" s="179">
        <f t="shared" ref="L308" si="100">L303+L306+L307</f>
        <v>352029.31</v>
      </c>
      <c r="M308" s="193">
        <f>(+J308-D308)/D308</f>
        <v>7.5113190652905198E-2</v>
      </c>
      <c r="N308" s="179">
        <f>L308-F308</f>
        <v>13135.25072992011</v>
      </c>
      <c r="O308" s="180">
        <f>O303+O306+O307</f>
        <v>1299570.3</v>
      </c>
      <c r="P308" s="192">
        <f>IF(O308&lt;=0,0,Q308/O308)</f>
        <v>0.28219145205149732</v>
      </c>
      <c r="Q308" s="179">
        <f t="shared" ref="Q308" si="101">Q303+Q306+Q307</f>
        <v>366727.63</v>
      </c>
      <c r="R308" s="193">
        <f t="shared" si="96"/>
        <v>1.5545215214596163E-3</v>
      </c>
      <c r="S308" s="179">
        <f t="shared" si="97"/>
        <v>-14698.320000000007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3"/>
        <v>Pièces</v>
      </c>
      <c r="B309" s="12" t="s">
        <v>103</v>
      </c>
      <c r="C309" s="27"/>
      <c r="D309" s="14"/>
      <c r="E309" s="14"/>
      <c r="F309" s="37"/>
      <c r="G309" s="38"/>
      <c r="H309" s="14"/>
      <c r="I309" s="37"/>
      <c r="J309" s="38"/>
      <c r="K309" s="14"/>
      <c r="L309" s="37"/>
      <c r="M309" s="38"/>
      <c r="N309" s="40">
        <f>N308/F308</f>
        <v>3.8759164908972452E-2</v>
      </c>
      <c r="O309" s="38"/>
      <c r="P309" s="14"/>
      <c r="Q309" s="37"/>
      <c r="R309" s="38"/>
      <c r="S309" s="40">
        <f>IF(Q308=0,0,S308/Q308)</f>
        <v>-4.0079663482132523E-2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3"/>
        <v>PiècesPièces recond. MCPA</v>
      </c>
      <c r="B310" s="12" t="s">
        <v>103</v>
      </c>
      <c r="C310" s="27" t="s">
        <v>197</v>
      </c>
      <c r="D310" s="77">
        <f>+SUM(START:END!D310)</f>
        <v>0</v>
      </c>
      <c r="E310" s="141">
        <f t="shared" ref="E310" si="102">IF(D310=0,0,F310/D310)</f>
        <v>0</v>
      </c>
      <c r="F310" s="55">
        <f>+SUM(START:END!F310)</f>
        <v>0</v>
      </c>
      <c r="G310" s="56">
        <f>+SUM(START:END!G310)</f>
        <v>0</v>
      </c>
      <c r="H310" s="141">
        <f t="shared" ref="H310" si="103">IF(G310=0,0,I310/G310)</f>
        <v>0</v>
      </c>
      <c r="I310" s="55">
        <f>+SUM(START:END!I310)</f>
        <v>0</v>
      </c>
      <c r="J310" s="29">
        <f>+SUM(START:END!J310)</f>
        <v>0</v>
      </c>
      <c r="K310" s="141">
        <f t="shared" ref="K310" si="104">IF(J310=0,0,L310/J310)</f>
        <v>0</v>
      </c>
      <c r="L310" s="31">
        <f>+SUM(START:END!L310)</f>
        <v>0</v>
      </c>
      <c r="M310" s="38"/>
      <c r="N310" s="40"/>
      <c r="O310" s="29">
        <f>+SUM(START:END!O310)</f>
        <v>0</v>
      </c>
      <c r="P310" s="141">
        <f t="shared" ref="P310" si="105">IF(O310=0,0,Q310/O310)</f>
        <v>0</v>
      </c>
      <c r="Q310" s="31">
        <f>+SUM(START:END!Q310)</f>
        <v>0</v>
      </c>
      <c r="R310" s="38"/>
      <c r="S310" s="40"/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3"/>
        <v>PiècesAutostock</v>
      </c>
      <c r="B311" s="12" t="s">
        <v>103</v>
      </c>
      <c r="C311" s="82" t="s">
        <v>117</v>
      </c>
      <c r="D311" s="86">
        <f>+SUM(START:END!D311)</f>
        <v>0</v>
      </c>
      <c r="E311" s="196">
        <f t="shared" ref="E311" si="106">IF(D311=0,0,F311/D311)</f>
        <v>0</v>
      </c>
      <c r="F311" s="139">
        <f>+SUM(START:END!F311)</f>
        <v>0</v>
      </c>
      <c r="G311" s="161">
        <f>+SUM(START:END!G311)</f>
        <v>0</v>
      </c>
      <c r="H311" s="196">
        <f t="shared" ref="H311" si="107">IF(G311=0,0,I311/G311)</f>
        <v>0</v>
      </c>
      <c r="I311" s="139">
        <f>+SUM(START:END!I311)</f>
        <v>0</v>
      </c>
      <c r="J311" s="43">
        <f>+SUM(START:END!J311)</f>
        <v>0</v>
      </c>
      <c r="K311" s="197">
        <f t="shared" ref="K311" si="108">IF(J311=0,0,L311/J311)</f>
        <v>0</v>
      </c>
      <c r="L311" s="22">
        <f>+SUM(START:END!L311)</f>
        <v>0</v>
      </c>
      <c r="M311" s="197">
        <f>IF(F311=0,0,(+L311-F311)/F311)</f>
        <v>0</v>
      </c>
      <c r="N311" s="88">
        <f>L311-F311</f>
        <v>0</v>
      </c>
      <c r="O311" s="43">
        <f>+SUM(START:END!O311)</f>
        <v>0</v>
      </c>
      <c r="P311" s="197">
        <f t="shared" ref="P311" si="109">IF(O311=0,0,Q311/O311)</f>
        <v>0</v>
      </c>
      <c r="Q311" s="22">
        <f>+SUM(START:END!Q311)</f>
        <v>0</v>
      </c>
      <c r="R311" s="197">
        <f>IF(S311=0,0,(+O311-K311)/K311)</f>
        <v>0</v>
      </c>
      <c r="S311" s="88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3"/>
        <v>Pièces</v>
      </c>
      <c r="B312" s="12" t="s">
        <v>103</v>
      </c>
      <c r="C312" s="27"/>
      <c r="D312" s="77"/>
      <c r="E312" s="141"/>
      <c r="F312" s="55"/>
      <c r="G312" s="56"/>
      <c r="H312" s="141"/>
      <c r="I312" s="55"/>
      <c r="J312" s="56"/>
      <c r="K312" s="141"/>
      <c r="L312" s="55"/>
      <c r="M312" s="150"/>
      <c r="N312" s="55"/>
      <c r="O312" s="56"/>
      <c r="P312" s="141"/>
      <c r="Q312" s="55"/>
      <c r="R312" s="150"/>
      <c r="S312" s="55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3"/>
        <v>PiècesTotal Dépt. Pièces</v>
      </c>
      <c r="B313" s="12" t="s">
        <v>103</v>
      </c>
      <c r="C313" s="58" t="s">
        <v>118</v>
      </c>
      <c r="D313" s="59">
        <f>D308+D311+D310</f>
        <v>1210654.3955707187</v>
      </c>
      <c r="E313" s="198">
        <f>IF(D313&lt;=0,0,F313/D313)</f>
        <v>0.27992634438858227</v>
      </c>
      <c r="F313" s="61">
        <f>F308+F311+F310</f>
        <v>338894.05927007989</v>
      </c>
      <c r="G313" s="62">
        <f>G308+G311+G310</f>
        <v>0</v>
      </c>
      <c r="H313" s="198">
        <f>IF(G313&lt;=0,0,I313/G313)</f>
        <v>0</v>
      </c>
      <c r="I313" s="61">
        <f>I308+I311+I310</f>
        <v>0</v>
      </c>
      <c r="J313" s="62">
        <f>J308+J311+J310</f>
        <v>1301590.5099999998</v>
      </c>
      <c r="K313" s="198">
        <f>IF(J313&lt;=0,0,L313/J313)</f>
        <v>0.27046087636272031</v>
      </c>
      <c r="L313" s="61">
        <f>L308+L311+L310</f>
        <v>352029.31</v>
      </c>
      <c r="M313" s="199">
        <f>(+J313-D313)/D313</f>
        <v>7.5113190652905198E-2</v>
      </c>
      <c r="N313" s="200">
        <f>L313-F313</f>
        <v>13135.25072992011</v>
      </c>
      <c r="O313" s="62">
        <f>O308+O311+O310</f>
        <v>1299570.3</v>
      </c>
      <c r="P313" s="198">
        <f>IF(O313&lt;=0,0,Q313/O313)</f>
        <v>0.28219145205149732</v>
      </c>
      <c r="Q313" s="61">
        <f>Q308+Q311+Q310</f>
        <v>366727.63</v>
      </c>
      <c r="R313" s="199">
        <f>IF(O313=0,0,(J313-O313)/O313)</f>
        <v>1.5545215214596163E-3</v>
      </c>
      <c r="S313" s="200">
        <f>L313-Q313</f>
        <v>-14698.320000000007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3"/>
        <v>Pièces</v>
      </c>
      <c r="B314" s="12" t="s">
        <v>103</v>
      </c>
      <c r="C314" s="202"/>
      <c r="D314" s="203"/>
      <c r="E314" s="204"/>
      <c r="F314" s="205"/>
      <c r="G314" s="206"/>
      <c r="H314" s="204"/>
      <c r="I314" s="205"/>
      <c r="J314" s="206"/>
      <c r="K314" s="204"/>
      <c r="L314" s="205"/>
      <c r="M314" s="207"/>
      <c r="N314" s="69">
        <f>N313/F313</f>
        <v>3.8759164908972452E-2</v>
      </c>
      <c r="O314" s="206"/>
      <c r="P314" s="204"/>
      <c r="Q314" s="205"/>
      <c r="R314" s="207"/>
      <c r="S314" s="69">
        <f>IF(Q313=0,0,S313/Q313)</f>
        <v>-4.0079663482132523E-2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3"/>
        <v>Pièces</v>
      </c>
      <c r="B315" s="12" t="s">
        <v>103</v>
      </c>
      <c r="C315" s="50"/>
      <c r="D315" s="109"/>
      <c r="E315" s="163"/>
      <c r="F315" s="165"/>
      <c r="G315" s="164"/>
      <c r="H315" s="163"/>
      <c r="I315" s="165"/>
      <c r="J315" s="164"/>
      <c r="K315" s="163"/>
      <c r="L315" s="165"/>
      <c r="M315" s="38"/>
      <c r="N315" s="40"/>
      <c r="O315" s="164"/>
      <c r="P315" s="163"/>
      <c r="Q315" s="165"/>
      <c r="R315" s="38"/>
      <c r="S315" s="40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3"/>
        <v>PiècesDEPENSES</v>
      </c>
      <c r="B316" s="12" t="s">
        <v>103</v>
      </c>
      <c r="C316" s="74" t="s">
        <v>30</v>
      </c>
      <c r="D316" s="14"/>
      <c r="E316" s="14"/>
      <c r="F316" s="55"/>
      <c r="G316" s="38"/>
      <c r="H316" s="14"/>
      <c r="I316" s="55"/>
      <c r="J316" s="38"/>
      <c r="K316" s="14"/>
      <c r="L316" s="37"/>
      <c r="M316" s="38"/>
      <c r="N316" s="37"/>
      <c r="O316" s="38"/>
      <c r="P316" s="14"/>
      <c r="Q316" s="37"/>
      <c r="R316" s="38"/>
      <c r="S316" s="37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3"/>
        <v>PiècesSalaires cadres</v>
      </c>
      <c r="B317" s="12" t="s">
        <v>103</v>
      </c>
      <c r="C317" s="99" t="s">
        <v>41</v>
      </c>
      <c r="D317" s="14"/>
      <c r="E317" s="14"/>
      <c r="F317" s="28">
        <f>+SUM(START:END!F317)</f>
        <v>7819.3057471264365</v>
      </c>
      <c r="G317" s="38"/>
      <c r="H317" s="14"/>
      <c r="I317" s="28">
        <f>+SUM(START:END!I317)</f>
        <v>0</v>
      </c>
      <c r="J317" s="38"/>
      <c r="K317" s="14"/>
      <c r="L317" s="31">
        <f>+SUM(START:END!L317)</f>
        <v>18776.68</v>
      </c>
      <c r="M317" s="38"/>
      <c r="N317" s="55">
        <f t="shared" ref="N317:N347" si="110">L317-F317</f>
        <v>10957.374252873564</v>
      </c>
      <c r="O317" s="38"/>
      <c r="P317" s="14"/>
      <c r="Q317" s="31">
        <f>+SUM(START:END!Q317)</f>
        <v>25901.67</v>
      </c>
      <c r="R317" s="38"/>
      <c r="S317" s="31">
        <f t="shared" ref="S317:S347" si="111">L317-Q317</f>
        <v>-7124.989999999998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3"/>
        <v>PiècesSalaires commis</v>
      </c>
      <c r="B318" s="12" t="s">
        <v>103</v>
      </c>
      <c r="C318" s="100" t="s">
        <v>42</v>
      </c>
      <c r="D318" s="76"/>
      <c r="E318" s="14"/>
      <c r="F318" s="22">
        <f>+SUM(START:END!F318)</f>
        <v>86807.892413793117</v>
      </c>
      <c r="G318" s="78"/>
      <c r="H318" s="14"/>
      <c r="I318" s="22">
        <f>+SUM(START:END!I318)</f>
        <v>0</v>
      </c>
      <c r="J318" s="38"/>
      <c r="K318" s="14"/>
      <c r="L318" s="31">
        <f>+SUM(START:END!L318)</f>
        <v>71852.600000000006</v>
      </c>
      <c r="M318" s="38"/>
      <c r="N318" s="55">
        <f t="shared" si="110"/>
        <v>-14955.292413793111</v>
      </c>
      <c r="O318" s="38"/>
      <c r="P318" s="14"/>
      <c r="Q318" s="31">
        <f>+SUM(START:END!Q318)</f>
        <v>9682.4599999999991</v>
      </c>
      <c r="R318" s="38"/>
      <c r="S318" s="55">
        <f t="shared" si="111"/>
        <v>62170.140000000007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3"/>
        <v>PiècesSalaires autres</v>
      </c>
      <c r="B319" s="12" t="s">
        <v>103</v>
      </c>
      <c r="C319" s="99" t="s">
        <v>43</v>
      </c>
      <c r="D319" s="101"/>
      <c r="E319" s="102"/>
      <c r="F319" s="28">
        <f>+SUM(START:END!F319)</f>
        <v>6888.2758620689638</v>
      </c>
      <c r="G319" s="103"/>
      <c r="H319" s="102"/>
      <c r="I319" s="28">
        <f>+SUM(START:END!I319)</f>
        <v>0</v>
      </c>
      <c r="J319" s="104"/>
      <c r="K319" s="102"/>
      <c r="L319" s="105">
        <f>+SUM(START:END!L319)</f>
        <v>2626.64</v>
      </c>
      <c r="M319" s="104"/>
      <c r="N319" s="106">
        <f t="shared" si="110"/>
        <v>-4261.6358620689643</v>
      </c>
      <c r="O319" s="104"/>
      <c r="P319" s="102"/>
      <c r="Q319" s="105">
        <f>+SUM(START:END!Q319)</f>
        <v>72630.52</v>
      </c>
      <c r="R319" s="104"/>
      <c r="S319" s="106">
        <f t="shared" si="111"/>
        <v>-70003.88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3"/>
        <v>PiècesSalaires spécialistes</v>
      </c>
      <c r="B320" s="12" t="s">
        <v>103</v>
      </c>
      <c r="C320" s="99" t="s">
        <v>44</v>
      </c>
      <c r="D320" s="76"/>
      <c r="E320" s="14"/>
      <c r="F320" s="28">
        <f>+SUM(START:END!F320)</f>
        <v>0</v>
      </c>
      <c r="G320" s="78"/>
      <c r="H320" s="14"/>
      <c r="I320" s="28">
        <f>+SUM(START:END!I320)</f>
        <v>0</v>
      </c>
      <c r="J320" s="38"/>
      <c r="K320" s="14"/>
      <c r="L320" s="31">
        <f>+SUM(START:END!L320)</f>
        <v>0</v>
      </c>
      <c r="M320" s="38"/>
      <c r="N320" s="55">
        <f t="shared" si="110"/>
        <v>0</v>
      </c>
      <c r="O320" s="38"/>
      <c r="P320" s="14"/>
      <c r="Q320" s="31">
        <f>+SUM(START:END!Q320)</f>
        <v>0</v>
      </c>
      <c r="R320" s="38"/>
      <c r="S320" s="55">
        <f t="shared" si="111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3"/>
        <v>Pièces[...]</v>
      </c>
      <c r="B321" s="12" t="s">
        <v>103</v>
      </c>
      <c r="C321" s="208" t="s">
        <v>20</v>
      </c>
      <c r="D321" s="76"/>
      <c r="E321" s="14"/>
      <c r="F321" s="28">
        <f>+SUM(START:END!F321)</f>
        <v>0</v>
      </c>
      <c r="G321" s="78"/>
      <c r="H321" s="14"/>
      <c r="I321" s="28">
        <f>+SUM(START:END!I321)</f>
        <v>0</v>
      </c>
      <c r="J321" s="38"/>
      <c r="K321" s="14"/>
      <c r="L321" s="31">
        <f>+SUM(START:END!L321)</f>
        <v>0</v>
      </c>
      <c r="M321" s="38"/>
      <c r="N321" s="55">
        <f t="shared" si="110"/>
        <v>0</v>
      </c>
      <c r="O321" s="38"/>
      <c r="P321" s="14"/>
      <c r="Q321" s="31">
        <f>+SUM(START:END!Q321)</f>
        <v>0</v>
      </c>
      <c r="R321" s="38"/>
      <c r="S321" s="55">
        <f t="shared" si="111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3"/>
        <v>Pièces[...]</v>
      </c>
      <c r="B322" s="12" t="s">
        <v>103</v>
      </c>
      <c r="C322" s="208" t="s">
        <v>20</v>
      </c>
      <c r="D322" s="76"/>
      <c r="E322" s="14"/>
      <c r="F322" s="28">
        <f>+SUM(START:END!F322)</f>
        <v>0</v>
      </c>
      <c r="G322" s="78"/>
      <c r="H322" s="14"/>
      <c r="I322" s="28">
        <f>+SUM(START:END!I322)</f>
        <v>0</v>
      </c>
      <c r="J322" s="38"/>
      <c r="K322" s="14"/>
      <c r="L322" s="31">
        <f>+SUM(START:END!L322)</f>
        <v>0</v>
      </c>
      <c r="M322" s="38"/>
      <c r="N322" s="55">
        <f t="shared" si="110"/>
        <v>0</v>
      </c>
      <c r="O322" s="38"/>
      <c r="P322" s="14"/>
      <c r="Q322" s="31">
        <f>+SUM(START:END!Q322)</f>
        <v>0</v>
      </c>
      <c r="R322" s="38"/>
      <c r="S322" s="55">
        <f t="shared" si="111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3"/>
        <v>Pièces[...]</v>
      </c>
      <c r="B323" s="12" t="s">
        <v>103</v>
      </c>
      <c r="C323" s="208" t="s">
        <v>20</v>
      </c>
      <c r="D323" s="76"/>
      <c r="E323" s="14"/>
      <c r="F323" s="28">
        <f>+SUM(START:END!F323)</f>
        <v>0</v>
      </c>
      <c r="G323" s="78"/>
      <c r="H323" s="14"/>
      <c r="I323" s="28">
        <f>+SUM(START:END!I323)</f>
        <v>0</v>
      </c>
      <c r="J323" s="38"/>
      <c r="K323" s="14"/>
      <c r="L323" s="31">
        <f>+SUM(START:END!L323)</f>
        <v>0</v>
      </c>
      <c r="M323" s="38"/>
      <c r="N323" s="55">
        <f t="shared" si="110"/>
        <v>0</v>
      </c>
      <c r="O323" s="38"/>
      <c r="P323" s="14"/>
      <c r="Q323" s="31">
        <f>+SUM(START:END!Q323)</f>
        <v>0</v>
      </c>
      <c r="R323" s="38"/>
      <c r="S323" s="55">
        <f t="shared" si="111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3"/>
        <v>PiècesSalaires en absences</v>
      </c>
      <c r="B324" s="12" t="s">
        <v>103</v>
      </c>
      <c r="C324" s="100" t="s">
        <v>45</v>
      </c>
      <c r="D324" s="76"/>
      <c r="E324" s="14"/>
      <c r="F324" s="22">
        <f>+SUM(START:END!F324)</f>
        <v>12521.685676961526</v>
      </c>
      <c r="G324" s="78"/>
      <c r="H324" s="14"/>
      <c r="I324" s="22">
        <f>+SUM(START:END!I324)</f>
        <v>0</v>
      </c>
      <c r="J324" s="38"/>
      <c r="K324" s="14"/>
      <c r="L324" s="31">
        <f>+SUM(START:END!L324)</f>
        <v>8274.119999999999</v>
      </c>
      <c r="M324" s="38"/>
      <c r="N324" s="55">
        <f t="shared" si="110"/>
        <v>-4247.5656769615271</v>
      </c>
      <c r="O324" s="38"/>
      <c r="P324" s="14"/>
      <c r="Q324" s="31">
        <f>+SUM(START:END!Q324)</f>
        <v>10500.86</v>
      </c>
      <c r="R324" s="38"/>
      <c r="S324" s="55">
        <f t="shared" si="111"/>
        <v>-2226.7400000000016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3"/>
        <v>PiècesDéduction à la source</v>
      </c>
      <c r="B325" s="12" t="s">
        <v>103</v>
      </c>
      <c r="C325" s="99" t="s">
        <v>46</v>
      </c>
      <c r="D325" s="101"/>
      <c r="E325" s="102"/>
      <c r="F325" s="28">
        <f>+SUM(START:END!F325)</f>
        <v>12447.788414187882</v>
      </c>
      <c r="G325" s="103"/>
      <c r="H325" s="102"/>
      <c r="I325" s="28">
        <f>+SUM(START:END!I325)</f>
        <v>0</v>
      </c>
      <c r="J325" s="104"/>
      <c r="K325" s="102"/>
      <c r="L325" s="105">
        <f>+SUM(START:END!L325)</f>
        <v>22056.190000000002</v>
      </c>
      <c r="M325" s="104"/>
      <c r="N325" s="106">
        <f t="shared" si="110"/>
        <v>9608.4015858121202</v>
      </c>
      <c r="O325" s="104"/>
      <c r="P325" s="102"/>
      <c r="Q325" s="105">
        <f>+SUM(START:END!Q325)</f>
        <v>17102.73</v>
      </c>
      <c r="R325" s="104"/>
      <c r="S325" s="106">
        <f t="shared" si="111"/>
        <v>4953.4600000000028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3"/>
        <v>PiècesBénéfices marginaux</v>
      </c>
      <c r="B326" s="12" t="s">
        <v>103</v>
      </c>
      <c r="C326" s="99" t="s">
        <v>47</v>
      </c>
      <c r="D326" s="76"/>
      <c r="E326" s="14"/>
      <c r="F326" s="28">
        <f>+SUM(START:END!F326)</f>
        <v>8716.6638416705173</v>
      </c>
      <c r="G326" s="78"/>
      <c r="H326" s="14"/>
      <c r="I326" s="28">
        <f>+SUM(START:END!I326)</f>
        <v>0</v>
      </c>
      <c r="J326" s="38"/>
      <c r="K326" s="14"/>
      <c r="L326" s="31">
        <f>+SUM(START:END!L326)</f>
        <v>3031</v>
      </c>
      <c r="M326" s="38"/>
      <c r="N326" s="55">
        <f t="shared" si="110"/>
        <v>-5685.6638416705173</v>
      </c>
      <c r="O326" s="38"/>
      <c r="P326" s="14"/>
      <c r="Q326" s="31">
        <f>+SUM(START:END!Q326)</f>
        <v>14240.900000000001</v>
      </c>
      <c r="R326" s="38"/>
      <c r="S326" s="55">
        <f t="shared" si="111"/>
        <v>-11209.900000000001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3"/>
        <v>PiècesCsst</v>
      </c>
      <c r="B327" s="12" t="s">
        <v>103</v>
      </c>
      <c r="C327" s="99" t="s">
        <v>48</v>
      </c>
      <c r="D327" s="76"/>
      <c r="E327" s="14"/>
      <c r="F327" s="28">
        <f>+SUM(START:END!F327)</f>
        <v>4164.2015621745359</v>
      </c>
      <c r="G327" s="78"/>
      <c r="H327" s="14"/>
      <c r="I327" s="28">
        <f>+SUM(START:END!I327)</f>
        <v>0</v>
      </c>
      <c r="J327" s="38"/>
      <c r="K327" s="14"/>
      <c r="L327" s="31">
        <f>+SUM(START:END!L327)</f>
        <v>2804.51</v>
      </c>
      <c r="M327" s="38"/>
      <c r="N327" s="55">
        <f t="shared" si="110"/>
        <v>-1359.6915621745356</v>
      </c>
      <c r="O327" s="38"/>
      <c r="P327" s="14"/>
      <c r="Q327" s="31">
        <f>+SUM(START:END!Q327)</f>
        <v>3742.92</v>
      </c>
      <c r="R327" s="38"/>
      <c r="S327" s="55">
        <f t="shared" si="111"/>
        <v>-938.40999999999985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3"/>
        <v>Pièces[...]</v>
      </c>
      <c r="B328" s="12" t="s">
        <v>103</v>
      </c>
      <c r="C328" s="27" t="s">
        <v>20</v>
      </c>
      <c r="D328" s="83"/>
      <c r="E328" s="108"/>
      <c r="F328" s="28">
        <f>+SUM(START:END!F328)</f>
        <v>0</v>
      </c>
      <c r="G328" s="85"/>
      <c r="H328" s="108"/>
      <c r="I328" s="28">
        <f>+SUM(START:END!I328)</f>
        <v>0</v>
      </c>
      <c r="J328" s="23"/>
      <c r="K328" s="108"/>
      <c r="L328" s="31">
        <f>+SUM(START:END!L328)</f>
        <v>0</v>
      </c>
      <c r="M328" s="23"/>
      <c r="N328" s="88">
        <f t="shared" si="110"/>
        <v>0</v>
      </c>
      <c r="O328" s="23"/>
      <c r="P328" s="108"/>
      <c r="Q328" s="31">
        <f>+SUM(START:END!Q328)</f>
        <v>0</v>
      </c>
      <c r="R328" s="23"/>
      <c r="S328" s="88">
        <f t="shared" si="111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3"/>
        <v>PiècesTOTAL PERSONNEL</v>
      </c>
      <c r="B329" s="12" t="s">
        <v>103</v>
      </c>
      <c r="C329" s="90" t="s">
        <v>49</v>
      </c>
      <c r="D329" s="91" t="s">
        <v>39</v>
      </c>
      <c r="E329" s="92">
        <f>F329/F$313</f>
        <v>0.41123710996337093</v>
      </c>
      <c r="F329" s="93">
        <f>+SUM(F317:F328)</f>
        <v>139365.81351798298</v>
      </c>
      <c r="G329" s="94" t="s">
        <v>39</v>
      </c>
      <c r="H329" s="92" t="e">
        <f>I329/I$313</f>
        <v>#DIV/0!</v>
      </c>
      <c r="I329" s="93">
        <f>+SUM(I317:I328)</f>
        <v>0</v>
      </c>
      <c r="J329" s="94" t="s">
        <v>39</v>
      </c>
      <c r="K329" s="92">
        <f>L329/L$313</f>
        <v>0.36764478503224629</v>
      </c>
      <c r="L329" s="93">
        <f>+SUM(L317:L328)</f>
        <v>129421.73999999999</v>
      </c>
      <c r="M329" s="140"/>
      <c r="N329" s="110">
        <f t="shared" si="110"/>
        <v>-9944.0735179829935</v>
      </c>
      <c r="O329" s="94" t="s">
        <v>39</v>
      </c>
      <c r="P329" s="92">
        <f>Q329/Q$313</f>
        <v>0.41939043425770783</v>
      </c>
      <c r="Q329" s="93">
        <f>+SUM(Q317:Q328)</f>
        <v>153802.06</v>
      </c>
      <c r="R329" s="140"/>
      <c r="S329" s="110">
        <f t="shared" si="111"/>
        <v>-24380.320000000007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3"/>
        <v>PiècesPublicité 2</v>
      </c>
      <c r="B330" s="12" t="s">
        <v>103</v>
      </c>
      <c r="C330" s="190" t="s">
        <v>50</v>
      </c>
      <c r="D330" s="76"/>
      <c r="E330" s="14"/>
      <c r="F330" s="28">
        <f>+SUM(START:END!F330)</f>
        <v>13617.035818749999</v>
      </c>
      <c r="G330" s="78"/>
      <c r="H330" s="14"/>
      <c r="I330" s="28">
        <f>+SUM(START:END!I330)</f>
        <v>0</v>
      </c>
      <c r="J330" s="38"/>
      <c r="K330" s="14"/>
      <c r="L330" s="31">
        <f>+SUM(START:END!L330)</f>
        <v>14827.350000000002</v>
      </c>
      <c r="M330" s="38"/>
      <c r="N330" s="55">
        <f t="shared" si="110"/>
        <v>1210.3141812500035</v>
      </c>
      <c r="O330" s="38"/>
      <c r="P330" s="14"/>
      <c r="Q330" s="31">
        <f>+SUM(START:END!Q330)</f>
        <v>7684.45</v>
      </c>
      <c r="R330" s="38"/>
      <c r="S330" s="55">
        <f t="shared" si="111"/>
        <v>7142.9000000000024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3"/>
        <v>PiècesService gratuit 2</v>
      </c>
      <c r="B331" s="12" t="s">
        <v>103</v>
      </c>
      <c r="C331" s="99" t="s">
        <v>51</v>
      </c>
      <c r="D331" s="76"/>
      <c r="E331" s="14"/>
      <c r="F331" s="28">
        <f>+SUM(START:END!F331)</f>
        <v>2859.4125097536325</v>
      </c>
      <c r="G331" s="78"/>
      <c r="H331" s="14"/>
      <c r="I331" s="28">
        <f>+SUM(START:END!I331)</f>
        <v>0</v>
      </c>
      <c r="J331" s="38"/>
      <c r="K331" s="14"/>
      <c r="L331" s="31">
        <f>+SUM(START:END!L331)</f>
        <v>238.47</v>
      </c>
      <c r="M331" s="38"/>
      <c r="N331" s="55">
        <f t="shared" si="110"/>
        <v>-2620.9425097536327</v>
      </c>
      <c r="O331" s="38"/>
      <c r="P331" s="14"/>
      <c r="Q331" s="31">
        <f>+SUM(START:END!Q331)</f>
        <v>6115.2999999999993</v>
      </c>
      <c r="R331" s="38"/>
      <c r="S331" s="55">
        <f t="shared" si="111"/>
        <v>-5876.829999999999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3"/>
        <v>PiècesFrais véhicules de cie</v>
      </c>
      <c r="B332" s="12" t="s">
        <v>103</v>
      </c>
      <c r="C332" s="100" t="s">
        <v>52</v>
      </c>
      <c r="D332" s="83"/>
      <c r="E332" s="108"/>
      <c r="F332" s="22">
        <f>+SUM(START:END!F332)</f>
        <v>1427.5</v>
      </c>
      <c r="G332" s="85"/>
      <c r="H332" s="108"/>
      <c r="I332" s="22">
        <f>+SUM(START:END!I332)</f>
        <v>0</v>
      </c>
      <c r="J332" s="23"/>
      <c r="K332" s="108"/>
      <c r="L332" s="31">
        <f>+SUM(START:END!L332)</f>
        <v>2932.62</v>
      </c>
      <c r="M332" s="23"/>
      <c r="N332" s="88">
        <f t="shared" si="110"/>
        <v>1505.12</v>
      </c>
      <c r="O332" s="23"/>
      <c r="P332" s="108"/>
      <c r="Q332" s="31">
        <f>+SUM(START:END!Q332)</f>
        <v>827.25</v>
      </c>
      <c r="R332" s="23"/>
      <c r="S332" s="88">
        <f t="shared" si="111"/>
        <v>2105.37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3"/>
        <v>PiècesInformatique</v>
      </c>
      <c r="B333" s="12" t="s">
        <v>103</v>
      </c>
      <c r="C333" s="99" t="s">
        <v>53</v>
      </c>
      <c r="D333" s="76"/>
      <c r="E333" s="14"/>
      <c r="F333" s="28">
        <f>+SUM(START:END!F333)</f>
        <v>10534.971325000002</v>
      </c>
      <c r="G333" s="78"/>
      <c r="H333" s="14"/>
      <c r="I333" s="28">
        <f>+SUM(START:END!I333)</f>
        <v>0</v>
      </c>
      <c r="J333" s="38"/>
      <c r="K333" s="14"/>
      <c r="L333" s="105">
        <f>+SUM(START:END!L333)</f>
        <v>11960.47</v>
      </c>
      <c r="M333" s="38"/>
      <c r="N333" s="55">
        <f t="shared" si="110"/>
        <v>1425.4986749999971</v>
      </c>
      <c r="O333" s="38"/>
      <c r="P333" s="14"/>
      <c r="Q333" s="105">
        <f>+SUM(START:END!Q333)</f>
        <v>11729.69</v>
      </c>
      <c r="R333" s="38"/>
      <c r="S333" s="55">
        <f t="shared" si="111"/>
        <v>230.77999999999884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3"/>
        <v>PiècesFrais de déplacement</v>
      </c>
      <c r="B334" s="12" t="s">
        <v>103</v>
      </c>
      <c r="C334" s="99" t="s">
        <v>54</v>
      </c>
      <c r="D334" s="76"/>
      <c r="E334" s="14"/>
      <c r="F334" s="28">
        <f>+SUM(START:END!F334)</f>
        <v>2343.9563546874997</v>
      </c>
      <c r="G334" s="78"/>
      <c r="H334" s="14"/>
      <c r="I334" s="28">
        <f>+SUM(START:END!I334)</f>
        <v>0</v>
      </c>
      <c r="J334" s="38"/>
      <c r="K334" s="14"/>
      <c r="L334" s="31">
        <f>+SUM(START:END!L334)</f>
        <v>2433.81</v>
      </c>
      <c r="M334" s="38"/>
      <c r="N334" s="55">
        <f t="shared" si="110"/>
        <v>89.853645312500248</v>
      </c>
      <c r="O334" s="38"/>
      <c r="P334" s="14"/>
      <c r="Q334" s="31">
        <f>+SUM(START:END!Q334)</f>
        <v>1902.48</v>
      </c>
      <c r="R334" s="38"/>
      <c r="S334" s="55">
        <f t="shared" si="111"/>
        <v>531.32999999999993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3"/>
        <v>PiècesServices extérieurs</v>
      </c>
      <c r="B335" s="12" t="s">
        <v>103</v>
      </c>
      <c r="C335" s="209" t="s">
        <v>55</v>
      </c>
      <c r="D335" s="83"/>
      <c r="E335" s="108"/>
      <c r="F335" s="22">
        <f>+SUM(START:END!F335)</f>
        <v>23404.264941666668</v>
      </c>
      <c r="G335" s="85"/>
      <c r="H335" s="108"/>
      <c r="I335" s="22">
        <f>+SUM(START:END!I335)</f>
        <v>0</v>
      </c>
      <c r="J335" s="23"/>
      <c r="K335" s="108"/>
      <c r="L335" s="45">
        <f>+SUM(START:END!L335)</f>
        <v>50011.19</v>
      </c>
      <c r="M335" s="23"/>
      <c r="N335" s="88">
        <f t="shared" si="110"/>
        <v>26606.925058333334</v>
      </c>
      <c r="O335" s="23"/>
      <c r="P335" s="108"/>
      <c r="Q335" s="45">
        <f>+SUM(START:END!Q335)</f>
        <v>28673.589999999997</v>
      </c>
      <c r="R335" s="23"/>
      <c r="S335" s="88">
        <f t="shared" si="111"/>
        <v>21337.600000000006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3"/>
        <v>PiècesFournitures d'atelier</v>
      </c>
      <c r="B336" s="12" t="s">
        <v>103</v>
      </c>
      <c r="C336" s="99" t="s">
        <v>98</v>
      </c>
      <c r="D336" s="76"/>
      <c r="E336" s="14"/>
      <c r="F336" s="28">
        <f>+SUM(START:END!F336)</f>
        <v>0</v>
      </c>
      <c r="G336" s="78"/>
      <c r="H336" s="14"/>
      <c r="I336" s="28">
        <f>+SUM(START:END!I336)</f>
        <v>0</v>
      </c>
      <c r="J336" s="38"/>
      <c r="K336" s="14"/>
      <c r="L336" s="31">
        <f>+SUM(START:END!L336)</f>
        <v>0</v>
      </c>
      <c r="M336" s="38"/>
      <c r="N336" s="55">
        <f t="shared" si="110"/>
        <v>0</v>
      </c>
      <c r="O336" s="38"/>
      <c r="P336" s="14"/>
      <c r="Q336" s="31">
        <f>+SUM(START:END!Q336)</f>
        <v>0</v>
      </c>
      <c r="R336" s="38"/>
      <c r="S336" s="55">
        <f t="shared" si="111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3"/>
        <v>PiècesFournitures autres</v>
      </c>
      <c r="B337" s="12" t="s">
        <v>103</v>
      </c>
      <c r="C337" s="99" t="s">
        <v>56</v>
      </c>
      <c r="D337" s="76"/>
      <c r="E337" s="14"/>
      <c r="F337" s="28">
        <f>+SUM(START:END!F337)</f>
        <v>366.73154759785461</v>
      </c>
      <c r="G337" s="78"/>
      <c r="H337" s="14"/>
      <c r="I337" s="28">
        <f>+SUM(START:END!I337)</f>
        <v>0</v>
      </c>
      <c r="J337" s="38"/>
      <c r="K337" s="14"/>
      <c r="L337" s="31">
        <f>+SUM(START:END!L337)</f>
        <v>840.48</v>
      </c>
      <c r="M337" s="38"/>
      <c r="N337" s="55">
        <f t="shared" si="110"/>
        <v>473.7484524021454</v>
      </c>
      <c r="O337" s="38"/>
      <c r="P337" s="14"/>
      <c r="Q337" s="31">
        <f>+SUM(START:END!Q337)</f>
        <v>121.06</v>
      </c>
      <c r="R337" s="38"/>
      <c r="S337" s="55">
        <f t="shared" si="111"/>
        <v>719.42000000000007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3"/>
        <v>PiècesUniformes</v>
      </c>
      <c r="B338" s="12" t="s">
        <v>103</v>
      </c>
      <c r="C338" s="99" t="s">
        <v>57</v>
      </c>
      <c r="D338" s="76"/>
      <c r="E338" s="14"/>
      <c r="F338" s="28">
        <f>+SUM(START:END!F338)</f>
        <v>189.3759898705984</v>
      </c>
      <c r="G338" s="78"/>
      <c r="H338" s="14"/>
      <c r="I338" s="28">
        <f>+SUM(START:END!I338)</f>
        <v>0</v>
      </c>
      <c r="J338" s="38"/>
      <c r="K338" s="14"/>
      <c r="L338" s="31">
        <f>+SUM(START:END!L338)</f>
        <v>0</v>
      </c>
      <c r="M338" s="38"/>
      <c r="N338" s="55">
        <f t="shared" si="110"/>
        <v>-189.3759898705984</v>
      </c>
      <c r="O338" s="38"/>
      <c r="P338" s="14"/>
      <c r="Q338" s="31">
        <f>+SUM(START:END!Q338)</f>
        <v>0</v>
      </c>
      <c r="R338" s="38"/>
      <c r="S338" s="55">
        <f t="shared" si="111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3"/>
        <v>PiècesPapeterie</v>
      </c>
      <c r="B339" s="12" t="s">
        <v>103</v>
      </c>
      <c r="C339" s="99" t="s">
        <v>58</v>
      </c>
      <c r="D339" s="76"/>
      <c r="E339" s="14"/>
      <c r="F339" s="28">
        <f>+SUM(START:END!F339)</f>
        <v>1789.3383637499994</v>
      </c>
      <c r="G339" s="78"/>
      <c r="H339" s="14"/>
      <c r="I339" s="28">
        <f>+SUM(START:END!I339)</f>
        <v>0</v>
      </c>
      <c r="J339" s="38"/>
      <c r="K339" s="14"/>
      <c r="L339" s="30">
        <f>+SUM(START:END!L339)</f>
        <v>1781.09</v>
      </c>
      <c r="M339" s="38"/>
      <c r="N339" s="55">
        <f t="shared" si="110"/>
        <v>-8.2483637499994984</v>
      </c>
      <c r="O339" s="38"/>
      <c r="P339" s="14"/>
      <c r="Q339" s="30">
        <f>+SUM(START:END!Q339)</f>
        <v>2017.67</v>
      </c>
      <c r="R339" s="38"/>
      <c r="S339" s="55">
        <f t="shared" si="111"/>
        <v>-236.58000000000015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3"/>
        <v>PiècesTéléphone</v>
      </c>
      <c r="B340" s="12" t="s">
        <v>103</v>
      </c>
      <c r="C340" s="99" t="s">
        <v>59</v>
      </c>
      <c r="D340" s="76"/>
      <c r="E340" s="14"/>
      <c r="F340" s="28">
        <f>+SUM(START:END!F340)</f>
        <v>606.37558630208332</v>
      </c>
      <c r="G340" s="78"/>
      <c r="H340" s="14"/>
      <c r="I340" s="28">
        <f>+SUM(START:END!I340)</f>
        <v>0</v>
      </c>
      <c r="J340" s="38"/>
      <c r="K340" s="14"/>
      <c r="L340" s="31">
        <f>+SUM(START:END!L340)</f>
        <v>354.68</v>
      </c>
      <c r="M340" s="38"/>
      <c r="N340" s="55">
        <f t="shared" si="110"/>
        <v>-251.69558630208331</v>
      </c>
      <c r="O340" s="38"/>
      <c r="P340" s="14"/>
      <c r="Q340" s="31">
        <f>+SUM(START:END!Q340)</f>
        <v>273.98</v>
      </c>
      <c r="R340" s="38"/>
      <c r="S340" s="55">
        <f t="shared" si="111"/>
        <v>80.699999999999989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3"/>
        <v>PiècesFrais postaux</v>
      </c>
      <c r="B341" s="12" t="s">
        <v>103</v>
      </c>
      <c r="C341" s="99" t="s">
        <v>60</v>
      </c>
      <c r="D341" s="76"/>
      <c r="E341" s="14"/>
      <c r="F341" s="28">
        <f>+SUM(START:END!F341)</f>
        <v>290.02568869791662</v>
      </c>
      <c r="G341" s="78"/>
      <c r="H341" s="14"/>
      <c r="I341" s="28">
        <f>+SUM(START:END!I341)</f>
        <v>0</v>
      </c>
      <c r="J341" s="38"/>
      <c r="K341" s="14"/>
      <c r="L341" s="31">
        <f>+SUM(START:END!L341)</f>
        <v>703.69999999999982</v>
      </c>
      <c r="M341" s="38"/>
      <c r="N341" s="55">
        <f t="shared" si="110"/>
        <v>413.6743113020832</v>
      </c>
      <c r="O341" s="38"/>
      <c r="P341" s="14"/>
      <c r="Q341" s="31">
        <f>+SUM(START:END!Q341)</f>
        <v>94.94</v>
      </c>
      <c r="R341" s="38"/>
      <c r="S341" s="55">
        <f t="shared" si="111"/>
        <v>608.75999999999976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3"/>
        <v>PiècesDivers</v>
      </c>
      <c r="B342" s="12" t="s">
        <v>103</v>
      </c>
      <c r="C342" s="99" t="s">
        <v>61</v>
      </c>
      <c r="D342" s="76"/>
      <c r="E342" s="14"/>
      <c r="F342" s="28">
        <f>+SUM(START:END!F342)</f>
        <v>1101.9899133854167</v>
      </c>
      <c r="G342" s="78"/>
      <c r="H342" s="14"/>
      <c r="I342" s="28">
        <f>+SUM(START:END!I342)</f>
        <v>0</v>
      </c>
      <c r="J342" s="38"/>
      <c r="K342" s="14"/>
      <c r="L342" s="31">
        <f>+SUM(START:END!L342)</f>
        <v>304.69</v>
      </c>
      <c r="M342" s="38"/>
      <c r="N342" s="55">
        <f t="shared" si="110"/>
        <v>-797.29991338541663</v>
      </c>
      <c r="O342" s="38"/>
      <c r="P342" s="14"/>
      <c r="Q342" s="31">
        <f>+SUM(START:END!Q342)</f>
        <v>276.95000000000005</v>
      </c>
      <c r="R342" s="38"/>
      <c r="S342" s="55">
        <f t="shared" si="111"/>
        <v>27.739999999999952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3"/>
        <v>PiècesFormation</v>
      </c>
      <c r="B343" s="12" t="s">
        <v>103</v>
      </c>
      <c r="C343" s="99" t="s">
        <v>62</v>
      </c>
      <c r="D343" s="76"/>
      <c r="E343" s="14"/>
      <c r="F343" s="28">
        <f>+SUM(START:END!F343)</f>
        <v>1586.256296849469</v>
      </c>
      <c r="G343" s="78"/>
      <c r="H343" s="14"/>
      <c r="I343" s="28">
        <f>+SUM(START:END!I343)</f>
        <v>0</v>
      </c>
      <c r="J343" s="38"/>
      <c r="K343" s="14"/>
      <c r="L343" s="31">
        <f>+SUM(START:END!L343)</f>
        <v>963.24</v>
      </c>
      <c r="M343" s="38"/>
      <c r="N343" s="55">
        <f t="shared" si="110"/>
        <v>-623.01629684946897</v>
      </c>
      <c r="O343" s="38"/>
      <c r="P343" s="14"/>
      <c r="Q343" s="31">
        <f>+SUM(START:END!Q343)</f>
        <v>655.55</v>
      </c>
      <c r="R343" s="38"/>
      <c r="S343" s="55">
        <f t="shared" si="111"/>
        <v>307.69000000000005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3"/>
        <v>PiècesFrais bancaires</v>
      </c>
      <c r="B344" s="12" t="s">
        <v>103</v>
      </c>
      <c r="C344" s="99" t="s">
        <v>63</v>
      </c>
      <c r="D344" s="76"/>
      <c r="E344" s="14"/>
      <c r="F344" s="28">
        <f>+SUM(START:END!F344)</f>
        <v>2861.7352567728303</v>
      </c>
      <c r="G344" s="78"/>
      <c r="H344" s="14"/>
      <c r="I344" s="28">
        <f>+SUM(START:END!I344)</f>
        <v>0</v>
      </c>
      <c r="J344" s="38"/>
      <c r="K344" s="14"/>
      <c r="L344" s="30">
        <f>+SUM(START:END!L344)</f>
        <v>4297.68</v>
      </c>
      <c r="M344" s="38"/>
      <c r="N344" s="55">
        <f t="shared" si="110"/>
        <v>1435.94474322717</v>
      </c>
      <c r="O344" s="38"/>
      <c r="P344" s="14"/>
      <c r="Q344" s="31">
        <f>+SUM(START:END!Q344)</f>
        <v>5007.9300000000021</v>
      </c>
      <c r="R344" s="38"/>
      <c r="S344" s="55">
        <f t="shared" si="111"/>
        <v>-710.25000000000182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3"/>
        <v>Pièces[...]</v>
      </c>
      <c r="B345" s="12" t="s">
        <v>103</v>
      </c>
      <c r="C345" s="99" t="s">
        <v>20</v>
      </c>
      <c r="D345" s="76"/>
      <c r="E345" s="14"/>
      <c r="F345" s="28">
        <f>+SUM(START:END!F345)</f>
        <v>0</v>
      </c>
      <c r="G345" s="78"/>
      <c r="H345" s="14"/>
      <c r="I345" s="28">
        <f>+SUM(START:END!I345)</f>
        <v>0</v>
      </c>
      <c r="J345" s="38"/>
      <c r="K345" s="14"/>
      <c r="L345" s="31">
        <f>+SUM(START:END!L345)</f>
        <v>0</v>
      </c>
      <c r="M345" s="38"/>
      <c r="N345" s="55">
        <f t="shared" si="110"/>
        <v>0</v>
      </c>
      <c r="O345" s="38"/>
      <c r="P345" s="14"/>
      <c r="Q345" s="31">
        <f>+SUM(START:END!Q345)</f>
        <v>0</v>
      </c>
      <c r="R345" s="38"/>
      <c r="S345" s="55">
        <f t="shared" si="111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3"/>
        <v>Pièces[...]</v>
      </c>
      <c r="B346" s="12" t="s">
        <v>103</v>
      </c>
      <c r="C346" s="99" t="s">
        <v>20</v>
      </c>
      <c r="D346" s="76"/>
      <c r="E346" s="14"/>
      <c r="F346" s="28">
        <f>+SUM(START:END!F346)</f>
        <v>0</v>
      </c>
      <c r="G346" s="78"/>
      <c r="H346" s="14"/>
      <c r="I346" s="28">
        <f>+SUM(START:END!I346)</f>
        <v>0</v>
      </c>
      <c r="J346" s="38"/>
      <c r="K346" s="14"/>
      <c r="L346" s="31">
        <f>+SUM(START:END!L346)</f>
        <v>0</v>
      </c>
      <c r="M346" s="38"/>
      <c r="N346" s="55">
        <f t="shared" si="110"/>
        <v>0</v>
      </c>
      <c r="O346" s="38"/>
      <c r="P346" s="14"/>
      <c r="Q346" s="31">
        <f>+SUM(START:END!Q346)</f>
        <v>0</v>
      </c>
      <c r="R346" s="38"/>
      <c r="S346" s="55">
        <f t="shared" si="111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3"/>
        <v>Pièces[...]</v>
      </c>
      <c r="B347" s="12" t="s">
        <v>103</v>
      </c>
      <c r="C347" s="99" t="s">
        <v>20</v>
      </c>
      <c r="D347" s="76"/>
      <c r="E347" s="14"/>
      <c r="F347" s="28">
        <f>+SUM(START:END!F347)</f>
        <v>0</v>
      </c>
      <c r="G347" s="78"/>
      <c r="H347" s="14"/>
      <c r="I347" s="28">
        <f>+SUM(START:END!I347)</f>
        <v>0</v>
      </c>
      <c r="J347" s="38"/>
      <c r="K347" s="14"/>
      <c r="L347" s="31">
        <f>+SUM(START:END!L347)</f>
        <v>0</v>
      </c>
      <c r="M347" s="38"/>
      <c r="N347" s="55">
        <f t="shared" si="110"/>
        <v>0</v>
      </c>
      <c r="O347" s="38"/>
      <c r="P347" s="14"/>
      <c r="Q347" s="31">
        <f>+SUM(START:END!Q347)</f>
        <v>0</v>
      </c>
      <c r="R347" s="38"/>
      <c r="S347" s="55">
        <f t="shared" si="111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0" t="s">
        <v>64</v>
      </c>
      <c r="D348" s="91" t="s">
        <v>39</v>
      </c>
      <c r="E348" s="92">
        <f>F348/F$313</f>
        <v>0.18583674712011758</v>
      </c>
      <c r="F348" s="93">
        <f>+SUM(F330:F347)</f>
        <v>62978.969593083973</v>
      </c>
      <c r="G348" s="94" t="s">
        <v>39</v>
      </c>
      <c r="H348" s="92" t="e">
        <f>I348/I$313</f>
        <v>#DIV/0!</v>
      </c>
      <c r="I348" s="93">
        <f>+SUM(I330:I347)</f>
        <v>0</v>
      </c>
      <c r="J348" s="94" t="s">
        <v>39</v>
      </c>
      <c r="K348" s="92">
        <f>L348/L$313</f>
        <v>0.2603461342466058</v>
      </c>
      <c r="L348" s="93">
        <f>+SUM(L330:L347)</f>
        <v>91649.47</v>
      </c>
      <c r="M348" s="97"/>
      <c r="N348" s="93">
        <f>+SUM(N330:N347)</f>
        <v>28670.500406916031</v>
      </c>
      <c r="O348" s="94" t="s">
        <v>39</v>
      </c>
      <c r="P348" s="92">
        <f>Q348/Q$313</f>
        <v>0.17828174004778422</v>
      </c>
      <c r="Q348" s="93">
        <f>+SUM(Q330:Q347)</f>
        <v>65380.84</v>
      </c>
      <c r="R348" s="97"/>
      <c r="S348" s="93">
        <f>+SUM(S330:S347)</f>
        <v>26268.630000000005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2"/>
      <c r="D349" s="83"/>
      <c r="E349" s="108"/>
      <c r="F349" s="55"/>
      <c r="G349" s="85"/>
      <c r="H349" s="108"/>
      <c r="I349" s="55"/>
      <c r="J349" s="23"/>
      <c r="K349" s="108"/>
      <c r="L349" s="88"/>
      <c r="M349" s="23"/>
      <c r="N349" s="88"/>
      <c r="O349" s="23"/>
      <c r="P349" s="108"/>
      <c r="Q349" s="88"/>
      <c r="R349" s="23"/>
      <c r="S349" s="88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0" t="s">
        <v>65</v>
      </c>
      <c r="D350" s="91" t="s">
        <v>39</v>
      </c>
      <c r="E350" s="92">
        <f>F350/F$313</f>
        <v>0.59707385708348848</v>
      </c>
      <c r="F350" s="93">
        <f>F329+F348</f>
        <v>202344.78311106696</v>
      </c>
      <c r="G350" s="94" t="s">
        <v>39</v>
      </c>
      <c r="H350" s="92" t="e">
        <f>I350/I$313</f>
        <v>#DIV/0!</v>
      </c>
      <c r="I350" s="93">
        <f>I329+I348</f>
        <v>0</v>
      </c>
      <c r="J350" s="94" t="s">
        <v>39</v>
      </c>
      <c r="K350" s="92">
        <f>L350/L$313</f>
        <v>0.62799091927885209</v>
      </c>
      <c r="L350" s="93">
        <f>L329+L348</f>
        <v>221071.21</v>
      </c>
      <c r="M350" s="97"/>
      <c r="N350" s="110">
        <f>L350-F350</f>
        <v>18726.426888933027</v>
      </c>
      <c r="O350" s="94" t="s">
        <v>39</v>
      </c>
      <c r="P350" s="92">
        <f>Q350/Q$313</f>
        <v>0.59767217430549202</v>
      </c>
      <c r="Q350" s="93">
        <f>Q329+Q348</f>
        <v>219182.9</v>
      </c>
      <c r="R350" s="97"/>
      <c r="S350" s="110">
        <f>L350-Q350</f>
        <v>1888.3099999999977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27"/>
      <c r="D351" s="76"/>
      <c r="E351" s="14"/>
      <c r="F351" s="55"/>
      <c r="G351" s="78"/>
      <c r="H351" s="14"/>
      <c r="I351" s="55"/>
      <c r="J351" s="38"/>
      <c r="K351" s="14"/>
      <c r="L351" s="55"/>
      <c r="M351" s="38"/>
      <c r="N351" s="55">
        <f>L351-F351</f>
        <v>0</v>
      </c>
      <c r="O351" s="38"/>
      <c r="P351" s="14"/>
      <c r="Q351" s="55"/>
      <c r="R351" s="38"/>
      <c r="S351" s="55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0" t="s">
        <v>72</v>
      </c>
      <c r="D352" s="145"/>
      <c r="E352" s="121"/>
      <c r="F352" s="123">
        <f>F313-F350</f>
        <v>136549.27615901292</v>
      </c>
      <c r="G352" s="146"/>
      <c r="H352" s="121"/>
      <c r="I352" s="123">
        <f>I313-I350</f>
        <v>0</v>
      </c>
      <c r="J352" s="147"/>
      <c r="K352" s="122"/>
      <c r="L352" s="123">
        <f>L313-L350</f>
        <v>130958.1</v>
      </c>
      <c r="M352" s="418"/>
      <c r="N352" s="205">
        <f>L352-F352</f>
        <v>-5591.1761590129172</v>
      </c>
      <c r="O352" s="147"/>
      <c r="P352" s="122"/>
      <c r="Q352" s="123">
        <f>Q313-Q350</f>
        <v>147544.73000000001</v>
      </c>
      <c r="R352" s="418"/>
      <c r="S352" s="205">
        <f>L352-Q352</f>
        <v>-16586.630000000005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1"/>
      <c r="D353" s="76"/>
      <c r="E353" s="14"/>
      <c r="F353" s="109"/>
      <c r="G353" s="76"/>
      <c r="H353" s="14"/>
      <c r="I353" s="109"/>
      <c r="J353" s="71"/>
      <c r="K353" s="71"/>
      <c r="L353" s="109"/>
      <c r="M353" s="71"/>
      <c r="N353" s="109"/>
      <c r="O353" s="71"/>
      <c r="P353" s="71"/>
      <c r="Q353" s="109"/>
      <c r="R353" s="71"/>
      <c r="S353" s="109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1"/>
      <c r="D354" s="76"/>
      <c r="E354" s="14"/>
      <c r="F354" s="109"/>
      <c r="G354" s="76"/>
      <c r="H354" s="14"/>
      <c r="I354" s="109">
        <f>+I193</f>
        <v>0</v>
      </c>
      <c r="J354" s="71"/>
      <c r="K354" s="71"/>
      <c r="L354" s="109"/>
      <c r="M354" s="71"/>
      <c r="N354" s="109"/>
      <c r="O354" s="71"/>
      <c r="P354" s="71"/>
      <c r="Q354" s="109"/>
      <c r="R354" s="71"/>
      <c r="S354" s="109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119</v>
      </c>
      <c r="L355" s="2"/>
      <c r="M355" s="2"/>
      <c r="N355" s="1"/>
      <c r="O355" s="1"/>
      <c r="P355" s="2"/>
      <c r="Q355" s="1"/>
      <c r="R355" s="2"/>
      <c r="S355" s="5" t="str">
        <f>$S$1</f>
        <v>Réalisé  Volks T3 2023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 thickTop="1">
      <c r="B357" s="7"/>
      <c r="C357" s="13"/>
      <c r="D357" s="842" t="s">
        <v>5</v>
      </c>
      <c r="E357" s="843"/>
      <c r="F357" s="844"/>
      <c r="G357" s="845" t="s">
        <v>74</v>
      </c>
      <c r="H357" s="843"/>
      <c r="I357" s="844"/>
      <c r="J357" s="845" t="s">
        <v>7</v>
      </c>
      <c r="K357" s="843"/>
      <c r="L357" s="844"/>
      <c r="M357" s="845" t="s">
        <v>8</v>
      </c>
      <c r="N357" s="844"/>
      <c r="O357" s="842" t="s">
        <v>9</v>
      </c>
      <c r="P357" s="843"/>
      <c r="Q357" s="844"/>
      <c r="R357" s="845" t="s">
        <v>10</v>
      </c>
      <c r="S357" s="853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 thickBot="1">
      <c r="A358" t="str">
        <f t="shared" ref="A358:A393" si="112">+B358&amp;C358</f>
        <v>Boutique</v>
      </c>
      <c r="B358" s="12" t="s">
        <v>119</v>
      </c>
      <c r="C358" s="27"/>
      <c r="D358" s="210" t="s">
        <v>84</v>
      </c>
      <c r="E358" s="210" t="s">
        <v>104</v>
      </c>
      <c r="F358" s="211" t="s">
        <v>13</v>
      </c>
      <c r="G358" s="212" t="s">
        <v>84</v>
      </c>
      <c r="H358" s="210" t="s">
        <v>104</v>
      </c>
      <c r="I358" s="211" t="s">
        <v>13</v>
      </c>
      <c r="J358" s="130" t="s">
        <v>84</v>
      </c>
      <c r="K358" s="75" t="s">
        <v>104</v>
      </c>
      <c r="L358" s="129" t="s">
        <v>13</v>
      </c>
      <c r="M358" s="130" t="s">
        <v>40</v>
      </c>
      <c r="N358" s="129" t="s">
        <v>13</v>
      </c>
      <c r="O358" s="130" t="s">
        <v>84</v>
      </c>
      <c r="P358" s="75" t="s">
        <v>104</v>
      </c>
      <c r="Q358" s="129" t="s">
        <v>13</v>
      </c>
      <c r="R358" s="130" t="s">
        <v>85</v>
      </c>
      <c r="S358" s="131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 thickTop="1">
      <c r="A359" t="str">
        <f t="shared" si="112"/>
        <v>BoutiqueBoutique</v>
      </c>
      <c r="B359" s="12" t="s">
        <v>119</v>
      </c>
      <c r="C359" s="58" t="s">
        <v>119</v>
      </c>
      <c r="D359" s="213">
        <f>+SUM(START:END!D359)</f>
        <v>0</v>
      </c>
      <c r="E359" s="214">
        <f>IFERROR(F359/D359,0)</f>
        <v>0</v>
      </c>
      <c r="F359" s="215">
        <f>+SUM(START:END!F359)</f>
        <v>0</v>
      </c>
      <c r="G359" s="213">
        <f>+SUM(START:END!G359)</f>
        <v>0</v>
      </c>
      <c r="H359" s="214">
        <f>IFERROR(I359/G359,0)</f>
        <v>0</v>
      </c>
      <c r="I359" s="213">
        <f>+SUM(START:END!I359)</f>
        <v>0</v>
      </c>
      <c r="J359" s="216">
        <f>+SUM(START:END!J359)</f>
        <v>0</v>
      </c>
      <c r="K359" s="198">
        <f>IFERROR(L359/J359,0)</f>
        <v>0</v>
      </c>
      <c r="L359" s="217">
        <f>+SUM(START:END!L359)</f>
        <v>0</v>
      </c>
      <c r="M359" s="199">
        <f>IF(G359=0,0,(+J359-G359)/G359)</f>
        <v>0</v>
      </c>
      <c r="N359" s="200">
        <f>L359-I359</f>
        <v>0</v>
      </c>
      <c r="O359" s="216">
        <f>+SUM(START:END!O359)</f>
        <v>0</v>
      </c>
      <c r="P359" s="198">
        <f>IFERROR(Q359/O359,0)</f>
        <v>0</v>
      </c>
      <c r="Q359" s="217">
        <f>+SUM(START:END!Q359)</f>
        <v>0</v>
      </c>
      <c r="R359" s="199">
        <f>IF(O359=0,0,(J359-O359)/O359)</f>
        <v>0</v>
      </c>
      <c r="S359" s="201">
        <f>L359-Q359</f>
        <v>0</v>
      </c>
      <c r="T359" s="11"/>
      <c r="U359" s="11"/>
      <c r="X359" s="218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 thickBot="1">
      <c r="A360" t="str">
        <f t="shared" si="112"/>
        <v>Boutique</v>
      </c>
      <c r="B360" s="12" t="s">
        <v>119</v>
      </c>
      <c r="C360" s="202"/>
      <c r="D360" s="203"/>
      <c r="E360" s="204"/>
      <c r="F360" s="205"/>
      <c r="G360" s="206"/>
      <c r="H360" s="204"/>
      <c r="I360" s="205"/>
      <c r="J360" s="206"/>
      <c r="K360" s="204"/>
      <c r="L360" s="205"/>
      <c r="M360" s="207"/>
      <c r="N360" s="69"/>
      <c r="O360" s="206"/>
      <c r="P360" s="204"/>
      <c r="Q360" s="205"/>
      <c r="R360" s="207"/>
      <c r="S360" s="70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 thickTop="1">
      <c r="A361" t="str">
        <f t="shared" si="112"/>
        <v>BoutiqueTotal Dépt. Boutique</v>
      </c>
      <c r="B361" s="12" t="s">
        <v>119</v>
      </c>
      <c r="C361" s="50" t="s">
        <v>120</v>
      </c>
      <c r="D361" s="219">
        <f>+D359</f>
        <v>0</v>
      </c>
      <c r="E361" s="163">
        <f>IF(D361&lt;=0,0,F361/D361)</f>
        <v>0</v>
      </c>
      <c r="F361" s="165">
        <f t="shared" ref="F361" si="113">+F359</f>
        <v>0</v>
      </c>
      <c r="G361" s="164">
        <f>+G359</f>
        <v>0</v>
      </c>
      <c r="H361" s="163">
        <f>IF(G361&lt;=0,0,I361/G361)</f>
        <v>0</v>
      </c>
      <c r="I361" s="165">
        <f t="shared" ref="I361" si="114">+I359</f>
        <v>0</v>
      </c>
      <c r="J361" s="164">
        <f>+J359</f>
        <v>0</v>
      </c>
      <c r="K361" s="163">
        <f>IF(J361&lt;=0,0,L361/J361)</f>
        <v>0</v>
      </c>
      <c r="L361" s="165">
        <f t="shared" ref="L361" si="115">+L359</f>
        <v>0</v>
      </c>
      <c r="M361" s="220">
        <f>IF(G361=0,0,(+J361-G361)/G361)</f>
        <v>0</v>
      </c>
      <c r="N361" s="221">
        <f>L361-I361</f>
        <v>0</v>
      </c>
      <c r="O361" s="164">
        <f>+O359</f>
        <v>0</v>
      </c>
      <c r="P361" s="163">
        <f>IF(O361&lt;=0,0,Q361/O361)</f>
        <v>0</v>
      </c>
      <c r="Q361" s="165">
        <f t="shared" ref="Q361" si="116">+Q359</f>
        <v>0</v>
      </c>
      <c r="R361" s="38">
        <f>IF(O361=0,0,(J361-O361)/O361)</f>
        <v>0</v>
      </c>
      <c r="S361" s="41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tr">
        <f t="shared" si="112"/>
        <v>Boutique</v>
      </c>
      <c r="B362" s="12" t="s">
        <v>119</v>
      </c>
      <c r="C362" s="74"/>
      <c r="D362" s="14"/>
      <c r="E362" s="14"/>
      <c r="F362" s="55"/>
      <c r="G362" s="38"/>
      <c r="H362" s="222"/>
      <c r="I362" s="55"/>
      <c r="J362" s="38"/>
      <c r="K362" s="14"/>
      <c r="L362" s="37"/>
      <c r="M362" s="38"/>
      <c r="N362" s="223">
        <f>IF(H362=0,0,(+K362-H362)/H362)</f>
        <v>0</v>
      </c>
      <c r="O362" s="38"/>
      <c r="P362" s="14"/>
      <c r="Q362" s="37"/>
      <c r="R362" s="38"/>
      <c r="S362" s="57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tr">
        <f t="shared" si="112"/>
        <v>BoutiqueDEPENSES</v>
      </c>
      <c r="B363" s="12" t="s">
        <v>119</v>
      </c>
      <c r="C363" s="74" t="s">
        <v>30</v>
      </c>
      <c r="D363" s="14"/>
      <c r="E363" s="14"/>
      <c r="F363" s="55"/>
      <c r="G363" s="38"/>
      <c r="H363" s="14"/>
      <c r="I363" s="55"/>
      <c r="J363" s="38"/>
      <c r="K363" s="14"/>
      <c r="L363" s="37"/>
      <c r="M363" s="38"/>
      <c r="N363" s="37"/>
      <c r="O363" s="38"/>
      <c r="P363" s="14"/>
      <c r="Q363" s="37"/>
      <c r="R363" s="38"/>
      <c r="S363" s="57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tr">
        <f t="shared" si="112"/>
        <v>BoutiqueSalaires cadres</v>
      </c>
      <c r="B364" s="12" t="s">
        <v>119</v>
      </c>
      <c r="C364" s="99" t="s">
        <v>41</v>
      </c>
      <c r="D364" s="14"/>
      <c r="E364" s="14"/>
      <c r="F364" s="28">
        <f>+SUM(START:END!F364)</f>
        <v>0</v>
      </c>
      <c r="G364" s="38"/>
      <c r="H364" s="14"/>
      <c r="I364" s="28">
        <f>+SUM(START:END!I364)</f>
        <v>0</v>
      </c>
      <c r="J364" s="38"/>
      <c r="K364" s="14"/>
      <c r="L364" s="31">
        <f>+SUM(START:END!L364)</f>
        <v>0</v>
      </c>
      <c r="M364" s="38"/>
      <c r="N364" s="37"/>
      <c r="O364" s="38"/>
      <c r="P364" s="14"/>
      <c r="Q364" s="31">
        <f>+SUM(START:END!Q364)</f>
        <v>0</v>
      </c>
      <c r="R364" s="38"/>
      <c r="S364" s="32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tr">
        <f t="shared" si="112"/>
        <v>BoutiqueSalaires commis</v>
      </c>
      <c r="B365" s="12" t="s">
        <v>119</v>
      </c>
      <c r="C365" s="100" t="s">
        <v>42</v>
      </c>
      <c r="D365" s="76"/>
      <c r="E365" s="14"/>
      <c r="F365" s="22">
        <f>+SUM(START:END!F365)</f>
        <v>0</v>
      </c>
      <c r="G365" s="78"/>
      <c r="H365" s="14"/>
      <c r="I365" s="22">
        <f>+SUM(START:END!I365)</f>
        <v>0</v>
      </c>
      <c r="J365" s="38"/>
      <c r="K365" s="14"/>
      <c r="L365" s="22">
        <f>+SUM(START:END!L365)</f>
        <v>0</v>
      </c>
      <c r="M365" s="38"/>
      <c r="N365" s="55">
        <f t="shared" ref="N365:N393" si="117">L365-I365</f>
        <v>0</v>
      </c>
      <c r="O365" s="38"/>
      <c r="P365" s="14"/>
      <c r="Q365" s="22">
        <f>+SUM(START:END!Q365)</f>
        <v>0</v>
      </c>
      <c r="R365" s="38"/>
      <c r="S365" s="80">
        <f t="shared" ref="S365:S393" si="118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tr">
        <f t="shared" si="112"/>
        <v>BoutiqueSalaires autres</v>
      </c>
      <c r="B366" s="12" t="s">
        <v>119</v>
      </c>
      <c r="C366" s="99" t="s">
        <v>43</v>
      </c>
      <c r="D366" s="101"/>
      <c r="E366" s="102"/>
      <c r="F366" s="28">
        <f>+SUM(START:END!F366)</f>
        <v>0</v>
      </c>
      <c r="G366" s="103"/>
      <c r="H366" s="102"/>
      <c r="I366" s="28">
        <f>+SUM(START:END!I366)</f>
        <v>0</v>
      </c>
      <c r="J366" s="104"/>
      <c r="K366" s="102"/>
      <c r="L366" s="31">
        <f>+SUM(START:END!L366)</f>
        <v>0</v>
      </c>
      <c r="M366" s="104"/>
      <c r="N366" s="106">
        <f t="shared" si="117"/>
        <v>0</v>
      </c>
      <c r="O366" s="104"/>
      <c r="P366" s="102"/>
      <c r="Q366" s="31">
        <f>+SUM(START:END!Q366)</f>
        <v>0</v>
      </c>
      <c r="R366" s="104"/>
      <c r="S366" s="107">
        <f t="shared" si="118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tr">
        <f t="shared" si="112"/>
        <v>BoutiqueSalaires spécialistes</v>
      </c>
      <c r="B367" s="12" t="s">
        <v>119</v>
      </c>
      <c r="C367" s="99" t="s">
        <v>44</v>
      </c>
      <c r="D367" s="76"/>
      <c r="E367" s="14"/>
      <c r="F367" s="28">
        <f>+SUM(START:END!F367)</f>
        <v>0</v>
      </c>
      <c r="G367" s="78"/>
      <c r="H367" s="14"/>
      <c r="I367" s="28">
        <f>+SUM(START:END!I367)</f>
        <v>0</v>
      </c>
      <c r="J367" s="38"/>
      <c r="K367" s="14"/>
      <c r="L367" s="31">
        <f>+SUM(START:END!L367)</f>
        <v>0</v>
      </c>
      <c r="M367" s="38"/>
      <c r="N367" s="55">
        <f t="shared" si="117"/>
        <v>0</v>
      </c>
      <c r="O367" s="38"/>
      <c r="P367" s="14"/>
      <c r="Q367" s="31">
        <f>+SUM(START:END!Q367)</f>
        <v>0</v>
      </c>
      <c r="R367" s="38"/>
      <c r="S367" s="80">
        <f t="shared" si="118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2"/>
        <v>Boutique[...]</v>
      </c>
      <c r="B368" s="12" t="s">
        <v>119</v>
      </c>
      <c r="C368" s="27" t="s">
        <v>20</v>
      </c>
      <c r="D368" s="76"/>
      <c r="E368" s="14"/>
      <c r="F368" s="28">
        <f>+SUM(START:END!F368)</f>
        <v>0</v>
      </c>
      <c r="G368" s="78"/>
      <c r="H368" s="14"/>
      <c r="I368" s="28">
        <f>+SUM(START:END!I368)</f>
        <v>0</v>
      </c>
      <c r="J368" s="38"/>
      <c r="K368" s="14"/>
      <c r="L368" s="31">
        <f>+SUM(START:END!L368)</f>
        <v>0</v>
      </c>
      <c r="M368" s="38"/>
      <c r="N368" s="55">
        <f t="shared" si="117"/>
        <v>0</v>
      </c>
      <c r="O368" s="38"/>
      <c r="P368" s="14"/>
      <c r="Q368" s="31">
        <f>+SUM(START:END!Q368)</f>
        <v>0</v>
      </c>
      <c r="R368" s="38"/>
      <c r="S368" s="80">
        <f t="shared" si="118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2"/>
        <v>Boutique[...]</v>
      </c>
      <c r="B369" s="12" t="s">
        <v>119</v>
      </c>
      <c r="C369" s="27" t="s">
        <v>20</v>
      </c>
      <c r="D369" s="76"/>
      <c r="E369" s="14"/>
      <c r="F369" s="28">
        <f>+SUM(START:END!F369)</f>
        <v>0</v>
      </c>
      <c r="G369" s="78"/>
      <c r="H369" s="14"/>
      <c r="I369" s="28">
        <f>+SUM(START:END!I369)</f>
        <v>0</v>
      </c>
      <c r="J369" s="38"/>
      <c r="K369" s="14"/>
      <c r="L369" s="31">
        <f>+SUM(START:END!L369)</f>
        <v>0</v>
      </c>
      <c r="M369" s="38"/>
      <c r="N369" s="55">
        <f t="shared" si="117"/>
        <v>0</v>
      </c>
      <c r="O369" s="38"/>
      <c r="P369" s="14"/>
      <c r="Q369" s="31">
        <f>+SUM(START:END!Q369)</f>
        <v>0</v>
      </c>
      <c r="R369" s="38"/>
      <c r="S369" s="80">
        <f t="shared" si="118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2"/>
        <v>Boutique[...]</v>
      </c>
      <c r="B370" s="12" t="s">
        <v>119</v>
      </c>
      <c r="C370" s="27" t="s">
        <v>20</v>
      </c>
      <c r="D370" s="76"/>
      <c r="E370" s="14"/>
      <c r="F370" s="28">
        <f>+SUM(START:END!F370)</f>
        <v>0</v>
      </c>
      <c r="G370" s="78"/>
      <c r="H370" s="14"/>
      <c r="I370" s="28">
        <f>+SUM(START:END!I370)</f>
        <v>0</v>
      </c>
      <c r="J370" s="38"/>
      <c r="K370" s="14"/>
      <c r="L370" s="31">
        <f>+SUM(START:END!L370)</f>
        <v>0</v>
      </c>
      <c r="M370" s="38"/>
      <c r="N370" s="55">
        <f t="shared" si="117"/>
        <v>0</v>
      </c>
      <c r="O370" s="38"/>
      <c r="P370" s="14"/>
      <c r="Q370" s="31">
        <f>+SUM(START:END!Q370)</f>
        <v>0</v>
      </c>
      <c r="R370" s="38"/>
      <c r="S370" s="80">
        <f t="shared" si="118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tr">
        <f t="shared" si="112"/>
        <v>BoutiqueSalaires en absences</v>
      </c>
      <c r="B371" s="12" t="s">
        <v>119</v>
      </c>
      <c r="C371" s="100" t="s">
        <v>45</v>
      </c>
      <c r="D371" s="76"/>
      <c r="E371" s="14"/>
      <c r="F371" s="22">
        <f>+SUM(START:END!F371)</f>
        <v>0</v>
      </c>
      <c r="G371" s="78"/>
      <c r="H371" s="14"/>
      <c r="I371" s="22">
        <f>+SUM(START:END!I371)</f>
        <v>0</v>
      </c>
      <c r="J371" s="38"/>
      <c r="K371" s="14"/>
      <c r="L371" s="22">
        <f>+SUM(START:END!L371)</f>
        <v>0</v>
      </c>
      <c r="M371" s="38"/>
      <c r="N371" s="55">
        <f t="shared" si="117"/>
        <v>0</v>
      </c>
      <c r="O371" s="38"/>
      <c r="P371" s="14"/>
      <c r="Q371" s="22">
        <f>+SUM(START:END!Q371)</f>
        <v>0</v>
      </c>
      <c r="R371" s="38"/>
      <c r="S371" s="80">
        <f t="shared" si="118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tr">
        <f t="shared" si="112"/>
        <v>BoutiqueDéduction à la source</v>
      </c>
      <c r="B372" s="12" t="s">
        <v>119</v>
      </c>
      <c r="C372" s="99" t="s">
        <v>46</v>
      </c>
      <c r="D372" s="101"/>
      <c r="E372" s="102"/>
      <c r="F372" s="28">
        <f>+SUM(START:END!F372)</f>
        <v>0</v>
      </c>
      <c r="G372" s="103"/>
      <c r="H372" s="102"/>
      <c r="I372" s="28">
        <f>+SUM(START:END!I372)</f>
        <v>0</v>
      </c>
      <c r="J372" s="104"/>
      <c r="K372" s="102"/>
      <c r="L372" s="31">
        <f>+SUM(START:END!L372)</f>
        <v>0</v>
      </c>
      <c r="M372" s="104"/>
      <c r="N372" s="106">
        <f t="shared" si="117"/>
        <v>0</v>
      </c>
      <c r="O372" s="104"/>
      <c r="P372" s="102"/>
      <c r="Q372" s="31">
        <f>+SUM(START:END!Q372)</f>
        <v>0</v>
      </c>
      <c r="R372" s="104"/>
      <c r="S372" s="107">
        <f t="shared" si="118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tr">
        <f t="shared" si="112"/>
        <v>BoutiqueBénéfices marginaux</v>
      </c>
      <c r="B373" s="12" t="s">
        <v>119</v>
      </c>
      <c r="C373" s="99" t="s">
        <v>47</v>
      </c>
      <c r="D373" s="76"/>
      <c r="E373" s="14"/>
      <c r="F373" s="28">
        <f>+SUM(START:END!F373)</f>
        <v>0</v>
      </c>
      <c r="G373" s="78"/>
      <c r="H373" s="14"/>
      <c r="I373" s="28">
        <f>+SUM(START:END!I373)</f>
        <v>0</v>
      </c>
      <c r="J373" s="38"/>
      <c r="K373" s="14"/>
      <c r="L373" s="31">
        <f>+SUM(START:END!L373)</f>
        <v>0</v>
      </c>
      <c r="M373" s="38"/>
      <c r="N373" s="55">
        <f t="shared" si="117"/>
        <v>0</v>
      </c>
      <c r="O373" s="38"/>
      <c r="P373" s="14"/>
      <c r="Q373" s="31">
        <f>+SUM(START:END!Q373)</f>
        <v>0</v>
      </c>
      <c r="R373" s="38"/>
      <c r="S373" s="80">
        <f t="shared" si="118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tr">
        <f t="shared" si="112"/>
        <v>BoutiqueCsst</v>
      </c>
      <c r="B374" s="12" t="s">
        <v>119</v>
      </c>
      <c r="C374" s="99" t="s">
        <v>48</v>
      </c>
      <c r="D374" s="76"/>
      <c r="E374" s="14"/>
      <c r="F374" s="28">
        <f>+SUM(START:END!F374)</f>
        <v>0</v>
      </c>
      <c r="G374" s="78"/>
      <c r="H374" s="14"/>
      <c r="I374" s="28">
        <f>+SUM(START:END!I374)</f>
        <v>0</v>
      </c>
      <c r="J374" s="38"/>
      <c r="K374" s="14"/>
      <c r="L374" s="31">
        <f>+SUM(START:END!L374)</f>
        <v>0</v>
      </c>
      <c r="M374" s="38"/>
      <c r="N374" s="55">
        <f t="shared" si="117"/>
        <v>0</v>
      </c>
      <c r="O374" s="38"/>
      <c r="P374" s="14"/>
      <c r="Q374" s="31">
        <f>+SUM(START:END!Q374)</f>
        <v>0</v>
      </c>
      <c r="R374" s="38"/>
      <c r="S374" s="80">
        <f t="shared" si="118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2"/>
        <v>Boutique[...]</v>
      </c>
      <c r="B375" s="12" t="s">
        <v>119</v>
      </c>
      <c r="C375" s="27" t="s">
        <v>20</v>
      </c>
      <c r="D375" s="83"/>
      <c r="E375" s="108"/>
      <c r="F375" s="28">
        <f>+SUM(START:END!F375)</f>
        <v>0</v>
      </c>
      <c r="G375" s="85"/>
      <c r="H375" s="108"/>
      <c r="I375" s="28">
        <f>+SUM(START:END!I375)</f>
        <v>0</v>
      </c>
      <c r="J375" s="23"/>
      <c r="K375" s="108"/>
      <c r="L375" s="31">
        <f>+SUM(START:END!L375)</f>
        <v>0</v>
      </c>
      <c r="M375" s="23"/>
      <c r="N375" s="88">
        <f t="shared" si="117"/>
        <v>0</v>
      </c>
      <c r="O375" s="23"/>
      <c r="P375" s="108"/>
      <c r="Q375" s="31">
        <f>+SUM(START:END!Q375)</f>
        <v>0</v>
      </c>
      <c r="R375" s="23"/>
      <c r="S375" s="89">
        <f t="shared" si="118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tr">
        <f t="shared" si="112"/>
        <v>BoutiqueTOTAL PERSONNEL</v>
      </c>
      <c r="B376" s="12" t="s">
        <v>119</v>
      </c>
      <c r="C376" s="90" t="s">
        <v>49</v>
      </c>
      <c r="D376" s="91" t="s">
        <v>39</v>
      </c>
      <c r="E376" s="92">
        <f>IFERROR(F376/F$359,0)</f>
        <v>0</v>
      </c>
      <c r="F376" s="93">
        <f>+SUM(F364:F375)</f>
        <v>0</v>
      </c>
      <c r="G376" s="94" t="s">
        <v>39</v>
      </c>
      <c r="H376" s="92">
        <f>IFERROR(I376/I$359,0)</f>
        <v>0</v>
      </c>
      <c r="I376" s="93">
        <f>+SUM(I364:I375)</f>
        <v>0</v>
      </c>
      <c r="J376" s="94" t="s">
        <v>39</v>
      </c>
      <c r="K376" s="92">
        <f>IFERROR(L376/L$359,0)</f>
        <v>0</v>
      </c>
      <c r="L376" s="93">
        <f>+SUM(L364:L375)</f>
        <v>0</v>
      </c>
      <c r="M376" s="140"/>
      <c r="N376" s="110">
        <f t="shared" si="117"/>
        <v>0</v>
      </c>
      <c r="O376" s="94" t="s">
        <v>39</v>
      </c>
      <c r="P376" s="92">
        <f>IFERROR(Q376/Q$359,0)</f>
        <v>0</v>
      </c>
      <c r="Q376" s="93">
        <f>+SUM(Q364:Q375)</f>
        <v>0</v>
      </c>
      <c r="R376" s="140"/>
      <c r="S376" s="111">
        <f t="shared" si="118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tr">
        <f t="shared" si="112"/>
        <v>BoutiquePublicité 2</v>
      </c>
      <c r="B377" s="12" t="s">
        <v>119</v>
      </c>
      <c r="C377" s="190" t="s">
        <v>50</v>
      </c>
      <c r="D377" s="76"/>
      <c r="E377" s="14"/>
      <c r="F377" s="28">
        <f>+SUM(START:END!F377)</f>
        <v>0</v>
      </c>
      <c r="G377" s="78"/>
      <c r="H377" s="14"/>
      <c r="I377" s="28">
        <f>+SUM(START:END!I377)</f>
        <v>0</v>
      </c>
      <c r="J377" s="38"/>
      <c r="K377" s="14"/>
      <c r="L377" s="31">
        <f>+SUM(START:END!L377)</f>
        <v>0</v>
      </c>
      <c r="M377" s="38"/>
      <c r="N377" s="55">
        <f t="shared" si="117"/>
        <v>0</v>
      </c>
      <c r="O377" s="38"/>
      <c r="P377" s="14"/>
      <c r="Q377" s="31">
        <f>+SUM(START:END!Q377)</f>
        <v>0</v>
      </c>
      <c r="R377" s="38"/>
      <c r="S377" s="80">
        <f t="shared" si="118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tr">
        <f t="shared" si="112"/>
        <v>BoutiqueService gratuit 2</v>
      </c>
      <c r="B378" s="12" t="s">
        <v>119</v>
      </c>
      <c r="C378" s="99" t="s">
        <v>51</v>
      </c>
      <c r="D378" s="76"/>
      <c r="E378" s="14"/>
      <c r="F378" s="28">
        <f>+SUM(START:END!F378)</f>
        <v>0</v>
      </c>
      <c r="G378" s="78"/>
      <c r="H378" s="14"/>
      <c r="I378" s="28">
        <f>+SUM(START:END!I378)</f>
        <v>0</v>
      </c>
      <c r="J378" s="38"/>
      <c r="K378" s="14"/>
      <c r="L378" s="31">
        <f>+SUM(START:END!L378)</f>
        <v>0</v>
      </c>
      <c r="M378" s="38"/>
      <c r="N378" s="55">
        <f t="shared" si="117"/>
        <v>0</v>
      </c>
      <c r="O378" s="38"/>
      <c r="P378" s="14"/>
      <c r="Q378" s="31">
        <f>+SUM(START:END!Q378)</f>
        <v>0</v>
      </c>
      <c r="R378" s="38"/>
      <c r="S378" s="80">
        <f t="shared" si="118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tr">
        <f t="shared" si="112"/>
        <v>BoutiqueFrais véhicules de cie</v>
      </c>
      <c r="B379" s="12" t="s">
        <v>119</v>
      </c>
      <c r="C379" s="100" t="s">
        <v>52</v>
      </c>
      <c r="D379" s="83"/>
      <c r="E379" s="108"/>
      <c r="F379" s="22">
        <f>+SUM(START:END!F379)</f>
        <v>0</v>
      </c>
      <c r="G379" s="85"/>
      <c r="H379" s="108"/>
      <c r="I379" s="22">
        <f>+SUM(START:END!I379)</f>
        <v>0</v>
      </c>
      <c r="J379" s="23"/>
      <c r="K379" s="108"/>
      <c r="L379" s="22">
        <f>+SUM(START:END!L379)</f>
        <v>0</v>
      </c>
      <c r="M379" s="23"/>
      <c r="N379" s="88">
        <f t="shared" si="117"/>
        <v>0</v>
      </c>
      <c r="O379" s="23"/>
      <c r="P379" s="108"/>
      <c r="Q379" s="22">
        <f>+SUM(START:END!Q379)</f>
        <v>0</v>
      </c>
      <c r="R379" s="23"/>
      <c r="S379" s="89">
        <f t="shared" si="118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tr">
        <f t="shared" si="112"/>
        <v>BoutiqueInformatique</v>
      </c>
      <c r="B380" s="12" t="s">
        <v>119</v>
      </c>
      <c r="C380" s="99" t="s">
        <v>53</v>
      </c>
      <c r="D380" s="76"/>
      <c r="E380" s="14"/>
      <c r="F380" s="28">
        <f>+SUM(START:END!F380)</f>
        <v>0</v>
      </c>
      <c r="G380" s="78"/>
      <c r="H380" s="14"/>
      <c r="I380" s="28">
        <f>+SUM(START:END!I380)</f>
        <v>0</v>
      </c>
      <c r="J380" s="38"/>
      <c r="K380" s="14"/>
      <c r="L380" s="31">
        <f>+SUM(START:END!L380)</f>
        <v>0</v>
      </c>
      <c r="M380" s="38"/>
      <c r="N380" s="55">
        <f t="shared" si="117"/>
        <v>0</v>
      </c>
      <c r="O380" s="38"/>
      <c r="P380" s="14"/>
      <c r="Q380" s="31">
        <f>+SUM(START:END!Q380)</f>
        <v>0</v>
      </c>
      <c r="R380" s="38"/>
      <c r="S380" s="80">
        <f t="shared" si="118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tr">
        <f t="shared" si="112"/>
        <v>BoutiqueFrais de déplacement</v>
      </c>
      <c r="B381" s="12" t="s">
        <v>119</v>
      </c>
      <c r="C381" s="99" t="s">
        <v>54</v>
      </c>
      <c r="D381" s="76"/>
      <c r="E381" s="14"/>
      <c r="F381" s="28">
        <f>+SUM(START:END!F381)</f>
        <v>0</v>
      </c>
      <c r="G381" s="78"/>
      <c r="H381" s="14"/>
      <c r="I381" s="28">
        <f>+SUM(START:END!I381)</f>
        <v>0</v>
      </c>
      <c r="J381" s="38"/>
      <c r="K381" s="14"/>
      <c r="L381" s="31">
        <f>+SUM(START:END!L381)</f>
        <v>0</v>
      </c>
      <c r="M381" s="38"/>
      <c r="N381" s="55">
        <f t="shared" si="117"/>
        <v>0</v>
      </c>
      <c r="O381" s="38"/>
      <c r="P381" s="14"/>
      <c r="Q381" s="31">
        <f>+SUM(START:END!Q381)</f>
        <v>0</v>
      </c>
      <c r="R381" s="38"/>
      <c r="S381" s="80">
        <f t="shared" si="118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tr">
        <f t="shared" si="112"/>
        <v>BoutiqueServices extérieurs</v>
      </c>
      <c r="B382" s="12" t="s">
        <v>119</v>
      </c>
      <c r="C382" s="99" t="s">
        <v>55</v>
      </c>
      <c r="D382" s="83"/>
      <c r="E382" s="108"/>
      <c r="F382" s="22">
        <f>+SUM(START:END!F382)</f>
        <v>0</v>
      </c>
      <c r="G382" s="85"/>
      <c r="H382" s="108"/>
      <c r="I382" s="22">
        <f>+SUM(START:END!I382)</f>
        <v>0</v>
      </c>
      <c r="J382" s="23"/>
      <c r="K382" s="108"/>
      <c r="L382" s="22">
        <f>+SUM(START:END!L382)</f>
        <v>0</v>
      </c>
      <c r="M382" s="23"/>
      <c r="N382" s="88">
        <f t="shared" si="117"/>
        <v>0</v>
      </c>
      <c r="O382" s="23"/>
      <c r="P382" s="108"/>
      <c r="Q382" s="22">
        <f>+SUM(START:END!Q382)</f>
        <v>0</v>
      </c>
      <c r="R382" s="23"/>
      <c r="S382" s="89">
        <f t="shared" si="118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tr">
        <f t="shared" si="112"/>
        <v>BoutiqueFournitures autres</v>
      </c>
      <c r="B383" s="12" t="s">
        <v>119</v>
      </c>
      <c r="C383" s="190" t="s">
        <v>56</v>
      </c>
      <c r="D383" s="76"/>
      <c r="E383" s="14"/>
      <c r="F383" s="28">
        <f>+SUM(START:END!F383)</f>
        <v>0</v>
      </c>
      <c r="G383" s="78"/>
      <c r="H383" s="14"/>
      <c r="I383" s="28">
        <f>+SUM(START:END!I383)</f>
        <v>0</v>
      </c>
      <c r="J383" s="38"/>
      <c r="K383" s="14"/>
      <c r="L383" s="31">
        <f>+SUM(START:END!L383)</f>
        <v>0</v>
      </c>
      <c r="M383" s="38"/>
      <c r="N383" s="55">
        <f t="shared" si="117"/>
        <v>0</v>
      </c>
      <c r="O383" s="38"/>
      <c r="P383" s="14"/>
      <c r="Q383" s="31">
        <f>+SUM(START:END!Q383)</f>
        <v>0</v>
      </c>
      <c r="R383" s="38"/>
      <c r="S383" s="80">
        <f t="shared" si="118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tr">
        <f t="shared" si="112"/>
        <v>BoutiqueUniformes</v>
      </c>
      <c r="B384" s="12" t="s">
        <v>119</v>
      </c>
      <c r="C384" s="99" t="s">
        <v>57</v>
      </c>
      <c r="D384" s="76"/>
      <c r="E384" s="14"/>
      <c r="F384" s="28">
        <f>+SUM(START:END!F384)</f>
        <v>0</v>
      </c>
      <c r="G384" s="78"/>
      <c r="H384" s="14"/>
      <c r="I384" s="28">
        <f>+SUM(START:END!I384)</f>
        <v>0</v>
      </c>
      <c r="J384" s="38"/>
      <c r="K384" s="14"/>
      <c r="L384" s="31">
        <f>+SUM(START:END!L384)</f>
        <v>0</v>
      </c>
      <c r="M384" s="38"/>
      <c r="N384" s="55">
        <f t="shared" si="117"/>
        <v>0</v>
      </c>
      <c r="O384" s="38"/>
      <c r="P384" s="14"/>
      <c r="Q384" s="31">
        <f>+SUM(START:END!Q384)</f>
        <v>0</v>
      </c>
      <c r="R384" s="38"/>
      <c r="S384" s="80">
        <f t="shared" si="118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tr">
        <f t="shared" si="112"/>
        <v>BoutiquePapeterie</v>
      </c>
      <c r="B385" s="12" t="s">
        <v>119</v>
      </c>
      <c r="C385" s="99" t="s">
        <v>58</v>
      </c>
      <c r="D385" s="76"/>
      <c r="E385" s="14"/>
      <c r="F385" s="28">
        <f>+SUM(START:END!F385)</f>
        <v>0</v>
      </c>
      <c r="G385" s="78"/>
      <c r="H385" s="14"/>
      <c r="I385" s="28">
        <f>+SUM(START:END!I385)</f>
        <v>0</v>
      </c>
      <c r="J385" s="38"/>
      <c r="K385" s="14"/>
      <c r="L385" s="31">
        <f>+SUM(START:END!L385)</f>
        <v>0</v>
      </c>
      <c r="M385" s="38"/>
      <c r="N385" s="55">
        <f t="shared" si="117"/>
        <v>0</v>
      </c>
      <c r="O385" s="38"/>
      <c r="P385" s="14"/>
      <c r="Q385" s="31">
        <f>+SUM(START:END!Q385)</f>
        <v>0</v>
      </c>
      <c r="R385" s="38"/>
      <c r="S385" s="80">
        <f t="shared" si="118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tr">
        <f t="shared" si="112"/>
        <v>BoutiqueTéléphone</v>
      </c>
      <c r="B386" s="12" t="s">
        <v>119</v>
      </c>
      <c r="C386" s="99" t="s">
        <v>59</v>
      </c>
      <c r="D386" s="76"/>
      <c r="E386" s="14"/>
      <c r="F386" s="28">
        <f>+SUM(START:END!F386)</f>
        <v>0</v>
      </c>
      <c r="G386" s="78"/>
      <c r="H386" s="14"/>
      <c r="I386" s="28">
        <f>+SUM(START:END!I386)</f>
        <v>0</v>
      </c>
      <c r="J386" s="38"/>
      <c r="K386" s="14"/>
      <c r="L386" s="31">
        <f>+SUM(START:END!L386)</f>
        <v>0</v>
      </c>
      <c r="M386" s="38"/>
      <c r="N386" s="55">
        <f t="shared" si="117"/>
        <v>0</v>
      </c>
      <c r="O386" s="38"/>
      <c r="P386" s="14"/>
      <c r="Q386" s="31">
        <f>+SUM(START:END!Q386)</f>
        <v>0</v>
      </c>
      <c r="R386" s="38"/>
      <c r="S386" s="80">
        <f t="shared" si="118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tr">
        <f t="shared" si="112"/>
        <v>BoutiqueFrais postaux</v>
      </c>
      <c r="B387" s="12" t="s">
        <v>119</v>
      </c>
      <c r="C387" s="99" t="s">
        <v>60</v>
      </c>
      <c r="D387" s="76"/>
      <c r="E387" s="14"/>
      <c r="F387" s="28">
        <f>+SUM(START:END!F387)</f>
        <v>0</v>
      </c>
      <c r="G387" s="78"/>
      <c r="H387" s="14"/>
      <c r="I387" s="28">
        <f>+SUM(START:END!I387)</f>
        <v>0</v>
      </c>
      <c r="J387" s="38"/>
      <c r="K387" s="14"/>
      <c r="L387" s="31">
        <f>+SUM(START:END!L387)</f>
        <v>0</v>
      </c>
      <c r="M387" s="38"/>
      <c r="N387" s="55">
        <f t="shared" si="117"/>
        <v>0</v>
      </c>
      <c r="O387" s="38"/>
      <c r="P387" s="14"/>
      <c r="Q387" s="31">
        <f>+SUM(START:END!Q387)</f>
        <v>0</v>
      </c>
      <c r="R387" s="38"/>
      <c r="S387" s="80">
        <f t="shared" si="118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tr">
        <f t="shared" si="112"/>
        <v>BoutiqueDivers</v>
      </c>
      <c r="B388" s="12" t="s">
        <v>119</v>
      </c>
      <c r="C388" s="99" t="s">
        <v>61</v>
      </c>
      <c r="D388" s="76"/>
      <c r="E388" s="14"/>
      <c r="F388" s="28">
        <f>+SUM(START:END!F388)</f>
        <v>0</v>
      </c>
      <c r="G388" s="78"/>
      <c r="H388" s="14"/>
      <c r="I388" s="28">
        <f>+SUM(START:END!I388)</f>
        <v>0</v>
      </c>
      <c r="J388" s="38"/>
      <c r="K388" s="14"/>
      <c r="L388" s="31">
        <f>+SUM(START:END!L388)</f>
        <v>0</v>
      </c>
      <c r="M388" s="38"/>
      <c r="N388" s="55">
        <f t="shared" si="117"/>
        <v>0</v>
      </c>
      <c r="O388" s="38"/>
      <c r="P388" s="14"/>
      <c r="Q388" s="31">
        <f>+SUM(START:END!Q388)</f>
        <v>0</v>
      </c>
      <c r="R388" s="38"/>
      <c r="S388" s="80">
        <f t="shared" si="118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tr">
        <f t="shared" si="112"/>
        <v>BoutiqueFormation</v>
      </c>
      <c r="B389" s="12" t="s">
        <v>119</v>
      </c>
      <c r="C389" s="99" t="s">
        <v>62</v>
      </c>
      <c r="D389" s="76"/>
      <c r="E389" s="14"/>
      <c r="F389" s="28">
        <f>+SUM(START:END!F389)</f>
        <v>0</v>
      </c>
      <c r="G389" s="78"/>
      <c r="H389" s="14"/>
      <c r="I389" s="28">
        <f>+SUM(START:END!I389)</f>
        <v>0</v>
      </c>
      <c r="J389" s="38"/>
      <c r="K389" s="14"/>
      <c r="L389" s="31">
        <f>+SUM(START:END!L389)</f>
        <v>0</v>
      </c>
      <c r="M389" s="38"/>
      <c r="N389" s="55">
        <f t="shared" si="117"/>
        <v>0</v>
      </c>
      <c r="O389" s="38"/>
      <c r="P389" s="14"/>
      <c r="Q389" s="31">
        <f>+SUM(START:END!Q389)</f>
        <v>0</v>
      </c>
      <c r="R389" s="38"/>
      <c r="S389" s="80">
        <f t="shared" si="118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tr">
        <f t="shared" si="112"/>
        <v>BoutiqueFrais bancaires</v>
      </c>
      <c r="B390" s="12" t="s">
        <v>119</v>
      </c>
      <c r="C390" s="99" t="s">
        <v>63</v>
      </c>
      <c r="D390" s="76"/>
      <c r="E390" s="14"/>
      <c r="F390" s="28">
        <f>+SUM(START:END!F390)</f>
        <v>0</v>
      </c>
      <c r="G390" s="78"/>
      <c r="H390" s="14"/>
      <c r="I390" s="28">
        <f>+SUM(START:END!I390)</f>
        <v>0</v>
      </c>
      <c r="J390" s="38"/>
      <c r="K390" s="14"/>
      <c r="L390" s="31">
        <f>+SUM(START:END!L390)</f>
        <v>0</v>
      </c>
      <c r="M390" s="38"/>
      <c r="N390" s="55">
        <f t="shared" si="117"/>
        <v>0</v>
      </c>
      <c r="O390" s="38"/>
      <c r="P390" s="14"/>
      <c r="Q390" s="31">
        <f>+SUM(START:END!Q390)</f>
        <v>0</v>
      </c>
      <c r="R390" s="38"/>
      <c r="S390" s="80">
        <f t="shared" si="118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2"/>
        <v>Boutique[...]</v>
      </c>
      <c r="B391" s="12" t="s">
        <v>119</v>
      </c>
      <c r="C391" s="99" t="s">
        <v>20</v>
      </c>
      <c r="D391" s="76"/>
      <c r="E391" s="14"/>
      <c r="F391" s="28">
        <f>+SUM(START:END!F391)</f>
        <v>0</v>
      </c>
      <c r="G391" s="78"/>
      <c r="H391" s="14"/>
      <c r="I391" s="28">
        <f>+SUM(START:END!I391)</f>
        <v>0</v>
      </c>
      <c r="J391" s="38"/>
      <c r="K391" s="14"/>
      <c r="L391" s="31">
        <f>+SUM(START:END!L391)</f>
        <v>0</v>
      </c>
      <c r="M391" s="38"/>
      <c r="N391" s="55">
        <f t="shared" si="117"/>
        <v>0</v>
      </c>
      <c r="O391" s="38"/>
      <c r="P391" s="14"/>
      <c r="Q391" s="31">
        <f>+SUM(START:END!Q391)</f>
        <v>0</v>
      </c>
      <c r="R391" s="38"/>
      <c r="S391" s="80">
        <f t="shared" si="118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2"/>
        <v>Boutique[...]</v>
      </c>
      <c r="B392" s="12" t="s">
        <v>119</v>
      </c>
      <c r="C392" s="99" t="s">
        <v>20</v>
      </c>
      <c r="D392" s="76"/>
      <c r="E392" s="14"/>
      <c r="F392" s="28">
        <f>+SUM(START:END!F392)</f>
        <v>0</v>
      </c>
      <c r="G392" s="78"/>
      <c r="H392" s="14"/>
      <c r="I392" s="28">
        <f>+SUM(START:END!I392)</f>
        <v>0</v>
      </c>
      <c r="J392" s="38"/>
      <c r="K392" s="14"/>
      <c r="L392" s="31">
        <f>+SUM(START:END!L392)</f>
        <v>0</v>
      </c>
      <c r="M392" s="38"/>
      <c r="N392" s="55">
        <f t="shared" si="117"/>
        <v>0</v>
      </c>
      <c r="O392" s="38"/>
      <c r="P392" s="14"/>
      <c r="Q392" s="31">
        <f>+SUM(START:END!Q392)</f>
        <v>0</v>
      </c>
      <c r="R392" s="38"/>
      <c r="S392" s="80">
        <f t="shared" si="118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2"/>
        <v>Boutique[...]</v>
      </c>
      <c r="B393" s="12" t="s">
        <v>119</v>
      </c>
      <c r="C393" s="99" t="s">
        <v>20</v>
      </c>
      <c r="D393" s="83"/>
      <c r="E393" s="108"/>
      <c r="F393" s="28">
        <f>+SUM(START:END!F393)</f>
        <v>0</v>
      </c>
      <c r="G393" s="85"/>
      <c r="H393" s="108"/>
      <c r="I393" s="28">
        <f>+SUM(START:END!I393)</f>
        <v>0</v>
      </c>
      <c r="J393" s="23"/>
      <c r="K393" s="108"/>
      <c r="L393" s="31">
        <f>+SUM(START:END!L393)</f>
        <v>0</v>
      </c>
      <c r="M393" s="23"/>
      <c r="N393" s="88">
        <f t="shared" si="117"/>
        <v>0</v>
      </c>
      <c r="O393" s="23"/>
      <c r="P393" s="108"/>
      <c r="Q393" s="31">
        <f>+SUM(START:END!Q393)</f>
        <v>0</v>
      </c>
      <c r="R393" s="23"/>
      <c r="S393" s="89">
        <f t="shared" si="118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0" t="s">
        <v>64</v>
      </c>
      <c r="D394" s="91" t="s">
        <v>39</v>
      </c>
      <c r="E394" s="92">
        <f>IFERROR(F394/F$359,0)</f>
        <v>0</v>
      </c>
      <c r="F394" s="93">
        <f>+SUM(F377:F393)</f>
        <v>0</v>
      </c>
      <c r="G394" s="94" t="s">
        <v>39</v>
      </c>
      <c r="H394" s="92">
        <f>IFERROR(I394/I$359,0)</f>
        <v>0</v>
      </c>
      <c r="I394" s="93">
        <f>+SUM(I377:I393)</f>
        <v>0</v>
      </c>
      <c r="J394" s="94" t="s">
        <v>39</v>
      </c>
      <c r="K394" s="92">
        <f>IFERROR(L394/L$359,0)</f>
        <v>0</v>
      </c>
      <c r="L394" s="93">
        <f>+SUM(L377:L393)</f>
        <v>0</v>
      </c>
      <c r="M394" s="140"/>
      <c r="N394" s="93">
        <f>+SUM(N377:N393)</f>
        <v>0</v>
      </c>
      <c r="O394" s="94" t="s">
        <v>39</v>
      </c>
      <c r="P394" s="92">
        <f>IFERROR(Q394/Q$359,0)</f>
        <v>0</v>
      </c>
      <c r="Q394" s="93">
        <f>+SUM(Q377:Q393)</f>
        <v>0</v>
      </c>
      <c r="R394" s="140"/>
      <c r="S394" s="111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27"/>
      <c r="D395" s="14"/>
      <c r="E395" s="14"/>
      <c r="F395" s="37"/>
      <c r="G395" s="38"/>
      <c r="H395" s="14"/>
      <c r="I395" s="37"/>
      <c r="J395" s="38"/>
      <c r="K395" s="14"/>
      <c r="L395" s="37"/>
      <c r="M395" s="73"/>
      <c r="N395" s="72"/>
      <c r="O395" s="38"/>
      <c r="P395" s="14"/>
      <c r="Q395" s="37"/>
      <c r="R395" s="38"/>
      <c r="S395" s="224"/>
      <c r="T395" s="225"/>
      <c r="U395" s="225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0" t="s">
        <v>65</v>
      </c>
      <c r="D396" s="91" t="s">
        <v>39</v>
      </c>
      <c r="E396" s="92">
        <f>IFERROR(F396/F$359,0)</f>
        <v>0</v>
      </c>
      <c r="F396" s="93">
        <f>F376+F394</f>
        <v>0</v>
      </c>
      <c r="G396" s="94" t="s">
        <v>39</v>
      </c>
      <c r="H396" s="92">
        <f>IFERROR(I396/I$359,0)</f>
        <v>0</v>
      </c>
      <c r="I396" s="93">
        <f>I376+I394</f>
        <v>0</v>
      </c>
      <c r="J396" s="94" t="s">
        <v>39</v>
      </c>
      <c r="K396" s="92">
        <f>IFERROR(L396/L$359,0)</f>
        <v>0</v>
      </c>
      <c r="L396" s="93">
        <f>L376+L394</f>
        <v>0</v>
      </c>
      <c r="M396" s="226"/>
      <c r="N396" s="93">
        <f>L396-I396</f>
        <v>0</v>
      </c>
      <c r="O396" s="94" t="s">
        <v>39</v>
      </c>
      <c r="P396" s="92">
        <f>IFERROR(Q396/Q$359,0)</f>
        <v>0</v>
      </c>
      <c r="Q396" s="93">
        <f>Q376+Q394</f>
        <v>0</v>
      </c>
      <c r="R396" s="97"/>
      <c r="S396" s="98">
        <f>L396-Q396</f>
        <v>0</v>
      </c>
      <c r="T396" s="225"/>
      <c r="U396" s="225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 thickBot="1">
      <c r="B397" s="7"/>
      <c r="C397" s="27"/>
      <c r="D397" s="14"/>
      <c r="E397" s="14"/>
      <c r="F397" s="55"/>
      <c r="G397" s="38"/>
      <c r="H397" s="14"/>
      <c r="I397" s="55"/>
      <c r="J397" s="38"/>
      <c r="K397" s="14"/>
      <c r="L397" s="55"/>
      <c r="M397" s="73"/>
      <c r="N397" s="72"/>
      <c r="O397" s="38"/>
      <c r="P397" s="14"/>
      <c r="Q397" s="55"/>
      <c r="R397" s="38"/>
      <c r="S397" s="224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 thickTop="1" thickBot="1">
      <c r="B398" s="7"/>
      <c r="C398" s="227" t="s">
        <v>72</v>
      </c>
      <c r="D398" s="228"/>
      <c r="E398" s="228"/>
      <c r="F398" s="229">
        <f>F361-F396</f>
        <v>0</v>
      </c>
      <c r="G398" s="230"/>
      <c r="H398" s="228"/>
      <c r="I398" s="229">
        <f>I361-I396</f>
        <v>0</v>
      </c>
      <c r="J398" s="231"/>
      <c r="K398" s="232"/>
      <c r="L398" s="229">
        <f>L361-L396</f>
        <v>0</v>
      </c>
      <c r="M398" s="230"/>
      <c r="N398" s="229">
        <f>L398-I398</f>
        <v>0</v>
      </c>
      <c r="O398" s="231"/>
      <c r="P398" s="232"/>
      <c r="Q398" s="229">
        <f>Q361-Q396</f>
        <v>0</v>
      </c>
      <c r="R398" s="231"/>
      <c r="S398" s="233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>
      <c r="B399" s="7"/>
      <c r="C399" s="71"/>
      <c r="D399" s="76"/>
      <c r="E399" s="14"/>
      <c r="F399" s="109"/>
      <c r="G399" s="76"/>
      <c r="H399" s="14"/>
      <c r="I399" s="109"/>
      <c r="J399" s="71"/>
      <c r="K399" s="71"/>
      <c r="L399" s="109"/>
      <c r="M399" s="71"/>
      <c r="N399" s="109"/>
      <c r="O399" s="71"/>
      <c r="P399" s="71"/>
      <c r="Q399" s="109"/>
      <c r="R399" s="71"/>
      <c r="S399" s="109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77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121</v>
      </c>
      <c r="AF401" s="6"/>
      <c r="AG401" s="6"/>
      <c r="AH401" s="1"/>
      <c r="AI401" s="1"/>
      <c r="AJ401" s="234"/>
      <c r="AK401" s="2"/>
      <c r="AL401" s="1"/>
      <c r="AM401" s="6"/>
      <c r="AN401" s="6"/>
      <c r="AO401" s="5" t="str">
        <f>$S$1</f>
        <v>Réalisé  Volks T3 2023</v>
      </c>
      <c r="AP401" s="225"/>
      <c r="AQ401" s="225"/>
      <c r="AR401" s="225"/>
      <c r="AS401" s="225"/>
      <c r="AT401" s="225"/>
      <c r="AU401" s="225"/>
      <c r="AV401" s="225"/>
      <c r="AW401" s="225"/>
      <c r="AX401" s="225"/>
      <c r="AY401" s="225"/>
      <c r="AZ401" s="225"/>
      <c r="BA401" s="225"/>
      <c r="BB401" s="225"/>
      <c r="BC401" s="225"/>
      <c r="BD401" s="225"/>
      <c r="BE401" s="225"/>
      <c r="BF401" s="225"/>
      <c r="BG401" s="225"/>
      <c r="BH401" s="225"/>
      <c r="BI401" s="225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35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25"/>
      <c r="AQ402" s="225"/>
      <c r="AR402" s="225"/>
      <c r="AS402" s="225"/>
      <c r="AT402" s="225"/>
      <c r="AU402" s="225"/>
      <c r="AV402" s="225"/>
      <c r="AW402" s="225"/>
      <c r="AX402" s="225"/>
      <c r="AY402" s="225"/>
      <c r="AZ402" s="225"/>
      <c r="BA402" s="225"/>
      <c r="BB402" s="225"/>
      <c r="BC402" s="225"/>
      <c r="BD402" s="225"/>
      <c r="BE402" s="225"/>
      <c r="BF402" s="225"/>
      <c r="BG402" s="225"/>
      <c r="BH402" s="225"/>
      <c r="BI402" s="225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36"/>
      <c r="W403" s="237"/>
      <c r="X403" s="854" t="s">
        <v>122</v>
      </c>
      <c r="Y403" s="855"/>
      <c r="Z403" s="856"/>
      <c r="AA403" s="850"/>
      <c r="AB403" s="851"/>
      <c r="AC403" s="857"/>
      <c r="AD403" s="858" t="s">
        <v>7</v>
      </c>
      <c r="AE403" s="855"/>
      <c r="AF403" s="856"/>
      <c r="AG403" s="850" t="s">
        <v>472</v>
      </c>
      <c r="AH403" s="851"/>
      <c r="AI403" s="857"/>
      <c r="AJ403" s="858" t="s">
        <v>123</v>
      </c>
      <c r="AK403" s="855"/>
      <c r="AL403" s="855"/>
      <c r="AM403" s="850" t="s">
        <v>124</v>
      </c>
      <c r="AN403" s="851"/>
      <c r="AO403" s="852"/>
      <c r="AP403" s="225"/>
      <c r="AQ403" s="225"/>
      <c r="AR403" s="225"/>
      <c r="AS403" s="225"/>
      <c r="AT403" s="225"/>
      <c r="AU403" s="225"/>
      <c r="AV403" s="225"/>
      <c r="AW403" s="225"/>
      <c r="AX403" s="225"/>
      <c r="AY403" s="225"/>
      <c r="AZ403" s="225"/>
      <c r="BA403" s="225"/>
      <c r="BB403" s="225"/>
      <c r="BC403" s="225"/>
      <c r="BD403" s="225"/>
      <c r="BE403" s="225"/>
      <c r="BF403" s="225"/>
      <c r="BG403" s="225"/>
      <c r="BH403" s="225"/>
      <c r="BI403" s="225"/>
    </row>
    <row r="404" spans="1:61" ht="15.75" customHeight="1">
      <c r="A404" t="str">
        <f t="shared" ref="A404:A483" si="119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2"/>
      <c r="W404" s="238" t="s">
        <v>125</v>
      </c>
      <c r="X404" s="238" t="s">
        <v>126</v>
      </c>
      <c r="Y404" s="238" t="s">
        <v>127</v>
      </c>
      <c r="Z404" s="239" t="s">
        <v>128</v>
      </c>
      <c r="AA404" s="238"/>
      <c r="AB404" s="238"/>
      <c r="AC404" s="239"/>
      <c r="AD404" s="240" t="s">
        <v>126</v>
      </c>
      <c r="AE404" s="238" t="s">
        <v>127</v>
      </c>
      <c r="AF404" s="238" t="s">
        <v>128</v>
      </c>
      <c r="AG404" s="240" t="s">
        <v>129</v>
      </c>
      <c r="AH404" s="238" t="s">
        <v>130</v>
      </c>
      <c r="AI404" s="238" t="s">
        <v>131</v>
      </c>
      <c r="AJ404" s="240" t="s">
        <v>126</v>
      </c>
      <c r="AK404" s="238" t="s">
        <v>127</v>
      </c>
      <c r="AL404" s="238" t="s">
        <v>128</v>
      </c>
      <c r="AM404" s="241" t="s">
        <v>129</v>
      </c>
      <c r="AN404" s="238" t="s">
        <v>130</v>
      </c>
      <c r="AO404" s="133" t="s">
        <v>131</v>
      </c>
      <c r="AP404" s="225"/>
      <c r="AQ404" s="225"/>
      <c r="AR404" s="225"/>
      <c r="AS404" s="225"/>
      <c r="AT404" s="225"/>
      <c r="AU404" s="225"/>
      <c r="AV404" s="225"/>
      <c r="AW404" s="225"/>
      <c r="AX404" s="225"/>
      <c r="AY404" s="225"/>
      <c r="AZ404" s="225"/>
      <c r="BA404" s="225"/>
      <c r="BB404" s="225"/>
      <c r="BC404" s="225"/>
      <c r="BD404" s="225"/>
      <c r="BE404" s="225"/>
      <c r="BF404" s="225"/>
      <c r="BG404" s="225"/>
      <c r="BH404" s="225"/>
      <c r="BI404" s="225"/>
    </row>
    <row r="405" spans="1:61" ht="15.75" customHeight="1">
      <c r="A405" t="str">
        <f t="shared" si="119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25"/>
      <c r="U405" s="225"/>
      <c r="V405" s="100" t="s">
        <v>15</v>
      </c>
      <c r="W405" s="242"/>
      <c r="X405" s="242"/>
      <c r="Y405" s="242"/>
      <c r="Z405" s="243">
        <f>F5+F93+E193+E249+D313+D361</f>
        <v>14227381.510730777</v>
      </c>
      <c r="AA405" s="242"/>
      <c r="AB405" s="242"/>
      <c r="AC405" s="243"/>
      <c r="AD405" s="244"/>
      <c r="AE405" s="245"/>
      <c r="AF405" s="245">
        <f>L5+L93+K193+K249+J313+J361</f>
        <v>14540992.850000001</v>
      </c>
      <c r="AG405" s="244"/>
      <c r="AH405" s="245"/>
      <c r="AI405" s="246"/>
      <c r="AJ405" s="244"/>
      <c r="AK405" s="245"/>
      <c r="AL405" s="245">
        <f>Q5+Q93+P193+P249+O313+O361</f>
        <v>16244538.08</v>
      </c>
      <c r="AM405" s="247"/>
      <c r="AN405" s="245"/>
      <c r="AO405" s="449"/>
      <c r="AP405" s="225"/>
      <c r="AQ405" s="465"/>
      <c r="AR405" s="465"/>
      <c r="AS405" s="225"/>
      <c r="AT405" s="225"/>
      <c r="AU405" s="225"/>
      <c r="AV405" s="225"/>
      <c r="AW405" s="225"/>
      <c r="AX405" s="225"/>
      <c r="AY405" s="225"/>
      <c r="AZ405" s="225"/>
      <c r="BA405" s="225"/>
      <c r="BB405" s="225"/>
      <c r="BC405" s="225"/>
      <c r="BD405" s="225"/>
      <c r="BE405" s="225"/>
      <c r="BF405" s="225"/>
      <c r="BG405" s="225"/>
      <c r="BH405" s="225"/>
      <c r="BI405" s="225"/>
    </row>
    <row r="406" spans="1:61" ht="15.75" customHeight="1">
      <c r="A406" t="str">
        <f t="shared" si="119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25"/>
      <c r="U406" s="225"/>
      <c r="V406" s="248" t="s">
        <v>132</v>
      </c>
      <c r="W406" s="249"/>
      <c r="X406" s="249"/>
      <c r="Y406" s="249"/>
      <c r="Z406" s="250">
        <f>F27+F107+F193+F249+F313+F361</f>
        <v>1964256.573040121</v>
      </c>
      <c r="AA406" s="249"/>
      <c r="AB406" s="249"/>
      <c r="AC406" s="250"/>
      <c r="AD406" s="251"/>
      <c r="AE406" s="252"/>
      <c r="AF406" s="252">
        <f>L27+L107+L193+L249+L313+L361</f>
        <v>1891334.5100000002</v>
      </c>
      <c r="AG406" s="251"/>
      <c r="AH406" s="252">
        <f>AF406-Z406</f>
        <v>-72922.06304012076</v>
      </c>
      <c r="AI406" s="253">
        <f>AH406/Z406</f>
        <v>-3.7124510128153855E-2</v>
      </c>
      <c r="AJ406" s="251"/>
      <c r="AK406" s="252"/>
      <c r="AL406" s="252">
        <f>Q27+Q107+Q193+Q249+Q313+Q361</f>
        <v>2131722.2899999996</v>
      </c>
      <c r="AM406" s="254"/>
      <c r="AN406" s="252">
        <f>AF406-AL406</f>
        <v>-240387.77999999933</v>
      </c>
      <c r="AO406" s="450">
        <f>IF(AL406=0,0,AN406/AL406)</f>
        <v>-0.11276693081817865</v>
      </c>
      <c r="AP406" s="225"/>
      <c r="AQ406" s="465"/>
      <c r="AR406" s="465"/>
      <c r="AS406" s="225"/>
      <c r="AT406" s="225"/>
      <c r="AU406" s="225"/>
      <c r="AV406" s="225"/>
      <c r="AW406" s="225"/>
      <c r="AX406" s="225"/>
      <c r="AY406" s="225"/>
      <c r="AZ406" s="225"/>
      <c r="BA406" s="225"/>
      <c r="BB406" s="225"/>
      <c r="BC406" s="225"/>
      <c r="BD406" s="225"/>
      <c r="BE406" s="225"/>
      <c r="BF406" s="225"/>
      <c r="BG406" s="225"/>
      <c r="BH406" s="225"/>
      <c r="BI406" s="225"/>
    </row>
    <row r="407" spans="1:61" ht="15.75" customHeight="1">
      <c r="A407" t="str">
        <f t="shared" si="119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25"/>
      <c r="U407" s="225"/>
      <c r="V407" s="255" t="s">
        <v>133</v>
      </c>
      <c r="W407" s="256"/>
      <c r="X407" s="256"/>
      <c r="Y407" s="256"/>
      <c r="Z407" s="257"/>
      <c r="AA407" s="256"/>
      <c r="AB407" s="256"/>
      <c r="AC407" s="257"/>
      <c r="AD407" s="258"/>
      <c r="AE407" s="256"/>
      <c r="AF407" s="259"/>
      <c r="AG407" s="258"/>
      <c r="AH407" s="259"/>
      <c r="AI407" s="260"/>
      <c r="AJ407" s="258"/>
      <c r="AK407" s="256"/>
      <c r="AL407" s="259"/>
      <c r="AM407" s="261"/>
      <c r="AN407" s="259"/>
      <c r="AO407" s="451"/>
      <c r="AP407" s="225"/>
      <c r="AQ407" s="465"/>
      <c r="AR407" s="465"/>
      <c r="AS407" s="225"/>
      <c r="AT407" s="225"/>
      <c r="AU407" s="225"/>
      <c r="AV407" s="225"/>
      <c r="AW407" s="225"/>
      <c r="AX407" s="225"/>
      <c r="AY407" s="225"/>
      <c r="AZ407" s="225"/>
      <c r="BA407" s="225"/>
      <c r="BB407" s="225"/>
      <c r="BC407" s="225"/>
      <c r="BD407" s="225"/>
      <c r="BE407" s="225"/>
      <c r="BF407" s="225"/>
      <c r="BG407" s="225"/>
      <c r="BH407" s="225"/>
      <c r="BI407" s="225"/>
    </row>
    <row r="408" spans="1:61" ht="15.75" customHeight="1">
      <c r="A408" t="str">
        <f t="shared" si="119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25"/>
      <c r="U408" s="225"/>
      <c r="V408" s="99" t="s">
        <v>31</v>
      </c>
      <c r="W408" s="262" t="s">
        <v>134</v>
      </c>
      <c r="X408" s="256"/>
      <c r="Y408" s="263">
        <f t="shared" ref="Y408:Y417" si="120">Z408/(D$13+D$96)</f>
        <v>714.09847138218879</v>
      </c>
      <c r="Z408" s="257">
        <f>+SUM(START:END!Z408)</f>
        <v>192871.11957674287</v>
      </c>
      <c r="AA408" s="256"/>
      <c r="AB408" s="263"/>
      <c r="AC408" s="257"/>
      <c r="AD408" s="264"/>
      <c r="AE408" s="263">
        <f t="shared" ref="AE408:AE413" si="121">IF(AF408=0,0,AF408/(J$13+J$96))</f>
        <v>762.94510548523203</v>
      </c>
      <c r="AF408" s="257">
        <f>+SUM(START:END!AF408)</f>
        <v>180817.99</v>
      </c>
      <c r="AG408" s="258">
        <f t="shared" ref="AG408:AH423" si="122">AE408-Y408</f>
        <v>48.846634103043243</v>
      </c>
      <c r="AH408" s="259">
        <f t="shared" si="122"/>
        <v>-12053.129576742882</v>
      </c>
      <c r="AI408" s="260">
        <f t="shared" ref="AI408:AI417" si="123">IF(Z408=0,0,AH408/Z408)</f>
        <v>-6.2493179918245746E-2</v>
      </c>
      <c r="AJ408" s="264"/>
      <c r="AK408" s="259">
        <f t="shared" ref="AK408:AK417" si="124">AL408/(O$13+O$96)</f>
        <v>802.97578571428585</v>
      </c>
      <c r="AL408" s="257">
        <f t="shared" ref="AL408:AL417" si="125">+SUMIF($C:$C,$V408,Q:Q)</f>
        <v>224833.22000000003</v>
      </c>
      <c r="AM408" s="261">
        <f t="shared" ref="AM408:AM417" si="126">AE408-Y408</f>
        <v>48.846634103043243</v>
      </c>
      <c r="AN408" s="259">
        <f t="shared" ref="AN408:AN430" si="127">AF408-AL408</f>
        <v>-44015.23000000004</v>
      </c>
      <c r="AO408" s="452">
        <f t="shared" ref="AO408:AO430" si="128">IF(AL408=0,0,AN408/AL408)</f>
        <v>-0.19576835665121031</v>
      </c>
      <c r="AP408" s="225"/>
      <c r="AQ408" s="465"/>
      <c r="AR408" s="465"/>
      <c r="AS408" s="225"/>
      <c r="AT408" s="225"/>
      <c r="AU408" s="225"/>
      <c r="AV408" s="225"/>
      <c r="AW408" s="225"/>
      <c r="AX408" s="225"/>
      <c r="AY408" s="225"/>
      <c r="AZ408" s="225"/>
      <c r="BA408" s="225"/>
      <c r="BB408" s="225"/>
      <c r="BC408" s="225"/>
      <c r="BD408" s="225"/>
      <c r="BE408" s="225"/>
      <c r="BF408" s="225"/>
      <c r="BG408" s="225"/>
      <c r="BH408" s="225"/>
      <c r="BI408" s="225"/>
    </row>
    <row r="409" spans="1:61" ht="15.75" customHeight="1">
      <c r="A409" t="str">
        <f t="shared" si="119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25"/>
      <c r="U409" s="225"/>
      <c r="V409" s="100" t="s">
        <v>32</v>
      </c>
      <c r="W409" s="265" t="s">
        <v>135</v>
      </c>
      <c r="X409" s="242"/>
      <c r="Y409" s="266">
        <f t="shared" si="120"/>
        <v>474.27347859708613</v>
      </c>
      <c r="Z409" s="243">
        <f>+SUM(START:END!Z409)</f>
        <v>128096.69880054858</v>
      </c>
      <c r="AA409" s="242"/>
      <c r="AB409" s="266"/>
      <c r="AC409" s="243"/>
      <c r="AD409" s="267"/>
      <c r="AE409" s="266">
        <f t="shared" si="121"/>
        <v>471.65578059071737</v>
      </c>
      <c r="AF409" s="243">
        <f>+SUM(START:END!AF409)</f>
        <v>111782.42000000001</v>
      </c>
      <c r="AG409" s="244">
        <f t="shared" si="122"/>
        <v>-2.6176980063687552</v>
      </c>
      <c r="AH409" s="245">
        <f t="shared" si="122"/>
        <v>-16314.278800548564</v>
      </c>
      <c r="AI409" s="268">
        <f t="shared" si="123"/>
        <v>-0.12735908851133249</v>
      </c>
      <c r="AJ409" s="267"/>
      <c r="AK409" s="245">
        <f t="shared" si="124"/>
        <v>450.44835714285711</v>
      </c>
      <c r="AL409" s="243">
        <f t="shared" si="125"/>
        <v>126125.54</v>
      </c>
      <c r="AM409" s="247">
        <f t="shared" si="126"/>
        <v>-2.6176980063687552</v>
      </c>
      <c r="AN409" s="245">
        <f t="shared" si="127"/>
        <v>-14343.119999999981</v>
      </c>
      <c r="AO409" s="449">
        <f t="shared" si="128"/>
        <v>-0.11372097990621076</v>
      </c>
      <c r="AP409" s="225"/>
      <c r="AQ409" s="465"/>
      <c r="AR409" s="465"/>
      <c r="AS409" s="225"/>
      <c r="AT409" s="225"/>
      <c r="AU409" s="225"/>
      <c r="AV409" s="225"/>
      <c r="AW409" s="225"/>
      <c r="AX409" s="225"/>
      <c r="AY409" s="225"/>
      <c r="AZ409" s="225"/>
      <c r="BA409" s="225"/>
      <c r="BB409" s="225"/>
      <c r="BC409" s="225"/>
      <c r="BD409" s="225"/>
      <c r="BE409" s="225"/>
      <c r="BF409" s="225"/>
      <c r="BG409" s="225"/>
      <c r="BH409" s="225"/>
      <c r="BI409" s="225"/>
    </row>
    <row r="410" spans="1:61" ht="15.75" customHeight="1">
      <c r="A410" t="str">
        <f t="shared" si="119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25"/>
      <c r="U410" s="225"/>
      <c r="V410" s="99" t="s">
        <v>33</v>
      </c>
      <c r="W410" s="262" t="s">
        <v>136</v>
      </c>
      <c r="X410" s="256"/>
      <c r="Y410" s="263">
        <f t="shared" si="120"/>
        <v>87.00043950798424</v>
      </c>
      <c r="Z410" s="257">
        <f>+SUM(START:END!Z410)</f>
        <v>23497.980802416459</v>
      </c>
      <c r="AA410" s="256"/>
      <c r="AB410" s="263"/>
      <c r="AC410" s="257"/>
      <c r="AD410" s="264"/>
      <c r="AE410" s="263">
        <f t="shared" si="121"/>
        <v>62.198185654008441</v>
      </c>
      <c r="AF410" s="257">
        <f>+SUM(START:END!AF410)</f>
        <v>14740.970000000001</v>
      </c>
      <c r="AG410" s="258">
        <f t="shared" si="122"/>
        <v>-24.802253853975799</v>
      </c>
      <c r="AH410" s="259">
        <f t="shared" si="122"/>
        <v>-8757.0108024164583</v>
      </c>
      <c r="AI410" s="260">
        <f t="shared" si="123"/>
        <v>-0.37267077865328391</v>
      </c>
      <c r="AJ410" s="264"/>
      <c r="AK410" s="259">
        <f t="shared" si="124"/>
        <v>36.463821428571428</v>
      </c>
      <c r="AL410" s="257">
        <f t="shared" si="125"/>
        <v>10209.869999999999</v>
      </c>
      <c r="AM410" s="261">
        <f t="shared" si="126"/>
        <v>-24.802253853975799</v>
      </c>
      <c r="AN410" s="259">
        <f t="shared" si="127"/>
        <v>4531.1000000000022</v>
      </c>
      <c r="AO410" s="452">
        <f t="shared" si="128"/>
        <v>0.44379605225140012</v>
      </c>
      <c r="AP410" s="225"/>
      <c r="AQ410" s="465"/>
      <c r="AR410" s="465"/>
      <c r="AS410" s="225"/>
      <c r="AT410" s="225"/>
      <c r="AU410" s="225"/>
      <c r="AV410" s="225"/>
      <c r="AW410" s="225"/>
      <c r="AX410" s="225"/>
      <c r="AY410" s="225"/>
      <c r="AZ410" s="225"/>
      <c r="BA410" s="225"/>
      <c r="BB410" s="225"/>
      <c r="BC410" s="225"/>
      <c r="BD410" s="225"/>
      <c r="BE410" s="225"/>
      <c r="BF410" s="225"/>
      <c r="BG410" s="225"/>
      <c r="BH410" s="225"/>
      <c r="BI410" s="225"/>
    </row>
    <row r="411" spans="1:61" ht="15.75" customHeight="1">
      <c r="A411" t="str">
        <f t="shared" si="119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25"/>
      <c r="U411" s="225"/>
      <c r="V411" s="99" t="s">
        <v>34</v>
      </c>
      <c r="W411" s="262" t="s">
        <v>137</v>
      </c>
      <c r="X411" s="256"/>
      <c r="Y411" s="263">
        <f t="shared" si="120"/>
        <v>9.7389613331844256</v>
      </c>
      <c r="Z411" s="257">
        <f>+SUM(START:END!Z411)</f>
        <v>2630.3996593217453</v>
      </c>
      <c r="AA411" s="256"/>
      <c r="AB411" s="263"/>
      <c r="AC411" s="257"/>
      <c r="AD411" s="264"/>
      <c r="AE411" s="263">
        <f t="shared" si="121"/>
        <v>7.1337552742616035</v>
      </c>
      <c r="AF411" s="257">
        <f>+SUM(START:END!AF411)</f>
        <v>1690.7</v>
      </c>
      <c r="AG411" s="258">
        <f t="shared" si="122"/>
        <v>-2.6052060589228221</v>
      </c>
      <c r="AH411" s="259">
        <f t="shared" si="122"/>
        <v>-939.69965932174523</v>
      </c>
      <c r="AI411" s="260">
        <f t="shared" si="123"/>
        <v>-0.35724596298193295</v>
      </c>
      <c r="AJ411" s="264"/>
      <c r="AK411" s="259">
        <f t="shared" si="124"/>
        <v>1.3394285714285712</v>
      </c>
      <c r="AL411" s="257">
        <f t="shared" si="125"/>
        <v>375.03999999999996</v>
      </c>
      <c r="AM411" s="261">
        <f t="shared" si="126"/>
        <v>-2.6052060589228221</v>
      </c>
      <c r="AN411" s="259">
        <f t="shared" si="127"/>
        <v>1315.66</v>
      </c>
      <c r="AO411" s="452">
        <f t="shared" si="128"/>
        <v>3.508052474402731</v>
      </c>
      <c r="AP411" s="225"/>
      <c r="AQ411" s="465"/>
      <c r="AR411" s="465"/>
      <c r="AS411" s="225"/>
      <c r="AT411" s="225"/>
      <c r="AU411" s="225"/>
      <c r="AV411" s="225"/>
      <c r="AW411" s="225"/>
      <c r="AX411" s="225"/>
      <c r="AY411" s="225"/>
      <c r="AZ411" s="225"/>
      <c r="BA411" s="225"/>
      <c r="BB411" s="225"/>
      <c r="BC411" s="225"/>
      <c r="BD411" s="225"/>
      <c r="BE411" s="225"/>
      <c r="BF411" s="225"/>
      <c r="BG411" s="225"/>
      <c r="BH411" s="225"/>
      <c r="BI411" s="225"/>
    </row>
    <row r="412" spans="1:61" ht="15.75" customHeight="1">
      <c r="A412" t="str">
        <f t="shared" si="119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25"/>
      <c r="U412" s="225"/>
      <c r="V412" s="100" t="s">
        <v>35</v>
      </c>
      <c r="W412" s="265"/>
      <c r="X412" s="242"/>
      <c r="Y412" s="266">
        <f t="shared" si="120"/>
        <v>116.5261741386874</v>
      </c>
      <c r="Z412" s="243">
        <f>+SUM(START:END!Z412)</f>
        <v>31472.597361288375</v>
      </c>
      <c r="AA412" s="242"/>
      <c r="AB412" s="266"/>
      <c r="AC412" s="243"/>
      <c r="AD412" s="267"/>
      <c r="AE412" s="266">
        <f t="shared" si="121"/>
        <v>109.62907172995779</v>
      </c>
      <c r="AF412" s="243">
        <f>+SUM(START:END!AF412)</f>
        <v>25982.089999999997</v>
      </c>
      <c r="AG412" s="244">
        <f t="shared" si="122"/>
        <v>-6.8971024087296087</v>
      </c>
      <c r="AH412" s="245">
        <f t="shared" si="122"/>
        <v>-5490.5073612883789</v>
      </c>
      <c r="AI412" s="268">
        <f t="shared" si="123"/>
        <v>-0.17445358253277693</v>
      </c>
      <c r="AJ412" s="267"/>
      <c r="AK412" s="245">
        <f t="shared" si="124"/>
        <v>117.40742857142858</v>
      </c>
      <c r="AL412" s="243">
        <f t="shared" si="125"/>
        <v>32874.080000000002</v>
      </c>
      <c r="AM412" s="247">
        <f t="shared" si="126"/>
        <v>-6.8971024087296087</v>
      </c>
      <c r="AN412" s="245">
        <f t="shared" si="127"/>
        <v>-6891.9900000000052</v>
      </c>
      <c r="AO412" s="449">
        <f t="shared" si="128"/>
        <v>-0.20964814832840964</v>
      </c>
      <c r="AP412" s="225"/>
      <c r="AQ412" s="465"/>
      <c r="AR412" s="465"/>
      <c r="AS412" s="225"/>
      <c r="AT412" s="225"/>
      <c r="AU412" s="225"/>
      <c r="AV412" s="225"/>
      <c r="AW412" s="225"/>
      <c r="AX412" s="225"/>
      <c r="AY412" s="225"/>
      <c r="AZ412" s="225"/>
      <c r="BA412" s="225"/>
      <c r="BB412" s="225"/>
      <c r="BC412" s="225"/>
      <c r="BD412" s="225"/>
      <c r="BE412" s="225"/>
      <c r="BF412" s="225"/>
      <c r="BG412" s="225"/>
      <c r="BH412" s="225"/>
      <c r="BI412" s="225"/>
    </row>
    <row r="413" spans="1:61" ht="15.75" customHeight="1">
      <c r="A413" t="str">
        <f t="shared" si="119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25"/>
      <c r="U413" s="225"/>
      <c r="V413" s="99" t="s">
        <v>36</v>
      </c>
      <c r="W413" s="262" t="s">
        <v>138</v>
      </c>
      <c r="X413" s="260"/>
      <c r="Y413" s="263">
        <f t="shared" si="120"/>
        <v>211.24243856922925</v>
      </c>
      <c r="Z413" s="257">
        <f>+SUM(START:END!Z413)</f>
        <v>57054.548163516461</v>
      </c>
      <c r="AA413" s="260"/>
      <c r="AB413" s="263"/>
      <c r="AC413" s="257"/>
      <c r="AD413" s="264"/>
      <c r="AE413" s="263">
        <f t="shared" si="121"/>
        <v>195.09219409282699</v>
      </c>
      <c r="AF413" s="257">
        <f>+SUM(START:END!AF413)</f>
        <v>46236.85</v>
      </c>
      <c r="AG413" s="258">
        <f t="shared" si="122"/>
        <v>-16.150244476402264</v>
      </c>
      <c r="AH413" s="259">
        <f t="shared" si="122"/>
        <v>-10817.698163516463</v>
      </c>
      <c r="AI413" s="260">
        <f t="shared" si="123"/>
        <v>-0.18960273127592378</v>
      </c>
      <c r="AJ413" s="264"/>
      <c r="AK413" s="259">
        <f t="shared" si="124"/>
        <v>122.01557142857143</v>
      </c>
      <c r="AL413" s="257">
        <f t="shared" si="125"/>
        <v>34164.36</v>
      </c>
      <c r="AM413" s="261">
        <f t="shared" si="126"/>
        <v>-16.150244476402264</v>
      </c>
      <c r="AN413" s="259">
        <f t="shared" si="127"/>
        <v>12072.489999999998</v>
      </c>
      <c r="AO413" s="452">
        <f t="shared" si="128"/>
        <v>0.35336502718037155</v>
      </c>
      <c r="AP413" s="225"/>
      <c r="AQ413" s="465"/>
      <c r="AR413" s="465"/>
      <c r="AS413" s="225"/>
      <c r="AT413" s="225"/>
      <c r="AU413" s="225"/>
      <c r="AV413" s="225"/>
      <c r="AW413" s="225"/>
      <c r="AX413" s="225"/>
      <c r="AY413" s="225"/>
      <c r="AZ413" s="225"/>
      <c r="BA413" s="225"/>
      <c r="BB413" s="225"/>
      <c r="BC413" s="225"/>
      <c r="BD413" s="225"/>
      <c r="BE413" s="225"/>
      <c r="BF413" s="225"/>
      <c r="BG413" s="225"/>
      <c r="BH413" s="225"/>
      <c r="BI413" s="225"/>
    </row>
    <row r="414" spans="1:61" ht="15.75" customHeight="1">
      <c r="A414" t="str">
        <f t="shared" si="119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25"/>
      <c r="U414" s="225"/>
      <c r="V414" s="99" t="s">
        <v>37</v>
      </c>
      <c r="W414" s="262" t="s">
        <v>139</v>
      </c>
      <c r="X414" s="256"/>
      <c r="Y414" s="263">
        <f t="shared" si="120"/>
        <v>108.44857178502143</v>
      </c>
      <c r="Z414" s="257">
        <f>+SUM(START:END!Z414)</f>
        <v>29290.914761643835</v>
      </c>
      <c r="AA414" s="256"/>
      <c r="AB414" s="263"/>
      <c r="AC414" s="257"/>
      <c r="AD414" s="264"/>
      <c r="AE414" s="263">
        <f>IF(AF414=0,0,AF414/(J$13+J$13))</f>
        <v>71.105909090909094</v>
      </c>
      <c r="AF414" s="257">
        <f>+SUM(START:END!AF414)</f>
        <v>18771.96</v>
      </c>
      <c r="AG414" s="258">
        <f t="shared" si="122"/>
        <v>-37.342662694112335</v>
      </c>
      <c r="AH414" s="259">
        <f t="shared" si="122"/>
        <v>-10518.954761643836</v>
      </c>
      <c r="AI414" s="260">
        <f t="shared" si="123"/>
        <v>-0.35912004958678528</v>
      </c>
      <c r="AJ414" s="264"/>
      <c r="AK414" s="259">
        <f t="shared" si="124"/>
        <v>84.308321428571432</v>
      </c>
      <c r="AL414" s="257">
        <f t="shared" si="125"/>
        <v>23606.33</v>
      </c>
      <c r="AM414" s="261">
        <f t="shared" si="126"/>
        <v>-37.342662694112335</v>
      </c>
      <c r="AN414" s="259">
        <f t="shared" si="127"/>
        <v>-4834.3700000000026</v>
      </c>
      <c r="AO414" s="452">
        <f t="shared" si="128"/>
        <v>-0.20479125726023495</v>
      </c>
      <c r="AP414" s="225"/>
      <c r="AQ414" s="465"/>
      <c r="AR414" s="465"/>
      <c r="AS414" s="225"/>
      <c r="AT414" s="225"/>
      <c r="AU414" s="225"/>
      <c r="AV414" s="225"/>
      <c r="AW414" s="225"/>
      <c r="AX414" s="225"/>
      <c r="AY414" s="225"/>
      <c r="AZ414" s="225"/>
      <c r="BA414" s="225"/>
      <c r="BB414" s="225"/>
      <c r="BC414" s="225"/>
      <c r="BD414" s="225"/>
      <c r="BE414" s="225"/>
      <c r="BF414" s="225"/>
      <c r="BG414" s="225"/>
      <c r="BH414" s="225"/>
      <c r="BI414" s="225"/>
    </row>
    <row r="415" spans="1:61" ht="15.75" hidden="1" customHeight="1">
      <c r="A415" t="str">
        <f t="shared" si="119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25"/>
      <c r="U415" s="225"/>
      <c r="V415" s="99" t="s">
        <v>20</v>
      </c>
      <c r="W415" s="262"/>
      <c r="X415" s="260"/>
      <c r="Y415" s="263">
        <f t="shared" si="120"/>
        <v>0</v>
      </c>
      <c r="Z415" s="257">
        <f t="shared" ref="Z415:Z417" si="129">+SUMIF($C:$C,$V415,F:F)</f>
        <v>0</v>
      </c>
      <c r="AA415" s="256"/>
      <c r="AB415" s="263"/>
      <c r="AC415" s="257"/>
      <c r="AD415" s="264"/>
      <c r="AE415" s="263">
        <f t="shared" ref="AE415:AE417" si="130">IF(AF415=0,0,AF415/(J$13+J$13))</f>
        <v>0</v>
      </c>
      <c r="AF415" s="257">
        <f t="shared" ref="AF415:AF417" si="131">+SUMIF($C:$C,$V415,L:L)</f>
        <v>0</v>
      </c>
      <c r="AG415" s="258">
        <f t="shared" si="122"/>
        <v>0</v>
      </c>
      <c r="AH415" s="259">
        <f t="shared" si="122"/>
        <v>0</v>
      </c>
      <c r="AI415" s="260">
        <f t="shared" si="123"/>
        <v>0</v>
      </c>
      <c r="AJ415" s="264"/>
      <c r="AK415" s="259">
        <f t="shared" si="124"/>
        <v>0</v>
      </c>
      <c r="AL415" s="257">
        <f t="shared" si="125"/>
        <v>0</v>
      </c>
      <c r="AM415" s="261">
        <f t="shared" si="126"/>
        <v>0</v>
      </c>
      <c r="AN415" s="259">
        <f t="shared" si="127"/>
        <v>0</v>
      </c>
      <c r="AO415" s="452">
        <f t="shared" si="128"/>
        <v>0</v>
      </c>
      <c r="AP415" s="225"/>
      <c r="AQ415" s="465"/>
      <c r="AR415" s="465"/>
      <c r="AS415" s="225"/>
      <c r="AT415" s="225"/>
      <c r="AU415" s="225"/>
      <c r="AV415" s="225"/>
      <c r="AW415" s="225"/>
      <c r="AX415" s="225"/>
      <c r="AY415" s="225"/>
      <c r="AZ415" s="225"/>
      <c r="BA415" s="225"/>
      <c r="BB415" s="225"/>
      <c r="BC415" s="225"/>
      <c r="BD415" s="225"/>
      <c r="BE415" s="225"/>
      <c r="BF415" s="225"/>
      <c r="BG415" s="225"/>
      <c r="BH415" s="225"/>
      <c r="BI415" s="225"/>
    </row>
    <row r="416" spans="1:61" ht="15.75" hidden="1" customHeight="1">
      <c r="A416" t="str">
        <f t="shared" si="119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25"/>
      <c r="U416" s="225"/>
      <c r="V416" s="99" t="s">
        <v>20</v>
      </c>
      <c r="W416" s="262"/>
      <c r="X416" s="260"/>
      <c r="Y416" s="263">
        <f t="shared" si="120"/>
        <v>0</v>
      </c>
      <c r="Z416" s="257">
        <f t="shared" si="129"/>
        <v>0</v>
      </c>
      <c r="AA416" s="256"/>
      <c r="AB416" s="263"/>
      <c r="AC416" s="257"/>
      <c r="AD416" s="264"/>
      <c r="AE416" s="263">
        <f t="shared" si="130"/>
        <v>0</v>
      </c>
      <c r="AF416" s="257">
        <f t="shared" si="131"/>
        <v>0</v>
      </c>
      <c r="AG416" s="258">
        <f t="shared" si="122"/>
        <v>0</v>
      </c>
      <c r="AH416" s="259">
        <f t="shared" si="122"/>
        <v>0</v>
      </c>
      <c r="AI416" s="260">
        <f t="shared" si="123"/>
        <v>0</v>
      </c>
      <c r="AJ416" s="264"/>
      <c r="AK416" s="259">
        <f t="shared" si="124"/>
        <v>0</v>
      </c>
      <c r="AL416" s="257">
        <f t="shared" si="125"/>
        <v>0</v>
      </c>
      <c r="AM416" s="261">
        <f t="shared" si="126"/>
        <v>0</v>
      </c>
      <c r="AN416" s="259">
        <f t="shared" si="127"/>
        <v>0</v>
      </c>
      <c r="AO416" s="452">
        <f t="shared" si="128"/>
        <v>0</v>
      </c>
      <c r="AP416" s="225"/>
      <c r="AQ416" s="465"/>
      <c r="AR416" s="465"/>
      <c r="AS416" s="225"/>
      <c r="AT416" s="225"/>
      <c r="AU416" s="225"/>
      <c r="AV416" s="225"/>
      <c r="AW416" s="225"/>
      <c r="AX416" s="225"/>
      <c r="AY416" s="225"/>
      <c r="AZ416" s="225"/>
      <c r="BA416" s="225"/>
      <c r="BB416" s="225"/>
      <c r="BC416" s="225"/>
      <c r="BD416" s="225"/>
      <c r="BE416" s="225"/>
      <c r="BF416" s="225"/>
      <c r="BG416" s="225"/>
      <c r="BH416" s="225"/>
      <c r="BI416" s="225"/>
    </row>
    <row r="417" spans="1:61" ht="15.75" hidden="1" customHeight="1">
      <c r="A417" t="str">
        <f t="shared" si="119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25"/>
      <c r="U417" s="225"/>
      <c r="V417" s="99" t="s">
        <v>20</v>
      </c>
      <c r="W417" s="262" t="s">
        <v>139</v>
      </c>
      <c r="X417" s="256"/>
      <c r="Y417" s="263">
        <f t="shared" si="120"/>
        <v>0</v>
      </c>
      <c r="Z417" s="257">
        <f t="shared" si="129"/>
        <v>0</v>
      </c>
      <c r="AA417" s="256"/>
      <c r="AB417" s="263"/>
      <c r="AC417" s="257"/>
      <c r="AD417" s="264"/>
      <c r="AE417" s="263">
        <f t="shared" si="130"/>
        <v>0</v>
      </c>
      <c r="AF417" s="257">
        <f t="shared" si="131"/>
        <v>0</v>
      </c>
      <c r="AG417" s="258">
        <f t="shared" si="122"/>
        <v>0</v>
      </c>
      <c r="AH417" s="259">
        <f t="shared" si="122"/>
        <v>0</v>
      </c>
      <c r="AI417" s="260">
        <f t="shared" si="123"/>
        <v>0</v>
      </c>
      <c r="AJ417" s="264"/>
      <c r="AK417" s="259">
        <f t="shared" si="124"/>
        <v>0</v>
      </c>
      <c r="AL417" s="257">
        <f t="shared" si="125"/>
        <v>0</v>
      </c>
      <c r="AM417" s="261">
        <f t="shared" si="126"/>
        <v>0</v>
      </c>
      <c r="AN417" s="259">
        <f t="shared" si="127"/>
        <v>0</v>
      </c>
      <c r="AO417" s="452">
        <f t="shared" si="128"/>
        <v>0</v>
      </c>
      <c r="AP417" s="225"/>
      <c r="AQ417" s="465"/>
      <c r="AR417" s="465"/>
      <c r="AS417" s="225"/>
      <c r="AT417" s="225"/>
      <c r="AU417" s="225"/>
      <c r="AV417" s="225"/>
      <c r="AW417" s="225"/>
      <c r="AX417" s="225"/>
      <c r="AY417" s="225"/>
      <c r="AZ417" s="225"/>
      <c r="BA417" s="225"/>
      <c r="BB417" s="225"/>
      <c r="BC417" s="225"/>
      <c r="BD417" s="225"/>
      <c r="BE417" s="225"/>
      <c r="BF417" s="225"/>
      <c r="BG417" s="225"/>
      <c r="BH417" s="225"/>
      <c r="BI417" s="225"/>
    </row>
    <row r="418" spans="1:61" ht="15.75" customHeight="1">
      <c r="A418" t="str">
        <f t="shared" si="119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25"/>
      <c r="U418" s="225"/>
      <c r="V418" s="269" t="s">
        <v>38</v>
      </c>
      <c r="W418" s="270"/>
      <c r="X418" s="271">
        <f>Z418/Z406</f>
        <v>0.23668713420972332</v>
      </c>
      <c r="Y418" s="270"/>
      <c r="Z418" s="272">
        <f>SUM(Z408:Z417)</f>
        <v>464914.25912547833</v>
      </c>
      <c r="AA418" s="271"/>
      <c r="AB418" s="270"/>
      <c r="AC418" s="272"/>
      <c r="AD418" s="273">
        <f>AF418/AF406</f>
        <v>0.21150303020696218</v>
      </c>
      <c r="AE418" s="270"/>
      <c r="AF418" s="272">
        <f>SUM(AF408:AF417)</f>
        <v>400022.98000000004</v>
      </c>
      <c r="AG418" s="274"/>
      <c r="AH418" s="275">
        <f t="shared" si="122"/>
        <v>-64891.279125478293</v>
      </c>
      <c r="AI418" s="271">
        <f>AH418/Z418</f>
        <v>-0.1395768743413921</v>
      </c>
      <c r="AJ418" s="273">
        <f>IF($AL$406=0,0,AL418/$AL$406)</f>
        <v>0.21212352196214079</v>
      </c>
      <c r="AK418" s="270"/>
      <c r="AL418" s="272">
        <f>SUM(AL408:AL417)</f>
        <v>452188.44</v>
      </c>
      <c r="AM418" s="276"/>
      <c r="AN418" s="275">
        <f t="shared" si="127"/>
        <v>-52165.459999999963</v>
      </c>
      <c r="AO418" s="450">
        <f t="shared" si="128"/>
        <v>-0.11536221492084132</v>
      </c>
      <c r="AP418" s="225"/>
      <c r="AQ418" s="465"/>
      <c r="AR418" s="465"/>
      <c r="AS418" s="225"/>
      <c r="AT418" s="225"/>
      <c r="AU418" s="225"/>
      <c r="AV418" s="225"/>
      <c r="AW418" s="225"/>
      <c r="AX418" s="225"/>
      <c r="AY418" s="225"/>
      <c r="AZ418" s="225"/>
      <c r="BA418" s="225"/>
      <c r="BB418" s="225"/>
      <c r="BC418" s="225"/>
      <c r="BD418" s="225"/>
      <c r="BE418" s="225"/>
      <c r="BF418" s="225"/>
      <c r="BG418" s="225"/>
      <c r="BH418" s="225"/>
      <c r="BI418" s="225"/>
    </row>
    <row r="419" spans="1:61" ht="15.75" customHeight="1">
      <c r="A419" t="str">
        <f t="shared" si="119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277"/>
      <c r="P419" s="148"/>
      <c r="Q419" s="11"/>
      <c r="R419" s="11"/>
      <c r="S419" s="11"/>
      <c r="T419" s="225"/>
      <c r="U419" s="225"/>
      <c r="V419" s="99" t="s">
        <v>140</v>
      </c>
      <c r="W419" s="262" t="s">
        <v>141</v>
      </c>
      <c r="X419" s="256"/>
      <c r="Y419" s="256"/>
      <c r="Z419" s="257">
        <f>+SUM(START:END!Z419)</f>
        <v>47177.218160919547</v>
      </c>
      <c r="AA419" s="256"/>
      <c r="AB419" s="256"/>
      <c r="AC419" s="257"/>
      <c r="AD419" s="264"/>
      <c r="AE419" s="263"/>
      <c r="AF419" s="257">
        <f>+SUM(START:END!AF419)</f>
        <v>42744.72</v>
      </c>
      <c r="AG419" s="258"/>
      <c r="AH419" s="259">
        <f t="shared" si="122"/>
        <v>-4432.4981609195456</v>
      </c>
      <c r="AI419" s="260">
        <f t="shared" ref="AI419:AI431" si="132">IF(Z419=0,0,AH419/Z419)</f>
        <v>-9.3954207850926633E-2</v>
      </c>
      <c r="AJ419" s="264"/>
      <c r="AK419" s="256"/>
      <c r="AL419" s="257">
        <f>+SUM(START:END!AL419)</f>
        <v>47598.869999999995</v>
      </c>
      <c r="AM419" s="261"/>
      <c r="AN419" s="259">
        <f t="shared" si="127"/>
        <v>-4854.1499999999942</v>
      </c>
      <c r="AO419" s="452">
        <f t="shared" si="128"/>
        <v>-0.10198036213884898</v>
      </c>
      <c r="AP419" s="225"/>
      <c r="AQ419" s="465"/>
      <c r="AR419" s="465"/>
      <c r="AS419" s="225"/>
      <c r="AT419" s="225"/>
      <c r="AU419" s="225"/>
      <c r="AV419" s="225"/>
      <c r="AW419" s="225"/>
      <c r="AX419" s="225"/>
      <c r="AY419" s="225"/>
      <c r="AZ419" s="225"/>
      <c r="BA419" s="225"/>
      <c r="BB419" s="225"/>
      <c r="BC419" s="225"/>
      <c r="BD419" s="225"/>
      <c r="BE419" s="225"/>
      <c r="BF419" s="225"/>
      <c r="BG419" s="225"/>
      <c r="BH419" s="225"/>
      <c r="BI419" s="225"/>
    </row>
    <row r="420" spans="1:61" ht="15.75" customHeight="1">
      <c r="A420" t="str">
        <f t="shared" si="119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277"/>
      <c r="P420" s="148"/>
      <c r="Q420" s="11"/>
      <c r="R420" s="11"/>
      <c r="S420" s="11"/>
      <c r="T420" s="225"/>
      <c r="U420" s="225"/>
      <c r="V420" s="99" t="s">
        <v>41</v>
      </c>
      <c r="W420" s="262" t="s">
        <v>142</v>
      </c>
      <c r="X420" s="256"/>
      <c r="Y420" s="256"/>
      <c r="Z420" s="257">
        <f>+SUM(START:END!Z420)</f>
        <v>129012.12931034483</v>
      </c>
      <c r="AA420" s="256"/>
      <c r="AB420" s="256"/>
      <c r="AC420" s="257"/>
      <c r="AD420" s="264"/>
      <c r="AE420" s="263"/>
      <c r="AF420" s="257">
        <f>+SUM(START:END!AF420)</f>
        <v>131435.36999999997</v>
      </c>
      <c r="AG420" s="258"/>
      <c r="AH420" s="259">
        <f t="shared" si="122"/>
        <v>2423.2406896551402</v>
      </c>
      <c r="AI420" s="260">
        <f t="shared" si="132"/>
        <v>1.8783045459438309E-2</v>
      </c>
      <c r="AJ420" s="264"/>
      <c r="AK420" s="256"/>
      <c r="AL420" s="257">
        <f>+SUM(START:END!AL420)</f>
        <v>153164.94</v>
      </c>
      <c r="AM420" s="261"/>
      <c r="AN420" s="259">
        <f t="shared" si="127"/>
        <v>-21729.570000000036</v>
      </c>
      <c r="AO420" s="452">
        <f t="shared" si="128"/>
        <v>-0.14187039148776498</v>
      </c>
      <c r="AP420" s="225"/>
      <c r="AQ420" s="465"/>
      <c r="AR420" s="465"/>
      <c r="AS420" s="225"/>
      <c r="AT420" s="225"/>
      <c r="AU420" s="225"/>
      <c r="AV420" s="225"/>
      <c r="AW420" s="225"/>
      <c r="AX420" s="225"/>
      <c r="AY420" s="225"/>
      <c r="AZ420" s="225"/>
      <c r="BA420" s="225"/>
      <c r="BB420" s="225"/>
      <c r="BC420" s="225"/>
      <c r="BD420" s="225"/>
      <c r="BE420" s="225"/>
      <c r="BF420" s="225"/>
      <c r="BG420" s="225"/>
      <c r="BH420" s="225"/>
      <c r="BI420" s="225"/>
    </row>
    <row r="421" spans="1:61" ht="15.75" customHeight="1">
      <c r="A421" t="str">
        <f t="shared" si="119"/>
        <v>Salaires commis</v>
      </c>
      <c r="B421" s="7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78"/>
      <c r="P421" s="148"/>
      <c r="Q421" s="225"/>
      <c r="R421" s="225"/>
      <c r="S421" s="225"/>
      <c r="T421" s="225"/>
      <c r="U421" s="225"/>
      <c r="V421" s="100" t="s">
        <v>42</v>
      </c>
      <c r="W421" s="265" t="s">
        <v>143</v>
      </c>
      <c r="X421" s="242"/>
      <c r="Y421" s="242"/>
      <c r="Z421" s="243">
        <f>+SUM(START:END!Z421)</f>
        <v>156261.21103448275</v>
      </c>
      <c r="AA421" s="242"/>
      <c r="AB421" s="242"/>
      <c r="AC421" s="243"/>
      <c r="AD421" s="267"/>
      <c r="AE421" s="266"/>
      <c r="AF421" s="243">
        <f>+SUM(START:END!AF421)</f>
        <v>150983.76</v>
      </c>
      <c r="AG421" s="244"/>
      <c r="AH421" s="245">
        <f t="shared" si="122"/>
        <v>-5277.4510344827431</v>
      </c>
      <c r="AI421" s="268">
        <f t="shared" si="132"/>
        <v>-3.3773263368080182E-2</v>
      </c>
      <c r="AJ421" s="267"/>
      <c r="AK421" s="242"/>
      <c r="AL421" s="243">
        <f>+SUM(START:END!AL421)</f>
        <v>58122.539999999994</v>
      </c>
      <c r="AM421" s="247"/>
      <c r="AN421" s="245">
        <f t="shared" si="127"/>
        <v>92861.220000000016</v>
      </c>
      <c r="AO421" s="449">
        <f t="shared" si="128"/>
        <v>1.597680005037633</v>
      </c>
      <c r="AP421" s="225"/>
      <c r="AQ421" s="465"/>
      <c r="AR421" s="465"/>
      <c r="AS421" s="225"/>
      <c r="AT421" s="225"/>
      <c r="AU421" s="225"/>
      <c r="AV421" s="225"/>
      <c r="AW421" s="225"/>
      <c r="AX421" s="225"/>
      <c r="AY421" s="225"/>
      <c r="AZ421" s="225"/>
      <c r="BA421" s="225"/>
      <c r="BB421" s="225"/>
      <c r="BC421" s="225"/>
      <c r="BD421" s="225"/>
      <c r="BE421" s="225"/>
      <c r="BF421" s="225"/>
      <c r="BG421" s="225"/>
      <c r="BH421" s="225"/>
      <c r="BI421" s="225"/>
    </row>
    <row r="422" spans="1:61" ht="15.75" customHeight="1">
      <c r="A422" t="str">
        <f t="shared" si="119"/>
        <v>Salaires autres</v>
      </c>
      <c r="B422" s="7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78"/>
      <c r="P422" s="148"/>
      <c r="Q422" s="225"/>
      <c r="R422" s="225"/>
      <c r="S422" s="225"/>
      <c r="T422" s="225"/>
      <c r="U422" s="225"/>
      <c r="V422" s="99" t="s">
        <v>43</v>
      </c>
      <c r="W422" s="262" t="s">
        <v>144</v>
      </c>
      <c r="X422" s="256"/>
      <c r="Y422" s="256"/>
      <c r="Z422" s="257">
        <f>+SUM(START:END!Z422)</f>
        <v>94911.754022988505</v>
      </c>
      <c r="AA422" s="256"/>
      <c r="AB422" s="256"/>
      <c r="AC422" s="257"/>
      <c r="AD422" s="264"/>
      <c r="AE422" s="263"/>
      <c r="AF422" s="257">
        <f>+SUM(START:END!AF422)</f>
        <v>96307.29</v>
      </c>
      <c r="AG422" s="258"/>
      <c r="AH422" s="259">
        <f t="shared" si="122"/>
        <v>1395.5359770114883</v>
      </c>
      <c r="AI422" s="260">
        <f t="shared" si="132"/>
        <v>1.4703510554377455E-2</v>
      </c>
      <c r="AJ422" s="264"/>
      <c r="AK422" s="256"/>
      <c r="AL422" s="257">
        <f>+SUM(START:END!AL422)</f>
        <v>164713.83000000002</v>
      </c>
      <c r="AM422" s="261"/>
      <c r="AN422" s="259">
        <f t="shared" si="127"/>
        <v>-68406.540000000023</v>
      </c>
      <c r="AO422" s="452">
        <f t="shared" si="128"/>
        <v>-0.41530538146068252</v>
      </c>
      <c r="AP422" s="225"/>
      <c r="AQ422" s="465"/>
      <c r="AR422" s="465"/>
      <c r="AS422" s="225"/>
      <c r="AT422" s="225"/>
      <c r="AU422" s="225"/>
      <c r="AV422" s="225"/>
      <c r="AW422" s="225"/>
      <c r="AX422" s="225"/>
      <c r="AY422" s="225"/>
      <c r="AZ422" s="225"/>
      <c r="BA422" s="225"/>
      <c r="BB422" s="225"/>
      <c r="BC422" s="225"/>
      <c r="BD422" s="225"/>
      <c r="BE422" s="225"/>
      <c r="BF422" s="225"/>
      <c r="BG422" s="225"/>
      <c r="BH422" s="225"/>
      <c r="BI422" s="225"/>
    </row>
    <row r="423" spans="1:61" ht="15.75" customHeight="1">
      <c r="A423" t="str">
        <f t="shared" si="119"/>
        <v>Salaires spécialistes</v>
      </c>
      <c r="B423" s="7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78"/>
      <c r="P423" s="148"/>
      <c r="Q423" s="225"/>
      <c r="R423" s="225"/>
      <c r="S423" s="225"/>
      <c r="T423" s="225"/>
      <c r="U423" s="225"/>
      <c r="V423" s="99" t="s">
        <v>44</v>
      </c>
      <c r="W423" s="262" t="s">
        <v>145</v>
      </c>
      <c r="X423" s="256"/>
      <c r="Y423" s="256"/>
      <c r="Z423" s="257">
        <f>+SUM(START:END!Z423)</f>
        <v>101042.92200616086</v>
      </c>
      <c r="AA423" s="256"/>
      <c r="AB423" s="256"/>
      <c r="AC423" s="257"/>
      <c r="AD423" s="264"/>
      <c r="AE423" s="263"/>
      <c r="AF423" s="257">
        <f>+SUM(START:END!AF423)</f>
        <v>88615.989999999991</v>
      </c>
      <c r="AG423" s="258"/>
      <c r="AH423" s="259">
        <f t="shared" si="122"/>
        <v>-12426.932006160874</v>
      </c>
      <c r="AI423" s="260">
        <f t="shared" si="132"/>
        <v>-0.12298666506698183</v>
      </c>
      <c r="AJ423" s="264"/>
      <c r="AK423" s="256"/>
      <c r="AL423" s="257">
        <f>+SUM(START:END!AL423)</f>
        <v>89521.66</v>
      </c>
      <c r="AM423" s="261"/>
      <c r="AN423" s="259">
        <f t="shared" si="127"/>
        <v>-905.67000000001281</v>
      </c>
      <c r="AO423" s="452">
        <f t="shared" si="128"/>
        <v>-1.0116769505838171E-2</v>
      </c>
      <c r="AP423" s="225"/>
      <c r="AQ423" s="465"/>
      <c r="AR423" s="465"/>
      <c r="AS423" s="225"/>
      <c r="AT423" s="225"/>
      <c r="AU423" s="225"/>
      <c r="AV423" s="225"/>
      <c r="AW423" s="225"/>
      <c r="AX423" s="225"/>
      <c r="AY423" s="225"/>
      <c r="AZ423" s="225"/>
      <c r="BA423" s="225"/>
      <c r="BB423" s="225"/>
      <c r="BC423" s="225"/>
      <c r="BD423" s="225"/>
      <c r="BE423" s="225"/>
      <c r="BF423" s="225"/>
      <c r="BG423" s="225"/>
      <c r="BH423" s="225"/>
      <c r="BI423" s="225"/>
    </row>
    <row r="424" spans="1:61" ht="15.75" hidden="1" customHeight="1">
      <c r="A424" t="str">
        <f t="shared" si="119"/>
        <v>[...]</v>
      </c>
      <c r="B424" s="7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78"/>
      <c r="P424" s="148"/>
      <c r="Q424" s="225"/>
      <c r="R424" s="225"/>
      <c r="S424" s="225"/>
      <c r="T424" s="225"/>
      <c r="U424" s="225"/>
      <c r="V424" s="99" t="s">
        <v>20</v>
      </c>
      <c r="W424" s="262"/>
      <c r="X424" s="256"/>
      <c r="Y424" s="256"/>
      <c r="Z424" s="257">
        <f>+SUM(START:END!Z424)</f>
        <v>0</v>
      </c>
      <c r="AA424" s="256"/>
      <c r="AB424" s="256"/>
      <c r="AC424" s="257"/>
      <c r="AD424" s="264"/>
      <c r="AE424" s="263"/>
      <c r="AF424" s="257">
        <f>+SUM(START:END!AF424)</f>
        <v>0</v>
      </c>
      <c r="AG424" s="258"/>
      <c r="AH424" s="259">
        <f t="shared" ref="AH424:AH450" si="133">AF424-Z424</f>
        <v>0</v>
      </c>
      <c r="AI424" s="260">
        <f t="shared" si="132"/>
        <v>0</v>
      </c>
      <c r="AJ424" s="264"/>
      <c r="AK424" s="256"/>
      <c r="AL424" s="257">
        <f>+SUM(START:END!AL424)</f>
        <v>0</v>
      </c>
      <c r="AM424" s="261"/>
      <c r="AN424" s="259">
        <f t="shared" si="127"/>
        <v>0</v>
      </c>
      <c r="AO424" s="452">
        <f t="shared" si="128"/>
        <v>0</v>
      </c>
      <c r="AP424" s="225"/>
      <c r="AQ424" s="465"/>
      <c r="AR424" s="465"/>
      <c r="AS424" s="225"/>
      <c r="AT424" s="225"/>
      <c r="AU424" s="225"/>
      <c r="AV424" s="225"/>
      <c r="AW424" s="225"/>
      <c r="AX424" s="225"/>
      <c r="AY424" s="225"/>
      <c r="AZ424" s="225"/>
      <c r="BA424" s="225"/>
      <c r="BB424" s="225"/>
      <c r="BC424" s="225"/>
      <c r="BD424" s="225"/>
      <c r="BE424" s="225"/>
      <c r="BF424" s="225"/>
      <c r="BG424" s="225"/>
      <c r="BH424" s="225"/>
      <c r="BI424" s="225"/>
    </row>
    <row r="425" spans="1:61" ht="15.75" hidden="1" customHeight="1">
      <c r="A425" t="str">
        <f t="shared" si="119"/>
        <v>[...]</v>
      </c>
      <c r="B425" s="7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78"/>
      <c r="P425" s="148"/>
      <c r="Q425" s="225"/>
      <c r="R425" s="225"/>
      <c r="S425" s="225"/>
      <c r="T425" s="225"/>
      <c r="U425" s="225"/>
      <c r="V425" s="99" t="s">
        <v>20</v>
      </c>
      <c r="W425" s="262"/>
      <c r="X425" s="256"/>
      <c r="Y425" s="256"/>
      <c r="Z425" s="257">
        <f>+SUM(START:END!Z425)</f>
        <v>0</v>
      </c>
      <c r="AA425" s="256"/>
      <c r="AB425" s="256"/>
      <c r="AC425" s="257"/>
      <c r="AD425" s="264"/>
      <c r="AE425" s="263"/>
      <c r="AF425" s="257">
        <f>+SUM(START:END!AF425)</f>
        <v>0</v>
      </c>
      <c r="AG425" s="258"/>
      <c r="AH425" s="259">
        <f t="shared" si="133"/>
        <v>0</v>
      </c>
      <c r="AI425" s="260">
        <f t="shared" si="132"/>
        <v>0</v>
      </c>
      <c r="AJ425" s="264"/>
      <c r="AK425" s="256"/>
      <c r="AL425" s="257">
        <f>+SUM(START:END!AL425)</f>
        <v>0</v>
      </c>
      <c r="AM425" s="261"/>
      <c r="AN425" s="259">
        <f t="shared" si="127"/>
        <v>0</v>
      </c>
      <c r="AO425" s="452">
        <f t="shared" si="128"/>
        <v>0</v>
      </c>
      <c r="AP425" s="225"/>
      <c r="AQ425" s="465"/>
      <c r="AR425" s="465"/>
      <c r="AS425" s="225"/>
      <c r="AT425" s="225"/>
      <c r="AU425" s="225"/>
      <c r="AV425" s="225"/>
      <c r="AW425" s="225"/>
      <c r="AX425" s="225"/>
      <c r="AY425" s="225"/>
      <c r="AZ425" s="225"/>
      <c r="BA425" s="225"/>
      <c r="BB425" s="225"/>
      <c r="BC425" s="225"/>
      <c r="BD425" s="225"/>
      <c r="BE425" s="225"/>
      <c r="BF425" s="225"/>
      <c r="BG425" s="225"/>
      <c r="BH425" s="225"/>
      <c r="BI425" s="225"/>
    </row>
    <row r="426" spans="1:61" ht="15.75" hidden="1" customHeight="1">
      <c r="A426" t="str">
        <f t="shared" si="119"/>
        <v>[...]</v>
      </c>
      <c r="B426" s="7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78"/>
      <c r="P426" s="148"/>
      <c r="Q426" s="225"/>
      <c r="R426" s="225"/>
      <c r="S426" s="225"/>
      <c r="T426" s="225"/>
      <c r="U426" s="225"/>
      <c r="V426" s="99" t="s">
        <v>20</v>
      </c>
      <c r="W426" s="262"/>
      <c r="X426" s="256"/>
      <c r="Y426" s="256"/>
      <c r="Z426" s="257">
        <f>+SUM(START:END!Z426)</f>
        <v>0</v>
      </c>
      <c r="AA426" s="256"/>
      <c r="AB426" s="256"/>
      <c r="AC426" s="257"/>
      <c r="AD426" s="264"/>
      <c r="AE426" s="263"/>
      <c r="AF426" s="257">
        <f>+SUM(START:END!AF426)</f>
        <v>0</v>
      </c>
      <c r="AG426" s="258"/>
      <c r="AH426" s="259">
        <f t="shared" si="133"/>
        <v>0</v>
      </c>
      <c r="AI426" s="260">
        <f t="shared" si="132"/>
        <v>0</v>
      </c>
      <c r="AJ426" s="264"/>
      <c r="AK426" s="256"/>
      <c r="AL426" s="257">
        <f>+SUM(START:END!AL426)</f>
        <v>0</v>
      </c>
      <c r="AM426" s="261"/>
      <c r="AN426" s="259">
        <f t="shared" si="127"/>
        <v>0</v>
      </c>
      <c r="AO426" s="452">
        <f t="shared" si="128"/>
        <v>0</v>
      </c>
      <c r="AP426" s="225"/>
      <c r="AQ426" s="465"/>
      <c r="AR426" s="465"/>
      <c r="AS426" s="225"/>
      <c r="AT426" s="225"/>
      <c r="AU426" s="225"/>
      <c r="AV426" s="225"/>
      <c r="AW426" s="225"/>
      <c r="AX426" s="225"/>
      <c r="AY426" s="225"/>
      <c r="AZ426" s="225"/>
      <c r="BA426" s="225"/>
      <c r="BB426" s="225"/>
      <c r="BC426" s="225"/>
      <c r="BD426" s="225"/>
      <c r="BE426" s="225"/>
      <c r="BF426" s="225"/>
      <c r="BG426" s="225"/>
      <c r="BH426" s="225"/>
      <c r="BI426" s="225"/>
    </row>
    <row r="427" spans="1:61" ht="15.75" customHeight="1">
      <c r="A427" t="str">
        <f t="shared" si="119"/>
        <v>Salaires en absences</v>
      </c>
      <c r="B427" s="7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78"/>
      <c r="P427" s="148"/>
      <c r="Q427" s="225"/>
      <c r="R427" s="225"/>
      <c r="S427" s="225"/>
      <c r="T427" s="225"/>
      <c r="U427" s="225"/>
      <c r="V427" s="100" t="s">
        <v>45</v>
      </c>
      <c r="W427" s="265" t="s">
        <v>146</v>
      </c>
      <c r="X427" s="242"/>
      <c r="Y427" s="242"/>
      <c r="Z427" s="243">
        <f>+SUM(START:END!Z427)</f>
        <v>114426.9957391841</v>
      </c>
      <c r="AA427" s="242"/>
      <c r="AB427" s="242"/>
      <c r="AC427" s="243"/>
      <c r="AD427" s="267"/>
      <c r="AE427" s="266"/>
      <c r="AF427" s="243">
        <f>+SUM(START:END!AF427)</f>
        <v>96197.8</v>
      </c>
      <c r="AG427" s="244"/>
      <c r="AH427" s="245">
        <f t="shared" si="133"/>
        <v>-18229.195739184099</v>
      </c>
      <c r="AI427" s="268">
        <f t="shared" si="132"/>
        <v>-0.15930852349505265</v>
      </c>
      <c r="AJ427" s="267"/>
      <c r="AK427" s="242"/>
      <c r="AL427" s="243">
        <f>+SUM(START:END!AL427)</f>
        <v>124796.55000000002</v>
      </c>
      <c r="AM427" s="247"/>
      <c r="AN427" s="245">
        <f t="shared" si="127"/>
        <v>-28598.750000000015</v>
      </c>
      <c r="AO427" s="449">
        <f t="shared" si="128"/>
        <v>-0.22916298567548551</v>
      </c>
      <c r="AP427" s="225"/>
      <c r="AQ427" s="465"/>
      <c r="AR427" s="465"/>
      <c r="AS427" s="225"/>
      <c r="AT427" s="225"/>
      <c r="AU427" s="225"/>
      <c r="AV427" s="225"/>
      <c r="AW427" s="225"/>
      <c r="AX427" s="225"/>
      <c r="AY427" s="225"/>
      <c r="AZ427" s="225"/>
      <c r="BA427" s="225"/>
      <c r="BB427" s="225"/>
      <c r="BC427" s="225"/>
      <c r="BD427" s="225"/>
      <c r="BE427" s="225"/>
      <c r="BF427" s="225"/>
      <c r="BG427" s="225"/>
      <c r="BH427" s="225"/>
      <c r="BI427" s="225"/>
    </row>
    <row r="428" spans="1:61" ht="15.75" customHeight="1">
      <c r="A428" t="str">
        <f t="shared" si="119"/>
        <v>Déduction à la source</v>
      </c>
      <c r="B428" s="7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78"/>
      <c r="P428" s="148"/>
      <c r="Q428" s="225"/>
      <c r="R428" s="225"/>
      <c r="S428" s="225"/>
      <c r="T428" s="225"/>
      <c r="U428" s="225"/>
      <c r="V428" s="99" t="s">
        <v>46</v>
      </c>
      <c r="W428" s="262" t="s">
        <v>147</v>
      </c>
      <c r="X428" s="256"/>
      <c r="Y428" s="256"/>
      <c r="Z428" s="257">
        <f>+SUM(START:END!Z428)</f>
        <v>113751.6999371105</v>
      </c>
      <c r="AA428" s="256"/>
      <c r="AB428" s="256"/>
      <c r="AC428" s="257"/>
      <c r="AD428" s="264"/>
      <c r="AE428" s="263"/>
      <c r="AF428" s="257">
        <f>+SUM(START:END!AF428)</f>
        <v>140224.63</v>
      </c>
      <c r="AG428" s="258"/>
      <c r="AH428" s="259">
        <f t="shared" si="133"/>
        <v>26472.9300628895</v>
      </c>
      <c r="AI428" s="260">
        <f t="shared" si="132"/>
        <v>0.23272557753005443</v>
      </c>
      <c r="AJ428" s="264"/>
      <c r="AK428" s="256"/>
      <c r="AL428" s="257">
        <f>+SUM(START:END!AL428)</f>
        <v>126529.49</v>
      </c>
      <c r="AM428" s="261"/>
      <c r="AN428" s="259">
        <f t="shared" si="127"/>
        <v>13695.14</v>
      </c>
      <c r="AO428" s="452">
        <f t="shared" si="128"/>
        <v>0.10823674386105563</v>
      </c>
      <c r="AP428" s="225"/>
      <c r="AQ428" s="465"/>
      <c r="AR428" s="465"/>
      <c r="AS428" s="225"/>
      <c r="AT428" s="225"/>
      <c r="AU428" s="225"/>
      <c r="AV428" s="225"/>
      <c r="AW428" s="225"/>
      <c r="AX428" s="225"/>
      <c r="AY428" s="225"/>
      <c r="AZ428" s="225"/>
      <c r="BA428" s="225"/>
      <c r="BB428" s="225"/>
      <c r="BC428" s="225"/>
      <c r="BD428" s="225"/>
      <c r="BE428" s="225"/>
      <c r="BF428" s="225"/>
      <c r="BG428" s="225"/>
      <c r="BH428" s="225"/>
      <c r="BI428" s="225"/>
    </row>
    <row r="429" spans="1:61" ht="15.75" customHeight="1">
      <c r="A429" t="str">
        <f t="shared" si="119"/>
        <v>Bénéfices marginaux</v>
      </c>
      <c r="B429" s="7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78"/>
      <c r="P429" s="148"/>
      <c r="Q429" s="225"/>
      <c r="R429" s="225"/>
      <c r="S429" s="225"/>
      <c r="T429" s="225"/>
      <c r="U429" s="225"/>
      <c r="V429" s="99" t="s">
        <v>47</v>
      </c>
      <c r="W429" s="262" t="s">
        <v>148</v>
      </c>
      <c r="X429" s="256"/>
      <c r="Y429" s="256"/>
      <c r="Z429" s="257">
        <f>+SUM(START:END!Z429)</f>
        <v>79655.541753924917</v>
      </c>
      <c r="AA429" s="256"/>
      <c r="AB429" s="256"/>
      <c r="AC429" s="257"/>
      <c r="AD429" s="264"/>
      <c r="AE429" s="263"/>
      <c r="AF429" s="257">
        <f>+SUM(START:END!AF429)</f>
        <v>62519.86</v>
      </c>
      <c r="AG429" s="258"/>
      <c r="AH429" s="259">
        <f t="shared" si="133"/>
        <v>-17135.681753924917</v>
      </c>
      <c r="AI429" s="260">
        <f t="shared" si="132"/>
        <v>-0.21512227996466524</v>
      </c>
      <c r="AJ429" s="264"/>
      <c r="AK429" s="256"/>
      <c r="AL429" s="257">
        <f>+SUM(START:END!AL429)</f>
        <v>57848.600000000006</v>
      </c>
      <c r="AM429" s="261"/>
      <c r="AN429" s="259">
        <f t="shared" si="127"/>
        <v>4671.2599999999948</v>
      </c>
      <c r="AO429" s="452">
        <f t="shared" si="128"/>
        <v>8.0749750210030918E-2</v>
      </c>
      <c r="AP429" s="225"/>
      <c r="AQ429" s="465"/>
      <c r="AR429" s="465"/>
      <c r="AS429" s="225"/>
      <c r="AT429" s="225"/>
      <c r="AU429" s="225"/>
      <c r="AV429" s="225"/>
      <c r="AW429" s="225"/>
      <c r="AX429" s="225"/>
      <c r="AY429" s="225"/>
      <c r="AZ429" s="225"/>
      <c r="BA429" s="225"/>
      <c r="BB429" s="225"/>
      <c r="BC429" s="225"/>
      <c r="BD429" s="225"/>
      <c r="BE429" s="225"/>
      <c r="BF429" s="225"/>
      <c r="BG429" s="225"/>
      <c r="BH429" s="225"/>
      <c r="BI429" s="225"/>
    </row>
    <row r="430" spans="1:61" ht="15.75" customHeight="1">
      <c r="A430" t="str">
        <f t="shared" si="119"/>
        <v>Csst</v>
      </c>
      <c r="B430" s="7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78"/>
      <c r="P430" s="148"/>
      <c r="Q430" s="225"/>
      <c r="R430" s="225"/>
      <c r="S430" s="225"/>
      <c r="T430" s="225"/>
      <c r="U430" s="225"/>
      <c r="V430" s="99" t="s">
        <v>48</v>
      </c>
      <c r="W430" s="262"/>
      <c r="X430" s="256"/>
      <c r="Y430" s="256"/>
      <c r="Z430" s="257">
        <f>+SUM(START:END!Z430)</f>
        <v>38053.748249626617</v>
      </c>
      <c r="AA430" s="256"/>
      <c r="AB430" s="256"/>
      <c r="AC430" s="257"/>
      <c r="AD430" s="264"/>
      <c r="AE430" s="263"/>
      <c r="AF430" s="257">
        <f>+SUM(START:END!AF430)</f>
        <v>29375.840000000004</v>
      </c>
      <c r="AG430" s="258"/>
      <c r="AH430" s="259">
        <f t="shared" si="133"/>
        <v>-8677.9082496266128</v>
      </c>
      <c r="AI430" s="279">
        <f t="shared" si="132"/>
        <v>-0.22804345560655145</v>
      </c>
      <c r="AJ430" s="264"/>
      <c r="AK430" s="256"/>
      <c r="AL430" s="257">
        <f>+SUM(START:END!AL430)</f>
        <v>35969.600000000006</v>
      </c>
      <c r="AM430" s="261"/>
      <c r="AN430" s="259">
        <f t="shared" si="127"/>
        <v>-6593.760000000002</v>
      </c>
      <c r="AO430" s="452">
        <f t="shared" si="128"/>
        <v>-0.1833147991637383</v>
      </c>
      <c r="AP430" s="225"/>
      <c r="AQ430" s="465"/>
      <c r="AR430" s="465"/>
      <c r="AS430" s="225"/>
      <c r="AT430" s="225"/>
      <c r="AU430" s="225"/>
      <c r="AV430" s="225"/>
      <c r="AW430" s="225"/>
      <c r="AX430" s="225"/>
      <c r="AY430" s="225"/>
      <c r="AZ430" s="225"/>
      <c r="BA430" s="225"/>
      <c r="BB430" s="225"/>
      <c r="BC430" s="225"/>
      <c r="BD430" s="225"/>
      <c r="BE430" s="225"/>
      <c r="BF430" s="225"/>
      <c r="BG430" s="225"/>
      <c r="BH430" s="225"/>
      <c r="BI430" s="225"/>
    </row>
    <row r="431" spans="1:61" ht="15.75" hidden="1" customHeight="1">
      <c r="A431" t="str">
        <f t="shared" si="119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25"/>
      <c r="U431" s="225"/>
      <c r="V431" s="27" t="s">
        <v>20</v>
      </c>
      <c r="W431" s="262"/>
      <c r="X431" s="256"/>
      <c r="Y431" s="263"/>
      <c r="Z431" s="257">
        <f>+SUM(START:END!Z431)</f>
        <v>0</v>
      </c>
      <c r="AA431" s="256"/>
      <c r="AB431" s="256"/>
      <c r="AC431" s="257"/>
      <c r="AD431" s="264"/>
      <c r="AE431" s="263"/>
      <c r="AF431" s="257">
        <f>+SUM(START:END!AF431)</f>
        <v>0</v>
      </c>
      <c r="AG431" s="258"/>
      <c r="AH431" s="259">
        <f t="shared" si="133"/>
        <v>0</v>
      </c>
      <c r="AI431" s="260">
        <f t="shared" si="132"/>
        <v>0</v>
      </c>
      <c r="AJ431" s="264"/>
      <c r="AK431" s="259"/>
      <c r="AL431" s="257">
        <f>+SUM(START:END!AL431)</f>
        <v>0</v>
      </c>
      <c r="AM431" s="261"/>
      <c r="AN431" s="259"/>
      <c r="AO431" s="449"/>
      <c r="AP431" s="225"/>
      <c r="AQ431" s="465"/>
      <c r="AR431" s="465"/>
      <c r="AS431" s="225"/>
      <c r="AT431" s="225"/>
      <c r="AU431" s="225"/>
      <c r="AV431" s="225"/>
      <c r="AW431" s="225"/>
      <c r="AX431" s="225"/>
      <c r="AY431" s="225"/>
      <c r="AZ431" s="225"/>
      <c r="BA431" s="225"/>
      <c r="BB431" s="225"/>
      <c r="BC431" s="225"/>
      <c r="BD431" s="225"/>
      <c r="BE431" s="225"/>
      <c r="BF431" s="225"/>
      <c r="BG431" s="225"/>
      <c r="BH431" s="225"/>
      <c r="BI431" s="225"/>
    </row>
    <row r="432" spans="1:61" ht="15.75" customHeight="1">
      <c r="A432" t="str">
        <f t="shared" si="119"/>
        <v>TOTAL PERSONNEL</v>
      </c>
      <c r="B432" s="7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R432" s="225"/>
      <c r="S432" s="225"/>
      <c r="T432" s="225"/>
      <c r="U432" s="225"/>
      <c r="V432" s="269" t="s">
        <v>49</v>
      </c>
      <c r="W432" s="270"/>
      <c r="X432" s="271">
        <f>Z432/Z406</f>
        <v>0.44510133361120979</v>
      </c>
      <c r="Y432" s="270"/>
      <c r="Z432" s="272">
        <f>SUM(Z419:Z431)</f>
        <v>874293.22021474259</v>
      </c>
      <c r="AA432" s="271"/>
      <c r="AB432" s="270"/>
      <c r="AC432" s="272"/>
      <c r="AD432" s="273">
        <f>AF432/AF406</f>
        <v>0.4432876657022452</v>
      </c>
      <c r="AE432" s="280"/>
      <c r="AF432" s="272">
        <f>SUM(AF419:AF431)</f>
        <v>838405.25999999989</v>
      </c>
      <c r="AG432" s="281"/>
      <c r="AH432" s="275">
        <f t="shared" si="133"/>
        <v>-35887.960214742692</v>
      </c>
      <c r="AI432" s="271">
        <f>AH432/Z432</f>
        <v>-4.1047968101511692E-2</v>
      </c>
      <c r="AJ432" s="273">
        <f>IF($AL$406=0,0,AL432/$AL$406)</f>
        <v>0.40261627137182121</v>
      </c>
      <c r="AK432" s="270"/>
      <c r="AL432" s="272">
        <f>SUM(AL419:AL431)</f>
        <v>858266.08</v>
      </c>
      <c r="AM432" s="282"/>
      <c r="AN432" s="275">
        <f t="shared" ref="AN432:AN450" si="134">AF432-AL432</f>
        <v>-19860.820000000065</v>
      </c>
      <c r="AO432" s="450">
        <f t="shared" ref="AO432:AO460" si="135">IF(AL432=0,0,AN432/AL432)</f>
        <v>-2.3140632564670464E-2</v>
      </c>
      <c r="AP432" s="225"/>
      <c r="AQ432" s="465"/>
      <c r="AR432" s="465"/>
      <c r="AS432" s="225"/>
      <c r="AT432" s="225"/>
      <c r="AU432" s="225"/>
      <c r="AV432" s="225"/>
      <c r="AW432" s="225"/>
      <c r="AX432" s="225"/>
      <c r="AY432" s="225"/>
      <c r="AZ432" s="225"/>
      <c r="BA432" s="225"/>
      <c r="BB432" s="225"/>
      <c r="BC432" s="225"/>
      <c r="BD432" s="225"/>
      <c r="BE432" s="225"/>
      <c r="BF432" s="225"/>
      <c r="BG432" s="225"/>
      <c r="BH432" s="225"/>
      <c r="BI432" s="225"/>
    </row>
    <row r="433" spans="1:62" ht="15.75" customHeight="1">
      <c r="A433" t="str">
        <f t="shared" si="119"/>
        <v>Publicité 2</v>
      </c>
      <c r="B433" s="7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83"/>
      <c r="S433" s="391"/>
      <c r="T433" s="225"/>
      <c r="U433" s="225"/>
      <c r="V433" s="190" t="s">
        <v>50</v>
      </c>
      <c r="W433" s="284" t="s">
        <v>138</v>
      </c>
      <c r="X433" s="285"/>
      <c r="Y433" s="285"/>
      <c r="Z433" s="286">
        <f>+SUM(START:END!Z433)</f>
        <v>38905.816625000007</v>
      </c>
      <c r="AA433" s="285"/>
      <c r="AB433" s="285"/>
      <c r="AC433" s="286"/>
      <c r="AD433" s="285"/>
      <c r="AE433" s="288"/>
      <c r="AF433" s="286">
        <f>+SUM(START:END!AF433)</f>
        <v>49747.189999999995</v>
      </c>
      <c r="AG433" s="287"/>
      <c r="AH433" s="289">
        <f t="shared" si="133"/>
        <v>10841.373374999988</v>
      </c>
      <c r="AI433" s="290">
        <f t="shared" ref="AI433:AI450" si="136">IF(Z433=0,0,AH433/Z433)</f>
        <v>0.27865687744062323</v>
      </c>
      <c r="AJ433" s="287"/>
      <c r="AK433" s="285"/>
      <c r="AL433" s="286">
        <f t="shared" ref="AL433:AL450" si="137">+SUMIF($C:$C,$V433,Q:Q)</f>
        <v>40001.490000000005</v>
      </c>
      <c r="AM433" s="291"/>
      <c r="AN433" s="289">
        <f t="shared" si="134"/>
        <v>9745.6999999999898</v>
      </c>
      <c r="AO433" s="451">
        <f t="shared" si="135"/>
        <v>0.24363342465493132</v>
      </c>
      <c r="AP433" s="225"/>
      <c r="AQ433" s="465"/>
      <c r="AR433" s="465"/>
      <c r="AS433" s="225"/>
      <c r="AT433" s="225"/>
      <c r="AU433" s="225"/>
      <c r="AV433" s="225"/>
      <c r="AW433" s="225"/>
      <c r="AX433" s="225"/>
      <c r="AY433" s="225"/>
      <c r="AZ433" s="225"/>
      <c r="BA433" s="225"/>
      <c r="BB433" s="225"/>
      <c r="BC433" s="225"/>
      <c r="BD433" s="225"/>
      <c r="BE433" s="225"/>
      <c r="BF433" s="225"/>
      <c r="BG433" s="225"/>
      <c r="BH433" s="225"/>
      <c r="BI433" s="225"/>
    </row>
    <row r="434" spans="1:62" ht="15.75" customHeight="1">
      <c r="A434" t="str">
        <f t="shared" si="119"/>
        <v>Service gratuit 2</v>
      </c>
      <c r="B434" s="7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Q434" s="283"/>
      <c r="S434" s="225"/>
      <c r="T434" s="225"/>
      <c r="U434" s="225"/>
      <c r="V434" s="99" t="s">
        <v>51</v>
      </c>
      <c r="W434" s="262" t="s">
        <v>149</v>
      </c>
      <c r="X434" s="256"/>
      <c r="Y434" s="256"/>
      <c r="Z434" s="257">
        <f>+SUM(START:END!Z434)</f>
        <v>10136.444259535401</v>
      </c>
      <c r="AA434" s="256"/>
      <c r="AB434" s="256"/>
      <c r="AC434" s="257"/>
      <c r="AD434" s="264"/>
      <c r="AE434" s="263"/>
      <c r="AF434" s="257">
        <f>+SUM(START:END!AF434)</f>
        <v>23668.620000000003</v>
      </c>
      <c r="AG434" s="258"/>
      <c r="AH434" s="259">
        <f t="shared" si="133"/>
        <v>13532.175740464601</v>
      </c>
      <c r="AI434" s="260">
        <f t="shared" si="136"/>
        <v>1.3350022349044952</v>
      </c>
      <c r="AJ434" s="264"/>
      <c r="AK434" s="256"/>
      <c r="AL434" s="257">
        <f t="shared" si="137"/>
        <v>17801.78</v>
      </c>
      <c r="AM434" s="261"/>
      <c r="AN434" s="259">
        <f t="shared" si="134"/>
        <v>5866.8400000000038</v>
      </c>
      <c r="AO434" s="452">
        <f t="shared" si="135"/>
        <v>0.32956479632935604</v>
      </c>
      <c r="AP434" s="225"/>
      <c r="AQ434" s="465"/>
      <c r="AR434" s="465"/>
      <c r="AS434" s="225"/>
      <c r="AT434" s="225"/>
      <c r="AU434" s="225"/>
      <c r="AV434" s="225"/>
      <c r="AW434" s="225"/>
      <c r="AX434" s="225"/>
      <c r="AY434" s="225"/>
      <c r="AZ434" s="225"/>
      <c r="BA434" s="225"/>
      <c r="BB434" s="225"/>
      <c r="BC434" s="225"/>
      <c r="BD434" s="225"/>
      <c r="BE434" s="225"/>
      <c r="BF434" s="225"/>
      <c r="BG434" s="225"/>
      <c r="BH434" s="225"/>
      <c r="BI434" s="225"/>
    </row>
    <row r="435" spans="1:62" ht="15.75" customHeight="1">
      <c r="A435" t="str">
        <f t="shared" si="119"/>
        <v>Frais véhicules de cie</v>
      </c>
      <c r="B435" s="7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83"/>
      <c r="S435" s="225"/>
      <c r="T435" s="225"/>
      <c r="U435" s="225"/>
      <c r="V435" s="100" t="s">
        <v>52</v>
      </c>
      <c r="W435" s="265" t="s">
        <v>150</v>
      </c>
      <c r="X435" s="242"/>
      <c r="Y435" s="242"/>
      <c r="Z435" s="243">
        <f>+SUM(START:END!Z435)</f>
        <v>66875</v>
      </c>
      <c r="AA435" s="242"/>
      <c r="AB435" s="242"/>
      <c r="AC435" s="243"/>
      <c r="AD435" s="267"/>
      <c r="AE435" s="266"/>
      <c r="AF435" s="243">
        <f>+SUM(START:END!AF435)</f>
        <v>56074.049999999996</v>
      </c>
      <c r="AG435" s="244"/>
      <c r="AH435" s="245">
        <f t="shared" si="133"/>
        <v>-10800.950000000004</v>
      </c>
      <c r="AI435" s="268">
        <f t="shared" si="136"/>
        <v>-0.16150953271028043</v>
      </c>
      <c r="AJ435" s="267"/>
      <c r="AK435" s="242"/>
      <c r="AL435" s="243">
        <f t="shared" si="137"/>
        <v>75747.23</v>
      </c>
      <c r="AM435" s="247"/>
      <c r="AN435" s="245">
        <f t="shared" si="134"/>
        <v>-19673.18</v>
      </c>
      <c r="AO435" s="449">
        <f t="shared" si="135"/>
        <v>-0.25972144459936031</v>
      </c>
      <c r="AP435" s="225"/>
      <c r="AQ435" s="465"/>
      <c r="AR435" s="465"/>
      <c r="AS435" s="225"/>
      <c r="AT435" s="225"/>
      <c r="AU435" s="225"/>
      <c r="AV435" s="225"/>
      <c r="AW435" s="225"/>
      <c r="AX435" s="225"/>
      <c r="AY435" s="225"/>
      <c r="AZ435" s="225"/>
      <c r="BA435" s="225"/>
      <c r="BB435" s="225"/>
      <c r="BC435" s="225"/>
      <c r="BD435" s="225"/>
      <c r="BE435" s="225"/>
      <c r="BF435" s="225"/>
      <c r="BG435" s="225"/>
      <c r="BH435" s="225"/>
      <c r="BI435" s="225"/>
      <c r="BJ435" s="225"/>
    </row>
    <row r="436" spans="1:62" ht="15.75" customHeight="1">
      <c r="A436" t="str">
        <f t="shared" si="119"/>
        <v>Informatique</v>
      </c>
      <c r="B436" s="7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83"/>
      <c r="S436" s="225"/>
      <c r="T436" s="225"/>
      <c r="U436" s="225"/>
      <c r="V436" s="99" t="s">
        <v>53</v>
      </c>
      <c r="W436" s="262" t="s">
        <v>151</v>
      </c>
      <c r="X436" s="256"/>
      <c r="Y436" s="256"/>
      <c r="Z436" s="257">
        <f>+SUM(START:END!Z436)</f>
        <v>59564.611600000004</v>
      </c>
      <c r="AA436" s="256"/>
      <c r="AB436" s="256"/>
      <c r="AC436" s="257"/>
      <c r="AD436" s="264"/>
      <c r="AE436" s="263"/>
      <c r="AF436" s="257">
        <f>+SUM(START:END!AF436)</f>
        <v>62400.560000000005</v>
      </c>
      <c r="AG436" s="258"/>
      <c r="AH436" s="259">
        <f t="shared" si="133"/>
        <v>2835.9484000000011</v>
      </c>
      <c r="AI436" s="260">
        <f t="shared" si="136"/>
        <v>4.7611296772058546E-2</v>
      </c>
      <c r="AJ436" s="264"/>
      <c r="AK436" s="256"/>
      <c r="AL436" s="257">
        <f t="shared" si="137"/>
        <v>61693.16</v>
      </c>
      <c r="AM436" s="261"/>
      <c r="AN436" s="259">
        <f t="shared" si="134"/>
        <v>707.40000000000146</v>
      </c>
      <c r="AO436" s="452">
        <f t="shared" si="135"/>
        <v>1.1466425127194027E-2</v>
      </c>
      <c r="AP436" s="225"/>
      <c r="AQ436" s="465"/>
      <c r="AR436" s="465"/>
      <c r="AS436" s="225"/>
      <c r="AT436" s="225"/>
      <c r="AU436" s="225"/>
      <c r="AV436" s="225"/>
      <c r="AW436" s="225"/>
      <c r="AX436" s="225"/>
      <c r="AY436" s="225"/>
      <c r="AZ436" s="225"/>
      <c r="BA436" s="225"/>
      <c r="BB436" s="225"/>
      <c r="BC436" s="225"/>
      <c r="BD436" s="225"/>
      <c r="BE436" s="225"/>
      <c r="BF436" s="225"/>
      <c r="BG436" s="225"/>
      <c r="BH436" s="225"/>
      <c r="BI436" s="225"/>
      <c r="BJ436" s="225"/>
    </row>
    <row r="437" spans="1:62" ht="15.75" customHeight="1">
      <c r="A437" t="str">
        <f t="shared" si="119"/>
        <v>Frais de déplacement</v>
      </c>
      <c r="B437" s="7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83"/>
      <c r="S437" s="225"/>
      <c r="T437" s="225"/>
      <c r="U437" s="225"/>
      <c r="V437" s="99" t="s">
        <v>54</v>
      </c>
      <c r="W437" s="262" t="s">
        <v>152</v>
      </c>
      <c r="X437" s="256"/>
      <c r="Y437" s="256"/>
      <c r="Z437" s="257">
        <f>+SUM(START:END!Z437)</f>
        <v>9375.8254187499988</v>
      </c>
      <c r="AA437" s="256"/>
      <c r="AB437" s="256"/>
      <c r="AC437" s="257"/>
      <c r="AD437" s="264"/>
      <c r="AE437" s="263"/>
      <c r="AF437" s="257">
        <f>+SUM(START:END!AF437)</f>
        <v>13416.719999999998</v>
      </c>
      <c r="AG437" s="258"/>
      <c r="AH437" s="259">
        <f t="shared" si="133"/>
        <v>4040.8945812499987</v>
      </c>
      <c r="AI437" s="260">
        <f t="shared" si="136"/>
        <v>0.43099080889122804</v>
      </c>
      <c r="AJ437" s="264"/>
      <c r="AK437" s="256"/>
      <c r="AL437" s="257">
        <f t="shared" si="137"/>
        <v>10306.61</v>
      </c>
      <c r="AM437" s="261"/>
      <c r="AN437" s="259">
        <f t="shared" si="134"/>
        <v>3110.1099999999969</v>
      </c>
      <c r="AO437" s="452">
        <f t="shared" si="135"/>
        <v>0.30175877422353198</v>
      </c>
      <c r="AP437" s="225"/>
      <c r="AQ437" s="465"/>
      <c r="AR437" s="465"/>
      <c r="AS437" s="225"/>
      <c r="AT437" s="225"/>
      <c r="AU437" s="225"/>
      <c r="AV437" s="225"/>
      <c r="AW437" s="225"/>
      <c r="AX437" s="225"/>
      <c r="AY437" s="225"/>
      <c r="AZ437" s="225"/>
      <c r="BA437" s="225"/>
      <c r="BB437" s="225"/>
      <c r="BC437" s="225"/>
      <c r="BD437" s="225"/>
      <c r="BE437" s="225"/>
      <c r="BF437" s="225"/>
      <c r="BG437" s="225"/>
      <c r="BH437" s="225"/>
      <c r="BI437" s="225"/>
      <c r="BJ437" s="225"/>
    </row>
    <row r="438" spans="1:62" ht="15.75" customHeight="1">
      <c r="A438" t="str">
        <f t="shared" si="119"/>
        <v>Services extérieurs</v>
      </c>
      <c r="B438" s="7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83"/>
      <c r="S438" s="225"/>
      <c r="T438" s="225"/>
      <c r="U438" s="225"/>
      <c r="V438" s="99" t="s">
        <v>55</v>
      </c>
      <c r="W438" s="262" t="s">
        <v>153</v>
      </c>
      <c r="X438" s="256"/>
      <c r="Y438" s="256"/>
      <c r="Z438" s="257">
        <f>+SUM(START:END!Z438)</f>
        <v>59100.505466666669</v>
      </c>
      <c r="AA438" s="256"/>
      <c r="AB438" s="256"/>
      <c r="AC438" s="257"/>
      <c r="AD438" s="264"/>
      <c r="AE438" s="263"/>
      <c r="AF438" s="257">
        <f>+SUM(START:END!AF438)</f>
        <v>81126.899999999994</v>
      </c>
      <c r="AG438" s="258"/>
      <c r="AH438" s="259">
        <f t="shared" si="133"/>
        <v>22026.394533333325</v>
      </c>
      <c r="AI438" s="260">
        <f t="shared" si="136"/>
        <v>0.37269384346901147</v>
      </c>
      <c r="AJ438" s="264"/>
      <c r="AK438" s="256"/>
      <c r="AL438" s="257">
        <f t="shared" si="137"/>
        <v>60608.639999999999</v>
      </c>
      <c r="AM438" s="261"/>
      <c r="AN438" s="259">
        <f t="shared" si="134"/>
        <v>20518.259999999995</v>
      </c>
      <c r="AO438" s="452">
        <f t="shared" si="135"/>
        <v>0.3385368818703075</v>
      </c>
      <c r="AP438" s="225"/>
      <c r="AQ438" s="465"/>
      <c r="AR438" s="465"/>
      <c r="AS438" s="225"/>
      <c r="AT438" s="225"/>
      <c r="AU438" s="225"/>
      <c r="AV438" s="225"/>
      <c r="AW438" s="225"/>
      <c r="AX438" s="225"/>
      <c r="AY438" s="225"/>
      <c r="AZ438" s="225"/>
      <c r="BA438" s="225"/>
      <c r="BB438" s="225"/>
      <c r="BC438" s="225"/>
      <c r="BD438" s="225"/>
      <c r="BE438" s="225"/>
      <c r="BF438" s="225"/>
      <c r="BG438" s="225"/>
      <c r="BH438" s="225"/>
      <c r="BI438" s="225"/>
      <c r="BJ438" s="225"/>
    </row>
    <row r="439" spans="1:62" ht="15.75" customHeight="1">
      <c r="B439" s="7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83"/>
      <c r="S439" s="225"/>
      <c r="T439" s="225"/>
      <c r="U439" s="225"/>
      <c r="V439" s="191" t="s">
        <v>98</v>
      </c>
      <c r="W439" s="292"/>
      <c r="X439" s="293"/>
      <c r="Y439" s="293"/>
      <c r="Z439" s="294">
        <f>+SUM(START:END!Z439)</f>
        <v>0</v>
      </c>
      <c r="AA439" s="285"/>
      <c r="AB439" s="285"/>
      <c r="AC439" s="286"/>
      <c r="AD439" s="295"/>
      <c r="AE439" s="296"/>
      <c r="AF439" s="294">
        <f>+SUM(START:END!AF439)</f>
        <v>0</v>
      </c>
      <c r="AG439" s="444"/>
      <c r="AH439" s="289">
        <f t="shared" si="133"/>
        <v>0</v>
      </c>
      <c r="AI439" s="290">
        <f t="shared" si="136"/>
        <v>0</v>
      </c>
      <c r="AJ439" s="295"/>
      <c r="AK439" s="293"/>
      <c r="AL439" s="294">
        <f t="shared" si="137"/>
        <v>0</v>
      </c>
      <c r="AM439" s="291"/>
      <c r="AN439" s="289">
        <f t="shared" si="134"/>
        <v>0</v>
      </c>
      <c r="AO439" s="451">
        <f t="shared" si="135"/>
        <v>0</v>
      </c>
      <c r="AP439" s="225"/>
      <c r="AQ439" s="465"/>
      <c r="AR439" s="465"/>
      <c r="AS439" s="225"/>
      <c r="AT439" s="225"/>
      <c r="AU439" s="225"/>
      <c r="AV439" s="225"/>
      <c r="AW439" s="225"/>
      <c r="AX439" s="225"/>
      <c r="AY439" s="225"/>
      <c r="AZ439" s="225"/>
      <c r="BA439" s="225"/>
      <c r="BB439" s="225"/>
      <c r="BC439" s="225"/>
      <c r="BD439" s="225"/>
      <c r="BE439" s="225"/>
      <c r="BF439" s="225"/>
      <c r="BG439" s="225"/>
      <c r="BH439" s="225"/>
      <c r="BI439" s="225"/>
      <c r="BJ439" s="225"/>
    </row>
    <row r="440" spans="1:62" ht="15.75" customHeight="1">
      <c r="A440" t="str">
        <f t="shared" si="119"/>
        <v>Fournitures autres</v>
      </c>
      <c r="B440" s="7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97"/>
      <c r="Q440" s="283"/>
      <c r="R440" s="225"/>
      <c r="S440" s="225"/>
      <c r="T440" s="225"/>
      <c r="U440" s="225"/>
      <c r="V440" s="99" t="s">
        <v>56</v>
      </c>
      <c r="W440" s="262" t="s">
        <v>154</v>
      </c>
      <c r="X440" s="256"/>
      <c r="Y440" s="263"/>
      <c r="Z440" s="257">
        <f>+SUM(START:END!Z440)</f>
        <v>6377.9399582235583</v>
      </c>
      <c r="AA440" s="256"/>
      <c r="AB440" s="263"/>
      <c r="AC440" s="257"/>
      <c r="AD440" s="264"/>
      <c r="AE440" s="263"/>
      <c r="AF440" s="257">
        <f>+SUM(START:END!AF440)</f>
        <v>26298.66</v>
      </c>
      <c r="AG440" s="258"/>
      <c r="AH440" s="259">
        <f t="shared" si="133"/>
        <v>19920.72004177644</v>
      </c>
      <c r="AI440" s="260">
        <f t="shared" si="136"/>
        <v>3.1233784219136704</v>
      </c>
      <c r="AJ440" s="264"/>
      <c r="AK440" s="256"/>
      <c r="AL440" s="257">
        <f t="shared" si="137"/>
        <v>5787.72</v>
      </c>
      <c r="AM440" s="261"/>
      <c r="AN440" s="259">
        <f t="shared" si="134"/>
        <v>20510.939999999999</v>
      </c>
      <c r="AO440" s="452">
        <f t="shared" si="135"/>
        <v>3.5438721983786357</v>
      </c>
      <c r="AP440" s="225"/>
      <c r="AQ440" s="465"/>
      <c r="AR440" s="465"/>
      <c r="AS440" s="225"/>
      <c r="AT440" s="225"/>
      <c r="AU440" s="225"/>
      <c r="AV440" s="225"/>
      <c r="AW440" s="225"/>
      <c r="AX440" s="225"/>
      <c r="AY440" s="225"/>
      <c r="AZ440" s="225"/>
      <c r="BA440" s="225"/>
      <c r="BB440" s="225"/>
      <c r="BC440" s="225"/>
      <c r="BD440" s="225"/>
      <c r="BE440" s="225"/>
      <c r="BF440" s="225"/>
      <c r="BG440" s="225"/>
      <c r="BH440" s="225"/>
      <c r="BI440" s="225"/>
      <c r="BJ440" s="225"/>
    </row>
    <row r="441" spans="1:62" ht="15.75" customHeight="1">
      <c r="A441" t="str">
        <f t="shared" si="119"/>
        <v>Uniformes</v>
      </c>
      <c r="B441" s="7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Q441" s="283"/>
      <c r="S441" s="225"/>
      <c r="T441" s="225"/>
      <c r="U441" s="225"/>
      <c r="V441" s="99" t="s">
        <v>57</v>
      </c>
      <c r="W441" s="262" t="s">
        <v>155</v>
      </c>
      <c r="X441" s="256"/>
      <c r="Y441" s="256"/>
      <c r="Z441" s="257">
        <f>+SUM(START:END!Z441)</f>
        <v>3293.4954760104074</v>
      </c>
      <c r="AA441" s="256"/>
      <c r="AB441" s="256"/>
      <c r="AC441" s="257"/>
      <c r="AD441" s="264"/>
      <c r="AE441" s="263"/>
      <c r="AF441" s="257">
        <f>+SUM(START:END!AF441)</f>
        <v>2604.9299999999998</v>
      </c>
      <c r="AG441" s="258"/>
      <c r="AH441" s="259">
        <f t="shared" si="133"/>
        <v>-688.56547601040756</v>
      </c>
      <c r="AI441" s="279">
        <f t="shared" si="136"/>
        <v>-0.20906829264708901</v>
      </c>
      <c r="AJ441" s="264"/>
      <c r="AK441" s="256"/>
      <c r="AL441" s="257">
        <f t="shared" si="137"/>
        <v>1477.5900000000001</v>
      </c>
      <c r="AM441" s="261"/>
      <c r="AN441" s="259">
        <f t="shared" si="134"/>
        <v>1127.3399999999997</v>
      </c>
      <c r="AO441" s="452">
        <f t="shared" si="135"/>
        <v>0.76295860150650696</v>
      </c>
      <c r="AP441" s="225"/>
      <c r="AQ441" s="465"/>
      <c r="AR441" s="465"/>
      <c r="AS441" s="225"/>
      <c r="AT441" s="225"/>
      <c r="AU441" s="225"/>
      <c r="AV441" s="225"/>
      <c r="AW441" s="225"/>
      <c r="AX441" s="225"/>
      <c r="AY441" s="225"/>
      <c r="AZ441" s="225"/>
      <c r="BA441" s="225"/>
      <c r="BB441" s="225"/>
      <c r="BC441" s="225"/>
      <c r="BD441" s="225"/>
      <c r="BE441" s="225"/>
      <c r="BF441" s="225"/>
      <c r="BG441" s="225"/>
      <c r="BH441" s="225"/>
      <c r="BI441" s="225"/>
      <c r="BJ441" s="225"/>
    </row>
    <row r="442" spans="1:62" ht="15.75" customHeight="1">
      <c r="A442" t="str">
        <f t="shared" si="119"/>
        <v>Papeterie</v>
      </c>
      <c r="B442" s="7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97"/>
      <c r="Q442" s="283"/>
      <c r="R442" s="225"/>
      <c r="S442" s="225"/>
      <c r="T442" s="225"/>
      <c r="U442" s="225"/>
      <c r="V442" s="99" t="s">
        <v>58</v>
      </c>
      <c r="W442" s="262" t="s">
        <v>156</v>
      </c>
      <c r="X442" s="256"/>
      <c r="Y442" s="256"/>
      <c r="Z442" s="257">
        <f>+SUM(START:END!Z442)</f>
        <v>7157.3534549999977</v>
      </c>
      <c r="AA442" s="256"/>
      <c r="AB442" s="256"/>
      <c r="AC442" s="257"/>
      <c r="AD442" s="264"/>
      <c r="AE442" s="263"/>
      <c r="AF442" s="257">
        <f>+SUM(START:END!AF442)</f>
        <v>7793.34</v>
      </c>
      <c r="AG442" s="258"/>
      <c r="AH442" s="259">
        <f t="shared" si="133"/>
        <v>635.98654500000248</v>
      </c>
      <c r="AI442" s="260">
        <f t="shared" si="136"/>
        <v>8.8857780882082016E-2</v>
      </c>
      <c r="AJ442" s="264"/>
      <c r="AK442" s="256"/>
      <c r="AL442" s="257">
        <f t="shared" si="137"/>
        <v>8070.6900000000005</v>
      </c>
      <c r="AM442" s="261"/>
      <c r="AN442" s="259">
        <f t="shared" si="134"/>
        <v>-277.35000000000036</v>
      </c>
      <c r="AO442" s="452">
        <f t="shared" si="135"/>
        <v>-3.4365091460581483E-2</v>
      </c>
      <c r="AP442" s="225"/>
      <c r="AQ442" s="465"/>
      <c r="AR442" s="465"/>
      <c r="AS442" s="225"/>
      <c r="AT442" s="225"/>
      <c r="AU442" s="225"/>
      <c r="AV442" s="225"/>
      <c r="AW442" s="225"/>
      <c r="AX442" s="225"/>
      <c r="AY442" s="225"/>
      <c r="AZ442" s="225"/>
      <c r="BA442" s="225"/>
      <c r="BB442" s="225"/>
      <c r="BC442" s="225"/>
      <c r="BD442" s="225"/>
      <c r="BE442" s="225"/>
      <c r="BF442" s="225"/>
      <c r="BG442" s="225"/>
      <c r="BH442" s="225"/>
      <c r="BI442" s="225"/>
      <c r="BJ442" s="225"/>
    </row>
    <row r="443" spans="1:62" ht="15.75" customHeight="1">
      <c r="A443" t="str">
        <f t="shared" si="119"/>
        <v>Téléphone</v>
      </c>
      <c r="B443" s="7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83"/>
      <c r="S443" s="225"/>
      <c r="T443" s="225"/>
      <c r="U443" s="225"/>
      <c r="V443" s="99" t="s">
        <v>59</v>
      </c>
      <c r="W443" s="262" t="s">
        <v>157</v>
      </c>
      <c r="X443" s="256"/>
      <c r="Y443" s="256"/>
      <c r="Z443" s="257">
        <f>+SUM(START:END!Z443)</f>
        <v>2425.5023452083333</v>
      </c>
      <c r="AA443" s="256"/>
      <c r="AB443" s="256"/>
      <c r="AC443" s="257"/>
      <c r="AD443" s="264"/>
      <c r="AE443" s="263"/>
      <c r="AF443" s="257">
        <f>+SUM(START:END!AF443)</f>
        <v>2519.9900000000002</v>
      </c>
      <c r="AG443" s="258"/>
      <c r="AH443" s="259">
        <f t="shared" si="133"/>
        <v>94.487654791666955</v>
      </c>
      <c r="AI443" s="279">
        <f t="shared" si="136"/>
        <v>3.8955911536565073E-2</v>
      </c>
      <c r="AJ443" s="264"/>
      <c r="AK443" s="256"/>
      <c r="AL443" s="257">
        <f t="shared" si="137"/>
        <v>2246.06</v>
      </c>
      <c r="AM443" s="261"/>
      <c r="AN443" s="259">
        <f t="shared" si="134"/>
        <v>273.93000000000029</v>
      </c>
      <c r="AO443" s="452">
        <f t="shared" si="135"/>
        <v>0.1219602325850602</v>
      </c>
      <c r="AP443" s="225"/>
      <c r="AQ443" s="465"/>
      <c r="AR443" s="465"/>
      <c r="AS443" s="225"/>
      <c r="AT443" s="225"/>
      <c r="AU443" s="225"/>
      <c r="AV443" s="225"/>
      <c r="AW443" s="225"/>
      <c r="AX443" s="225"/>
      <c r="AY443" s="225"/>
      <c r="AZ443" s="225"/>
      <c r="BA443" s="225"/>
      <c r="BB443" s="225"/>
      <c r="BC443" s="225"/>
      <c r="BD443" s="225"/>
      <c r="BE443" s="225"/>
      <c r="BF443" s="225"/>
      <c r="BG443" s="225"/>
      <c r="BH443" s="225"/>
      <c r="BI443" s="225"/>
      <c r="BJ443" s="225"/>
    </row>
    <row r="444" spans="1:62" ht="15.75" customHeight="1">
      <c r="A444" t="str">
        <f t="shared" si="119"/>
        <v>Frais postaux</v>
      </c>
      <c r="B444" s="7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83"/>
      <c r="S444" s="225"/>
      <c r="T444" s="225"/>
      <c r="U444" s="225"/>
      <c r="V444" s="99" t="s">
        <v>60</v>
      </c>
      <c r="W444" s="262" t="s">
        <v>158</v>
      </c>
      <c r="X444" s="256"/>
      <c r="Y444" s="256"/>
      <c r="Z444" s="257">
        <f>+SUM(START:END!Z444)</f>
        <v>1160.1027547916665</v>
      </c>
      <c r="AA444" s="256"/>
      <c r="AB444" s="256"/>
      <c r="AC444" s="257"/>
      <c r="AD444" s="264"/>
      <c r="AE444" s="263"/>
      <c r="AF444" s="257">
        <f>+SUM(START:END!AF444)</f>
        <v>1694.9</v>
      </c>
      <c r="AG444" s="258"/>
      <c r="AH444" s="259">
        <f t="shared" si="133"/>
        <v>534.79724520833361</v>
      </c>
      <c r="AI444" s="260">
        <f t="shared" si="136"/>
        <v>0.46099127253979633</v>
      </c>
      <c r="AJ444" s="264"/>
      <c r="AK444" s="256"/>
      <c r="AL444" s="257">
        <f t="shared" si="137"/>
        <v>1286.2600000000002</v>
      </c>
      <c r="AM444" s="261"/>
      <c r="AN444" s="259">
        <f t="shared" si="134"/>
        <v>408.63999999999987</v>
      </c>
      <c r="AO444" s="452">
        <f t="shared" si="135"/>
        <v>0.31769626669569123</v>
      </c>
      <c r="AP444" s="225"/>
      <c r="AQ444" s="465"/>
      <c r="AR444" s="465"/>
      <c r="AS444" s="225"/>
      <c r="AT444" s="225"/>
      <c r="AU444" s="225"/>
      <c r="AV444" s="225"/>
      <c r="AW444" s="225"/>
      <c r="AX444" s="225"/>
      <c r="AY444" s="225"/>
      <c r="AZ444" s="225"/>
      <c r="BA444" s="225"/>
      <c r="BB444" s="225"/>
      <c r="BC444" s="225"/>
      <c r="BD444" s="225"/>
      <c r="BE444" s="225"/>
      <c r="BF444" s="225"/>
      <c r="BG444" s="225"/>
      <c r="BH444" s="225"/>
      <c r="BI444" s="225"/>
      <c r="BJ444" s="225"/>
    </row>
    <row r="445" spans="1:62" ht="15.75" customHeight="1">
      <c r="A445" t="str">
        <f t="shared" si="119"/>
        <v>Divers</v>
      </c>
      <c r="B445" s="7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83"/>
      <c r="R445" s="225"/>
      <c r="S445" s="225"/>
      <c r="T445" s="225"/>
      <c r="U445" s="225"/>
      <c r="V445" s="99" t="s">
        <v>61</v>
      </c>
      <c r="W445" s="262" t="s">
        <v>159</v>
      </c>
      <c r="X445" s="256"/>
      <c r="Y445" s="263"/>
      <c r="Z445" s="257">
        <f>+SUM(START:END!Z445)</f>
        <v>4407.9596535416667</v>
      </c>
      <c r="AA445" s="256"/>
      <c r="AB445" s="263"/>
      <c r="AC445" s="257"/>
      <c r="AD445" s="264"/>
      <c r="AE445" s="263"/>
      <c r="AF445" s="257">
        <f>+SUM(START:END!AF445)</f>
        <v>1372.5900000000001</v>
      </c>
      <c r="AG445" s="258"/>
      <c r="AH445" s="259">
        <f t="shared" si="133"/>
        <v>-3035.3696535416666</v>
      </c>
      <c r="AI445" s="279">
        <f t="shared" si="136"/>
        <v>-0.68861103370191601</v>
      </c>
      <c r="AJ445" s="264"/>
      <c r="AK445" s="256"/>
      <c r="AL445" s="257">
        <f t="shared" si="137"/>
        <v>1107.83</v>
      </c>
      <c r="AM445" s="261"/>
      <c r="AN445" s="259">
        <f t="shared" si="134"/>
        <v>264.76000000000022</v>
      </c>
      <c r="AO445" s="452">
        <f t="shared" si="135"/>
        <v>0.23898973669245302</v>
      </c>
      <c r="AP445" s="225"/>
      <c r="AQ445" s="465"/>
      <c r="AR445" s="465"/>
      <c r="AS445" s="225"/>
      <c r="AT445" s="225"/>
      <c r="AU445" s="225"/>
      <c r="AV445" s="225"/>
      <c r="AW445" s="225"/>
      <c r="AX445" s="225"/>
      <c r="AY445" s="225"/>
      <c r="AZ445" s="225"/>
      <c r="BA445" s="225"/>
      <c r="BB445" s="225"/>
      <c r="BC445" s="225"/>
      <c r="BD445" s="225"/>
      <c r="BE445" s="225"/>
      <c r="BF445" s="225"/>
      <c r="BG445" s="225"/>
      <c r="BH445" s="225"/>
      <c r="BI445" s="225"/>
      <c r="BJ445" s="225"/>
    </row>
    <row r="446" spans="1:62" ht="15.75" customHeight="1">
      <c r="A446" t="str">
        <f t="shared" si="119"/>
        <v>Formation</v>
      </c>
      <c r="B446" s="7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83"/>
      <c r="R446" s="225"/>
      <c r="S446" s="225"/>
      <c r="T446" s="225"/>
      <c r="U446" s="225"/>
      <c r="V446" s="99" t="s">
        <v>62</v>
      </c>
      <c r="W446" s="262" t="s">
        <v>160</v>
      </c>
      <c r="X446" s="256"/>
      <c r="Y446" s="263"/>
      <c r="Z446" s="257">
        <f>+SUM(START:END!Z446)</f>
        <v>10540.000000000002</v>
      </c>
      <c r="AA446" s="256"/>
      <c r="AB446" s="263"/>
      <c r="AC446" s="257"/>
      <c r="AD446" s="264"/>
      <c r="AE446" s="263"/>
      <c r="AF446" s="257">
        <f>+SUM(START:END!AF446)</f>
        <v>22706.86</v>
      </c>
      <c r="AG446" s="258"/>
      <c r="AH446" s="445">
        <f t="shared" si="133"/>
        <v>12166.859999999999</v>
      </c>
      <c r="AI446" s="260">
        <f t="shared" si="136"/>
        <v>1.1543510436432634</v>
      </c>
      <c r="AJ446" s="264"/>
      <c r="AK446" s="256"/>
      <c r="AL446" s="257">
        <f t="shared" si="137"/>
        <v>8657.26</v>
      </c>
      <c r="AM446" s="261"/>
      <c r="AN446" s="259">
        <f t="shared" si="134"/>
        <v>14049.6</v>
      </c>
      <c r="AO446" s="452">
        <f t="shared" si="135"/>
        <v>1.6228691294936273</v>
      </c>
      <c r="AP446" s="225"/>
      <c r="AQ446" s="465"/>
      <c r="AR446" s="465"/>
      <c r="AS446" s="225"/>
      <c r="AT446" s="225"/>
      <c r="AU446" s="225"/>
      <c r="AV446" s="225"/>
      <c r="AW446" s="225"/>
      <c r="AX446" s="225"/>
      <c r="AY446" s="225"/>
      <c r="AZ446" s="225"/>
      <c r="BA446" s="225"/>
      <c r="BB446" s="225"/>
      <c r="BC446" s="225"/>
      <c r="BD446" s="225"/>
      <c r="BE446" s="225"/>
      <c r="BF446" s="225"/>
      <c r="BG446" s="225"/>
      <c r="BH446" s="225"/>
      <c r="BI446" s="225"/>
      <c r="BJ446" s="225"/>
    </row>
    <row r="447" spans="1:62" ht="15.75" customHeight="1">
      <c r="A447" t="str">
        <f t="shared" si="119"/>
        <v>Frais bancaires</v>
      </c>
      <c r="B447" s="7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83"/>
      <c r="R447" s="225"/>
      <c r="S447" s="225"/>
      <c r="T447" s="225"/>
      <c r="U447" s="225"/>
      <c r="V447" s="99" t="s">
        <v>63</v>
      </c>
      <c r="W447" s="262" t="s">
        <v>161</v>
      </c>
      <c r="X447" s="256"/>
      <c r="Y447" s="263"/>
      <c r="Z447" s="257">
        <f>+SUM(START:END!Z447)</f>
        <v>19015.016467574023</v>
      </c>
      <c r="AA447" s="256"/>
      <c r="AB447" s="263"/>
      <c r="AC447" s="257"/>
      <c r="AD447" s="264"/>
      <c r="AE447" s="263"/>
      <c r="AF447" s="257">
        <f>+SUM(START:END!AF447)</f>
        <v>21488.520000000004</v>
      </c>
      <c r="AG447" s="258"/>
      <c r="AH447" s="259">
        <f t="shared" si="133"/>
        <v>2473.5035324259807</v>
      </c>
      <c r="AI447" s="260">
        <f t="shared" si="136"/>
        <v>0.13008158770958747</v>
      </c>
      <c r="AJ447" s="264"/>
      <c r="AK447" s="256"/>
      <c r="AL447" s="257">
        <f t="shared" si="137"/>
        <v>25039.650000000009</v>
      </c>
      <c r="AM447" s="261"/>
      <c r="AN447" s="259">
        <f t="shared" si="134"/>
        <v>-3551.1300000000047</v>
      </c>
      <c r="AO447" s="452">
        <f t="shared" si="135"/>
        <v>-0.14182027304694766</v>
      </c>
      <c r="AP447" s="225"/>
      <c r="AQ447" s="465"/>
      <c r="AR447" s="465"/>
      <c r="AS447" s="225"/>
      <c r="AT447" s="225"/>
      <c r="AU447" s="225"/>
      <c r="AV447" s="225"/>
      <c r="AW447" s="225"/>
      <c r="AX447" s="225"/>
      <c r="AY447" s="225"/>
      <c r="AZ447" s="225"/>
      <c r="BA447" s="225"/>
      <c r="BB447" s="225"/>
      <c r="BC447" s="225"/>
      <c r="BD447" s="225"/>
      <c r="BE447" s="225"/>
      <c r="BF447" s="225"/>
      <c r="BG447" s="225"/>
      <c r="BH447" s="225"/>
      <c r="BI447" s="225"/>
      <c r="BJ447" s="225"/>
    </row>
    <row r="448" spans="1:62" ht="15.75" hidden="1" customHeight="1">
      <c r="A448" t="str">
        <f t="shared" si="119"/>
        <v>Mitsubishi</v>
      </c>
      <c r="B448" s="7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83"/>
      <c r="R448" s="225"/>
      <c r="S448" s="225"/>
      <c r="T448" s="225"/>
      <c r="U448" s="225"/>
      <c r="V448" s="99" t="s">
        <v>212</v>
      </c>
      <c r="W448" s="262"/>
      <c r="X448" s="256"/>
      <c r="Y448" s="263"/>
      <c r="Z448" s="257">
        <f>+SUM(START:END!Z448)</f>
        <v>0</v>
      </c>
      <c r="AA448" s="256"/>
      <c r="AB448" s="256"/>
      <c r="AC448" s="257"/>
      <c r="AD448" s="264"/>
      <c r="AE448" s="263"/>
      <c r="AF448" s="257">
        <f>+SUM(START:END!AF448)</f>
        <v>0</v>
      </c>
      <c r="AG448" s="258"/>
      <c r="AH448" s="259">
        <f t="shared" si="133"/>
        <v>0</v>
      </c>
      <c r="AI448" s="260">
        <f t="shared" si="136"/>
        <v>0</v>
      </c>
      <c r="AJ448" s="264"/>
      <c r="AK448" s="256"/>
      <c r="AL448" s="257">
        <f t="shared" si="137"/>
        <v>0</v>
      </c>
      <c r="AM448" s="261"/>
      <c r="AN448" s="259">
        <f t="shared" si="134"/>
        <v>0</v>
      </c>
      <c r="AO448" s="452">
        <f t="shared" si="135"/>
        <v>0</v>
      </c>
      <c r="AP448" s="225"/>
      <c r="AQ448" s="465"/>
      <c r="AR448" s="465"/>
      <c r="AS448" s="225"/>
      <c r="AT448" s="225"/>
      <c r="AU448" s="225"/>
      <c r="AV448" s="225"/>
      <c r="AW448" s="225"/>
      <c r="AX448" s="225"/>
      <c r="AY448" s="225"/>
      <c r="AZ448" s="225"/>
      <c r="BA448" s="225"/>
      <c r="BB448" s="225"/>
      <c r="BC448" s="225"/>
      <c r="BD448" s="225"/>
      <c r="BE448" s="225"/>
      <c r="BF448" s="225"/>
      <c r="BG448" s="225"/>
      <c r="BH448" s="225"/>
      <c r="BI448" s="225"/>
      <c r="BJ448" s="225"/>
    </row>
    <row r="449" spans="1:62" ht="15.75" hidden="1" customHeight="1">
      <c r="A449" t="str">
        <f t="shared" si="119"/>
        <v>[...]</v>
      </c>
      <c r="B449" s="7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83"/>
      <c r="R449" s="225"/>
      <c r="S449" s="225"/>
      <c r="T449" s="225"/>
      <c r="U449" s="225"/>
      <c r="V449" s="99" t="s">
        <v>20</v>
      </c>
      <c r="W449" s="262"/>
      <c r="X449" s="256"/>
      <c r="Y449" s="263"/>
      <c r="Z449" s="257">
        <f>+SUM(START:END!Z449)</f>
        <v>0</v>
      </c>
      <c r="AA449" s="256"/>
      <c r="AB449" s="256"/>
      <c r="AC449" s="257"/>
      <c r="AD449" s="264"/>
      <c r="AE449" s="263"/>
      <c r="AF449" s="257">
        <f>+SUM(START:END!AF449)</f>
        <v>0</v>
      </c>
      <c r="AG449" s="258"/>
      <c r="AH449" s="259">
        <f t="shared" si="133"/>
        <v>0</v>
      </c>
      <c r="AI449" s="260">
        <f t="shared" si="136"/>
        <v>0</v>
      </c>
      <c r="AJ449" s="264"/>
      <c r="AK449" s="256"/>
      <c r="AL449" s="257">
        <f t="shared" si="137"/>
        <v>0</v>
      </c>
      <c r="AM449" s="261"/>
      <c r="AN449" s="259">
        <f t="shared" si="134"/>
        <v>0</v>
      </c>
      <c r="AO449" s="452">
        <f t="shared" si="135"/>
        <v>0</v>
      </c>
      <c r="AP449" s="225"/>
      <c r="AQ449" s="465"/>
      <c r="AR449" s="465"/>
      <c r="AS449" s="225"/>
      <c r="AT449" s="225"/>
      <c r="AU449" s="225"/>
      <c r="AV449" s="225"/>
      <c r="AW449" s="225"/>
      <c r="AX449" s="225"/>
      <c r="AY449" s="225"/>
      <c r="AZ449" s="225"/>
      <c r="BA449" s="225"/>
      <c r="BB449" s="225"/>
      <c r="BC449" s="225"/>
      <c r="BD449" s="225"/>
      <c r="BE449" s="225"/>
      <c r="BF449" s="225"/>
      <c r="BG449" s="225"/>
      <c r="BH449" s="225"/>
      <c r="BI449" s="225"/>
      <c r="BJ449" s="225"/>
    </row>
    <row r="450" spans="1:62" ht="15.75" hidden="1" customHeight="1">
      <c r="A450" t="str">
        <f t="shared" si="119"/>
        <v>[...]</v>
      </c>
      <c r="B450" s="7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97"/>
      <c r="Q450" s="283"/>
      <c r="R450" s="225"/>
      <c r="S450" s="225"/>
      <c r="T450" s="225"/>
      <c r="U450" s="225"/>
      <c r="V450" s="99" t="s">
        <v>20</v>
      </c>
      <c r="W450" s="262"/>
      <c r="X450" s="256"/>
      <c r="Y450" s="263"/>
      <c r="Z450" s="257">
        <f>+SUM(START:END!Z450)</f>
        <v>0</v>
      </c>
      <c r="AA450" s="256"/>
      <c r="AB450" s="256"/>
      <c r="AC450" s="257"/>
      <c r="AD450" s="264"/>
      <c r="AE450" s="263"/>
      <c r="AF450" s="257">
        <f>+SUM(START:END!AF450)</f>
        <v>0</v>
      </c>
      <c r="AG450" s="258"/>
      <c r="AH450" s="259">
        <f t="shared" si="133"/>
        <v>0</v>
      </c>
      <c r="AI450" s="260">
        <f t="shared" si="136"/>
        <v>0</v>
      </c>
      <c r="AJ450" s="264"/>
      <c r="AK450" s="256"/>
      <c r="AL450" s="257">
        <f t="shared" si="137"/>
        <v>0</v>
      </c>
      <c r="AM450" s="261"/>
      <c r="AN450" s="259">
        <f t="shared" si="134"/>
        <v>0</v>
      </c>
      <c r="AO450" s="452">
        <f t="shared" si="135"/>
        <v>0</v>
      </c>
      <c r="AP450" s="225"/>
      <c r="AQ450" s="465"/>
      <c r="AR450" s="465"/>
      <c r="AS450" s="225"/>
      <c r="AT450" s="225"/>
      <c r="AU450" s="225"/>
      <c r="AV450" s="225"/>
      <c r="AW450" s="225"/>
      <c r="AX450" s="225"/>
      <c r="AY450" s="225"/>
      <c r="AZ450" s="225"/>
      <c r="BA450" s="225"/>
      <c r="BB450" s="225"/>
      <c r="BC450" s="225"/>
      <c r="BD450" s="225"/>
      <c r="BE450" s="225"/>
      <c r="BF450" s="225"/>
      <c r="BG450" s="225"/>
      <c r="BH450" s="225"/>
      <c r="BI450" s="225"/>
      <c r="BJ450" s="225"/>
    </row>
    <row r="451" spans="1:62" ht="15.75" customHeight="1">
      <c r="A451" t="str">
        <f t="shared" si="119"/>
        <v>TOTAL SEMI-FIXES</v>
      </c>
      <c r="B451" s="7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83"/>
      <c r="R451" s="225"/>
      <c r="S451" s="225"/>
      <c r="T451" s="225"/>
      <c r="U451" s="225"/>
      <c r="V451" s="269" t="s">
        <v>64</v>
      </c>
      <c r="W451" s="298"/>
      <c r="X451" s="271">
        <f>Z451/+Z406</f>
        <v>0.15188218157191224</v>
      </c>
      <c r="Y451" s="270"/>
      <c r="Z451" s="272">
        <f>+SUM(Z433:Z450)</f>
        <v>298335.57348030177</v>
      </c>
      <c r="AA451" s="271"/>
      <c r="AB451" s="270"/>
      <c r="AC451" s="272"/>
      <c r="AD451" s="273">
        <f>AF451/AF406</f>
        <v>0.19716968522929346</v>
      </c>
      <c r="AE451" s="270"/>
      <c r="AF451" s="272">
        <f>+SUM(AF433:AF450)</f>
        <v>372913.83</v>
      </c>
      <c r="AG451" s="281"/>
      <c r="AH451" s="299">
        <f>+SUM(AH433:AH450)</f>
        <v>74578.256519698247</v>
      </c>
      <c r="AI451" s="271">
        <f>AH451/Z451</f>
        <v>0.24998110567133702</v>
      </c>
      <c r="AJ451" s="273">
        <f>IF($AL$406=0,0,AL451/$AL$406)</f>
        <v>0.15003453850454421</v>
      </c>
      <c r="AK451" s="271"/>
      <c r="AL451" s="272">
        <f>+SUM(AL433:AL450)</f>
        <v>319831.97000000009</v>
      </c>
      <c r="AM451" s="282"/>
      <c r="AN451" s="275">
        <f>+SUM(AN433:AN450)</f>
        <v>53081.859999999979</v>
      </c>
      <c r="AO451" s="453">
        <f t="shared" si="135"/>
        <v>0.16596796123914681</v>
      </c>
      <c r="AP451" s="225"/>
      <c r="AQ451" s="465"/>
      <c r="AR451" s="465"/>
      <c r="AS451" s="225"/>
      <c r="AT451" s="225"/>
      <c r="AU451" s="225"/>
      <c r="AV451" s="225"/>
      <c r="AW451" s="225"/>
      <c r="AX451" s="225"/>
      <c r="AY451" s="225"/>
      <c r="AZ451" s="225"/>
      <c r="BA451" s="225"/>
      <c r="BB451" s="225"/>
      <c r="BC451" s="225"/>
      <c r="BD451" s="225"/>
      <c r="BE451" s="225"/>
      <c r="BF451" s="225"/>
      <c r="BG451" s="225"/>
      <c r="BH451" s="225"/>
      <c r="BI451" s="225"/>
      <c r="BJ451" s="225"/>
    </row>
    <row r="452" spans="1:62" ht="15.75" customHeight="1">
      <c r="A452" t="str">
        <f t="shared" si="119"/>
        <v>Loyer</v>
      </c>
      <c r="B452" s="7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99" t="s">
        <v>162</v>
      </c>
      <c r="W452" s="262" t="s">
        <v>163</v>
      </c>
      <c r="X452" s="256"/>
      <c r="Y452" s="263"/>
      <c r="Z452" s="257">
        <f>+SUM(START:END!Z452)</f>
        <v>78000.000000000015</v>
      </c>
      <c r="AA452" s="256"/>
      <c r="AB452" s="263"/>
      <c r="AC452" s="257"/>
      <c r="AD452" s="264"/>
      <c r="AE452" s="263"/>
      <c r="AF452" s="257">
        <f>+SUM(START:END!AF452)</f>
        <v>78000</v>
      </c>
      <c r="AG452" s="258"/>
      <c r="AH452" s="259">
        <f t="shared" ref="AH452:AH460" si="138">AF452-Z452</f>
        <v>0</v>
      </c>
      <c r="AI452" s="260">
        <f t="shared" ref="AI452:AI460" si="139">IF(Z452=0,0,AH452/Z452)</f>
        <v>0</v>
      </c>
      <c r="AJ452" s="264"/>
      <c r="AK452" s="256"/>
      <c r="AL452" s="257">
        <f>+SUM(START:END!AL452)</f>
        <v>78000</v>
      </c>
      <c r="AM452" s="261"/>
      <c r="AN452" s="259">
        <f t="shared" ref="AN452:AN460" si="140">AF452-AL452</f>
        <v>0</v>
      </c>
      <c r="AO452" s="452">
        <f t="shared" si="135"/>
        <v>0</v>
      </c>
      <c r="AP452" s="225"/>
      <c r="AQ452" s="465"/>
      <c r="AR452" s="465"/>
      <c r="AS452" s="225"/>
      <c r="AT452" s="225"/>
      <c r="AU452" s="225"/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5"/>
      <c r="BH452" s="225"/>
      <c r="BI452" s="225"/>
      <c r="BJ452" s="225"/>
    </row>
    <row r="453" spans="1:62" ht="15.75" customHeight="1">
      <c r="A453" t="str">
        <f t="shared" si="119"/>
        <v>Taxes foncières</v>
      </c>
      <c r="B453" s="7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99" t="s">
        <v>164</v>
      </c>
      <c r="W453" s="262" t="s">
        <v>165</v>
      </c>
      <c r="X453" s="256"/>
      <c r="Y453" s="263"/>
      <c r="Z453" s="257">
        <f>+SUM(START:END!Z453)</f>
        <v>15844.815000000002</v>
      </c>
      <c r="AA453" s="256"/>
      <c r="AB453" s="263"/>
      <c r="AC453" s="257"/>
      <c r="AD453" s="264"/>
      <c r="AE453" s="263"/>
      <c r="AF453" s="257">
        <f>+SUM(START:END!AF453)</f>
        <v>14790</v>
      </c>
      <c r="AG453" s="258"/>
      <c r="AH453" s="259">
        <f t="shared" si="138"/>
        <v>-1054.8150000000023</v>
      </c>
      <c r="AI453" s="260">
        <f t="shared" si="139"/>
        <v>-6.6571619801177997E-2</v>
      </c>
      <c r="AJ453" s="264"/>
      <c r="AK453" s="256"/>
      <c r="AL453" s="257">
        <f>+SUM(START:END!AL453)</f>
        <v>14790</v>
      </c>
      <c r="AM453" s="261"/>
      <c r="AN453" s="259">
        <f t="shared" si="140"/>
        <v>0</v>
      </c>
      <c r="AO453" s="452">
        <f t="shared" si="135"/>
        <v>0</v>
      </c>
      <c r="AP453" s="225"/>
      <c r="AQ453" s="465"/>
      <c r="AR453" s="465"/>
      <c r="AS453" s="225"/>
      <c r="AT453" s="225"/>
      <c r="AU453" s="225"/>
      <c r="AV453" s="225"/>
      <c r="AW453" s="225"/>
      <c r="AX453" s="225"/>
      <c r="AY453" s="225"/>
      <c r="AZ453" s="225"/>
      <c r="BA453" s="225"/>
      <c r="BB453" s="225"/>
      <c r="BC453" s="225"/>
      <c r="BD453" s="225"/>
      <c r="BE453" s="225"/>
      <c r="BF453" s="225"/>
      <c r="BG453" s="225"/>
      <c r="BH453" s="225"/>
      <c r="BI453" s="225"/>
      <c r="BJ453" s="225"/>
    </row>
    <row r="454" spans="1:62" ht="15.75" customHeight="1">
      <c r="A454" t="str">
        <f t="shared" si="119"/>
        <v>Taxes d`affaires</v>
      </c>
      <c r="B454" s="7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100" t="s">
        <v>166</v>
      </c>
      <c r="W454" s="265" t="s">
        <v>167</v>
      </c>
      <c r="X454" s="242"/>
      <c r="Y454" s="266"/>
      <c r="Z454" s="243">
        <f>+SUM(START:END!Z454)</f>
        <v>10541.474999999999</v>
      </c>
      <c r="AA454" s="242"/>
      <c r="AB454" s="266"/>
      <c r="AC454" s="243"/>
      <c r="AD454" s="267"/>
      <c r="AE454" s="266"/>
      <c r="AF454" s="243">
        <f>+SUM(START:END!AF454)</f>
        <v>9839.9999999999982</v>
      </c>
      <c r="AG454" s="244"/>
      <c r="AH454" s="245">
        <f t="shared" si="138"/>
        <v>-701.47500000000036</v>
      </c>
      <c r="AI454" s="268">
        <f t="shared" si="139"/>
        <v>-6.6544292900187166E-2</v>
      </c>
      <c r="AJ454" s="267"/>
      <c r="AK454" s="242"/>
      <c r="AL454" s="243">
        <f>+SUM(START:END!AL454)</f>
        <v>9839.9999999999982</v>
      </c>
      <c r="AM454" s="247"/>
      <c r="AN454" s="245">
        <f t="shared" si="140"/>
        <v>0</v>
      </c>
      <c r="AO454" s="449">
        <f t="shared" si="135"/>
        <v>0</v>
      </c>
      <c r="AP454" s="225"/>
      <c r="AQ454" s="465"/>
      <c r="AR454" s="465"/>
      <c r="AS454" s="225"/>
      <c r="AT454" s="225"/>
      <c r="AU454" s="225"/>
      <c r="AV454" s="225"/>
      <c r="AW454" s="225"/>
      <c r="AX454" s="225"/>
      <c r="AY454" s="225"/>
      <c r="AZ454" s="225"/>
      <c r="BA454" s="225"/>
      <c r="BB454" s="225"/>
      <c r="BC454" s="225"/>
      <c r="BD454" s="225"/>
      <c r="BE454" s="225"/>
      <c r="BF454" s="225"/>
      <c r="BG454" s="225"/>
      <c r="BH454" s="225"/>
      <c r="BI454" s="225"/>
      <c r="BJ454" s="225"/>
    </row>
    <row r="455" spans="1:62" ht="15.75" customHeight="1">
      <c r="A455" t="str">
        <f t="shared" si="119"/>
        <v>Taxe sur le capital</v>
      </c>
      <c r="B455" s="7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99" t="s">
        <v>168</v>
      </c>
      <c r="W455" s="262"/>
      <c r="X455" s="256"/>
      <c r="Y455" s="263"/>
      <c r="Z455" s="257">
        <f>+SUM(START:END!Z455)</f>
        <v>0</v>
      </c>
      <c r="AA455" s="256"/>
      <c r="AB455" s="263"/>
      <c r="AC455" s="257"/>
      <c r="AD455" s="264"/>
      <c r="AE455" s="263"/>
      <c r="AF455" s="257">
        <f>+SUM(START:END!AF455)</f>
        <v>0</v>
      </c>
      <c r="AG455" s="258"/>
      <c r="AH455" s="259">
        <f t="shared" si="138"/>
        <v>0</v>
      </c>
      <c r="AI455" s="260">
        <f t="shared" si="139"/>
        <v>0</v>
      </c>
      <c r="AJ455" s="264"/>
      <c r="AK455" s="256"/>
      <c r="AL455" s="257">
        <f>+SUM(START:END!AL455)</f>
        <v>0</v>
      </c>
      <c r="AM455" s="261"/>
      <c r="AN455" s="259">
        <f t="shared" si="140"/>
        <v>0</v>
      </c>
      <c r="AO455" s="452">
        <f t="shared" si="135"/>
        <v>0</v>
      </c>
      <c r="AP455" s="225"/>
      <c r="AQ455" s="465"/>
      <c r="AR455" s="465"/>
      <c r="AS455" s="225"/>
      <c r="AT455" s="225"/>
      <c r="AU455" s="225"/>
      <c r="AV455" s="225"/>
      <c r="AW455" s="225"/>
      <c r="AX455" s="225"/>
      <c r="AY455" s="225"/>
      <c r="AZ455" s="225"/>
      <c r="BA455" s="225"/>
      <c r="BB455" s="225"/>
      <c r="BC455" s="225"/>
      <c r="BD455" s="225"/>
      <c r="BE455" s="225"/>
      <c r="BF455" s="225"/>
      <c r="BG455" s="225"/>
      <c r="BH455" s="225"/>
      <c r="BI455" s="225"/>
      <c r="BJ455" s="225"/>
    </row>
    <row r="456" spans="1:62" ht="15.75" customHeight="1">
      <c r="A456" t="str">
        <f t="shared" si="119"/>
        <v>Assurances</v>
      </c>
      <c r="B456" s="7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100" t="s">
        <v>169</v>
      </c>
      <c r="W456" s="265" t="s">
        <v>170</v>
      </c>
      <c r="X456" s="242"/>
      <c r="Y456" s="266"/>
      <c r="Z456" s="243">
        <f>+SUM(START:END!Z456)</f>
        <v>13068.834999999999</v>
      </c>
      <c r="AA456" s="242"/>
      <c r="AB456" s="266"/>
      <c r="AC456" s="243"/>
      <c r="AD456" s="267"/>
      <c r="AE456" s="266"/>
      <c r="AF456" s="243">
        <f>+SUM(START:END!AF456)</f>
        <v>12813</v>
      </c>
      <c r="AG456" s="244"/>
      <c r="AH456" s="245">
        <f t="shared" si="138"/>
        <v>-255.83499999999913</v>
      </c>
      <c r="AI456" s="268">
        <f t="shared" si="139"/>
        <v>-1.9575960672852565E-2</v>
      </c>
      <c r="AJ456" s="267"/>
      <c r="AK456" s="242"/>
      <c r="AL456" s="243">
        <f>+SUM(START:END!AL456)</f>
        <v>12813</v>
      </c>
      <c r="AM456" s="247"/>
      <c r="AN456" s="245">
        <f t="shared" si="140"/>
        <v>0</v>
      </c>
      <c r="AO456" s="449">
        <f t="shared" si="135"/>
        <v>0</v>
      </c>
      <c r="AP456" s="225"/>
      <c r="AQ456" s="465"/>
      <c r="AR456" s="465"/>
      <c r="AS456" s="225"/>
      <c r="AT456" s="225"/>
      <c r="AU456" s="225"/>
      <c r="AV456" s="225"/>
      <c r="AW456" s="225"/>
      <c r="AX456" s="225"/>
      <c r="AY456" s="225"/>
      <c r="AZ456" s="225"/>
      <c r="BA456" s="225"/>
      <c r="BB456" s="225"/>
      <c r="BC456" s="225"/>
      <c r="BD456" s="225"/>
      <c r="BE456" s="225"/>
      <c r="BF456" s="225"/>
      <c r="BG456" s="225"/>
      <c r="BH456" s="225"/>
      <c r="BI456" s="225"/>
      <c r="BJ456" s="225"/>
    </row>
    <row r="457" spans="1:62" ht="15.75" customHeight="1">
      <c r="A457" t="str">
        <f t="shared" si="119"/>
        <v>Chauffage, éclairage</v>
      </c>
      <c r="B457" s="7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99" t="s">
        <v>171</v>
      </c>
      <c r="W457" s="262" t="s">
        <v>172</v>
      </c>
      <c r="X457" s="300"/>
      <c r="Y457" s="301"/>
      <c r="Z457" s="257">
        <f>+SUM(START:END!Z457)</f>
        <v>7532.8447493750009</v>
      </c>
      <c r="AA457" s="300"/>
      <c r="AB457" s="301"/>
      <c r="AC457" s="257"/>
      <c r="AD457" s="264"/>
      <c r="AE457" s="263"/>
      <c r="AF457" s="257">
        <f>+SUM(START:END!AF457)</f>
        <v>5553.31</v>
      </c>
      <c r="AG457" s="258"/>
      <c r="AH457" s="259">
        <f t="shared" si="138"/>
        <v>-1979.5347493750005</v>
      </c>
      <c r="AI457" s="260">
        <f t="shared" si="139"/>
        <v>-0.26278714287045968</v>
      </c>
      <c r="AJ457" s="264"/>
      <c r="AK457" s="256"/>
      <c r="AL457" s="257">
        <f>+SUM(START:END!AL457)</f>
        <v>5647.18</v>
      </c>
      <c r="AM457" s="261"/>
      <c r="AN457" s="259">
        <f t="shared" si="140"/>
        <v>-93.869999999999891</v>
      </c>
      <c r="AO457" s="452">
        <f t="shared" si="135"/>
        <v>-1.6622455809802393E-2</v>
      </c>
      <c r="AP457" s="225"/>
      <c r="AQ457" s="465"/>
      <c r="AR457" s="465"/>
      <c r="AS457" s="225"/>
      <c r="AT457" s="225"/>
      <c r="AU457" s="225"/>
      <c r="AV457" s="225"/>
      <c r="AW457" s="225"/>
      <c r="AX457" s="225"/>
      <c r="AY457" s="225"/>
      <c r="AZ457" s="225"/>
      <c r="BA457" s="225"/>
      <c r="BB457" s="225"/>
      <c r="BC457" s="225"/>
      <c r="BD457" s="225"/>
      <c r="BE457" s="225"/>
      <c r="BF457" s="225"/>
      <c r="BG457" s="225"/>
      <c r="BH457" s="225"/>
      <c r="BI457" s="225"/>
      <c r="BJ457" s="225"/>
    </row>
    <row r="458" spans="1:62" ht="15.75" customHeight="1">
      <c r="A458" t="str">
        <f t="shared" si="119"/>
        <v>Honoraires</v>
      </c>
      <c r="B458" s="7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99" t="s">
        <v>173</v>
      </c>
      <c r="W458" s="262" t="s">
        <v>174</v>
      </c>
      <c r="X458" s="256"/>
      <c r="Y458" s="263"/>
      <c r="Z458" s="257">
        <f>+SUM(START:END!Z458)</f>
        <v>18920.578133333343</v>
      </c>
      <c r="AA458" s="256"/>
      <c r="AB458" s="263"/>
      <c r="AC458" s="257"/>
      <c r="AD458" s="264"/>
      <c r="AE458" s="263"/>
      <c r="AF458" s="257">
        <f>+SUM(START:END!AF458)</f>
        <v>19650.36</v>
      </c>
      <c r="AG458" s="258"/>
      <c r="AH458" s="259">
        <f t="shared" si="138"/>
        <v>729.78186666665715</v>
      </c>
      <c r="AI458" s="260">
        <f t="shared" si="139"/>
        <v>3.8570801670217647E-2</v>
      </c>
      <c r="AJ458" s="264"/>
      <c r="AK458" s="256"/>
      <c r="AL458" s="257">
        <f>+SUM(START:END!AL458)</f>
        <v>18369.989999999998</v>
      </c>
      <c r="AM458" s="261"/>
      <c r="AN458" s="259">
        <f t="shared" si="140"/>
        <v>1280.3700000000026</v>
      </c>
      <c r="AO458" s="452">
        <f t="shared" si="135"/>
        <v>6.9699003646708724E-2</v>
      </c>
      <c r="AP458" s="225"/>
      <c r="AQ458" s="465"/>
      <c r="AR458" s="465"/>
      <c r="AS458" s="225"/>
      <c r="AT458" s="225"/>
      <c r="AU458" s="225"/>
      <c r="AV458" s="225"/>
      <c r="AW458" s="225"/>
      <c r="AX458" s="225"/>
      <c r="AY458" s="225"/>
      <c r="AZ458" s="225"/>
      <c r="BA458" s="225"/>
      <c r="BB458" s="225"/>
      <c r="BC458" s="225"/>
      <c r="BD458" s="225"/>
      <c r="BE458" s="225"/>
      <c r="BF458" s="225"/>
      <c r="BG458" s="225"/>
      <c r="BH458" s="225"/>
      <c r="BI458" s="225"/>
      <c r="BJ458" s="225"/>
    </row>
    <row r="459" spans="1:62" ht="15.75" customHeight="1">
      <c r="A459" t="str">
        <f t="shared" si="119"/>
        <v>Réparation équipement</v>
      </c>
      <c r="B459" s="7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100" t="s">
        <v>175</v>
      </c>
      <c r="W459" s="265" t="s">
        <v>176</v>
      </c>
      <c r="X459" s="242"/>
      <c r="Y459" s="266"/>
      <c r="Z459" s="243">
        <f>+SUM(START:END!Z459)</f>
        <v>4554.5435879166662</v>
      </c>
      <c r="AA459" s="242"/>
      <c r="AB459" s="266"/>
      <c r="AC459" s="243"/>
      <c r="AD459" s="267"/>
      <c r="AE459" s="266"/>
      <c r="AF459" s="243">
        <f>+SUM(START:END!AF459)</f>
        <v>6722.95</v>
      </c>
      <c r="AG459" s="244"/>
      <c r="AH459" s="245">
        <f t="shared" si="138"/>
        <v>2168.4064120833336</v>
      </c>
      <c r="AI459" s="268">
        <f t="shared" si="139"/>
        <v>0.47609741134900491</v>
      </c>
      <c r="AJ459" s="267"/>
      <c r="AK459" s="242"/>
      <c r="AL459" s="243">
        <f>+SUM(START:END!AL459)</f>
        <v>4846.88</v>
      </c>
      <c r="AM459" s="247"/>
      <c r="AN459" s="245">
        <f t="shared" si="140"/>
        <v>1876.0699999999997</v>
      </c>
      <c r="AO459" s="449">
        <f t="shared" si="135"/>
        <v>0.38706755686132105</v>
      </c>
      <c r="AP459" s="225"/>
      <c r="AQ459" s="465"/>
      <c r="AR459" s="465"/>
      <c r="AS459" s="225"/>
      <c r="AT459" s="225"/>
      <c r="AU459" s="225"/>
      <c r="AV459" s="225"/>
      <c r="AW459" s="225"/>
      <c r="AX459" s="225"/>
      <c r="AY459" s="225"/>
      <c r="AZ459" s="225"/>
      <c r="BA459" s="225"/>
      <c r="BB459" s="225"/>
      <c r="BC459" s="225"/>
      <c r="BD459" s="225"/>
      <c r="BE459" s="225"/>
      <c r="BF459" s="225"/>
      <c r="BG459" s="225"/>
      <c r="BH459" s="225"/>
      <c r="BI459" s="225"/>
      <c r="BJ459" s="225"/>
    </row>
    <row r="460" spans="1:62" ht="15.75" customHeight="1">
      <c r="A460" t="str">
        <f t="shared" si="119"/>
        <v>Location équipement</v>
      </c>
      <c r="B460" s="7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302"/>
      <c r="V460" s="99" t="s">
        <v>177</v>
      </c>
      <c r="W460" s="262" t="s">
        <v>178</v>
      </c>
      <c r="X460" s="256"/>
      <c r="Y460" s="263"/>
      <c r="Z460" s="257">
        <f>+SUM(START:END!Z460)</f>
        <v>241.00312499999998</v>
      </c>
      <c r="AA460" s="256"/>
      <c r="AB460" s="263"/>
      <c r="AC460" s="257"/>
      <c r="AD460" s="264"/>
      <c r="AE460" s="263"/>
      <c r="AF460" s="257">
        <f>+SUM(START:END!AF460)</f>
        <v>3084.26</v>
      </c>
      <c r="AG460" s="258"/>
      <c r="AH460" s="259">
        <f t="shared" si="138"/>
        <v>2843.256875</v>
      </c>
      <c r="AI460" s="303">
        <f t="shared" si="139"/>
        <v>11.797593392201865</v>
      </c>
      <c r="AJ460" s="256"/>
      <c r="AK460" s="256"/>
      <c r="AL460" s="257">
        <f>+SUM(START:END!AL460)</f>
        <v>0</v>
      </c>
      <c r="AM460" s="261"/>
      <c r="AN460" s="259">
        <f t="shared" si="140"/>
        <v>3084.26</v>
      </c>
      <c r="AO460" s="452">
        <f t="shared" si="135"/>
        <v>0</v>
      </c>
      <c r="AP460" s="225"/>
      <c r="AQ460" s="465"/>
      <c r="AR460" s="465"/>
      <c r="AS460" s="225"/>
      <c r="AT460" s="225"/>
      <c r="AU460" s="225"/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5"/>
      <c r="BH460" s="225"/>
      <c r="BI460" s="225"/>
      <c r="BJ460" s="225"/>
    </row>
    <row r="461" spans="1:62" ht="15.75" customHeight="1">
      <c r="A461" t="str">
        <f t="shared" si="119"/>
        <v>Dons</v>
      </c>
      <c r="B461" s="7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302"/>
      <c r="V461" s="99" t="s">
        <v>179</v>
      </c>
      <c r="W461" s="262" t="s">
        <v>180</v>
      </c>
      <c r="X461" s="256"/>
      <c r="Y461" s="263"/>
      <c r="Z461" s="257">
        <f>+SUM(START:END!Z461)</f>
        <v>0</v>
      </c>
      <c r="AA461" s="256"/>
      <c r="AB461" s="263"/>
      <c r="AC461" s="257"/>
      <c r="AD461" s="264"/>
      <c r="AE461" s="263"/>
      <c r="AF461" s="257">
        <f>+SUM(START:END!AF461)</f>
        <v>0</v>
      </c>
      <c r="AG461" s="258"/>
      <c r="AH461" s="259">
        <v>0</v>
      </c>
      <c r="AI461" s="279">
        <v>0</v>
      </c>
      <c r="AJ461" s="256"/>
      <c r="AK461" s="256"/>
      <c r="AL461" s="257">
        <f>+SUM(START:END!AL461)</f>
        <v>0</v>
      </c>
      <c r="AM461" s="261"/>
      <c r="AN461" s="259">
        <v>0</v>
      </c>
      <c r="AO461" s="452">
        <v>0</v>
      </c>
      <c r="AP461" s="225"/>
      <c r="AQ461" s="465"/>
      <c r="AR461" s="465"/>
      <c r="AS461" s="225"/>
      <c r="AT461" s="225"/>
      <c r="AU461" s="225"/>
      <c r="AV461" s="225"/>
      <c r="AW461" s="225"/>
      <c r="AX461" s="225"/>
      <c r="AY461" s="225"/>
      <c r="AZ461" s="225"/>
      <c r="BA461" s="225"/>
      <c r="BB461" s="225"/>
      <c r="BC461" s="225"/>
      <c r="BD461" s="225"/>
      <c r="BE461" s="225"/>
      <c r="BF461" s="225"/>
      <c r="BG461" s="225"/>
      <c r="BH461" s="225"/>
      <c r="BI461" s="225"/>
      <c r="BJ461" s="225"/>
    </row>
    <row r="462" spans="1:62" ht="15.75" hidden="1" customHeight="1">
      <c r="A462" t="str">
        <f t="shared" si="119"/>
        <v>[...]</v>
      </c>
      <c r="B462" s="7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302"/>
      <c r="V462" s="99" t="s">
        <v>20</v>
      </c>
      <c r="W462" s="262"/>
      <c r="X462" s="256"/>
      <c r="Y462" s="263"/>
      <c r="Z462" s="257">
        <f>+SUM(START:END!Z462)</f>
        <v>0</v>
      </c>
      <c r="AA462" s="256"/>
      <c r="AB462" s="256"/>
      <c r="AC462" s="257"/>
      <c r="AD462" s="264"/>
      <c r="AE462" s="263"/>
      <c r="AF462" s="257">
        <f>+SUM(START:END!AF462)</f>
        <v>0</v>
      </c>
      <c r="AG462" s="258"/>
      <c r="AH462" s="259">
        <f>AF462-Z462</f>
        <v>0</v>
      </c>
      <c r="AI462" s="260">
        <f>IF(Z462=0,0,AH462/Z462)</f>
        <v>0</v>
      </c>
      <c r="AJ462" s="256"/>
      <c r="AK462" s="256"/>
      <c r="AL462" s="257">
        <f>+SUM(START:END!AL462)</f>
        <v>0</v>
      </c>
      <c r="AM462" s="261"/>
      <c r="AN462" s="259">
        <v>0</v>
      </c>
      <c r="AO462" s="452">
        <v>1</v>
      </c>
      <c r="AP462" s="225"/>
      <c r="AQ462" s="465"/>
      <c r="AR462" s="465"/>
      <c r="AS462" s="225"/>
      <c r="AT462" s="225"/>
      <c r="AU462" s="225"/>
      <c r="AV462" s="225"/>
      <c r="AW462" s="225"/>
      <c r="AX462" s="225"/>
      <c r="AY462" s="225"/>
      <c r="AZ462" s="225"/>
      <c r="BA462" s="225"/>
      <c r="BB462" s="225"/>
      <c r="BC462" s="225"/>
      <c r="BD462" s="225"/>
      <c r="BE462" s="225"/>
      <c r="BF462" s="225"/>
      <c r="BG462" s="225"/>
      <c r="BH462" s="225"/>
      <c r="BI462" s="225"/>
      <c r="BJ462" s="225"/>
    </row>
    <row r="463" spans="1:62" ht="15.75" hidden="1" customHeight="1">
      <c r="A463" t="str">
        <f t="shared" si="119"/>
        <v>[...]</v>
      </c>
      <c r="B463" s="7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302"/>
      <c r="V463" s="99" t="s">
        <v>20</v>
      </c>
      <c r="W463" s="262"/>
      <c r="X463" s="256"/>
      <c r="Y463" s="263"/>
      <c r="Z463" s="257">
        <f>+SUM(START:END!Z463)</f>
        <v>0</v>
      </c>
      <c r="AA463" s="256"/>
      <c r="AB463" s="256"/>
      <c r="AC463" s="257"/>
      <c r="AD463" s="264"/>
      <c r="AE463" s="263"/>
      <c r="AF463" s="257">
        <f>+SUM(START:END!AF463)</f>
        <v>0</v>
      </c>
      <c r="AG463" s="258"/>
      <c r="AH463" s="259">
        <f>AF463-Z463</f>
        <v>0</v>
      </c>
      <c r="AI463" s="260">
        <f>IF(Z463=0,0,AH463/Z463)</f>
        <v>0</v>
      </c>
      <c r="AJ463" s="256"/>
      <c r="AK463" s="256"/>
      <c r="AL463" s="257">
        <f>+SUM(START:END!AL463)</f>
        <v>0</v>
      </c>
      <c r="AM463" s="261"/>
      <c r="AN463" s="259">
        <v>0</v>
      </c>
      <c r="AO463" s="452">
        <v>2</v>
      </c>
      <c r="AP463" s="225"/>
      <c r="AQ463" s="465"/>
      <c r="AR463" s="465"/>
      <c r="AS463" s="225"/>
      <c r="AT463" s="225"/>
      <c r="AU463" s="225"/>
      <c r="AV463" s="225"/>
      <c r="AW463" s="225"/>
      <c r="AX463" s="225"/>
      <c r="AY463" s="225"/>
      <c r="AZ463" s="225"/>
      <c r="BA463" s="225"/>
      <c r="BB463" s="225"/>
      <c r="BC463" s="225"/>
      <c r="BD463" s="225"/>
      <c r="BE463" s="225"/>
      <c r="BF463" s="225"/>
      <c r="BG463" s="225"/>
      <c r="BH463" s="225"/>
      <c r="BI463" s="225"/>
      <c r="BJ463" s="225"/>
    </row>
    <row r="464" spans="1:62" ht="15.75" hidden="1" customHeight="1">
      <c r="A464" t="str">
        <f t="shared" si="119"/>
        <v>[...]</v>
      </c>
      <c r="B464" s="7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99" t="s">
        <v>20</v>
      </c>
      <c r="W464" s="262"/>
      <c r="X464" s="256"/>
      <c r="Y464" s="263"/>
      <c r="Z464" s="257">
        <f>+SUM(START:END!Z464)</f>
        <v>0</v>
      </c>
      <c r="AA464" s="256"/>
      <c r="AB464" s="256"/>
      <c r="AC464" s="257"/>
      <c r="AD464" s="264"/>
      <c r="AE464" s="263"/>
      <c r="AF464" s="257">
        <f>+SUM(START:END!AF464)</f>
        <v>0</v>
      </c>
      <c r="AG464" s="258"/>
      <c r="AH464" s="259">
        <f>AF464-Z464</f>
        <v>0</v>
      </c>
      <c r="AI464" s="260">
        <f>IF(Z464=0,0,AH464/Z464)</f>
        <v>0</v>
      </c>
      <c r="AJ464" s="256"/>
      <c r="AK464" s="256"/>
      <c r="AL464" s="257">
        <f>+SUM(START:END!AL464)</f>
        <v>0</v>
      </c>
      <c r="AM464" s="261"/>
      <c r="AN464" s="259">
        <v>0</v>
      </c>
      <c r="AO464" s="452">
        <v>3</v>
      </c>
      <c r="AP464" s="225"/>
      <c r="AQ464" s="465"/>
      <c r="AR464" s="465"/>
      <c r="AS464" s="225"/>
      <c r="AT464" s="225"/>
      <c r="AU464" s="225"/>
      <c r="AV464" s="225"/>
      <c r="AW464" s="225"/>
      <c r="AX464" s="225"/>
      <c r="AY464" s="225"/>
      <c r="AZ464" s="225"/>
      <c r="BA464" s="225"/>
      <c r="BB464" s="225"/>
      <c r="BC464" s="225"/>
      <c r="BD464" s="225"/>
      <c r="BE464" s="225"/>
      <c r="BF464" s="225"/>
      <c r="BG464" s="225"/>
      <c r="BH464" s="225"/>
      <c r="BI464" s="225"/>
      <c r="BJ464" s="225"/>
    </row>
    <row r="465" spans="1:62" ht="15.75" customHeight="1">
      <c r="A465" t="str">
        <f t="shared" si="119"/>
        <v>TOTAL DÉPENSES FIXES</v>
      </c>
      <c r="B465" s="7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69" t="s">
        <v>181</v>
      </c>
      <c r="W465" s="270"/>
      <c r="X465" s="271">
        <f>Z465/+Z406</f>
        <v>7.5705025828409253E-2</v>
      </c>
      <c r="Y465" s="270"/>
      <c r="Z465" s="272">
        <f>SUM(Z452:Z464)</f>
        <v>148704.09459562501</v>
      </c>
      <c r="AA465" s="271"/>
      <c r="AB465" s="270"/>
      <c r="AC465" s="272"/>
      <c r="AD465" s="273">
        <f>AF465/AF406</f>
        <v>7.9549058722563029E-2</v>
      </c>
      <c r="AE465" s="270"/>
      <c r="AF465" s="272">
        <f>SUM(AF452:AF464)</f>
        <v>150453.88</v>
      </c>
      <c r="AG465" s="281"/>
      <c r="AH465" s="299">
        <f>SUM(AH452:AH464)</f>
        <v>1749.7854043749885</v>
      </c>
      <c r="AI465" s="271">
        <f>IF(Z465=0,0,AH465/Z465)</f>
        <v>1.1766894577672703E-2</v>
      </c>
      <c r="AJ465" s="273">
        <f>IF($AL$406=0,0,AL465/$AL$406)</f>
        <v>6.769505140371733E-2</v>
      </c>
      <c r="AK465" s="271"/>
      <c r="AL465" s="272">
        <f>SUM(AL452:AL464)</f>
        <v>144307.04999999999</v>
      </c>
      <c r="AM465" s="282"/>
      <c r="AN465" s="275">
        <f>SUM(AN452:AN464)</f>
        <v>6146.8300000000027</v>
      </c>
      <c r="AO465" s="453">
        <f t="shared" ref="AO465:AO482" si="141">IF(AL465=0,0,AN465/AL465)</f>
        <v>4.2595493428768748E-2</v>
      </c>
      <c r="AP465" s="225"/>
      <c r="AQ465" s="465"/>
      <c r="AR465" s="465"/>
      <c r="AS465" s="225"/>
      <c r="AT465" s="225"/>
      <c r="AU465" s="225"/>
      <c r="AV465" s="225"/>
      <c r="AW465" s="225"/>
      <c r="AX465" s="225"/>
      <c r="AY465" s="225"/>
      <c r="AZ465" s="225"/>
      <c r="BA465" s="225"/>
      <c r="BB465" s="225"/>
      <c r="BC465" s="225"/>
      <c r="BD465" s="225"/>
      <c r="BE465" s="225"/>
      <c r="BF465" s="225"/>
      <c r="BG465" s="225"/>
      <c r="BH465" s="225"/>
      <c r="BI465" s="225"/>
      <c r="BJ465" s="225"/>
    </row>
    <row r="466" spans="1:62" ht="15.75" customHeight="1">
      <c r="A466" t="str">
        <f t="shared" si="119"/>
        <v/>
      </c>
      <c r="B466" s="7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99"/>
      <c r="W466" s="256"/>
      <c r="X466" s="256"/>
      <c r="Y466" s="256"/>
      <c r="Z466" s="304"/>
      <c r="AA466" s="256"/>
      <c r="AB466" s="256"/>
      <c r="AC466" s="304"/>
      <c r="AD466" s="264"/>
      <c r="AE466" s="256"/>
      <c r="AF466" s="304"/>
      <c r="AG466" s="264"/>
      <c r="AH466" s="259">
        <f t="shared" ref="AH466:AH480" si="142">AF466-Z466</f>
        <v>0</v>
      </c>
      <c r="AI466" s="260"/>
      <c r="AJ466" s="264"/>
      <c r="AK466" s="256"/>
      <c r="AL466" s="304"/>
      <c r="AM466" s="305"/>
      <c r="AN466" s="259">
        <f t="shared" ref="AN466:AN482" si="143">AF466-AL466</f>
        <v>0</v>
      </c>
      <c r="AO466" s="454">
        <f t="shared" si="141"/>
        <v>0</v>
      </c>
      <c r="AP466" s="225"/>
      <c r="AQ466" s="465"/>
      <c r="AR466" s="465"/>
      <c r="AS466" s="225"/>
      <c r="AT466" s="225"/>
      <c r="AU466" s="225"/>
      <c r="AV466" s="225"/>
      <c r="AW466" s="225"/>
      <c r="AX466" s="225"/>
      <c r="AY466" s="225"/>
      <c r="AZ466" s="225"/>
      <c r="BA466" s="225"/>
      <c r="BB466" s="225"/>
      <c r="BC466" s="225"/>
      <c r="BD466" s="225"/>
      <c r="BE466" s="225"/>
      <c r="BF466" s="225"/>
      <c r="BG466" s="225"/>
      <c r="BH466" s="225"/>
      <c r="BI466" s="225"/>
      <c r="BJ466" s="225"/>
    </row>
    <row r="467" spans="1:62" ht="15.75" customHeight="1">
      <c r="A467" t="str">
        <f t="shared" si="119"/>
        <v>TOTAL DES DÉPENSES</v>
      </c>
      <c r="B467" s="7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69" t="s">
        <v>65</v>
      </c>
      <c r="W467" s="270"/>
      <c r="X467" s="271">
        <f>Z467/+Z406</f>
        <v>0.90937567522125462</v>
      </c>
      <c r="Y467" s="270"/>
      <c r="Z467" s="272">
        <f>Z418+Z432+Z451+Z465</f>
        <v>1786247.1474161476</v>
      </c>
      <c r="AA467" s="271"/>
      <c r="AB467" s="270"/>
      <c r="AC467" s="272"/>
      <c r="AD467" s="273">
        <f>AF467/AF406</f>
        <v>0.93150943986106405</v>
      </c>
      <c r="AE467" s="270"/>
      <c r="AF467" s="272">
        <f>AF418+AF432+AF451+AF465</f>
        <v>1761795.9500000002</v>
      </c>
      <c r="AG467" s="281"/>
      <c r="AH467" s="275">
        <f t="shared" si="142"/>
        <v>-24451.19741614745</v>
      </c>
      <c r="AI467" s="271">
        <f>AH467/Z467</f>
        <v>-1.3688585844079155E-2</v>
      </c>
      <c r="AJ467" s="273">
        <f>IF($AL$406=0,0,AL467/$AL$406)</f>
        <v>0.83246938324222364</v>
      </c>
      <c r="AK467" s="271"/>
      <c r="AL467" s="272">
        <f>AL418+AL432+AL451+AL465</f>
        <v>1774593.5400000003</v>
      </c>
      <c r="AM467" s="282"/>
      <c r="AN467" s="275">
        <f t="shared" si="143"/>
        <v>-12797.590000000084</v>
      </c>
      <c r="AO467" s="450">
        <f t="shared" si="141"/>
        <v>-7.2115612457374781E-3</v>
      </c>
      <c r="AP467" s="225"/>
      <c r="AQ467" s="465"/>
      <c r="AR467" s="465"/>
      <c r="AS467" s="225"/>
      <c r="AT467" s="225"/>
      <c r="AU467" s="225"/>
      <c r="AV467" s="225"/>
      <c r="AW467" s="225"/>
      <c r="AX467" s="225"/>
      <c r="AY467" s="225"/>
      <c r="AZ467" s="225"/>
      <c r="BA467" s="225"/>
      <c r="BB467" s="225"/>
      <c r="BC467" s="225"/>
      <c r="BD467" s="225"/>
      <c r="BE467" s="225"/>
      <c r="BF467" s="225"/>
      <c r="BG467" s="225"/>
      <c r="BH467" s="225"/>
      <c r="BI467" s="225"/>
      <c r="BJ467" s="225"/>
    </row>
    <row r="468" spans="1:62" ht="15.75" customHeight="1">
      <c r="A468" t="str">
        <f t="shared" si="119"/>
        <v>Revenus autres</v>
      </c>
      <c r="B468" s="7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99" t="s">
        <v>182</v>
      </c>
      <c r="W468" s="301"/>
      <c r="X468" s="301"/>
      <c r="Y468" s="256"/>
      <c r="Z468" s="286">
        <f>+SUM(START:END!Z468)</f>
        <v>27499.800000000003</v>
      </c>
      <c r="AA468" s="306"/>
      <c r="AB468" s="307"/>
      <c r="AC468" s="286"/>
      <c r="AD468" s="308"/>
      <c r="AE468" s="307"/>
      <c r="AF468" s="257">
        <f>+SUM(START:END!AF468)</f>
        <v>127706.15</v>
      </c>
      <c r="AG468" s="309"/>
      <c r="AH468" s="259">
        <f t="shared" si="142"/>
        <v>100206.34999999999</v>
      </c>
      <c r="AI468" s="303">
        <f>IF(AH468=0,0,AH468/Z468)</f>
        <v>3.6438937737728994</v>
      </c>
      <c r="AJ468" s="308"/>
      <c r="AK468" s="306"/>
      <c r="AL468" s="310">
        <f>+SUM(START:END!AL468)</f>
        <v>91605.02</v>
      </c>
      <c r="AM468" s="311"/>
      <c r="AN468" s="259">
        <f t="shared" si="143"/>
        <v>36101.12999999999</v>
      </c>
      <c r="AO468" s="452">
        <f t="shared" si="141"/>
        <v>0.39409554192554064</v>
      </c>
      <c r="AP468" s="225"/>
      <c r="AQ468" s="465"/>
      <c r="AR468" s="465"/>
      <c r="AS468" s="225"/>
      <c r="AT468" s="225"/>
      <c r="AU468" s="225"/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5"/>
      <c r="BH468" s="225"/>
      <c r="BI468" s="225"/>
      <c r="BJ468" s="225"/>
    </row>
    <row r="469" spans="1:62" ht="17.399999999999999">
      <c r="A469" t="str">
        <f t="shared" si="119"/>
        <v>Holdbacks</v>
      </c>
      <c r="B469" s="7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99" t="s">
        <v>69</v>
      </c>
      <c r="W469" s="256"/>
      <c r="X469" s="256"/>
      <c r="Y469" s="256"/>
      <c r="Z469" s="257">
        <f>+SUM(START:END!Z469)</f>
        <v>193205.49833049974</v>
      </c>
      <c r="AA469" s="300"/>
      <c r="AB469" s="259"/>
      <c r="AC469" s="257"/>
      <c r="AD469" s="312"/>
      <c r="AE469" s="301"/>
      <c r="AF469" s="257">
        <f>+SUM(START:END!AF469)</f>
        <v>161519.4</v>
      </c>
      <c r="AG469" s="313"/>
      <c r="AH469" s="259">
        <f t="shared" si="142"/>
        <v>-31686.09833049975</v>
      </c>
      <c r="AI469" s="279">
        <f>IF(Z469=0,0,AH469/Z469)</f>
        <v>-0.16400205275885635</v>
      </c>
      <c r="AJ469" s="312"/>
      <c r="AK469" s="300"/>
      <c r="AL469" s="314">
        <f>+SUM(START:END!AL469)</f>
        <v>233500.07</v>
      </c>
      <c r="AM469" s="315"/>
      <c r="AN469" s="259">
        <f t="shared" si="143"/>
        <v>-71980.670000000013</v>
      </c>
      <c r="AO469" s="452">
        <f t="shared" si="141"/>
        <v>-0.30826830158980256</v>
      </c>
      <c r="AP469" s="225"/>
      <c r="AQ469" s="465"/>
      <c r="AR469" s="465"/>
      <c r="AS469" s="225"/>
      <c r="AT469" s="225"/>
      <c r="AU469" s="225"/>
      <c r="AV469" s="225"/>
      <c r="AW469" s="225"/>
      <c r="AX469" s="225"/>
      <c r="AY469" s="225"/>
      <c r="AZ469" s="225"/>
      <c r="BA469" s="225"/>
      <c r="BB469" s="225"/>
      <c r="BC469" s="225"/>
      <c r="BD469" s="225"/>
      <c r="BE469" s="225"/>
      <c r="BF469" s="225"/>
      <c r="BG469" s="225"/>
      <c r="BH469" s="225"/>
      <c r="BI469" s="225"/>
      <c r="BJ469" s="225"/>
    </row>
    <row r="470" spans="1:62" ht="15.75" customHeight="1">
      <c r="A470" t="str">
        <f t="shared" si="119"/>
        <v>Variable Margin Program</v>
      </c>
      <c r="B470" s="7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99" t="s">
        <v>66</v>
      </c>
      <c r="W470" s="256"/>
      <c r="X470" s="256"/>
      <c r="Y470" s="256"/>
      <c r="Z470" s="257">
        <f>+SUM(START:END!Z470)</f>
        <v>15729.130133089158</v>
      </c>
      <c r="AA470" s="300"/>
      <c r="AB470" s="301"/>
      <c r="AC470" s="257"/>
      <c r="AD470" s="312"/>
      <c r="AE470" s="301"/>
      <c r="AF470" s="257">
        <f>+SUM(START:END!AF470)</f>
        <v>0</v>
      </c>
      <c r="AG470" s="313"/>
      <c r="AH470" s="259">
        <f t="shared" si="142"/>
        <v>-15729.130133089158</v>
      </c>
      <c r="AI470" s="279">
        <f t="shared" ref="AI470:AI479" si="144">IF(AH470=0,0,AH470/Z470)</f>
        <v>-1</v>
      </c>
      <c r="AJ470" s="312"/>
      <c r="AK470" s="300"/>
      <c r="AL470" s="314">
        <f>+SUM(START:END!AL470)</f>
        <v>0</v>
      </c>
      <c r="AM470" s="315"/>
      <c r="AN470" s="259">
        <f t="shared" si="143"/>
        <v>0</v>
      </c>
      <c r="AO470" s="452">
        <f t="shared" si="141"/>
        <v>0</v>
      </c>
      <c r="AP470" s="225"/>
      <c r="AQ470" s="465"/>
      <c r="AR470" s="465"/>
      <c r="AS470" s="225"/>
      <c r="AT470" s="225"/>
      <c r="AU470" s="225"/>
      <c r="AV470" s="225"/>
      <c r="AW470" s="225"/>
      <c r="AX470" s="225"/>
      <c r="AY470" s="225"/>
      <c r="AZ470" s="225"/>
      <c r="BA470" s="225"/>
      <c r="BB470" s="225"/>
      <c r="BC470" s="225"/>
      <c r="BD470" s="225"/>
      <c r="BE470" s="225"/>
      <c r="BF470" s="225"/>
      <c r="BG470" s="225"/>
      <c r="BH470" s="225"/>
      <c r="BI470" s="225"/>
      <c r="BJ470" s="225"/>
    </row>
    <row r="471" spans="1:62" ht="15.75" customHeight="1">
      <c r="A471" t="str">
        <f t="shared" si="119"/>
        <v>Floorplan assistance 1%</v>
      </c>
      <c r="B471" s="7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99" t="s">
        <v>67</v>
      </c>
      <c r="W471" s="256"/>
      <c r="X471" s="256"/>
      <c r="Y471" s="256"/>
      <c r="Z471" s="257">
        <f>+SUM(START:END!Z471)</f>
        <v>0</v>
      </c>
      <c r="AA471" s="300"/>
      <c r="AB471" s="301"/>
      <c r="AC471" s="257"/>
      <c r="AD471" s="312"/>
      <c r="AE471" s="301"/>
      <c r="AF471" s="257">
        <f>+SUM(START:END!AF471)</f>
        <v>0</v>
      </c>
      <c r="AG471" s="313"/>
      <c r="AH471" s="259">
        <f t="shared" si="142"/>
        <v>0</v>
      </c>
      <c r="AI471" s="279">
        <f t="shared" si="144"/>
        <v>0</v>
      </c>
      <c r="AJ471" s="312"/>
      <c r="AK471" s="300"/>
      <c r="AL471" s="314">
        <f>+SUM(START:END!AL471)</f>
        <v>0</v>
      </c>
      <c r="AM471" s="315"/>
      <c r="AN471" s="259">
        <f t="shared" si="143"/>
        <v>0</v>
      </c>
      <c r="AO471" s="452">
        <f t="shared" si="141"/>
        <v>0</v>
      </c>
      <c r="AP471" s="225"/>
      <c r="AQ471" s="465"/>
      <c r="AR471" s="465"/>
      <c r="AS471" s="225"/>
      <c r="AT471" s="225"/>
      <c r="AU471" s="225"/>
      <c r="AV471" s="225"/>
      <c r="AW471" s="225"/>
      <c r="AX471" s="225"/>
      <c r="AY471" s="225"/>
      <c r="AZ471" s="225"/>
      <c r="BA471" s="225"/>
      <c r="BB471" s="225"/>
      <c r="BC471" s="225"/>
      <c r="BD471" s="225"/>
      <c r="BE471" s="225"/>
      <c r="BF471" s="225"/>
      <c r="BG471" s="225"/>
      <c r="BH471" s="225"/>
      <c r="BI471" s="225"/>
      <c r="BJ471" s="225"/>
    </row>
    <row r="472" spans="1:62" ht="15.75" customHeight="1">
      <c r="A472" t="str">
        <f t="shared" si="119"/>
        <v>Programme neuf 3</v>
      </c>
      <c r="B472" s="7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99" t="s">
        <v>68</v>
      </c>
      <c r="W472" s="256"/>
      <c r="X472" s="256"/>
      <c r="Y472" s="256"/>
      <c r="Z472" s="257">
        <f>+SUM(START:END!Z472)</f>
        <v>0</v>
      </c>
      <c r="AA472" s="300"/>
      <c r="AB472" s="301"/>
      <c r="AC472" s="257"/>
      <c r="AD472" s="312"/>
      <c r="AE472" s="301"/>
      <c r="AF472" s="257">
        <f>+SUM(START:END!AF472)</f>
        <v>0</v>
      </c>
      <c r="AG472" s="313"/>
      <c r="AH472" s="259">
        <f t="shared" si="142"/>
        <v>0</v>
      </c>
      <c r="AI472" s="279">
        <f t="shared" si="144"/>
        <v>0</v>
      </c>
      <c r="AJ472" s="312"/>
      <c r="AK472" s="300"/>
      <c r="AL472" s="314">
        <f>+SUM(START:END!AL472)</f>
        <v>0</v>
      </c>
      <c r="AM472" s="315"/>
      <c r="AN472" s="259">
        <f t="shared" si="143"/>
        <v>0</v>
      </c>
      <c r="AO472" s="452">
        <f t="shared" si="141"/>
        <v>0</v>
      </c>
      <c r="AP472" s="225"/>
      <c r="AQ472" s="465"/>
      <c r="AR472" s="465"/>
      <c r="AS472" s="225"/>
      <c r="AT472" s="225"/>
      <c r="AU472" s="225"/>
      <c r="AV472" s="225"/>
      <c r="AW472" s="225"/>
      <c r="AX472" s="225"/>
      <c r="AY472" s="225"/>
      <c r="AZ472" s="225"/>
      <c r="BA472" s="225"/>
      <c r="BB472" s="225"/>
      <c r="BC472" s="225"/>
      <c r="BD472" s="225"/>
      <c r="BE472" s="225"/>
      <c r="BF472" s="225"/>
      <c r="BG472" s="225"/>
      <c r="BH472" s="225"/>
      <c r="BI472" s="225"/>
      <c r="BJ472" s="225"/>
    </row>
    <row r="473" spans="1:62" ht="15.75" customHeight="1">
      <c r="A473" t="str">
        <f t="shared" si="119"/>
        <v>Remarketing Bonus</v>
      </c>
      <c r="B473" s="7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99" t="s">
        <v>80</v>
      </c>
      <c r="W473" s="256"/>
      <c r="X473" s="256"/>
      <c r="Y473" s="256"/>
      <c r="Z473" s="257">
        <f>+SUM(START:END!Z473)</f>
        <v>0</v>
      </c>
      <c r="AA473" s="300"/>
      <c r="AB473" s="301"/>
      <c r="AC473" s="257"/>
      <c r="AD473" s="312"/>
      <c r="AE473" s="301"/>
      <c r="AF473" s="257">
        <f>+SUM(START:END!AF473)</f>
        <v>0</v>
      </c>
      <c r="AG473" s="313"/>
      <c r="AH473" s="259">
        <f t="shared" si="142"/>
        <v>0</v>
      </c>
      <c r="AI473" s="279">
        <f t="shared" si="144"/>
        <v>0</v>
      </c>
      <c r="AJ473" s="312"/>
      <c r="AK473" s="300"/>
      <c r="AL473" s="314">
        <f>+SUM(START:END!AL473)</f>
        <v>0</v>
      </c>
      <c r="AM473" s="315"/>
      <c r="AN473" s="259">
        <f t="shared" si="143"/>
        <v>0</v>
      </c>
      <c r="AO473" s="452">
        <f t="shared" si="141"/>
        <v>0</v>
      </c>
      <c r="AP473" s="225"/>
      <c r="AQ473" s="465"/>
      <c r="AR473" s="465"/>
      <c r="AS473" s="225"/>
      <c r="AT473" s="225"/>
      <c r="AU473" s="225"/>
      <c r="AV473" s="225"/>
      <c r="AW473" s="225"/>
      <c r="AX473" s="225"/>
      <c r="AY473" s="225"/>
      <c r="AZ473" s="225"/>
      <c r="BA473" s="225"/>
      <c r="BB473" s="225"/>
      <c r="BC473" s="225"/>
      <c r="BD473" s="225"/>
      <c r="BE473" s="225"/>
      <c r="BF473" s="225"/>
      <c r="BG473" s="225"/>
      <c r="BH473" s="225"/>
      <c r="BI473" s="225"/>
      <c r="BJ473" s="225"/>
    </row>
    <row r="474" spans="1:62" ht="15.75" customHeight="1">
      <c r="A474" t="str">
        <f t="shared" si="119"/>
        <v>Programme used 2</v>
      </c>
      <c r="B474" s="7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99" t="s">
        <v>81</v>
      </c>
      <c r="W474" s="256"/>
      <c r="X474" s="256"/>
      <c r="Y474" s="256"/>
      <c r="Z474" s="257">
        <f>+SUM(START:END!Z474)</f>
        <v>0</v>
      </c>
      <c r="AA474" s="300"/>
      <c r="AB474" s="301"/>
      <c r="AC474" s="257"/>
      <c r="AD474" s="312"/>
      <c r="AE474" s="301"/>
      <c r="AF474" s="257">
        <f>+SUM(START:END!AF474)</f>
        <v>0</v>
      </c>
      <c r="AG474" s="313"/>
      <c r="AH474" s="259">
        <f t="shared" si="142"/>
        <v>0</v>
      </c>
      <c r="AI474" s="279">
        <f t="shared" si="144"/>
        <v>0</v>
      </c>
      <c r="AJ474" s="312"/>
      <c r="AK474" s="300"/>
      <c r="AL474" s="314">
        <f>+SUM(START:END!AL474)</f>
        <v>0</v>
      </c>
      <c r="AM474" s="315"/>
      <c r="AN474" s="259">
        <f t="shared" si="143"/>
        <v>0</v>
      </c>
      <c r="AO474" s="452">
        <f t="shared" si="141"/>
        <v>0</v>
      </c>
      <c r="AP474" s="225"/>
      <c r="AQ474" s="465"/>
      <c r="AR474" s="465"/>
      <c r="AS474" s="225"/>
      <c r="AT474" s="225"/>
      <c r="AU474" s="225"/>
      <c r="AV474" s="225"/>
      <c r="AW474" s="225"/>
      <c r="AX474" s="225"/>
      <c r="AY474" s="225"/>
      <c r="AZ474" s="225"/>
      <c r="BA474" s="225"/>
      <c r="BB474" s="225"/>
      <c r="BC474" s="225"/>
      <c r="BD474" s="225"/>
      <c r="BE474" s="225"/>
      <c r="BF474" s="225"/>
      <c r="BG474" s="225"/>
      <c r="BH474" s="225"/>
      <c r="BI474" s="225"/>
      <c r="BJ474" s="225"/>
    </row>
    <row r="475" spans="1:62" ht="15.75" customHeight="1">
      <c r="A475" t="str">
        <f t="shared" si="119"/>
        <v>Programme used 3</v>
      </c>
      <c r="B475" s="7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99" t="s">
        <v>82</v>
      </c>
      <c r="W475" s="256"/>
      <c r="X475" s="256"/>
      <c r="Y475" s="256"/>
      <c r="Z475" s="257">
        <f>+SUM(START:END!Z475)</f>
        <v>0</v>
      </c>
      <c r="AA475" s="300"/>
      <c r="AB475" s="301"/>
      <c r="AC475" s="257"/>
      <c r="AD475" s="312"/>
      <c r="AE475" s="301"/>
      <c r="AF475" s="257">
        <f>+SUM(START:END!AF475)</f>
        <v>0</v>
      </c>
      <c r="AG475" s="313"/>
      <c r="AH475" s="259">
        <f t="shared" si="142"/>
        <v>0</v>
      </c>
      <c r="AI475" s="279">
        <f t="shared" si="144"/>
        <v>0</v>
      </c>
      <c r="AJ475" s="312"/>
      <c r="AK475" s="300"/>
      <c r="AL475" s="314">
        <f>+SUM(START:END!AL475)</f>
        <v>0</v>
      </c>
      <c r="AM475" s="315"/>
      <c r="AN475" s="259">
        <f t="shared" si="143"/>
        <v>0</v>
      </c>
      <c r="AO475" s="452">
        <f t="shared" si="141"/>
        <v>0</v>
      </c>
      <c r="AP475" s="225"/>
      <c r="AQ475" s="465"/>
      <c r="AR475" s="465"/>
      <c r="AS475" s="225"/>
      <c r="AT475" s="225"/>
      <c r="AU475" s="225"/>
      <c r="AV475" s="225"/>
      <c r="AW475" s="225"/>
      <c r="AX475" s="225"/>
      <c r="AY475" s="225"/>
      <c r="AZ475" s="225"/>
      <c r="BA475" s="225"/>
      <c r="BB475" s="225"/>
      <c r="BC475" s="225"/>
      <c r="BD475" s="225"/>
      <c r="BE475" s="225"/>
      <c r="BF475" s="225"/>
      <c r="BG475" s="225"/>
      <c r="BH475" s="225"/>
      <c r="BI475" s="225"/>
      <c r="BJ475" s="225"/>
    </row>
    <row r="476" spans="1:62" ht="15.75" customHeight="1">
      <c r="A476" t="str">
        <f t="shared" si="119"/>
        <v>Facility Fund</v>
      </c>
      <c r="B476" s="7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99" t="s">
        <v>196</v>
      </c>
      <c r="W476" s="256"/>
      <c r="X476" s="256"/>
      <c r="Y476" s="256"/>
      <c r="Z476" s="257">
        <f>+SUM(START:END!Z476)</f>
        <v>0</v>
      </c>
      <c r="AA476" s="256"/>
      <c r="AB476" s="256"/>
      <c r="AC476" s="257"/>
      <c r="AD476" s="312"/>
      <c r="AE476" s="301"/>
      <c r="AF476" s="257">
        <f>+SUM(START:END!AF476)</f>
        <v>0</v>
      </c>
      <c r="AG476" s="258"/>
      <c r="AH476" s="259">
        <f t="shared" si="142"/>
        <v>0</v>
      </c>
      <c r="AI476" s="260">
        <f t="shared" si="144"/>
        <v>0</v>
      </c>
      <c r="AJ476" s="312"/>
      <c r="AK476" s="300"/>
      <c r="AL476" s="314">
        <f>+SUM(START:END!AL476)</f>
        <v>0</v>
      </c>
      <c r="AM476" s="315"/>
      <c r="AN476" s="259">
        <f t="shared" si="143"/>
        <v>0</v>
      </c>
      <c r="AO476" s="452">
        <f t="shared" si="141"/>
        <v>0</v>
      </c>
      <c r="AP476" s="225"/>
      <c r="AQ476" s="465"/>
      <c r="AR476" s="465"/>
      <c r="AS476" s="225"/>
      <c r="AT476" s="225"/>
      <c r="AU476" s="225"/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5"/>
      <c r="BH476" s="225"/>
      <c r="BI476" s="225"/>
      <c r="BJ476" s="225"/>
    </row>
    <row r="477" spans="1:62" ht="15.75" hidden="1" customHeight="1">
      <c r="A477" t="str">
        <f t="shared" si="119"/>
        <v>[...]</v>
      </c>
      <c r="B477" s="7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99" t="s">
        <v>20</v>
      </c>
      <c r="W477" s="256"/>
      <c r="X477" s="256"/>
      <c r="Y477" s="256"/>
      <c r="Z477" s="257">
        <f>+SUM(START:END!Z477)</f>
        <v>0</v>
      </c>
      <c r="AA477" s="256"/>
      <c r="AB477" s="256"/>
      <c r="AC477" s="257"/>
      <c r="AD477" s="312"/>
      <c r="AE477" s="301"/>
      <c r="AF477" s="257">
        <f>+SUM(START:END!AF477)</f>
        <v>0</v>
      </c>
      <c r="AG477" s="258"/>
      <c r="AH477" s="259">
        <f t="shared" si="142"/>
        <v>0</v>
      </c>
      <c r="AI477" s="260">
        <f t="shared" si="144"/>
        <v>0</v>
      </c>
      <c r="AJ477" s="312"/>
      <c r="AK477" s="300"/>
      <c r="AL477" s="314">
        <f>+SUM(START:END!AL477)</f>
        <v>0</v>
      </c>
      <c r="AM477" s="315"/>
      <c r="AN477" s="259">
        <f t="shared" si="143"/>
        <v>0</v>
      </c>
      <c r="AO477" s="452">
        <f t="shared" si="141"/>
        <v>0</v>
      </c>
      <c r="AP477" s="225"/>
      <c r="AQ477" s="465"/>
      <c r="AR477" s="465"/>
      <c r="AS477" s="225"/>
      <c r="AT477" s="225"/>
      <c r="AU477" s="225"/>
      <c r="AV477" s="225"/>
      <c r="AW477" s="225"/>
      <c r="AX477" s="225"/>
      <c r="AY477" s="225"/>
      <c r="AZ477" s="225"/>
      <c r="BA477" s="225"/>
      <c r="BB477" s="225"/>
      <c r="BC477" s="225"/>
      <c r="BD477" s="225"/>
      <c r="BE477" s="225"/>
      <c r="BF477" s="225"/>
      <c r="BG477" s="225"/>
      <c r="BH477" s="225"/>
      <c r="BI477" s="225"/>
      <c r="BJ477" s="225"/>
    </row>
    <row r="478" spans="1:62" ht="15.75" hidden="1" customHeight="1">
      <c r="A478" t="str">
        <f t="shared" si="119"/>
        <v>[...]</v>
      </c>
      <c r="B478" s="7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99" t="s">
        <v>20</v>
      </c>
      <c r="W478" s="256"/>
      <c r="X478" s="256"/>
      <c r="Y478" s="256"/>
      <c r="Z478" s="257">
        <f>+SUM(START:END!Z478)</f>
        <v>0</v>
      </c>
      <c r="AA478" s="256"/>
      <c r="AB478" s="256"/>
      <c r="AC478" s="257"/>
      <c r="AD478" s="312"/>
      <c r="AE478" s="301"/>
      <c r="AF478" s="257">
        <f>+SUM(START:END!AF478)</f>
        <v>0</v>
      </c>
      <c r="AG478" s="258"/>
      <c r="AH478" s="259">
        <f t="shared" si="142"/>
        <v>0</v>
      </c>
      <c r="AI478" s="260">
        <f t="shared" si="144"/>
        <v>0</v>
      </c>
      <c r="AJ478" s="312"/>
      <c r="AK478" s="300"/>
      <c r="AL478" s="314">
        <f>+SUM(START:END!AL478)</f>
        <v>0</v>
      </c>
      <c r="AM478" s="315"/>
      <c r="AN478" s="259">
        <f t="shared" si="143"/>
        <v>0</v>
      </c>
      <c r="AO478" s="452">
        <f t="shared" si="141"/>
        <v>0</v>
      </c>
      <c r="AP478" s="225"/>
      <c r="AQ478" s="465"/>
      <c r="AR478" s="465"/>
      <c r="AS478" s="225"/>
      <c r="AT478" s="225"/>
      <c r="AU478" s="225"/>
      <c r="AV478" s="225"/>
      <c r="AW478" s="225"/>
      <c r="AX478" s="225"/>
      <c r="AY478" s="225"/>
      <c r="AZ478" s="225"/>
      <c r="BA478" s="225"/>
      <c r="BB478" s="225"/>
      <c r="BC478" s="225"/>
      <c r="BD478" s="225"/>
      <c r="BE478" s="225"/>
      <c r="BF478" s="225"/>
      <c r="BG478" s="225"/>
      <c r="BH478" s="225"/>
      <c r="BI478" s="225"/>
      <c r="BJ478" s="225"/>
    </row>
    <row r="479" spans="1:62" ht="15.75" customHeight="1">
      <c r="A479" t="str">
        <f t="shared" si="119"/>
        <v>Frais administration</v>
      </c>
      <c r="B479" s="7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100" t="s">
        <v>70</v>
      </c>
      <c r="W479" s="256"/>
      <c r="X479" s="256"/>
      <c r="Y479" s="256"/>
      <c r="Z479" s="257">
        <f>+SUM(START:END!Z479)</f>
        <v>101809.59947712001</v>
      </c>
      <c r="AA479" s="300"/>
      <c r="AB479" s="301"/>
      <c r="AC479" s="257"/>
      <c r="AD479" s="312"/>
      <c r="AE479" s="301"/>
      <c r="AF479" s="257">
        <f>+SUM(START:END!AF479)</f>
        <v>118397</v>
      </c>
      <c r="AG479" s="313"/>
      <c r="AH479" s="259">
        <f t="shared" si="142"/>
        <v>16587.400522879994</v>
      </c>
      <c r="AI479" s="279">
        <f t="shared" si="144"/>
        <v>0.16292570256705247</v>
      </c>
      <c r="AJ479" s="312"/>
      <c r="AK479" s="300"/>
      <c r="AL479" s="314">
        <f>+SUM(START:END!AL479)</f>
        <v>108322</v>
      </c>
      <c r="AM479" s="315"/>
      <c r="AN479" s="259">
        <f t="shared" si="143"/>
        <v>10075</v>
      </c>
      <c r="AO479" s="452">
        <f t="shared" si="141"/>
        <v>9.3009730248702946E-2</v>
      </c>
      <c r="AP479" s="225"/>
      <c r="AQ479" s="465"/>
      <c r="AR479" s="465"/>
      <c r="AS479" s="225"/>
      <c r="AT479" s="225"/>
      <c r="AU479" s="225"/>
      <c r="AV479" s="225"/>
      <c r="AW479" s="225"/>
      <c r="AX479" s="225"/>
      <c r="AY479" s="225"/>
      <c r="AZ479" s="225"/>
      <c r="BA479" s="225"/>
      <c r="BB479" s="225"/>
      <c r="BC479" s="225"/>
      <c r="BD479" s="225"/>
      <c r="BE479" s="225"/>
      <c r="BF479" s="225"/>
      <c r="BG479" s="225"/>
      <c r="BH479" s="225"/>
      <c r="BI479" s="225"/>
      <c r="BJ479" s="225"/>
    </row>
    <row r="480" spans="1:62" ht="15.75" customHeight="1">
      <c r="A480" t="str">
        <f t="shared" si="119"/>
        <v>TOTAL AUTRES REVENUS</v>
      </c>
      <c r="B480" s="7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69" t="s">
        <v>183</v>
      </c>
      <c r="W480" s="270"/>
      <c r="X480" s="271">
        <f>Z480/+Z406</f>
        <v>0.17219951435224246</v>
      </c>
      <c r="Y480" s="298"/>
      <c r="Z480" s="272">
        <f>SUM(Z468:Z479)</f>
        <v>338244.02794070891</v>
      </c>
      <c r="AA480" s="271"/>
      <c r="AB480" s="298"/>
      <c r="AC480" s="272"/>
      <c r="AD480" s="271">
        <f>AF480/+AF406</f>
        <v>0.21552112957532824</v>
      </c>
      <c r="AE480" s="298"/>
      <c r="AF480" s="272">
        <f>SUM(AF468:AF479)</f>
        <v>407622.55</v>
      </c>
      <c r="AG480" s="281"/>
      <c r="AH480" s="275">
        <f t="shared" si="142"/>
        <v>69378.522059291077</v>
      </c>
      <c r="AI480" s="271">
        <f>AH480/Z480</f>
        <v>0.20511381230196471</v>
      </c>
      <c r="AJ480" s="316"/>
      <c r="AK480" s="317"/>
      <c r="AL480" s="272">
        <f>SUM(AL468:AL479)</f>
        <v>433427.09</v>
      </c>
      <c r="AM480" s="318"/>
      <c r="AN480" s="275">
        <f t="shared" si="143"/>
        <v>-25804.540000000037</v>
      </c>
      <c r="AO480" s="453">
        <f t="shared" si="141"/>
        <v>-5.9536057148619932E-2</v>
      </c>
      <c r="AP480" s="225"/>
      <c r="AQ480" s="465"/>
      <c r="AR480" s="465"/>
      <c r="AS480" s="225"/>
      <c r="AT480" s="225"/>
      <c r="AU480" s="225"/>
      <c r="AV480" s="225"/>
      <c r="AW480" s="225"/>
      <c r="AX480" s="225"/>
      <c r="AY480" s="225"/>
      <c r="AZ480" s="225"/>
      <c r="BA480" s="225"/>
      <c r="BB480" s="225"/>
      <c r="BC480" s="225"/>
      <c r="BD480" s="225"/>
      <c r="BE480" s="225"/>
      <c r="BF480" s="225"/>
      <c r="BG480" s="225"/>
      <c r="BH480" s="225"/>
      <c r="BI480" s="225"/>
      <c r="BJ480" s="225"/>
    </row>
    <row r="481" spans="1:62" ht="15.75" customHeight="1" thickBot="1">
      <c r="A481" t="str">
        <f t="shared" si="119"/>
        <v/>
      </c>
      <c r="B481" s="7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319"/>
      <c r="W481" s="320"/>
      <c r="X481" s="320"/>
      <c r="Y481" s="321"/>
      <c r="Z481" s="322">
        <f>+SUM(START:END!Z480)</f>
        <v>338244.02794070891</v>
      </c>
      <c r="AA481" s="320"/>
      <c r="AB481" s="323"/>
      <c r="AC481" s="322"/>
      <c r="AD481" s="320"/>
      <c r="AE481" s="323"/>
      <c r="AF481" s="324"/>
      <c r="AG481" s="325"/>
      <c r="AH481" s="326"/>
      <c r="AI481" s="327"/>
      <c r="AJ481" s="328"/>
      <c r="AK481" s="329"/>
      <c r="AL481" s="324"/>
      <c r="AM481" s="330"/>
      <c r="AN481" s="326">
        <f t="shared" si="143"/>
        <v>0</v>
      </c>
      <c r="AO481" s="455">
        <f t="shared" si="141"/>
        <v>0</v>
      </c>
      <c r="AP481" s="225"/>
      <c r="AQ481" s="465"/>
      <c r="AR481" s="465"/>
      <c r="AS481" s="225"/>
      <c r="AT481" s="225"/>
      <c r="AU481" s="225"/>
      <c r="AV481" s="225"/>
      <c r="AW481" s="225"/>
      <c r="AX481" s="225"/>
      <c r="AY481" s="225"/>
      <c r="AZ481" s="225"/>
      <c r="BA481" s="225"/>
      <c r="BB481" s="225"/>
      <c r="BC481" s="225"/>
      <c r="BD481" s="225"/>
      <c r="BE481" s="225"/>
      <c r="BF481" s="225"/>
      <c r="BG481" s="225"/>
      <c r="BH481" s="225"/>
      <c r="BI481" s="225"/>
      <c r="BJ481" s="225"/>
    </row>
    <row r="482" spans="1:62" ht="15.75" customHeight="1" thickTop="1" thickBot="1">
      <c r="A482" t="str">
        <f t="shared" si="119"/>
        <v>BAIIA OPÉRATIONNEL</v>
      </c>
      <c r="B482" s="7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331" t="s">
        <v>184</v>
      </c>
      <c r="W482" s="332"/>
      <c r="X482" s="333" t="s">
        <v>185</v>
      </c>
      <c r="Y482" s="334">
        <f>Z482/Z405</f>
        <v>3.6285907788113102E-2</v>
      </c>
      <c r="Z482" s="335">
        <f>Z406-Z467+Z480</f>
        <v>516253.45356468228</v>
      </c>
      <c r="AA482" s="439"/>
      <c r="AB482" s="440"/>
      <c r="AC482" s="441"/>
      <c r="AD482" s="333" t="s">
        <v>185</v>
      </c>
      <c r="AE482" s="334">
        <f>AF482/AF405</f>
        <v>3.6941157700933744E-2</v>
      </c>
      <c r="AF482" s="336">
        <f>AF406-AF467+AF480</f>
        <v>537161.1100000001</v>
      </c>
      <c r="AG482" s="446"/>
      <c r="AH482" s="446">
        <f>AF482-Z482</f>
        <v>20907.656435317826</v>
      </c>
      <c r="AI482" s="447">
        <f>AH482/Z482</f>
        <v>4.0498821443134943E-2</v>
      </c>
      <c r="AJ482" s="337" t="s">
        <v>185</v>
      </c>
      <c r="AK482" s="334">
        <f>IF($AL$405=0,0,AL482/$AL$405)</f>
        <v>4.8665947662329553E-2</v>
      </c>
      <c r="AL482" s="336">
        <f>AL406-AL467+AL480</f>
        <v>790555.83999999939</v>
      </c>
      <c r="AM482" s="456"/>
      <c r="AN482" s="448">
        <f t="shared" si="143"/>
        <v>-253394.72999999928</v>
      </c>
      <c r="AO482" s="457">
        <f t="shared" si="141"/>
        <v>-0.32052730139846858</v>
      </c>
      <c r="AP482" s="225"/>
      <c r="AQ482" s="465"/>
      <c r="AR482" s="465"/>
      <c r="AS482" s="225"/>
      <c r="AT482" s="225"/>
      <c r="AU482" s="225"/>
      <c r="AV482" s="225"/>
      <c r="AW482" s="225"/>
      <c r="AX482" s="225"/>
      <c r="AY482" s="225"/>
      <c r="AZ482" s="225"/>
      <c r="BA482" s="225"/>
      <c r="BB482" s="225"/>
      <c r="BC482" s="225"/>
      <c r="BD482" s="225"/>
      <c r="BE482" s="225"/>
      <c r="BF482" s="225"/>
      <c r="BG482" s="225"/>
      <c r="BH482" s="225"/>
      <c r="BI482" s="225"/>
      <c r="BJ482" s="225"/>
    </row>
    <row r="483" spans="1:62" ht="15.75" customHeight="1" thickTop="1">
      <c r="A483" t="str">
        <f t="shared" si="119"/>
        <v/>
      </c>
      <c r="B483" s="7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6"/>
      <c r="W483" s="6"/>
      <c r="X483" s="6"/>
      <c r="Y483" s="6"/>
      <c r="Z483" s="77"/>
      <c r="AA483" s="14"/>
      <c r="AB483" s="14"/>
      <c r="AC483" s="77"/>
      <c r="AD483" s="14"/>
      <c r="AE483" s="14"/>
      <c r="AF483" s="338"/>
      <c r="AG483" s="14"/>
      <c r="AH483" s="14"/>
      <c r="AI483" s="14"/>
      <c r="AJ483" s="14"/>
      <c r="AK483" s="14"/>
      <c r="AL483" s="77"/>
      <c r="AM483" s="14"/>
      <c r="AN483" s="14"/>
      <c r="AO483" s="14"/>
      <c r="AP483" s="225"/>
      <c r="AQ483" s="465"/>
      <c r="AR483" s="465"/>
      <c r="AS483" s="225"/>
      <c r="AT483" s="225"/>
      <c r="AU483" s="225"/>
      <c r="AV483" s="225"/>
      <c r="AW483" s="225"/>
      <c r="AX483" s="225"/>
      <c r="AY483" s="225"/>
      <c r="AZ483" s="225"/>
      <c r="BA483" s="225"/>
      <c r="BB483" s="225"/>
      <c r="BC483" s="225"/>
      <c r="BD483" s="225"/>
      <c r="BE483" s="225"/>
      <c r="BF483" s="225"/>
      <c r="BG483" s="225"/>
      <c r="BH483" s="225"/>
      <c r="BI483" s="225"/>
      <c r="BJ483" s="225"/>
    </row>
    <row r="484" spans="1:62" ht="35.25" customHeight="1">
      <c r="A484" t="str">
        <f t="shared" ref="A484:A498" si="145">+U484&amp;V484</f>
        <v>Conso</v>
      </c>
      <c r="B484" s="7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6" t="str">
        <f>C1</f>
        <v>Conso</v>
      </c>
      <c r="W484" s="6"/>
      <c r="X484" s="6"/>
      <c r="Y484" s="6"/>
      <c r="Z484" s="1"/>
      <c r="AA484" s="442"/>
      <c r="AB484" s="442"/>
      <c r="AC484" s="442"/>
      <c r="AD484" s="1"/>
      <c r="AE484" s="3" t="s">
        <v>186</v>
      </c>
      <c r="AF484" s="6"/>
      <c r="AG484" s="442"/>
      <c r="AH484" s="442"/>
      <c r="AI484" s="442"/>
      <c r="AJ484" s="234"/>
      <c r="AK484" s="2"/>
      <c r="AL484" s="1"/>
      <c r="AM484" s="442"/>
      <c r="AN484" s="442"/>
      <c r="AO484" s="458" t="str">
        <f>$S$1</f>
        <v>Réalisé  Volks T3 2023</v>
      </c>
      <c r="AP484" s="225"/>
      <c r="AQ484" s="465"/>
      <c r="AR484" s="465"/>
      <c r="AS484" s="225"/>
      <c r="AT484" s="225"/>
      <c r="AU484" s="225"/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5"/>
      <c r="BH484" s="225"/>
      <c r="BI484" s="225"/>
      <c r="BJ484" s="225"/>
    </row>
    <row r="485" spans="1:62" ht="15.75" customHeight="1">
      <c r="A485" t="str">
        <f t="shared" si="145"/>
        <v/>
      </c>
      <c r="B485" s="7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6"/>
      <c r="W485" s="6"/>
      <c r="X485" s="6"/>
      <c r="Y485" s="6"/>
      <c r="Z485" s="77"/>
      <c r="AA485" s="14"/>
      <c r="AB485" s="14"/>
      <c r="AC485" s="77"/>
      <c r="AD485" s="14"/>
      <c r="AE485" s="14"/>
      <c r="AF485" s="338"/>
      <c r="AG485" s="14"/>
      <c r="AH485" s="14"/>
      <c r="AI485" s="14"/>
      <c r="AJ485" s="14"/>
      <c r="AK485" s="14"/>
      <c r="AL485" s="77"/>
      <c r="AM485" s="14"/>
      <c r="AN485" s="14"/>
      <c r="AO485" s="14"/>
      <c r="AP485" s="225"/>
      <c r="AQ485" s="465"/>
      <c r="AR485" s="465"/>
      <c r="AS485" s="225"/>
      <c r="AT485" s="225"/>
      <c r="AU485" s="225"/>
      <c r="AV485" s="225"/>
      <c r="AW485" s="225"/>
      <c r="AX485" s="225"/>
      <c r="AY485" s="225"/>
      <c r="AZ485" s="225"/>
      <c r="BA485" s="225"/>
      <c r="BB485" s="225"/>
      <c r="BC485" s="225"/>
      <c r="BD485" s="225"/>
      <c r="BE485" s="225"/>
      <c r="BF485" s="225"/>
      <c r="BG485" s="225"/>
      <c r="BH485" s="225"/>
      <c r="BI485" s="225"/>
      <c r="BJ485" s="225"/>
    </row>
    <row r="486" spans="1:62" ht="15.75" customHeight="1">
      <c r="A486" t="str">
        <f t="shared" si="145"/>
        <v/>
      </c>
      <c r="B486" s="7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6"/>
      <c r="W486" s="6"/>
      <c r="X486" s="6"/>
      <c r="Y486" s="6"/>
      <c r="Z486" s="77"/>
      <c r="AA486" s="14"/>
      <c r="AB486" s="14"/>
      <c r="AC486" s="77"/>
      <c r="AD486" s="14"/>
      <c r="AE486" s="14"/>
      <c r="AF486" s="338"/>
      <c r="AG486" s="14"/>
      <c r="AH486" s="14"/>
      <c r="AI486" s="14"/>
      <c r="AJ486" s="14"/>
      <c r="AK486" s="14"/>
      <c r="AL486" s="77"/>
      <c r="AM486" s="14"/>
      <c r="AN486" s="14"/>
      <c r="AO486" s="14"/>
      <c r="AP486" s="225"/>
      <c r="AQ486" s="465"/>
      <c r="AR486" s="465"/>
      <c r="AS486" s="225"/>
      <c r="AT486" s="225"/>
      <c r="AU486" s="225"/>
      <c r="AV486" s="225"/>
      <c r="AW486" s="225"/>
      <c r="AX486" s="225"/>
      <c r="AY486" s="225"/>
      <c r="AZ486" s="225"/>
      <c r="BA486" s="225"/>
      <c r="BB486" s="225"/>
      <c r="BC486" s="225"/>
      <c r="BD486" s="225"/>
      <c r="BE486" s="225"/>
      <c r="BF486" s="225"/>
      <c r="BG486" s="225"/>
      <c r="BH486" s="225"/>
      <c r="BI486" s="225"/>
      <c r="BJ486" s="225"/>
    </row>
    <row r="487" spans="1:62" ht="15.75" customHeight="1" thickBot="1">
      <c r="A487" t="str">
        <f t="shared" si="145"/>
        <v/>
      </c>
      <c r="B487" s="7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6"/>
      <c r="W487" s="6"/>
      <c r="X487" s="6"/>
      <c r="Y487" s="6"/>
      <c r="Z487" s="77"/>
      <c r="AA487" s="14"/>
      <c r="AB487" s="14"/>
      <c r="AC487" s="77"/>
      <c r="AD487" s="14"/>
      <c r="AE487" s="14"/>
      <c r="AF487" s="338"/>
      <c r="AG487" s="14"/>
      <c r="AH487" s="14"/>
      <c r="AI487" s="14"/>
      <c r="AJ487" s="14"/>
      <c r="AK487" s="14"/>
      <c r="AL487" s="77"/>
      <c r="AM487" s="14"/>
      <c r="AN487" s="14"/>
      <c r="AO487" s="14"/>
      <c r="AP487" s="225"/>
      <c r="AQ487" s="465"/>
      <c r="AR487" s="465"/>
      <c r="AS487" s="225"/>
      <c r="AT487" s="225"/>
      <c r="AU487" s="225"/>
      <c r="AV487" s="225"/>
      <c r="AW487" s="225"/>
      <c r="AX487" s="225"/>
      <c r="AY487" s="225"/>
      <c r="AZ487" s="225"/>
      <c r="BA487" s="225"/>
      <c r="BB487" s="225"/>
      <c r="BC487" s="225"/>
      <c r="BD487" s="225"/>
      <c r="BE487" s="225"/>
      <c r="BF487" s="225"/>
      <c r="BG487" s="225"/>
      <c r="BH487" s="225"/>
      <c r="BI487" s="225"/>
      <c r="BJ487" s="225"/>
    </row>
    <row r="488" spans="1:62" ht="15.75" customHeight="1" thickTop="1" thickBot="1">
      <c r="A488" t="str">
        <f t="shared" si="145"/>
        <v>BAIIA OPÉRATIONNEL</v>
      </c>
      <c r="B488" s="7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339" t="s">
        <v>184</v>
      </c>
      <c r="W488" s="340"/>
      <c r="X488" s="341" t="s">
        <v>185</v>
      </c>
      <c r="Y488" s="342">
        <f>Z488/Z405</f>
        <v>3.6285907788113102E-2</v>
      </c>
      <c r="Z488" s="343">
        <f>Z482</f>
        <v>516253.45356468228</v>
      </c>
      <c r="AA488" s="439"/>
      <c r="AB488" s="440"/>
      <c r="AC488" s="441"/>
      <c r="AD488" s="341" t="s">
        <v>185</v>
      </c>
      <c r="AE488" s="342">
        <f>AF488/AF405</f>
        <v>3.6941157700933744E-2</v>
      </c>
      <c r="AF488" s="343">
        <f>AF482</f>
        <v>537161.1100000001</v>
      </c>
      <c r="AG488" s="448"/>
      <c r="AH488" s="446">
        <f>AF488-Z488</f>
        <v>20907.656435317826</v>
      </c>
      <c r="AI488" s="447">
        <f>AH488/Z488</f>
        <v>4.0498821443134943E-2</v>
      </c>
      <c r="AJ488" s="341" t="s">
        <v>185</v>
      </c>
      <c r="AK488" s="342">
        <f>IF($AL$405=0,0,AL488/$AL$405)</f>
        <v>4.8665947662329553E-2</v>
      </c>
      <c r="AL488" s="344">
        <f>AL482</f>
        <v>790555.83999999939</v>
      </c>
      <c r="AM488" s="459"/>
      <c r="AN488" s="460">
        <f>AF488-AL488</f>
        <v>-253394.72999999928</v>
      </c>
      <c r="AO488" s="461">
        <f>IF(AL488=0,0,AN488/AL488)</f>
        <v>-0.32052730139846858</v>
      </c>
      <c r="AP488" s="225"/>
      <c r="AQ488" s="465"/>
      <c r="AR488" s="465"/>
      <c r="AS488" s="225"/>
      <c r="AT488" s="225"/>
      <c r="AU488" s="225"/>
      <c r="AV488" s="225"/>
      <c r="AW488" s="225"/>
      <c r="AX488" s="225"/>
      <c r="AY488" s="225"/>
      <c r="AZ488" s="225"/>
      <c r="BA488" s="225"/>
      <c r="BB488" s="225"/>
      <c r="BC488" s="225"/>
      <c r="BD488" s="225"/>
      <c r="BE488" s="225"/>
      <c r="BF488" s="225"/>
      <c r="BG488" s="225"/>
      <c r="BH488" s="225"/>
      <c r="BI488" s="225"/>
      <c r="BJ488" s="225"/>
    </row>
    <row r="489" spans="1:62" ht="15.75" customHeight="1" thickTop="1">
      <c r="A489" t="str">
        <f t="shared" si="145"/>
        <v/>
      </c>
      <c r="B489" s="7"/>
      <c r="C489" s="225"/>
      <c r="D489" s="225"/>
      <c r="E489" s="225"/>
      <c r="F489" s="283"/>
      <c r="G489" s="225"/>
      <c r="H489" s="225"/>
      <c r="I489" s="283"/>
      <c r="J489" s="225"/>
      <c r="K489" s="225"/>
      <c r="L489" s="225"/>
      <c r="M489" s="283"/>
      <c r="N489" s="225"/>
      <c r="O489" s="225"/>
      <c r="P489" s="225"/>
      <c r="Q489" s="283"/>
      <c r="R489" s="283"/>
      <c r="S489" s="283"/>
      <c r="T489" s="302"/>
      <c r="U489" s="302"/>
      <c r="V489" s="345"/>
      <c r="W489" s="225"/>
      <c r="X489" s="225"/>
      <c r="Y489" s="225"/>
      <c r="Z489" s="346"/>
      <c r="AA489" s="11"/>
      <c r="AB489" s="11"/>
      <c r="AC489" s="443"/>
      <c r="AD489" s="225"/>
      <c r="AE489" s="225"/>
      <c r="AF489" s="347">
        <f>+SUM(START:END!AF489)</f>
        <v>0</v>
      </c>
      <c r="AG489" s="11"/>
      <c r="AH489" s="11"/>
      <c r="AI489" s="443"/>
      <c r="AJ489" s="225"/>
      <c r="AK489" s="225"/>
      <c r="AL489" s="348"/>
      <c r="AM489" s="349"/>
      <c r="AN489" s="11"/>
      <c r="AO489" s="462"/>
      <c r="AP489" s="225"/>
      <c r="AQ489" s="465"/>
      <c r="AR489" s="465"/>
      <c r="AS489" s="225"/>
      <c r="AT489" s="225"/>
      <c r="AU489" s="225"/>
      <c r="AV489" s="225"/>
      <c r="AW489" s="225"/>
      <c r="AX489" s="225"/>
      <c r="AY489" s="225"/>
      <c r="AZ489" s="225"/>
      <c r="BA489" s="225"/>
      <c r="BB489" s="225"/>
      <c r="BC489" s="225"/>
      <c r="BD489" s="225"/>
      <c r="BE489" s="225"/>
      <c r="BF489" s="225"/>
      <c r="BG489" s="225"/>
      <c r="BH489" s="225"/>
      <c r="BI489" s="225"/>
      <c r="BJ489" s="225"/>
    </row>
    <row r="490" spans="1:62" ht="15.75" customHeight="1">
      <c r="A490" t="str">
        <f t="shared" si="145"/>
        <v>Amortissement</v>
      </c>
      <c r="B490" s="7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99" t="s">
        <v>187</v>
      </c>
      <c r="W490" s="262"/>
      <c r="X490" s="256"/>
      <c r="Y490" s="263"/>
      <c r="Z490" s="257">
        <f>+SUM(START:END!Z490)</f>
        <v>13992.112500000001</v>
      </c>
      <c r="AA490" s="256"/>
      <c r="AB490" s="263"/>
      <c r="AC490" s="257"/>
      <c r="AD490" s="256"/>
      <c r="AE490" s="263"/>
      <c r="AF490" s="257">
        <f>+SUM(START:END!AF490)</f>
        <v>12943.5</v>
      </c>
      <c r="AG490" s="256"/>
      <c r="AH490" s="259">
        <f t="shared" ref="AH490:AH497" si="146">AF490-Z490</f>
        <v>-1048.6125000000011</v>
      </c>
      <c r="AI490" s="279">
        <f t="shared" ref="AI490:AI496" si="147">IF(Z490=0,0,AH490/Z490)</f>
        <v>-7.4943115272979755E-2</v>
      </c>
      <c r="AJ490" s="256"/>
      <c r="AK490" s="256"/>
      <c r="AL490" s="257">
        <f>+SUM(START:END!AL490)</f>
        <v>12943.5</v>
      </c>
      <c r="AM490" s="261"/>
      <c r="AN490" s="259">
        <f t="shared" ref="AN490:AN497" si="148">AF490-AL490</f>
        <v>0</v>
      </c>
      <c r="AO490" s="452">
        <f t="shared" ref="AO490:AO497" si="149">IF(AL490=0,0,AN490/AL490)</f>
        <v>0</v>
      </c>
      <c r="AP490" s="225"/>
      <c r="AQ490" s="465"/>
      <c r="AR490" s="465"/>
      <c r="AS490" s="225"/>
      <c r="AT490" s="225"/>
      <c r="AU490" s="225"/>
      <c r="AV490" s="225"/>
      <c r="AW490" s="225"/>
      <c r="AX490" s="225"/>
      <c r="AY490" s="225"/>
      <c r="AZ490" s="225"/>
      <c r="BA490" s="225"/>
      <c r="BB490" s="225"/>
      <c r="BC490" s="225"/>
      <c r="BD490" s="225"/>
      <c r="BE490" s="225"/>
      <c r="BF490" s="225"/>
      <c r="BG490" s="225"/>
      <c r="BH490" s="225"/>
      <c r="BI490" s="225"/>
      <c r="BJ490" s="225"/>
    </row>
    <row r="491" spans="1:62" ht="15.75" customHeight="1">
      <c r="A491" t="str">
        <f t="shared" si="145"/>
        <v>Intérêts sur marge</v>
      </c>
      <c r="B491" s="7"/>
      <c r="C491" s="225"/>
      <c r="D491" s="225"/>
      <c r="E491" s="225"/>
      <c r="F491" s="283"/>
      <c r="G491" s="225"/>
      <c r="H491" s="225"/>
      <c r="I491" s="283"/>
      <c r="J491" s="225"/>
      <c r="K491" s="225"/>
      <c r="L491" s="225"/>
      <c r="M491" s="283"/>
      <c r="N491" s="225"/>
      <c r="O491" s="225"/>
      <c r="P491" s="225"/>
      <c r="Q491" s="283"/>
      <c r="R491" s="283"/>
      <c r="S491" s="283"/>
      <c r="T491" s="225"/>
      <c r="U491" s="225"/>
      <c r="V491" s="99" t="s">
        <v>188</v>
      </c>
      <c r="W491" s="11"/>
      <c r="X491" s="11"/>
      <c r="Y491" s="11"/>
      <c r="Z491" s="257">
        <f>+SUM(START:END!Z491)</f>
        <v>0</v>
      </c>
      <c r="AA491" s="11"/>
      <c r="AB491" s="11"/>
      <c r="AC491" s="257"/>
      <c r="AD491" s="11"/>
      <c r="AE491" s="14"/>
      <c r="AF491" s="257">
        <f>+SUM(START:END!AF491)</f>
        <v>0</v>
      </c>
      <c r="AG491" s="11"/>
      <c r="AH491" s="259">
        <f t="shared" si="146"/>
        <v>0</v>
      </c>
      <c r="AI491" s="279">
        <f t="shared" si="147"/>
        <v>0</v>
      </c>
      <c r="AJ491" s="11"/>
      <c r="AK491" s="11"/>
      <c r="AL491" s="257">
        <f>+SUM(START:END!AL491)</f>
        <v>0</v>
      </c>
      <c r="AM491" s="349"/>
      <c r="AN491" s="259">
        <f t="shared" si="148"/>
        <v>0</v>
      </c>
      <c r="AO491" s="452">
        <f t="shared" si="149"/>
        <v>0</v>
      </c>
      <c r="AP491" s="225"/>
      <c r="AQ491" s="465"/>
      <c r="AR491" s="465"/>
      <c r="AS491" s="225"/>
      <c r="AT491" s="225"/>
      <c r="AU491" s="225"/>
      <c r="AV491" s="225"/>
      <c r="AW491" s="225"/>
      <c r="AX491" s="225"/>
      <c r="AY491" s="225"/>
      <c r="AZ491" s="225"/>
      <c r="BA491" s="225"/>
      <c r="BB491" s="225"/>
      <c r="BC491" s="225"/>
      <c r="BD491" s="225"/>
      <c r="BE491" s="225"/>
      <c r="BF491" s="225"/>
      <c r="BG491" s="225"/>
      <c r="BH491" s="225"/>
      <c r="BI491" s="225"/>
      <c r="BJ491" s="225"/>
    </row>
    <row r="492" spans="1:62" ht="15.75" customHeight="1">
      <c r="A492" t="str">
        <f t="shared" si="145"/>
        <v>Intérêts sur prêt</v>
      </c>
      <c r="B492" s="7"/>
      <c r="C492" s="225"/>
      <c r="D492" s="225"/>
      <c r="E492" s="225"/>
      <c r="F492" s="283"/>
      <c r="G492" s="225"/>
      <c r="H492" s="225"/>
      <c r="I492" s="283"/>
      <c r="J492" s="225"/>
      <c r="K492" s="225"/>
      <c r="L492" s="225"/>
      <c r="M492" s="283"/>
      <c r="N492" s="225"/>
      <c r="O492" s="225"/>
      <c r="P492" s="225"/>
      <c r="Q492" s="283"/>
      <c r="R492" s="283"/>
      <c r="S492" s="283"/>
      <c r="T492" s="225"/>
      <c r="U492" s="225"/>
      <c r="V492" s="99" t="s">
        <v>189</v>
      </c>
      <c r="W492" s="14"/>
      <c r="X492" s="14"/>
      <c r="Y492" s="14"/>
      <c r="Z492" s="257">
        <f>+SUM(START:END!Z492)</f>
        <v>1266.73</v>
      </c>
      <c r="AA492" s="11"/>
      <c r="AB492" s="11"/>
      <c r="AC492" s="257"/>
      <c r="AD492" s="11"/>
      <c r="AE492" s="14"/>
      <c r="AF492" s="257">
        <f>+SUM(START:END!AF492)</f>
        <v>0</v>
      </c>
      <c r="AG492" s="11"/>
      <c r="AH492" s="259">
        <f t="shared" si="146"/>
        <v>-1266.73</v>
      </c>
      <c r="AI492" s="279">
        <f t="shared" si="147"/>
        <v>-1</v>
      </c>
      <c r="AJ492" s="11"/>
      <c r="AK492" s="11"/>
      <c r="AL492" s="257">
        <f>+SUM(START:END!AL492)</f>
        <v>1280.3700000000001</v>
      </c>
      <c r="AM492" s="349"/>
      <c r="AN492" s="259">
        <f t="shared" si="148"/>
        <v>-1280.3700000000001</v>
      </c>
      <c r="AO492" s="452">
        <f t="shared" si="149"/>
        <v>-1</v>
      </c>
      <c r="AP492" s="225"/>
      <c r="AQ492" s="465"/>
      <c r="AR492" s="465"/>
      <c r="AS492" s="225"/>
      <c r="AT492" s="225"/>
      <c r="AU492" s="225"/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5"/>
      <c r="BH492" s="225"/>
      <c r="BI492" s="225"/>
      <c r="BJ492" s="225"/>
    </row>
    <row r="493" spans="1:62" ht="15.75" customHeight="1">
      <c r="A493" t="str">
        <f t="shared" si="145"/>
        <v>Intérêts sur avance</v>
      </c>
      <c r="B493" s="7"/>
      <c r="C493" s="225"/>
      <c r="D493" s="225"/>
      <c r="E493" s="225"/>
      <c r="F493" s="283"/>
      <c r="G493" s="225"/>
      <c r="H493" s="225"/>
      <c r="I493" s="283"/>
      <c r="J493" s="225"/>
      <c r="K493" s="225"/>
      <c r="L493" s="225"/>
      <c r="M493" s="283"/>
      <c r="N493" s="225"/>
      <c r="O493" s="225"/>
      <c r="P493" s="225"/>
      <c r="Q493" s="283"/>
      <c r="R493" s="283"/>
      <c r="S493" s="283"/>
      <c r="T493" s="225"/>
      <c r="U493" s="225"/>
      <c r="V493" s="99" t="s">
        <v>190</v>
      </c>
      <c r="W493" s="14"/>
      <c r="X493" s="14"/>
      <c r="Y493" s="14"/>
      <c r="Z493" s="257">
        <f>+SUM(START:END!Z493)</f>
        <v>0</v>
      </c>
      <c r="AA493" s="11"/>
      <c r="AB493" s="11"/>
      <c r="AC493" s="257"/>
      <c r="AD493" s="11"/>
      <c r="AE493" s="14"/>
      <c r="AF493" s="257">
        <f>+SUM(START:END!AF493)</f>
        <v>0</v>
      </c>
      <c r="AG493" s="11"/>
      <c r="AH493" s="259">
        <f t="shared" si="146"/>
        <v>0</v>
      </c>
      <c r="AI493" s="279">
        <f t="shared" si="147"/>
        <v>0</v>
      </c>
      <c r="AJ493" s="11"/>
      <c r="AK493" s="11"/>
      <c r="AL493" s="257">
        <f>+SUM(START:END!AL493)</f>
        <v>0</v>
      </c>
      <c r="AM493" s="349"/>
      <c r="AN493" s="259">
        <f t="shared" si="148"/>
        <v>0</v>
      </c>
      <c r="AO493" s="452">
        <f t="shared" si="149"/>
        <v>0</v>
      </c>
      <c r="AP493" s="225"/>
      <c r="AQ493" s="465"/>
      <c r="AR493" s="465"/>
      <c r="AS493" s="225"/>
      <c r="AT493" s="225"/>
      <c r="AU493" s="225"/>
      <c r="AV493" s="225"/>
      <c r="AW493" s="225"/>
      <c r="AX493" s="225"/>
      <c r="AY493" s="225"/>
      <c r="AZ493" s="225"/>
      <c r="BA493" s="225"/>
      <c r="BB493" s="225"/>
      <c r="BC493" s="225"/>
      <c r="BD493" s="225"/>
      <c r="BE493" s="225"/>
      <c r="BF493" s="225"/>
      <c r="BG493" s="225"/>
      <c r="BH493" s="225"/>
      <c r="BI493" s="225"/>
      <c r="BJ493" s="225"/>
    </row>
    <row r="494" spans="1:62" ht="15.75" customHeight="1" thickBot="1">
      <c r="A494" t="str">
        <f t="shared" si="145"/>
        <v>Intérêts sur hypothèque</v>
      </c>
      <c r="B494" s="7"/>
      <c r="C494" s="225"/>
      <c r="D494" s="225"/>
      <c r="E494" s="225"/>
      <c r="F494" s="283"/>
      <c r="G494" s="225"/>
      <c r="H494" s="225"/>
      <c r="I494" s="283"/>
      <c r="J494" s="225"/>
      <c r="K494" s="225"/>
      <c r="L494" s="225"/>
      <c r="M494" s="283"/>
      <c r="N494" s="225"/>
      <c r="O494" s="225"/>
      <c r="P494" s="225"/>
      <c r="Q494" s="283"/>
      <c r="R494" s="283"/>
      <c r="S494" s="283"/>
      <c r="T494" s="225"/>
      <c r="U494" s="225"/>
      <c r="V494" s="99" t="s">
        <v>191</v>
      </c>
      <c r="W494" s="14"/>
      <c r="X494" s="14"/>
      <c r="Y494" s="14"/>
      <c r="Z494" s="257">
        <f>+SUM(START:END!Z494)</f>
        <v>0</v>
      </c>
      <c r="AA494" s="256"/>
      <c r="AB494" s="256"/>
      <c r="AC494" s="257"/>
      <c r="AD494" s="11"/>
      <c r="AE494" s="14"/>
      <c r="AF494" s="257">
        <f>+SUM(START:END!AF494)</f>
        <v>0</v>
      </c>
      <c r="AG494" s="258"/>
      <c r="AH494" s="259">
        <f t="shared" si="146"/>
        <v>0</v>
      </c>
      <c r="AI494" s="260">
        <f t="shared" si="147"/>
        <v>0</v>
      </c>
      <c r="AJ494" s="11"/>
      <c r="AK494" s="11"/>
      <c r="AL494" s="257">
        <f>+SUM(START:END!AL494)</f>
        <v>0</v>
      </c>
      <c r="AM494" s="349"/>
      <c r="AN494" s="259">
        <f t="shared" si="148"/>
        <v>0</v>
      </c>
      <c r="AO494" s="452">
        <f t="shared" si="149"/>
        <v>0</v>
      </c>
      <c r="AP494" s="225"/>
      <c r="AQ494" s="465"/>
      <c r="AR494" s="465"/>
      <c r="AS494" s="225"/>
      <c r="AT494" s="225"/>
      <c r="AU494" s="225"/>
      <c r="AV494" s="225"/>
      <c r="AW494" s="225"/>
      <c r="AX494" s="225"/>
      <c r="AY494" s="225"/>
      <c r="AZ494" s="225"/>
      <c r="BA494" s="225"/>
      <c r="BB494" s="225"/>
      <c r="BC494" s="225"/>
      <c r="BD494" s="225"/>
      <c r="BE494" s="225"/>
      <c r="BF494" s="225"/>
      <c r="BG494" s="225"/>
      <c r="BH494" s="225"/>
      <c r="BI494" s="225"/>
      <c r="BJ494" s="225"/>
    </row>
    <row r="495" spans="1:62" ht="15.75" hidden="1" customHeight="1">
      <c r="A495" t="str">
        <f t="shared" si="145"/>
        <v>[...]</v>
      </c>
      <c r="B495" s="7"/>
      <c r="C495" s="225"/>
      <c r="D495" s="225"/>
      <c r="E495" s="225"/>
      <c r="F495" s="283"/>
      <c r="G495" s="225"/>
      <c r="H495" s="225"/>
      <c r="I495" s="283"/>
      <c r="J495" s="225"/>
      <c r="K495" s="225"/>
      <c r="L495" s="225"/>
      <c r="M495" s="283"/>
      <c r="N495" s="225"/>
      <c r="O495" s="225"/>
      <c r="P495" s="225"/>
      <c r="Q495" s="283"/>
      <c r="R495" s="283"/>
      <c r="S495" s="283"/>
      <c r="T495" s="225"/>
      <c r="U495" s="225"/>
      <c r="V495" s="99" t="s">
        <v>20</v>
      </c>
      <c r="W495" s="14"/>
      <c r="X495" s="14"/>
      <c r="Y495" s="14"/>
      <c r="Z495" s="257">
        <f>+SUM(START:END!Z495)</f>
        <v>0</v>
      </c>
      <c r="AA495" s="256"/>
      <c r="AB495" s="256"/>
      <c r="AC495" s="257"/>
      <c r="AD495" s="11"/>
      <c r="AE495" s="14"/>
      <c r="AF495" s="257">
        <f>+SUM(START:END!AF495)</f>
        <v>0</v>
      </c>
      <c r="AG495" s="258"/>
      <c r="AH495" s="259">
        <f t="shared" si="146"/>
        <v>0</v>
      </c>
      <c r="AI495" s="260">
        <f t="shared" si="147"/>
        <v>0</v>
      </c>
      <c r="AJ495" s="11"/>
      <c r="AK495" s="11"/>
      <c r="AL495" s="257">
        <f>+SUM(START:END!AL495)</f>
        <v>0</v>
      </c>
      <c r="AM495" s="349"/>
      <c r="AN495" s="259">
        <f t="shared" si="148"/>
        <v>0</v>
      </c>
      <c r="AO495" s="452">
        <f t="shared" si="149"/>
        <v>0</v>
      </c>
      <c r="AP495" s="225"/>
      <c r="AQ495" s="465"/>
      <c r="AR495" s="465"/>
      <c r="AS495" s="225"/>
      <c r="AT495" s="225"/>
      <c r="AU495" s="225"/>
      <c r="AV495" s="225"/>
      <c r="AW495" s="225"/>
      <c r="AX495" s="225"/>
      <c r="AY495" s="225"/>
      <c r="AZ495" s="225"/>
      <c r="BA495" s="225"/>
      <c r="BB495" s="225"/>
      <c r="BC495" s="225"/>
      <c r="BD495" s="225"/>
      <c r="BE495" s="225"/>
      <c r="BF495" s="225"/>
      <c r="BG495" s="225"/>
      <c r="BH495" s="225"/>
      <c r="BI495" s="225"/>
      <c r="BJ495" s="225"/>
    </row>
    <row r="496" spans="1:62" ht="15.75" hidden="1" customHeight="1" thickBot="1">
      <c r="A496" t="str">
        <f t="shared" si="145"/>
        <v>[...]</v>
      </c>
      <c r="B496" s="7"/>
      <c r="C496" s="225"/>
      <c r="D496" s="225"/>
      <c r="E496" s="225"/>
      <c r="F496" s="283"/>
      <c r="G496" s="225"/>
      <c r="H496" s="225"/>
      <c r="I496" s="283"/>
      <c r="J496" s="225"/>
      <c r="K496" s="225"/>
      <c r="L496" s="225"/>
      <c r="M496" s="283"/>
      <c r="N496" s="225"/>
      <c r="O496" s="225"/>
      <c r="P496" s="225"/>
      <c r="Q496" s="283"/>
      <c r="R496" s="283"/>
      <c r="S496" s="283"/>
      <c r="T496" s="225"/>
      <c r="U496" s="225"/>
      <c r="V496" s="99" t="s">
        <v>20</v>
      </c>
      <c r="W496" s="14"/>
      <c r="X496" s="225"/>
      <c r="Y496" s="14"/>
      <c r="Z496" s="257">
        <f>+SUM(START:END!Z496)</f>
        <v>0</v>
      </c>
      <c r="AA496" s="256"/>
      <c r="AB496" s="256"/>
      <c r="AC496" s="257"/>
      <c r="AD496" s="11"/>
      <c r="AE496" s="14"/>
      <c r="AF496" s="257">
        <f>+SUM(START:END!AF496)</f>
        <v>0</v>
      </c>
      <c r="AG496" s="258"/>
      <c r="AH496" s="259">
        <f t="shared" si="146"/>
        <v>0</v>
      </c>
      <c r="AI496" s="260">
        <f t="shared" si="147"/>
        <v>0</v>
      </c>
      <c r="AJ496" s="11"/>
      <c r="AK496" s="11"/>
      <c r="AL496" s="257">
        <f>+SUM(START:END!AL496)</f>
        <v>0</v>
      </c>
      <c r="AM496" s="349"/>
      <c r="AN496" s="259">
        <f t="shared" si="148"/>
        <v>0</v>
      </c>
      <c r="AO496" s="452">
        <f t="shared" si="149"/>
        <v>0</v>
      </c>
      <c r="AP496" s="225"/>
      <c r="AQ496" s="465"/>
      <c r="AR496" s="465"/>
      <c r="AS496" s="225"/>
      <c r="AT496" s="225"/>
      <c r="AU496" s="225"/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</row>
    <row r="497" spans="1:62" ht="15.75" customHeight="1" thickTop="1" thickBot="1">
      <c r="A497" t="str">
        <f t="shared" si="145"/>
        <v>Profit Net</v>
      </c>
      <c r="B497" s="7"/>
      <c r="C497" s="225"/>
      <c r="D497" s="225"/>
      <c r="E497" s="225"/>
      <c r="F497" s="283"/>
      <c r="G497" s="225"/>
      <c r="H497" s="225"/>
      <c r="I497" s="283"/>
      <c r="J497" s="225"/>
      <c r="K497" s="225"/>
      <c r="L497" s="225"/>
      <c r="M497" s="283"/>
      <c r="N497" s="225"/>
      <c r="O497" s="225"/>
      <c r="P497" s="225"/>
      <c r="Q497" s="283"/>
      <c r="R497" s="283"/>
      <c r="S497" s="283"/>
      <c r="T497" s="225"/>
      <c r="U497" s="225"/>
      <c r="V497" s="331" t="s">
        <v>192</v>
      </c>
      <c r="W497" s="332"/>
      <c r="X497" s="333" t="s">
        <v>185</v>
      </c>
      <c r="Y497" s="334">
        <f>Z497/Z405</f>
        <v>3.5213409486968147E-2</v>
      </c>
      <c r="Z497" s="335">
        <f>Z488-Z490-Z491-Z492-Z496-Z493-Z494</f>
        <v>500994.61106468231</v>
      </c>
      <c r="AA497" s="439"/>
      <c r="AB497" s="440"/>
      <c r="AC497" s="441"/>
      <c r="AD497" s="333" t="s">
        <v>185</v>
      </c>
      <c r="AE497" s="334">
        <f>AF497/AF405</f>
        <v>3.605101903340803E-2</v>
      </c>
      <c r="AF497" s="336">
        <f>AF488-AF490-AF491-AF492-AF496-AF493-AF494</f>
        <v>524217.6100000001</v>
      </c>
      <c r="AG497" s="446"/>
      <c r="AH497" s="446">
        <f t="shared" si="146"/>
        <v>23222.998935317795</v>
      </c>
      <c r="AI497" s="447">
        <f>AH497/Z497</f>
        <v>4.6353789886014414E-2</v>
      </c>
      <c r="AJ497" s="337" t="s">
        <v>185</v>
      </c>
      <c r="AK497" s="334">
        <f>IF($AL$405=0,0,AL497/$AL$405)</f>
        <v>4.7790338277196455E-2</v>
      </c>
      <c r="AL497" s="336">
        <f>AL488-AL490-AL491-AL492-AL496-AL493-AL494</f>
        <v>776331.96999999939</v>
      </c>
      <c r="AM497" s="456"/>
      <c r="AN497" s="448">
        <f t="shared" si="148"/>
        <v>-252114.35999999929</v>
      </c>
      <c r="AO497" s="463">
        <f t="shared" si="149"/>
        <v>-0.32475071199244759</v>
      </c>
      <c r="AP497" s="225"/>
      <c r="AQ497" s="465"/>
      <c r="AR497" s="465"/>
      <c r="AS497" s="225"/>
      <c r="AT497" s="225"/>
      <c r="AU497" s="225"/>
      <c r="AV497" s="225"/>
      <c r="AW497" s="225"/>
      <c r="AX497" s="225"/>
      <c r="AY497" s="225"/>
      <c r="AZ497" s="225"/>
      <c r="BA497" s="225"/>
      <c r="BB497" s="225"/>
      <c r="BC497" s="225"/>
      <c r="BD497" s="225"/>
      <c r="BE497" s="225"/>
      <c r="BF497" s="225"/>
      <c r="BG497" s="225"/>
      <c r="BH497" s="225"/>
      <c r="BI497" s="225"/>
      <c r="BJ497" s="225"/>
    </row>
    <row r="498" spans="1:62" ht="15.75" customHeight="1" thickTop="1">
      <c r="A498" t="str">
        <f t="shared" si="145"/>
        <v/>
      </c>
      <c r="B498" s="7"/>
      <c r="C498" s="225"/>
      <c r="D498" s="225"/>
      <c r="E498" s="225"/>
      <c r="F498" s="283"/>
      <c r="G498" s="225"/>
      <c r="H498" s="225"/>
      <c r="I498" s="283"/>
      <c r="J498" s="225"/>
      <c r="K498" s="225"/>
      <c r="L498" s="225"/>
      <c r="M498" s="283"/>
      <c r="N498" s="225"/>
      <c r="O498" s="225"/>
      <c r="P498" s="225"/>
      <c r="Q498" s="283"/>
      <c r="R498" s="283"/>
      <c r="S498" s="283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350"/>
      <c r="AF498" s="351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  <c r="AS498" s="225"/>
      <c r="AT498" s="225"/>
      <c r="AU498" s="225"/>
      <c r="AV498" s="225"/>
      <c r="AW498" s="225"/>
      <c r="AX498" s="225"/>
      <c r="AY498" s="225"/>
      <c r="AZ498" s="225"/>
      <c r="BA498" s="225"/>
      <c r="BB498" s="225"/>
      <c r="BC498" s="225"/>
      <c r="BD498" s="225"/>
      <c r="BE498" s="225"/>
      <c r="BF498" s="225"/>
      <c r="BG498" s="225"/>
      <c r="BH498" s="225"/>
      <c r="BI498" s="225"/>
      <c r="BJ498" s="225"/>
    </row>
    <row r="499" spans="1:62" ht="15.75" customHeight="1">
      <c r="B499" s="7"/>
      <c r="C499" s="225"/>
      <c r="D499" s="225"/>
      <c r="E499" s="225"/>
      <c r="F499" s="283"/>
      <c r="G499" s="225"/>
      <c r="H499" s="225"/>
      <c r="I499" s="283"/>
      <c r="J499" s="225"/>
      <c r="K499" s="225"/>
      <c r="L499" s="225"/>
      <c r="M499" s="283"/>
      <c r="N499" s="225"/>
      <c r="O499" s="225"/>
      <c r="P499" s="225"/>
      <c r="Q499" s="283"/>
      <c r="R499" s="283"/>
      <c r="S499" s="283"/>
      <c r="T499" s="225"/>
      <c r="U499" s="225"/>
      <c r="V499" s="225"/>
      <c r="W499" s="225"/>
      <c r="X499" s="225"/>
      <c r="Y499" s="225"/>
      <c r="Z499" s="315"/>
      <c r="AA499" s="225"/>
      <c r="AB499" s="225"/>
      <c r="AC499" s="225"/>
      <c r="AD499" s="225"/>
      <c r="AE499" s="225"/>
      <c r="AF499" s="315"/>
      <c r="AG499" s="225"/>
      <c r="AH499" s="315"/>
      <c r="AI499" s="225"/>
      <c r="AJ499" s="225"/>
      <c r="AK499" s="225"/>
      <c r="AL499" s="315"/>
      <c r="AM499" s="225"/>
      <c r="AN499" s="315"/>
      <c r="AO499" s="225"/>
      <c r="AP499" s="225"/>
      <c r="AQ499" s="225"/>
      <c r="AR499" s="225"/>
      <c r="AS499" s="225"/>
      <c r="AT499" s="225"/>
      <c r="AU499" s="225"/>
      <c r="AV499" s="225"/>
      <c r="AW499" s="225"/>
      <c r="AX499" s="225"/>
      <c r="AY499" s="225"/>
      <c r="AZ499" s="225"/>
      <c r="BA499" s="225"/>
      <c r="BB499" s="225"/>
      <c r="BC499" s="225"/>
      <c r="BD499" s="225"/>
      <c r="BE499" s="225"/>
      <c r="BF499" s="225"/>
      <c r="BG499" s="225"/>
      <c r="BH499" s="225"/>
      <c r="BI499" s="225"/>
      <c r="BJ499" s="225"/>
    </row>
    <row r="500" spans="1:62" ht="15.75" customHeight="1">
      <c r="B500" s="7"/>
      <c r="C500" s="225"/>
      <c r="D500" s="225"/>
      <c r="E500" s="225"/>
      <c r="F500" s="283"/>
      <c r="G500" s="225"/>
      <c r="H500" s="225"/>
      <c r="I500" s="283"/>
      <c r="J500" s="225"/>
      <c r="K500" s="225"/>
      <c r="L500" s="225"/>
      <c r="M500" s="283"/>
      <c r="N500" s="225"/>
      <c r="O500" s="225"/>
      <c r="P500" s="225"/>
      <c r="Q500" s="283"/>
      <c r="R500" s="283"/>
      <c r="S500" s="283"/>
      <c r="T500" s="302"/>
      <c r="U500" s="302"/>
      <c r="V500" s="225"/>
      <c r="W500" s="225"/>
      <c r="X500" s="225"/>
      <c r="Y500" s="225"/>
      <c r="Z500" s="315"/>
      <c r="AA500" s="225"/>
      <c r="AB500" s="225"/>
      <c r="AC500" s="225"/>
      <c r="AD500" s="225"/>
      <c r="AE500" s="225"/>
      <c r="AF500" s="315"/>
      <c r="AG500" s="225"/>
      <c r="AH500" s="315"/>
      <c r="AI500" s="225"/>
      <c r="AJ500" s="225"/>
      <c r="AK500" s="225"/>
      <c r="AL500" s="315"/>
      <c r="AM500" s="225"/>
      <c r="AN500" s="315"/>
      <c r="AO500" s="225"/>
      <c r="AP500" s="225"/>
      <c r="AQ500" s="225"/>
      <c r="AR500" s="225"/>
      <c r="AS500" s="225"/>
      <c r="AT500" s="225"/>
      <c r="AU500" s="225"/>
      <c r="AV500" s="225"/>
      <c r="AW500" s="225"/>
      <c r="AX500" s="225"/>
      <c r="AY500" s="225"/>
      <c r="AZ500" s="225"/>
      <c r="BA500" s="225"/>
      <c r="BB500" s="225"/>
      <c r="BC500" s="225"/>
      <c r="BD500" s="225"/>
      <c r="BE500" s="225"/>
      <c r="BF500" s="225"/>
      <c r="BG500" s="225"/>
      <c r="BH500" s="225"/>
      <c r="BI500" s="225"/>
      <c r="BJ500" s="225"/>
    </row>
    <row r="501" spans="1:62" ht="15.75" customHeight="1">
      <c r="B501" s="7"/>
      <c r="C501" s="225"/>
      <c r="D501" s="225"/>
      <c r="E501" s="225"/>
      <c r="F501" s="283"/>
      <c r="G501" s="225"/>
      <c r="H501" s="225"/>
      <c r="I501" s="283"/>
      <c r="J501" s="225"/>
      <c r="K501" s="225"/>
      <c r="L501" s="225"/>
      <c r="M501" s="283"/>
      <c r="N501" s="225"/>
      <c r="O501" s="225"/>
      <c r="P501" s="225"/>
      <c r="Q501" s="283"/>
      <c r="R501" s="283"/>
      <c r="S501" s="283"/>
      <c r="T501" s="302"/>
      <c r="U501" s="302"/>
      <c r="V501" s="225"/>
      <c r="W501" s="225"/>
      <c r="X501" s="225"/>
      <c r="Y501" s="225"/>
      <c r="Z501" s="315"/>
      <c r="AA501" s="225"/>
      <c r="AB501" s="225"/>
      <c r="AC501" s="225"/>
      <c r="AD501" s="225"/>
      <c r="AE501" s="225"/>
      <c r="AF501" s="315"/>
      <c r="AG501" s="225"/>
      <c r="AH501" s="315"/>
      <c r="AI501" s="225"/>
      <c r="AJ501" s="225"/>
      <c r="AK501" s="225"/>
      <c r="AL501" s="315"/>
      <c r="AM501" s="225"/>
      <c r="AN501" s="315"/>
      <c r="AO501" s="225"/>
      <c r="AP501" s="225"/>
      <c r="AQ501" s="225"/>
      <c r="AR501" s="225"/>
      <c r="AS501" s="225"/>
      <c r="AT501" s="225"/>
      <c r="AU501" s="225"/>
      <c r="AV501" s="225"/>
      <c r="AW501" s="225"/>
      <c r="AX501" s="225"/>
      <c r="AY501" s="225"/>
      <c r="AZ501" s="225"/>
      <c r="BA501" s="225"/>
      <c r="BB501" s="225"/>
      <c r="BC501" s="225"/>
      <c r="BD501" s="225"/>
      <c r="BE501" s="225"/>
      <c r="BF501" s="225"/>
      <c r="BG501" s="225"/>
      <c r="BH501" s="225"/>
      <c r="BI501" s="225"/>
      <c r="BJ501" s="225"/>
    </row>
    <row r="502" spans="1:62" ht="15.75" customHeight="1">
      <c r="B502" s="7"/>
      <c r="C502" s="225"/>
      <c r="D502" s="225"/>
      <c r="E502" s="225"/>
      <c r="F502" s="283"/>
      <c r="G502" s="225"/>
      <c r="H502" s="225"/>
      <c r="I502" s="283"/>
      <c r="J502" s="225"/>
      <c r="K502" s="225"/>
      <c r="L502" s="225"/>
      <c r="M502" s="283"/>
      <c r="N502" s="225"/>
      <c r="O502" s="225"/>
      <c r="P502" s="225"/>
      <c r="Q502" s="283"/>
      <c r="R502" s="283"/>
      <c r="S502" s="283"/>
      <c r="T502" s="302"/>
      <c r="U502" s="302"/>
      <c r="V502" s="225"/>
      <c r="W502" s="225"/>
      <c r="X502" s="225"/>
      <c r="Y502" s="225"/>
      <c r="Z502" s="283"/>
      <c r="AA502" s="225"/>
      <c r="AB502" s="225"/>
      <c r="AC502" s="225"/>
      <c r="AD502" s="225"/>
      <c r="AE502" s="225"/>
      <c r="AF502" s="283"/>
      <c r="AG502" s="225"/>
      <c r="AH502" s="283"/>
      <c r="AI502" s="225"/>
      <c r="AJ502" s="225"/>
      <c r="AK502" s="225"/>
      <c r="AL502" s="283"/>
      <c r="AM502" s="225"/>
      <c r="AN502" s="283"/>
      <c r="AO502" s="225"/>
      <c r="AP502" s="225"/>
      <c r="AQ502" s="225"/>
      <c r="AR502" s="225"/>
      <c r="AS502" s="225"/>
      <c r="AT502" s="225"/>
      <c r="AU502" s="225"/>
      <c r="AV502" s="225"/>
      <c r="AW502" s="225"/>
      <c r="AX502" s="225"/>
      <c r="AY502" s="225"/>
      <c r="AZ502" s="225"/>
      <c r="BA502" s="225"/>
      <c r="BB502" s="225"/>
      <c r="BC502" s="225"/>
      <c r="BD502" s="225"/>
      <c r="BE502" s="225"/>
      <c r="BF502" s="225"/>
      <c r="BG502" s="225"/>
      <c r="BH502" s="225"/>
      <c r="BI502" s="225"/>
      <c r="BJ502" s="225"/>
    </row>
    <row r="503" spans="1:62" ht="15.75" customHeight="1">
      <c r="B503" s="7"/>
      <c r="C503" s="225"/>
      <c r="D503" s="225"/>
      <c r="E503" s="225"/>
      <c r="F503" s="283"/>
      <c r="G503" s="225"/>
      <c r="H503" s="225"/>
      <c r="I503" s="283"/>
      <c r="J503" s="225"/>
      <c r="K503" s="225"/>
      <c r="L503" s="225"/>
      <c r="M503" s="283"/>
      <c r="N503" s="225"/>
      <c r="O503" s="225"/>
      <c r="P503" s="225"/>
      <c r="Q503" s="283"/>
      <c r="R503" s="283"/>
      <c r="S503" s="283"/>
      <c r="T503" s="302"/>
      <c r="U503" s="302"/>
      <c r="V503" s="225"/>
      <c r="W503" s="225"/>
      <c r="X503" s="225"/>
      <c r="Y503" s="225"/>
      <c r="Z503" s="283"/>
      <c r="AA503" s="225"/>
      <c r="AB503" s="225"/>
      <c r="AC503" s="225"/>
      <c r="AD503" s="225"/>
      <c r="AE503" s="225"/>
      <c r="AF503" s="283"/>
      <c r="AG503" s="225"/>
      <c r="AH503" s="283"/>
      <c r="AI503" s="225"/>
      <c r="AJ503" s="225"/>
      <c r="AK503" s="225"/>
      <c r="AL503" s="283"/>
      <c r="AM503" s="225"/>
      <c r="AN503" s="283"/>
      <c r="AO503" s="225"/>
      <c r="AP503" s="225"/>
      <c r="AQ503" s="225"/>
      <c r="AR503" s="225"/>
      <c r="AS503" s="225"/>
      <c r="AT503" s="225"/>
      <c r="AU503" s="225"/>
      <c r="AV503" s="225"/>
      <c r="AW503" s="225"/>
      <c r="AX503" s="225"/>
      <c r="AY503" s="225"/>
      <c r="AZ503" s="225"/>
      <c r="BA503" s="225"/>
      <c r="BB503" s="225"/>
      <c r="BC503" s="225"/>
      <c r="BD503" s="225"/>
      <c r="BE503" s="225"/>
      <c r="BF503" s="225"/>
      <c r="BG503" s="225"/>
      <c r="BH503" s="225"/>
      <c r="BI503" s="225"/>
      <c r="BJ503" s="225"/>
    </row>
    <row r="504" spans="1:62" ht="15.75" customHeight="1">
      <c r="B504" s="7"/>
      <c r="C504" s="225"/>
      <c r="D504" s="225"/>
      <c r="E504" s="225"/>
      <c r="F504" s="283"/>
      <c r="G504" s="225"/>
      <c r="H504" s="225"/>
      <c r="I504" s="283"/>
      <c r="J504" s="225"/>
      <c r="K504" s="225"/>
      <c r="L504" s="225"/>
      <c r="M504" s="283"/>
      <c r="N504" s="225"/>
      <c r="O504" s="225"/>
      <c r="P504" s="225"/>
      <c r="Q504" s="283"/>
      <c r="R504" s="283"/>
      <c r="S504" s="283"/>
      <c r="T504" s="302"/>
      <c r="U504" s="302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  <c r="AS504" s="225"/>
      <c r="AT504" s="225"/>
      <c r="AU504" s="225"/>
      <c r="AV504" s="225"/>
      <c r="AW504" s="225"/>
      <c r="AX504" s="225"/>
      <c r="AY504" s="225"/>
      <c r="AZ504" s="225"/>
      <c r="BA504" s="225"/>
      <c r="BB504" s="225"/>
      <c r="BC504" s="225"/>
      <c r="BD504" s="225"/>
      <c r="BE504" s="225"/>
      <c r="BF504" s="225"/>
      <c r="BG504" s="225"/>
      <c r="BH504" s="225"/>
      <c r="BI504" s="225"/>
      <c r="BJ504" s="225"/>
    </row>
    <row r="505" spans="1:62" ht="15.75" customHeight="1">
      <c r="B505" s="7"/>
      <c r="C505" s="225"/>
      <c r="D505" s="225"/>
      <c r="E505" s="225"/>
      <c r="F505" s="283"/>
      <c r="G505" s="225"/>
      <c r="H505" s="225"/>
      <c r="I505" s="283"/>
      <c r="J505" s="225"/>
      <c r="K505" s="225"/>
      <c r="L505" s="225"/>
      <c r="M505" s="283"/>
      <c r="N505" s="225"/>
      <c r="O505" s="225"/>
      <c r="P505" s="225"/>
      <c r="Q505" s="283"/>
      <c r="R505" s="283"/>
      <c r="S505" s="283"/>
      <c r="T505" s="302"/>
      <c r="U505" s="302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83"/>
      <c r="AG505" s="225"/>
      <c r="AH505" s="225"/>
      <c r="AI505" s="225"/>
      <c r="AJ505" s="225"/>
      <c r="AK505" s="225"/>
      <c r="AL505" s="283"/>
      <c r="AM505" s="225"/>
      <c r="AN505" s="225"/>
      <c r="AO505" s="225"/>
      <c r="AP505" s="225"/>
      <c r="AQ505" s="225"/>
      <c r="AR505" s="225"/>
      <c r="AS505" s="225"/>
      <c r="AT505" s="225"/>
      <c r="AU505" s="225"/>
      <c r="AV505" s="225"/>
      <c r="AW505" s="225"/>
      <c r="AX505" s="225"/>
      <c r="AY505" s="225"/>
      <c r="AZ505" s="225"/>
      <c r="BA505" s="225"/>
      <c r="BB505" s="225"/>
      <c r="BC505" s="225"/>
      <c r="BD505" s="225"/>
      <c r="BE505" s="225"/>
      <c r="BF505" s="225"/>
      <c r="BG505" s="225"/>
      <c r="BH505" s="225"/>
      <c r="BI505" s="225"/>
      <c r="BJ505" s="225"/>
    </row>
    <row r="506" spans="1:62" ht="15.75" customHeight="1">
      <c r="B506" s="7"/>
      <c r="C506" s="225"/>
      <c r="D506" s="225"/>
      <c r="E506" s="225"/>
      <c r="F506" s="283"/>
      <c r="G506" s="225"/>
      <c r="H506" s="225"/>
      <c r="I506" s="283"/>
      <c r="J506" s="225"/>
      <c r="K506" s="225"/>
      <c r="L506" s="225"/>
      <c r="M506" s="283"/>
      <c r="N506" s="225"/>
      <c r="O506" s="225"/>
      <c r="P506" s="225"/>
      <c r="Q506" s="283"/>
      <c r="R506" s="283"/>
      <c r="S506" s="283"/>
      <c r="T506" s="302"/>
      <c r="U506" s="302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  <c r="AS506" s="225"/>
      <c r="AT506" s="225"/>
      <c r="AU506" s="225"/>
      <c r="AV506" s="225"/>
      <c r="AW506" s="225"/>
      <c r="AX506" s="225"/>
      <c r="AY506" s="225"/>
      <c r="AZ506" s="225"/>
      <c r="BA506" s="225"/>
      <c r="BB506" s="225"/>
      <c r="BC506" s="225"/>
      <c r="BD506" s="225"/>
      <c r="BE506" s="225"/>
      <c r="BF506" s="225"/>
      <c r="BG506" s="225"/>
      <c r="BH506" s="225"/>
      <c r="BI506" s="225"/>
      <c r="BJ506" s="225"/>
    </row>
    <row r="507" spans="1:62" ht="15.75" customHeight="1">
      <c r="B507" s="7"/>
      <c r="C507" s="225"/>
      <c r="D507" s="225"/>
      <c r="E507" s="225"/>
      <c r="F507" s="283"/>
      <c r="G507" s="225"/>
      <c r="H507" s="225"/>
      <c r="I507" s="283"/>
      <c r="J507" s="225"/>
      <c r="K507" s="225"/>
      <c r="L507" s="225"/>
      <c r="M507" s="283"/>
      <c r="N507" s="225"/>
      <c r="O507" s="225"/>
      <c r="P507" s="225"/>
      <c r="Q507" s="283"/>
      <c r="R507" s="283"/>
      <c r="S507" s="283"/>
      <c r="T507" s="302"/>
      <c r="U507" s="302"/>
      <c r="V507" s="225"/>
      <c r="W507" s="302"/>
      <c r="X507" s="302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  <c r="AS507" s="225"/>
      <c r="AT507" s="225"/>
      <c r="AU507" s="225"/>
      <c r="AV507" s="225"/>
      <c r="AW507" s="225"/>
      <c r="AX507" s="225"/>
      <c r="AY507" s="225"/>
      <c r="AZ507" s="225"/>
      <c r="BA507" s="225"/>
      <c r="BB507" s="225"/>
      <c r="BC507" s="225"/>
      <c r="BD507" s="225"/>
      <c r="BE507" s="225"/>
      <c r="BF507" s="225"/>
      <c r="BG507" s="225"/>
      <c r="BH507" s="225"/>
      <c r="BI507" s="225"/>
      <c r="BJ507" s="225"/>
    </row>
    <row r="508" spans="1:62" ht="15.75" customHeight="1">
      <c r="B508" s="7"/>
      <c r="C508" s="225"/>
      <c r="D508" s="225"/>
      <c r="E508" s="225"/>
      <c r="F508" s="283"/>
      <c r="G508" s="225"/>
      <c r="H508" s="225"/>
      <c r="I508" s="283"/>
      <c r="J508" s="225"/>
      <c r="K508" s="225"/>
      <c r="L508" s="225"/>
      <c r="M508" s="283"/>
      <c r="N508" s="225"/>
      <c r="O508" s="225"/>
      <c r="P508" s="225"/>
      <c r="Q508" s="283"/>
      <c r="R508" s="283"/>
      <c r="S508" s="283"/>
      <c r="T508" s="302"/>
      <c r="U508" s="302"/>
      <c r="V508" s="225"/>
      <c r="W508" s="302"/>
      <c r="X508" s="302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  <c r="AS508" s="225"/>
      <c r="AT508" s="225"/>
      <c r="AU508" s="225"/>
      <c r="AV508" s="225"/>
      <c r="AW508" s="225"/>
      <c r="AX508" s="225"/>
      <c r="AY508" s="225"/>
      <c r="AZ508" s="225"/>
      <c r="BA508" s="225"/>
      <c r="BB508" s="225"/>
      <c r="BC508" s="225"/>
      <c r="BD508" s="225"/>
      <c r="BE508" s="225"/>
      <c r="BF508" s="225"/>
      <c r="BG508" s="225"/>
      <c r="BH508" s="225"/>
      <c r="BI508" s="225"/>
      <c r="BJ508" s="225"/>
    </row>
    <row r="509" spans="1:62" ht="15.75" customHeight="1">
      <c r="B509" s="7"/>
      <c r="C509" s="225"/>
      <c r="D509" s="225"/>
      <c r="E509" s="225"/>
      <c r="F509" s="283"/>
      <c r="G509" s="225"/>
      <c r="H509" s="225"/>
      <c r="I509" s="283"/>
      <c r="J509" s="225"/>
      <c r="K509" s="225"/>
      <c r="L509" s="225"/>
      <c r="M509" s="283"/>
      <c r="N509" s="225"/>
      <c r="O509" s="225"/>
      <c r="P509" s="225"/>
      <c r="Q509" s="283"/>
      <c r="R509" s="283"/>
      <c r="S509" s="283"/>
      <c r="T509" s="302"/>
      <c r="U509" s="302"/>
      <c r="V509" s="225"/>
      <c r="W509" s="302"/>
      <c r="X509" s="302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  <c r="AS509" s="225"/>
      <c r="AT509" s="225"/>
      <c r="AU509" s="225"/>
      <c r="AV509" s="225"/>
      <c r="AW509" s="225"/>
      <c r="AX509" s="225"/>
      <c r="AY509" s="225"/>
      <c r="AZ509" s="225"/>
      <c r="BA509" s="225"/>
      <c r="BB509" s="225"/>
      <c r="BC509" s="225"/>
      <c r="BD509" s="225"/>
      <c r="BE509" s="225"/>
      <c r="BF509" s="225"/>
      <c r="BG509" s="225"/>
      <c r="BH509" s="225"/>
      <c r="BI509" s="225"/>
      <c r="BJ509" s="225"/>
    </row>
    <row r="510" spans="1:62" ht="15.75" customHeight="1">
      <c r="B510" s="7"/>
      <c r="C510" s="225"/>
      <c r="D510" s="225"/>
      <c r="E510" s="225"/>
      <c r="F510" s="283"/>
      <c r="G510" s="225"/>
      <c r="H510" s="225"/>
      <c r="I510" s="283"/>
      <c r="J510" s="225"/>
      <c r="K510" s="225"/>
      <c r="L510" s="225"/>
      <c r="M510" s="283"/>
      <c r="N510" s="225"/>
      <c r="O510" s="225"/>
      <c r="P510" s="225"/>
      <c r="Q510" s="283"/>
      <c r="R510" s="283"/>
      <c r="S510" s="283"/>
      <c r="T510" s="302"/>
      <c r="U510" s="302"/>
      <c r="V510" s="225"/>
      <c r="W510" s="302"/>
      <c r="X510" s="302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  <c r="AS510" s="225"/>
      <c r="AT510" s="225"/>
      <c r="AU510" s="225"/>
      <c r="AV510" s="225"/>
      <c r="AW510" s="225"/>
      <c r="AX510" s="225"/>
      <c r="AY510" s="225"/>
      <c r="AZ510" s="225"/>
      <c r="BA510" s="225"/>
      <c r="BB510" s="225"/>
      <c r="BC510" s="225"/>
      <c r="BD510" s="225"/>
      <c r="BE510" s="225"/>
      <c r="BF510" s="225"/>
      <c r="BG510" s="225"/>
      <c r="BH510" s="225"/>
      <c r="BI510" s="225"/>
      <c r="BJ510" s="225"/>
    </row>
    <row r="511" spans="1:62" ht="15.75" customHeight="1">
      <c r="B511" s="7"/>
      <c r="C511" s="225"/>
      <c r="D511" s="225"/>
      <c r="E511" s="225"/>
      <c r="F511" s="283"/>
      <c r="G511" s="225"/>
      <c r="H511" s="225"/>
      <c r="I511" s="283"/>
      <c r="J511" s="225"/>
      <c r="K511" s="225"/>
      <c r="L511" s="225"/>
      <c r="M511" s="283"/>
      <c r="N511" s="225"/>
      <c r="O511" s="225"/>
      <c r="P511" s="225"/>
      <c r="Q511" s="283"/>
      <c r="R511" s="283"/>
      <c r="S511" s="283"/>
      <c r="T511" s="302"/>
      <c r="U511" s="302"/>
      <c r="V511" s="225"/>
      <c r="W511" s="302"/>
      <c r="X511" s="302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  <c r="AS511" s="225"/>
      <c r="AT511" s="225"/>
      <c r="AU511" s="225"/>
      <c r="AV511" s="225"/>
      <c r="AW511" s="225"/>
      <c r="AX511" s="225"/>
      <c r="AY511" s="225"/>
      <c r="AZ511" s="225"/>
      <c r="BA511" s="225"/>
      <c r="BB511" s="225"/>
      <c r="BC511" s="225"/>
      <c r="BD511" s="225"/>
      <c r="BE511" s="225"/>
      <c r="BF511" s="225"/>
      <c r="BG511" s="225"/>
      <c r="BH511" s="225"/>
      <c r="BI511" s="225"/>
      <c r="BJ511" s="225"/>
    </row>
    <row r="512" spans="1:62" ht="15.75" customHeight="1">
      <c r="B512" s="7"/>
      <c r="C512" s="225"/>
      <c r="D512" s="225"/>
      <c r="E512" s="225"/>
      <c r="F512" s="283"/>
      <c r="G512" s="225"/>
      <c r="H512" s="225"/>
      <c r="I512" s="283"/>
      <c r="J512" s="225"/>
      <c r="K512" s="225"/>
      <c r="L512" s="225"/>
      <c r="M512" s="283"/>
      <c r="N512" s="225"/>
      <c r="O512" s="225"/>
      <c r="P512" s="225"/>
      <c r="Q512" s="283"/>
      <c r="R512" s="283"/>
      <c r="S512" s="283"/>
      <c r="T512" s="302"/>
      <c r="U512" s="302"/>
      <c r="V512" s="302"/>
      <c r="W512" s="302"/>
      <c r="X512" s="302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  <c r="AS512" s="225"/>
      <c r="AT512" s="225"/>
      <c r="AU512" s="225"/>
      <c r="AV512" s="225"/>
      <c r="AW512" s="225"/>
      <c r="AX512" s="225"/>
      <c r="AY512" s="225"/>
      <c r="AZ512" s="225"/>
      <c r="BA512" s="225"/>
      <c r="BB512" s="225"/>
      <c r="BC512" s="225"/>
      <c r="BD512" s="225"/>
      <c r="BE512" s="225"/>
      <c r="BF512" s="225"/>
      <c r="BG512" s="225"/>
      <c r="BH512" s="225"/>
      <c r="BI512" s="225"/>
      <c r="BJ512" s="225"/>
    </row>
    <row r="513" spans="2:62" ht="15.75" customHeight="1">
      <c r="B513" s="7"/>
      <c r="C513" s="352"/>
      <c r="D513" s="302"/>
      <c r="E513" s="302"/>
      <c r="F513" s="353"/>
      <c r="G513" s="302"/>
      <c r="H513" s="302"/>
      <c r="I513" s="353"/>
      <c r="J513" s="302"/>
      <c r="K513" s="302"/>
      <c r="L513" s="302"/>
      <c r="M513" s="353"/>
      <c r="N513" s="302"/>
      <c r="O513" s="302"/>
      <c r="P513" s="302"/>
      <c r="Q513" s="353"/>
      <c r="R513" s="353"/>
      <c r="S513" s="353"/>
      <c r="T513" s="302"/>
      <c r="U513" s="302"/>
      <c r="V513" s="302"/>
      <c r="W513" s="302"/>
      <c r="X513" s="302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  <c r="AS513" s="225"/>
      <c r="AT513" s="225"/>
      <c r="AU513" s="225"/>
      <c r="AV513" s="225"/>
      <c r="AW513" s="225"/>
      <c r="AX513" s="225"/>
      <c r="AY513" s="225"/>
      <c r="AZ513" s="225"/>
      <c r="BA513" s="225"/>
      <c r="BB513" s="225"/>
      <c r="BC513" s="225"/>
      <c r="BD513" s="225"/>
      <c r="BE513" s="225"/>
      <c r="BF513" s="225"/>
      <c r="BG513" s="225"/>
      <c r="BH513" s="225"/>
      <c r="BI513" s="225"/>
      <c r="BJ513" s="225"/>
    </row>
    <row r="514" spans="2:62" ht="15.75" customHeight="1">
      <c r="B514" s="7"/>
      <c r="C514" s="354"/>
      <c r="D514" s="302"/>
      <c r="E514" s="302"/>
      <c r="F514" s="353"/>
      <c r="G514" s="302"/>
      <c r="H514" s="302"/>
      <c r="I514" s="353"/>
      <c r="J514" s="302"/>
      <c r="K514" s="302"/>
      <c r="L514" s="302"/>
      <c r="M514" s="353"/>
      <c r="N514" s="302"/>
      <c r="O514" s="302"/>
      <c r="P514" s="302"/>
      <c r="Q514" s="353"/>
      <c r="R514" s="353"/>
      <c r="S514" s="353"/>
      <c r="T514" s="302"/>
      <c r="U514" s="302"/>
      <c r="V514" s="302"/>
      <c r="W514" s="302"/>
      <c r="X514" s="302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  <c r="AS514" s="225"/>
      <c r="AT514" s="225"/>
      <c r="AU514" s="225"/>
      <c r="AV514" s="225"/>
      <c r="AW514" s="225"/>
      <c r="AX514" s="225"/>
      <c r="AY514" s="225"/>
      <c r="AZ514" s="225"/>
      <c r="BA514" s="225"/>
      <c r="BB514" s="225"/>
      <c r="BC514" s="225"/>
      <c r="BD514" s="225"/>
      <c r="BE514" s="225"/>
      <c r="BF514" s="225"/>
      <c r="BG514" s="225"/>
      <c r="BH514" s="225"/>
      <c r="BI514" s="225"/>
      <c r="BJ514" s="225"/>
    </row>
    <row r="515" spans="2:62" ht="15.75" customHeight="1">
      <c r="B515" s="7"/>
      <c r="C515" s="302"/>
      <c r="D515" s="302"/>
      <c r="E515" s="302"/>
      <c r="F515" s="353"/>
      <c r="G515" s="302"/>
      <c r="H515" s="302"/>
      <c r="I515" s="353"/>
      <c r="J515" s="302"/>
      <c r="K515" s="302"/>
      <c r="L515" s="302"/>
      <c r="M515" s="353"/>
      <c r="N515" s="302"/>
      <c r="O515" s="302"/>
      <c r="P515" s="302"/>
      <c r="Q515" s="353"/>
      <c r="R515" s="353"/>
      <c r="S515" s="353"/>
      <c r="T515" s="302"/>
      <c r="U515" s="302"/>
      <c r="V515" s="302"/>
      <c r="W515" s="302"/>
      <c r="X515" s="302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  <c r="AS515" s="225"/>
      <c r="AT515" s="225"/>
      <c r="AU515" s="225"/>
      <c r="AV515" s="225"/>
      <c r="AW515" s="225"/>
      <c r="AX515" s="225"/>
      <c r="AY515" s="225"/>
      <c r="AZ515" s="225"/>
      <c r="BA515" s="225"/>
      <c r="BB515" s="225"/>
      <c r="BC515" s="225"/>
      <c r="BD515" s="225"/>
      <c r="BE515" s="225"/>
      <c r="BF515" s="225"/>
      <c r="BG515" s="225"/>
      <c r="BH515" s="225"/>
      <c r="BI515" s="225"/>
      <c r="BJ515" s="225"/>
    </row>
    <row r="516" spans="2:62" ht="15.75" customHeight="1">
      <c r="B516" s="7"/>
      <c r="C516" s="302"/>
      <c r="D516" s="302"/>
      <c r="E516" s="302"/>
      <c r="F516" s="302"/>
      <c r="G516" s="302"/>
      <c r="H516" s="302"/>
      <c r="I516" s="302"/>
      <c r="J516" s="352"/>
      <c r="K516" s="352"/>
      <c r="L516" s="352"/>
      <c r="M516" s="353"/>
      <c r="N516" s="302"/>
      <c r="O516" s="302"/>
      <c r="P516" s="302"/>
      <c r="Q516" s="302"/>
      <c r="R516" s="302"/>
      <c r="S516" s="353"/>
      <c r="T516" s="302"/>
      <c r="U516" s="302"/>
      <c r="V516" s="302"/>
      <c r="W516" s="302"/>
      <c r="X516" s="302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  <c r="AS516" s="225"/>
      <c r="AT516" s="225"/>
      <c r="AU516" s="225"/>
      <c r="AV516" s="225"/>
      <c r="AW516" s="225"/>
      <c r="AX516" s="225"/>
      <c r="AY516" s="225"/>
      <c r="AZ516" s="225"/>
      <c r="BA516" s="225"/>
      <c r="BB516" s="225"/>
      <c r="BC516" s="225"/>
      <c r="BD516" s="225"/>
      <c r="BE516" s="225"/>
      <c r="BF516" s="225"/>
      <c r="BG516" s="225"/>
      <c r="BH516" s="225"/>
      <c r="BI516" s="225"/>
      <c r="BJ516" s="225"/>
    </row>
    <row r="517" spans="2:62" ht="15.75" customHeight="1">
      <c r="B517" s="7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53"/>
      <c r="N517" s="302"/>
      <c r="O517" s="302"/>
      <c r="P517" s="302"/>
      <c r="Q517" s="302"/>
      <c r="R517" s="302"/>
      <c r="S517" s="353"/>
      <c r="T517" s="302"/>
      <c r="U517" s="302"/>
      <c r="V517" s="302"/>
      <c r="W517" s="302"/>
      <c r="X517" s="302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  <c r="AS517" s="225"/>
      <c r="AT517" s="225"/>
      <c r="AU517" s="225"/>
      <c r="AV517" s="225"/>
      <c r="AW517" s="225"/>
      <c r="AX517" s="225"/>
      <c r="AY517" s="225"/>
      <c r="AZ517" s="225"/>
      <c r="BA517" s="225"/>
      <c r="BB517" s="225"/>
      <c r="BC517" s="225"/>
      <c r="BD517" s="225"/>
      <c r="BE517" s="225"/>
      <c r="BF517" s="225"/>
      <c r="BG517" s="225"/>
      <c r="BH517" s="225"/>
      <c r="BI517" s="225"/>
      <c r="BJ517" s="225"/>
    </row>
    <row r="518" spans="2:62" ht="15.75" customHeight="1">
      <c r="B518" s="7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53"/>
      <c r="N518" s="302"/>
      <c r="O518" s="302"/>
      <c r="P518" s="302"/>
      <c r="Q518" s="302"/>
      <c r="R518" s="302"/>
      <c r="S518" s="353"/>
      <c r="T518" s="302"/>
      <c r="U518" s="302"/>
      <c r="V518" s="302"/>
      <c r="W518" s="302"/>
      <c r="X518" s="302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  <c r="AS518" s="225"/>
      <c r="AT518" s="225"/>
      <c r="AU518" s="225"/>
      <c r="AV518" s="225"/>
      <c r="AW518" s="225"/>
      <c r="AX518" s="225"/>
      <c r="AY518" s="225"/>
      <c r="AZ518" s="225"/>
      <c r="BA518" s="225"/>
      <c r="BB518" s="225"/>
      <c r="BC518" s="225"/>
      <c r="BD518" s="225"/>
      <c r="BE518" s="225"/>
      <c r="BF518" s="225"/>
      <c r="BG518" s="225"/>
      <c r="BH518" s="225"/>
      <c r="BI518" s="225"/>
      <c r="BJ518" s="225"/>
    </row>
    <row r="519" spans="2:62" ht="15.75" customHeight="1">
      <c r="B519" s="7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53"/>
      <c r="N519" s="302"/>
      <c r="O519" s="302"/>
      <c r="P519" s="302"/>
      <c r="Q519" s="302"/>
      <c r="R519" s="302"/>
      <c r="S519" s="353"/>
      <c r="T519" s="302"/>
      <c r="U519" s="302"/>
      <c r="V519" s="302"/>
      <c r="W519" s="302"/>
      <c r="X519" s="302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  <c r="AS519" s="225"/>
      <c r="AT519" s="225"/>
      <c r="AU519" s="225"/>
      <c r="AV519" s="225"/>
      <c r="AW519" s="225"/>
      <c r="AX519" s="225"/>
      <c r="AY519" s="225"/>
      <c r="AZ519" s="225"/>
      <c r="BA519" s="225"/>
      <c r="BB519" s="225"/>
      <c r="BC519" s="225"/>
      <c r="BD519" s="225"/>
      <c r="BE519" s="225"/>
      <c r="BF519" s="225"/>
      <c r="BG519" s="225"/>
      <c r="BH519" s="225"/>
      <c r="BI519" s="225"/>
      <c r="BJ519" s="225"/>
    </row>
    <row r="520" spans="2:62" ht="15.75" customHeight="1">
      <c r="B520" s="7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53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  <c r="AS520" s="225"/>
      <c r="AT520" s="225"/>
      <c r="AU520" s="225"/>
      <c r="AV520" s="225"/>
      <c r="AW520" s="225"/>
      <c r="AX520" s="225"/>
      <c r="AY520" s="225"/>
      <c r="AZ520" s="225"/>
      <c r="BA520" s="225"/>
      <c r="BB520" s="225"/>
      <c r="BC520" s="225"/>
      <c r="BD520" s="225"/>
      <c r="BE520" s="225"/>
      <c r="BF520" s="225"/>
      <c r="BG520" s="225"/>
      <c r="BH520" s="225"/>
      <c r="BI520" s="225"/>
      <c r="BJ520" s="225"/>
    </row>
    <row r="521" spans="2:62" ht="15.75" customHeight="1">
      <c r="B521" s="7"/>
      <c r="C521" s="302"/>
      <c r="D521" s="302"/>
      <c r="E521" s="302"/>
      <c r="F521" s="302"/>
      <c r="G521" s="302"/>
      <c r="H521" s="302"/>
      <c r="I521" s="302"/>
      <c r="J521" s="352"/>
      <c r="K521" s="352"/>
      <c r="L521" s="352"/>
      <c r="M521" s="355"/>
      <c r="N521" s="352"/>
      <c r="O521" s="352"/>
      <c r="P521" s="352"/>
      <c r="Q521" s="302"/>
      <c r="R521" s="302"/>
      <c r="S521" s="352"/>
      <c r="T521" s="302"/>
      <c r="U521" s="302"/>
      <c r="V521" s="302"/>
      <c r="W521" s="302"/>
      <c r="X521" s="302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  <c r="AS521" s="225"/>
      <c r="AT521" s="225"/>
      <c r="AU521" s="225"/>
      <c r="AV521" s="225"/>
      <c r="AW521" s="225"/>
      <c r="AX521" s="225"/>
      <c r="AY521" s="225"/>
      <c r="AZ521" s="225"/>
      <c r="BA521" s="225"/>
      <c r="BB521" s="225"/>
      <c r="BC521" s="225"/>
      <c r="BD521" s="225"/>
      <c r="BE521" s="225"/>
      <c r="BF521" s="225"/>
      <c r="BG521" s="225"/>
      <c r="BH521" s="225"/>
      <c r="BI521" s="225"/>
      <c r="BJ521" s="225"/>
    </row>
    <row r="522" spans="2:62" ht="15.75" customHeight="1">
      <c r="B522" s="7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  <c r="AS522" s="225"/>
      <c r="AT522" s="225"/>
      <c r="AU522" s="225"/>
      <c r="AV522" s="225"/>
      <c r="AW522" s="225"/>
      <c r="AX522" s="225"/>
      <c r="AY522" s="225"/>
      <c r="AZ522" s="225"/>
      <c r="BA522" s="225"/>
      <c r="BB522" s="225"/>
      <c r="BC522" s="225"/>
      <c r="BD522" s="225"/>
      <c r="BE522" s="225"/>
      <c r="BF522" s="225"/>
      <c r="BG522" s="225"/>
      <c r="BH522" s="225"/>
      <c r="BI522" s="225"/>
      <c r="BJ522" s="225"/>
    </row>
    <row r="523" spans="2:62" ht="15.75" customHeight="1">
      <c r="B523" s="7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  <c r="AS523" s="225"/>
      <c r="AT523" s="225"/>
      <c r="AU523" s="225"/>
      <c r="AV523" s="225"/>
      <c r="AW523" s="225"/>
      <c r="AX523" s="225"/>
      <c r="AY523" s="225"/>
      <c r="AZ523" s="225"/>
      <c r="BA523" s="225"/>
      <c r="BB523" s="225"/>
      <c r="BC523" s="225"/>
      <c r="BD523" s="225"/>
      <c r="BE523" s="225"/>
      <c r="BF523" s="225"/>
      <c r="BG523" s="225"/>
      <c r="BH523" s="225"/>
      <c r="BI523" s="225"/>
      <c r="BJ523" s="225"/>
    </row>
    <row r="524" spans="2:62" ht="15.75" customHeight="1">
      <c r="B524" s="7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  <c r="AS524" s="225"/>
      <c r="AT524" s="225"/>
      <c r="AU524" s="225"/>
      <c r="AV524" s="225"/>
      <c r="AW524" s="225"/>
      <c r="AX524" s="225"/>
      <c r="AY524" s="225"/>
      <c r="AZ524" s="225"/>
      <c r="BA524" s="225"/>
      <c r="BB524" s="225"/>
      <c r="BC524" s="225"/>
      <c r="BD524" s="225"/>
      <c r="BE524" s="225"/>
      <c r="BF524" s="225"/>
      <c r="BG524" s="225"/>
      <c r="BH524" s="225"/>
      <c r="BI524" s="225"/>
      <c r="BJ524" s="225"/>
    </row>
    <row r="525" spans="2:62" ht="15.75" customHeight="1">
      <c r="B525" s="7"/>
      <c r="C525" s="356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02"/>
      <c r="U525" s="302"/>
      <c r="V525" s="302"/>
      <c r="W525" s="302"/>
      <c r="X525" s="302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  <c r="AS525" s="225"/>
      <c r="AT525" s="225"/>
      <c r="AU525" s="225"/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  <c r="BF525" s="225"/>
      <c r="BG525" s="225"/>
      <c r="BH525" s="225"/>
      <c r="BI525" s="225"/>
      <c r="BJ525" s="225"/>
    </row>
    <row r="526" spans="2:62" ht="15.75" customHeight="1">
      <c r="B526" s="7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58"/>
      <c r="R526" s="302"/>
      <c r="S526" s="302"/>
      <c r="T526" s="302"/>
      <c r="U526" s="302"/>
      <c r="V526" s="302"/>
      <c r="W526" s="302"/>
      <c r="X526" s="302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  <c r="AS526" s="225"/>
      <c r="AT526" s="225"/>
      <c r="AU526" s="225"/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  <c r="BF526" s="225"/>
      <c r="BG526" s="225"/>
      <c r="BH526" s="225"/>
      <c r="BI526" s="225"/>
      <c r="BJ526" s="225"/>
    </row>
    <row r="527" spans="2:62" ht="15.75" customHeight="1">
      <c r="B527" s="7"/>
      <c r="C527" s="302"/>
      <c r="D527" s="302"/>
      <c r="E527" s="302"/>
      <c r="F527" s="302"/>
      <c r="G527" s="302"/>
      <c r="H527" s="302"/>
      <c r="I527" s="302"/>
      <c r="J527" s="302"/>
      <c r="K527" s="302"/>
      <c r="L527" s="359"/>
      <c r="M527" s="360"/>
      <c r="N527" s="360"/>
      <c r="O527" s="302"/>
      <c r="P527" s="359"/>
      <c r="Q527" s="360"/>
      <c r="R527" s="360"/>
      <c r="S527" s="359"/>
      <c r="T527" s="302"/>
      <c r="U527" s="302"/>
      <c r="V527" s="302"/>
      <c r="W527" s="302"/>
      <c r="X527" s="302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</row>
    <row r="528" spans="2:62" ht="15.75" customHeight="1">
      <c r="B528" s="7"/>
      <c r="C528" s="302"/>
      <c r="D528" s="302"/>
      <c r="E528" s="359"/>
      <c r="F528" s="361"/>
      <c r="G528" s="302"/>
      <c r="H528" s="359"/>
      <c r="I528" s="361"/>
      <c r="J528" s="360"/>
      <c r="K528" s="352"/>
      <c r="L528" s="359"/>
      <c r="M528" s="360"/>
      <c r="N528" s="360"/>
      <c r="O528" s="352"/>
      <c r="P528" s="359"/>
      <c r="Q528" s="360"/>
      <c r="R528" s="360"/>
      <c r="S528" s="359"/>
      <c r="T528" s="302"/>
      <c r="U528" s="302"/>
      <c r="V528" s="302"/>
      <c r="W528" s="302"/>
      <c r="X528" s="302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  <c r="AS528" s="225"/>
      <c r="AT528" s="225"/>
      <c r="AU528" s="225"/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  <c r="BF528" s="225"/>
      <c r="BG528" s="225"/>
      <c r="BH528" s="225"/>
      <c r="BI528" s="225"/>
      <c r="BJ528" s="225"/>
    </row>
    <row r="529" spans="2:62" ht="15.75" customHeight="1">
      <c r="B529" s="7"/>
      <c r="C529" s="302"/>
      <c r="D529" s="362"/>
      <c r="E529" s="361"/>
      <c r="F529" s="361"/>
      <c r="G529" s="362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02"/>
      <c r="U529" s="302"/>
      <c r="V529" s="302"/>
      <c r="W529" s="302"/>
      <c r="X529" s="302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</row>
    <row r="530" spans="2:62" ht="15.75" customHeight="1">
      <c r="B530" s="7"/>
      <c r="C530" s="35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</row>
    <row r="531" spans="2:62" ht="15.75" customHeight="1">
      <c r="B531" s="7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  <c r="AS531" s="225"/>
      <c r="AT531" s="225"/>
      <c r="AU531" s="225"/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  <c r="BF531" s="225"/>
      <c r="BG531" s="225"/>
      <c r="BH531" s="225"/>
      <c r="BI531" s="225"/>
      <c r="BJ531" s="225"/>
    </row>
    <row r="532" spans="2:62" ht="15.75" customHeight="1">
      <c r="B532" s="7"/>
      <c r="C532" s="302"/>
      <c r="D532" s="302"/>
      <c r="E532" s="353"/>
      <c r="F532" s="363"/>
      <c r="G532" s="302"/>
      <c r="H532" s="353"/>
      <c r="I532" s="363"/>
      <c r="J532" s="363"/>
      <c r="K532" s="353"/>
      <c r="L532" s="363"/>
      <c r="M532" s="353"/>
      <c r="N532" s="363"/>
      <c r="O532" s="353"/>
      <c r="P532" s="363"/>
      <c r="Q532" s="353"/>
      <c r="R532" s="353"/>
      <c r="S532" s="353"/>
      <c r="T532" s="302"/>
      <c r="U532" s="302"/>
      <c r="V532" s="302"/>
      <c r="W532" s="302"/>
      <c r="X532" s="302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</row>
    <row r="533" spans="2:62" ht="15.75" customHeight="1">
      <c r="B533" s="7"/>
      <c r="C533" s="302"/>
      <c r="D533" s="302"/>
      <c r="E533" s="353"/>
      <c r="F533" s="363"/>
      <c r="G533" s="302"/>
      <c r="H533" s="353"/>
      <c r="I533" s="363"/>
      <c r="J533" s="363"/>
      <c r="K533" s="353"/>
      <c r="L533" s="363"/>
      <c r="M533" s="353"/>
      <c r="N533" s="363"/>
      <c r="O533" s="353"/>
      <c r="P533" s="363"/>
      <c r="Q533" s="353"/>
      <c r="R533" s="353"/>
      <c r="S533" s="353"/>
      <c r="T533" s="302"/>
      <c r="U533" s="302"/>
      <c r="V533" s="302"/>
      <c r="W533" s="302"/>
      <c r="X533" s="302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</row>
    <row r="534" spans="2:62" ht="15.75" customHeight="1">
      <c r="B534" s="7"/>
      <c r="C534" s="302"/>
      <c r="D534" s="302"/>
      <c r="E534" s="353"/>
      <c r="F534" s="363"/>
      <c r="G534" s="302"/>
      <c r="H534" s="353"/>
      <c r="I534" s="363"/>
      <c r="J534" s="363"/>
      <c r="K534" s="353"/>
      <c r="L534" s="363"/>
      <c r="M534" s="353"/>
      <c r="N534" s="363"/>
      <c r="O534" s="353"/>
      <c r="P534" s="363"/>
      <c r="Q534" s="353"/>
      <c r="R534" s="353"/>
      <c r="S534" s="353"/>
      <c r="T534" s="302"/>
      <c r="U534" s="302"/>
      <c r="V534" s="302"/>
      <c r="W534" s="302"/>
      <c r="X534" s="302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</row>
    <row r="535" spans="2:62" ht="15.75" customHeight="1">
      <c r="B535" s="7"/>
      <c r="C535" s="302"/>
      <c r="D535" s="302"/>
      <c r="E535" s="353"/>
      <c r="F535" s="363"/>
      <c r="G535" s="302"/>
      <c r="H535" s="353"/>
      <c r="I535" s="363"/>
      <c r="J535" s="363"/>
      <c r="K535" s="353"/>
      <c r="L535" s="363"/>
      <c r="M535" s="353"/>
      <c r="N535" s="363"/>
      <c r="O535" s="353"/>
      <c r="P535" s="363"/>
      <c r="Q535" s="353"/>
      <c r="R535" s="353"/>
      <c r="S535" s="353"/>
      <c r="T535" s="302"/>
      <c r="U535" s="302"/>
      <c r="V535" s="302"/>
      <c r="W535" s="302"/>
      <c r="X535" s="302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  <c r="AS535" s="225"/>
      <c r="AT535" s="225"/>
      <c r="AU535" s="225"/>
      <c r="AV535" s="225"/>
      <c r="AW535" s="225"/>
      <c r="AX535" s="225"/>
      <c r="AY535" s="225"/>
      <c r="AZ535" s="225"/>
      <c r="BA535" s="225"/>
      <c r="BB535" s="225"/>
      <c r="BC535" s="225"/>
      <c r="BD535" s="225"/>
      <c r="BE535" s="225"/>
      <c r="BF535" s="225"/>
      <c r="BG535" s="225"/>
      <c r="BH535" s="225"/>
      <c r="BI535" s="225"/>
      <c r="BJ535" s="225"/>
    </row>
    <row r="536" spans="2:62" ht="15.75" customHeight="1">
      <c r="B536" s="7"/>
      <c r="C536" s="302"/>
      <c r="D536" s="302"/>
      <c r="E536" s="353"/>
      <c r="F536" s="363"/>
      <c r="G536" s="302"/>
      <c r="H536" s="353"/>
      <c r="I536" s="363"/>
      <c r="J536" s="363"/>
      <c r="K536" s="353"/>
      <c r="L536" s="363"/>
      <c r="M536" s="353"/>
      <c r="N536" s="363"/>
      <c r="O536" s="353"/>
      <c r="P536" s="363"/>
      <c r="Q536" s="353"/>
      <c r="R536" s="353"/>
      <c r="S536" s="302"/>
      <c r="T536" s="302"/>
      <c r="U536" s="302"/>
      <c r="V536" s="302"/>
      <c r="W536" s="302"/>
      <c r="X536" s="302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</row>
    <row r="537" spans="2:62" ht="15.75" customHeight="1">
      <c r="B537" s="7"/>
      <c r="C537" s="302"/>
      <c r="D537" s="302"/>
      <c r="E537" s="353"/>
      <c r="F537" s="363"/>
      <c r="G537" s="302"/>
      <c r="H537" s="353"/>
      <c r="I537" s="363"/>
      <c r="J537" s="363"/>
      <c r="K537" s="353"/>
      <c r="L537" s="363"/>
      <c r="M537" s="353"/>
      <c r="N537" s="363"/>
      <c r="O537" s="353"/>
      <c r="P537" s="363"/>
      <c r="Q537" s="353"/>
      <c r="R537" s="353"/>
      <c r="S537" s="353"/>
      <c r="T537" s="302"/>
      <c r="U537" s="302"/>
      <c r="V537" s="302"/>
      <c r="W537" s="302"/>
      <c r="X537" s="302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</row>
    <row r="538" spans="2:62" ht="15.75" customHeight="1">
      <c r="B538" s="7"/>
      <c r="C538" s="302"/>
      <c r="D538" s="302"/>
      <c r="E538" s="353"/>
      <c r="F538" s="364"/>
      <c r="G538" s="302"/>
      <c r="H538" s="353"/>
      <c r="I538" s="364"/>
      <c r="J538" s="363"/>
      <c r="K538" s="353"/>
      <c r="L538" s="363"/>
      <c r="M538" s="353"/>
      <c r="N538" s="363"/>
      <c r="O538" s="353"/>
      <c r="P538" s="302"/>
      <c r="Q538" s="302"/>
      <c r="R538" s="353"/>
      <c r="S538" s="353"/>
      <c r="T538" s="302"/>
      <c r="U538" s="302"/>
      <c r="V538" s="302"/>
      <c r="W538" s="302"/>
      <c r="X538" s="302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  <c r="AS538" s="225"/>
      <c r="AT538" s="225"/>
      <c r="AU538" s="225"/>
      <c r="AV538" s="225"/>
      <c r="AW538" s="225"/>
      <c r="AX538" s="225"/>
      <c r="AY538" s="225"/>
      <c r="AZ538" s="225"/>
      <c r="BA538" s="225"/>
      <c r="BB538" s="225"/>
      <c r="BC538" s="225"/>
      <c r="BD538" s="225"/>
      <c r="BE538" s="225"/>
      <c r="BF538" s="225"/>
      <c r="BG538" s="225"/>
      <c r="BH538" s="225"/>
      <c r="BI538" s="225"/>
      <c r="BJ538" s="225"/>
    </row>
    <row r="539" spans="2:62" ht="15.75" customHeight="1">
      <c r="B539" s="7"/>
      <c r="C539" s="352"/>
      <c r="D539" s="352"/>
      <c r="E539" s="355"/>
      <c r="F539" s="365"/>
      <c r="G539" s="352"/>
      <c r="H539" s="355"/>
      <c r="I539" s="365"/>
      <c r="J539" s="365"/>
      <c r="K539" s="355"/>
      <c r="L539" s="365"/>
      <c r="M539" s="355"/>
      <c r="N539" s="365"/>
      <c r="O539" s="355"/>
      <c r="P539" s="365"/>
      <c r="Q539" s="355"/>
      <c r="R539" s="355"/>
      <c r="S539" s="352"/>
      <c r="T539" s="302"/>
      <c r="U539" s="302"/>
      <c r="V539" s="302"/>
      <c r="W539" s="302"/>
      <c r="X539" s="302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</row>
    <row r="540" spans="2:62" ht="15.75" customHeight="1">
      <c r="B540" s="7"/>
      <c r="C540" s="302"/>
      <c r="D540" s="302"/>
      <c r="E540" s="353"/>
      <c r="F540" s="302"/>
      <c r="G540" s="302"/>
      <c r="H540" s="353"/>
      <c r="I540" s="302"/>
      <c r="J540" s="363"/>
      <c r="K540" s="353"/>
      <c r="L540" s="363"/>
      <c r="M540" s="353"/>
      <c r="N540" s="363"/>
      <c r="O540" s="353"/>
      <c r="P540" s="352"/>
      <c r="Q540" s="365"/>
      <c r="R540" s="365"/>
      <c r="S540" s="302"/>
      <c r="T540" s="302"/>
      <c r="U540" s="302"/>
      <c r="V540" s="302"/>
      <c r="W540" s="302"/>
      <c r="X540" s="302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</row>
    <row r="541" spans="2:62" ht="15.75" customHeight="1">
      <c r="B541" s="7"/>
      <c r="C541" s="302"/>
      <c r="D541" s="302"/>
      <c r="E541" s="353"/>
      <c r="F541" s="302"/>
      <c r="G541" s="302"/>
      <c r="H541" s="353"/>
      <c r="I541" s="302"/>
      <c r="J541" s="363"/>
      <c r="K541" s="353"/>
      <c r="L541" s="363"/>
      <c r="M541" s="353"/>
      <c r="N541" s="363"/>
      <c r="O541" s="353"/>
      <c r="P541" s="302"/>
      <c r="Q541" s="302"/>
      <c r="R541" s="353"/>
      <c r="S541" s="302"/>
      <c r="T541" s="302"/>
      <c r="U541" s="302"/>
      <c r="V541" s="302"/>
      <c r="W541" s="302"/>
      <c r="X541" s="302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  <c r="AS541" s="225"/>
      <c r="AT541" s="225"/>
      <c r="AU541" s="225"/>
      <c r="AV541" s="225"/>
      <c r="AW541" s="225"/>
      <c r="AX541" s="225"/>
      <c r="AY541" s="225"/>
      <c r="AZ541" s="225"/>
      <c r="BA541" s="225"/>
      <c r="BB541" s="225"/>
      <c r="BC541" s="225"/>
      <c r="BD541" s="225"/>
      <c r="BE541" s="225"/>
      <c r="BF541" s="225"/>
      <c r="BG541" s="225"/>
      <c r="BH541" s="225"/>
      <c r="BI541" s="225"/>
      <c r="BJ541" s="225"/>
    </row>
    <row r="542" spans="2:62" ht="15.75" customHeight="1">
      <c r="B542" s="7"/>
      <c r="C542" s="352"/>
      <c r="D542" s="302"/>
      <c r="E542" s="353"/>
      <c r="F542" s="302"/>
      <c r="G542" s="302"/>
      <c r="H542" s="353"/>
      <c r="I542" s="302"/>
      <c r="J542" s="363"/>
      <c r="K542" s="353"/>
      <c r="L542" s="363"/>
      <c r="M542" s="353"/>
      <c r="N542" s="363"/>
      <c r="O542" s="353"/>
      <c r="P542" s="302"/>
      <c r="Q542" s="302"/>
      <c r="R542" s="353"/>
      <c r="S542" s="302"/>
      <c r="T542" s="302"/>
      <c r="U542" s="302"/>
      <c r="V542" s="302"/>
      <c r="W542" s="302"/>
      <c r="X542" s="302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</row>
    <row r="543" spans="2:62" ht="15.75" customHeight="1">
      <c r="B543" s="7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</row>
    <row r="544" spans="2:62" ht="15.75" customHeight="1">
      <c r="B544" s="7"/>
      <c r="C544" s="302"/>
      <c r="D544" s="302"/>
      <c r="E544" s="353"/>
      <c r="F544" s="363"/>
      <c r="G544" s="302"/>
      <c r="H544" s="353"/>
      <c r="I544" s="363"/>
      <c r="J544" s="363"/>
      <c r="K544" s="302"/>
      <c r="L544" s="363"/>
      <c r="M544" s="302"/>
      <c r="N544" s="363"/>
      <c r="O544" s="302"/>
      <c r="P544" s="363"/>
      <c r="Q544" s="353"/>
      <c r="R544" s="353"/>
      <c r="S544" s="302"/>
      <c r="T544" s="302"/>
      <c r="U544" s="302"/>
      <c r="V544" s="302"/>
      <c r="W544" s="302"/>
      <c r="X544" s="302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  <c r="AS544" s="225"/>
      <c r="AT544" s="225"/>
      <c r="AU544" s="225"/>
      <c r="AV544" s="225"/>
      <c r="AW544" s="225"/>
      <c r="AX544" s="225"/>
      <c r="AY544" s="225"/>
      <c r="AZ544" s="225"/>
      <c r="BA544" s="225"/>
      <c r="BB544" s="225"/>
      <c r="BC544" s="225"/>
      <c r="BD544" s="225"/>
      <c r="BE544" s="225"/>
      <c r="BF544" s="225"/>
      <c r="BG544" s="225"/>
      <c r="BH544" s="225"/>
      <c r="BI544" s="225"/>
      <c r="BJ544" s="225"/>
    </row>
    <row r="545" spans="2:62" ht="15.75" customHeight="1">
      <c r="B545" s="7"/>
      <c r="C545" s="302"/>
      <c r="D545" s="302"/>
      <c r="E545" s="353"/>
      <c r="F545" s="364"/>
      <c r="G545" s="302"/>
      <c r="H545" s="353"/>
      <c r="I545" s="364"/>
      <c r="J545" s="363"/>
      <c r="K545" s="353"/>
      <c r="L545" s="363"/>
      <c r="M545" s="353"/>
      <c r="N545" s="363"/>
      <c r="O545" s="353"/>
      <c r="P545" s="302"/>
      <c r="Q545" s="363"/>
      <c r="R545" s="363"/>
      <c r="S545" s="353"/>
      <c r="T545" s="302"/>
      <c r="U545" s="302"/>
      <c r="V545" s="302"/>
      <c r="W545" s="302"/>
      <c r="X545" s="302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  <c r="AS545" s="225"/>
      <c r="AT545" s="225"/>
      <c r="AU545" s="225"/>
      <c r="AV545" s="225"/>
      <c r="AW545" s="225"/>
      <c r="AX545" s="225"/>
      <c r="AY545" s="225"/>
      <c r="AZ545" s="225"/>
      <c r="BA545" s="225"/>
      <c r="BB545" s="225"/>
      <c r="BC545" s="225"/>
      <c r="BD545" s="225"/>
      <c r="BE545" s="225"/>
      <c r="BF545" s="225"/>
      <c r="BG545" s="225"/>
      <c r="BH545" s="225"/>
      <c r="BI545" s="225"/>
      <c r="BJ545" s="225"/>
    </row>
    <row r="546" spans="2:62" ht="15.75" customHeight="1">
      <c r="B546" s="7"/>
      <c r="C546" s="302"/>
      <c r="D546" s="302"/>
      <c r="E546" s="353"/>
      <c r="F546" s="364"/>
      <c r="G546" s="302"/>
      <c r="H546" s="353"/>
      <c r="I546" s="364"/>
      <c r="J546" s="363"/>
      <c r="K546" s="353"/>
      <c r="L546" s="363"/>
      <c r="M546" s="353"/>
      <c r="N546" s="363"/>
      <c r="O546" s="353"/>
      <c r="P546" s="302"/>
      <c r="Q546" s="302"/>
      <c r="R546" s="353"/>
      <c r="S546" s="353"/>
      <c r="T546" s="302"/>
      <c r="U546" s="302"/>
      <c r="V546" s="302"/>
      <c r="W546" s="302"/>
      <c r="X546" s="302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</row>
    <row r="547" spans="2:62" ht="15.75" customHeight="1">
      <c r="B547" s="7"/>
      <c r="C547" s="302"/>
      <c r="D547" s="302"/>
      <c r="E547" s="353"/>
      <c r="F547" s="363"/>
      <c r="G547" s="302"/>
      <c r="H547" s="353"/>
      <c r="I547" s="363"/>
      <c r="J547" s="363"/>
      <c r="K547" s="353"/>
      <c r="L547" s="363"/>
      <c r="M547" s="353"/>
      <c r="N547" s="363"/>
      <c r="O547" s="353"/>
      <c r="P547" s="302"/>
      <c r="Q547" s="302"/>
      <c r="R547" s="353"/>
      <c r="S547" s="302"/>
      <c r="T547" s="302"/>
      <c r="U547" s="302"/>
      <c r="V547" s="302"/>
      <c r="W547" s="302"/>
      <c r="X547" s="302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</row>
    <row r="548" spans="2:62" ht="15.75" customHeight="1">
      <c r="B548" s="7"/>
      <c r="C548" s="352"/>
      <c r="D548" s="352"/>
      <c r="E548" s="355"/>
      <c r="F548" s="365"/>
      <c r="G548" s="352"/>
      <c r="H548" s="355"/>
      <c r="I548" s="365"/>
      <c r="J548" s="365"/>
      <c r="K548" s="355"/>
      <c r="L548" s="365"/>
      <c r="M548" s="355"/>
      <c r="N548" s="365"/>
      <c r="O548" s="355"/>
      <c r="P548" s="365"/>
      <c r="Q548" s="352"/>
      <c r="R548" s="355"/>
      <c r="S548" s="352"/>
      <c r="T548" s="302"/>
      <c r="U548" s="302"/>
      <c r="V548" s="302"/>
      <c r="W548" s="302"/>
      <c r="X548" s="302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  <c r="AS548" s="225"/>
      <c r="AT548" s="225"/>
      <c r="AU548" s="225"/>
      <c r="AV548" s="225"/>
      <c r="AW548" s="225"/>
      <c r="AX548" s="225"/>
      <c r="AY548" s="225"/>
      <c r="AZ548" s="225"/>
      <c r="BA548" s="225"/>
      <c r="BB548" s="225"/>
      <c r="BC548" s="225"/>
      <c r="BD548" s="225"/>
      <c r="BE548" s="225"/>
      <c r="BF548" s="225"/>
      <c r="BG548" s="225"/>
      <c r="BH548" s="225"/>
      <c r="BI548" s="225"/>
      <c r="BJ548" s="225"/>
    </row>
    <row r="549" spans="2:62" ht="15.75" customHeight="1">
      <c r="B549" s="7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52"/>
      <c r="Q549" s="365"/>
      <c r="R549" s="365"/>
      <c r="S549" s="302"/>
      <c r="T549" s="302"/>
      <c r="U549" s="302"/>
      <c r="V549" s="302"/>
      <c r="W549" s="302"/>
      <c r="X549" s="302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  <c r="AS549" s="225"/>
      <c r="AT549" s="225"/>
      <c r="AU549" s="225"/>
      <c r="AV549" s="225"/>
      <c r="AW549" s="225"/>
      <c r="AX549" s="225"/>
      <c r="AY549" s="225"/>
      <c r="AZ549" s="225"/>
      <c r="BA549" s="225"/>
      <c r="BB549" s="225"/>
      <c r="BC549" s="225"/>
      <c r="BD549" s="225"/>
      <c r="BE549" s="225"/>
      <c r="BF549" s="225"/>
      <c r="BG549" s="225"/>
      <c r="BH549" s="225"/>
      <c r="BI549" s="225"/>
      <c r="BJ549" s="225"/>
    </row>
    <row r="550" spans="2:62" ht="15.75" customHeight="1">
      <c r="B550" s="7"/>
      <c r="C550" s="302"/>
      <c r="D550" s="302"/>
      <c r="E550" s="353"/>
      <c r="F550" s="363"/>
      <c r="G550" s="302"/>
      <c r="H550" s="353"/>
      <c r="I550" s="363"/>
      <c r="J550" s="363"/>
      <c r="K550" s="353"/>
      <c r="L550" s="363"/>
      <c r="M550" s="353"/>
      <c r="N550" s="363"/>
      <c r="O550" s="353"/>
      <c r="P550" s="302"/>
      <c r="Q550" s="302"/>
      <c r="R550" s="353"/>
      <c r="S550" s="302"/>
      <c r="T550" s="302"/>
      <c r="U550" s="302"/>
      <c r="V550" s="302"/>
      <c r="W550" s="302"/>
      <c r="X550" s="302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</row>
    <row r="551" spans="2:62" ht="15.75" customHeight="1">
      <c r="B551" s="7"/>
      <c r="C551" s="352"/>
      <c r="D551" s="302"/>
      <c r="E551" s="353"/>
      <c r="F551" s="363"/>
      <c r="G551" s="302"/>
      <c r="H551" s="353"/>
      <c r="I551" s="363"/>
      <c r="J551" s="363"/>
      <c r="K551" s="353"/>
      <c r="L551" s="363"/>
      <c r="M551" s="353"/>
      <c r="N551" s="363"/>
      <c r="O551" s="353"/>
      <c r="P551" s="302"/>
      <c r="Q551" s="302"/>
      <c r="R551" s="353"/>
      <c r="S551" s="302"/>
      <c r="T551" s="302"/>
      <c r="U551" s="302"/>
      <c r="V551" s="302"/>
      <c r="W551" s="302"/>
      <c r="X551" s="302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</row>
    <row r="552" spans="2:62" ht="15.75" customHeight="1">
      <c r="B552" s="7"/>
      <c r="C552" s="302"/>
      <c r="D552" s="302"/>
      <c r="E552" s="353"/>
      <c r="F552" s="363"/>
      <c r="G552" s="302"/>
      <c r="H552" s="353"/>
      <c r="I552" s="363"/>
      <c r="J552" s="363"/>
      <c r="K552" s="353"/>
      <c r="L552" s="363"/>
      <c r="M552" s="353"/>
      <c r="N552" s="363"/>
      <c r="O552" s="353"/>
      <c r="P552" s="302"/>
      <c r="Q552" s="302"/>
      <c r="R552" s="353"/>
      <c r="S552" s="302"/>
      <c r="T552" s="302"/>
      <c r="U552" s="302"/>
      <c r="V552" s="302"/>
      <c r="W552" s="302"/>
      <c r="X552" s="302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  <c r="AS552" s="225"/>
      <c r="AT552" s="225"/>
      <c r="AU552" s="225"/>
      <c r="AV552" s="225"/>
      <c r="AW552" s="225"/>
      <c r="AX552" s="225"/>
      <c r="AY552" s="225"/>
      <c r="AZ552" s="225"/>
      <c r="BA552" s="225"/>
      <c r="BB552" s="225"/>
      <c r="BC552" s="225"/>
      <c r="BD552" s="225"/>
      <c r="BE552" s="225"/>
      <c r="BF552" s="225"/>
      <c r="BG552" s="225"/>
      <c r="BH552" s="225"/>
      <c r="BI552" s="225"/>
      <c r="BJ552" s="225"/>
    </row>
    <row r="553" spans="2:62" ht="15.75" customHeight="1">
      <c r="B553" s="7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63"/>
      <c r="Q553" s="353"/>
      <c r="R553" s="302"/>
      <c r="S553" s="353"/>
      <c r="T553" s="302"/>
      <c r="U553" s="302"/>
      <c r="V553" s="302"/>
      <c r="W553" s="302"/>
      <c r="X553" s="302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</row>
    <row r="554" spans="2:62" ht="15.75" customHeight="1">
      <c r="B554" s="7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63"/>
      <c r="Q554" s="353"/>
      <c r="R554" s="302"/>
      <c r="S554" s="353"/>
      <c r="T554" s="302"/>
      <c r="U554" s="302"/>
      <c r="V554" s="302"/>
      <c r="W554" s="302"/>
      <c r="X554" s="302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  <c r="AS554" s="225"/>
      <c r="AT554" s="225"/>
      <c r="AU554" s="225"/>
      <c r="AV554" s="225"/>
      <c r="AW554" s="225"/>
      <c r="AX554" s="225"/>
      <c r="AY554" s="225"/>
      <c r="AZ554" s="225"/>
      <c r="BA554" s="225"/>
      <c r="BB554" s="225"/>
      <c r="BC554" s="225"/>
      <c r="BD554" s="225"/>
      <c r="BE554" s="225"/>
      <c r="BF554" s="225"/>
      <c r="BG554" s="225"/>
      <c r="BH554" s="225"/>
      <c r="BI554" s="225"/>
      <c r="BJ554" s="225"/>
    </row>
    <row r="555" spans="2:62" ht="15.75" customHeight="1">
      <c r="B555" s="7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63"/>
      <c r="Q555" s="353"/>
      <c r="R555" s="302"/>
      <c r="S555" s="353"/>
      <c r="T555" s="302"/>
      <c r="U555" s="302"/>
      <c r="V555" s="302"/>
      <c r="W555" s="302"/>
      <c r="X555" s="302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</row>
    <row r="556" spans="2:62" ht="15.75" customHeight="1">
      <c r="B556" s="7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63"/>
      <c r="Q556" s="353"/>
      <c r="R556" s="302"/>
      <c r="S556" s="353"/>
      <c r="T556" s="302"/>
      <c r="U556" s="302"/>
      <c r="V556" s="302"/>
      <c r="W556" s="302"/>
      <c r="X556" s="302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  <c r="AS556" s="225"/>
      <c r="AT556" s="225"/>
      <c r="AU556" s="225"/>
      <c r="AV556" s="225"/>
      <c r="AW556" s="225"/>
      <c r="AX556" s="225"/>
      <c r="AY556" s="225"/>
      <c r="AZ556" s="225"/>
      <c r="BA556" s="225"/>
      <c r="BB556" s="225"/>
      <c r="BC556" s="225"/>
      <c r="BD556" s="225"/>
      <c r="BE556" s="225"/>
      <c r="BF556" s="225"/>
      <c r="BG556" s="225"/>
      <c r="BH556" s="225"/>
      <c r="BI556" s="225"/>
      <c r="BJ556" s="225"/>
    </row>
    <row r="557" spans="2:62" ht="15.75" customHeight="1">
      <c r="B557" s="7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63"/>
      <c r="Q557" s="353"/>
      <c r="R557" s="302"/>
      <c r="S557" s="353"/>
      <c r="T557" s="302"/>
      <c r="U557" s="302"/>
      <c r="V557" s="302"/>
      <c r="W557" s="302"/>
      <c r="X557" s="302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</row>
    <row r="558" spans="2:62" ht="15.75" customHeight="1">
      <c r="B558" s="7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63"/>
      <c r="Q558" s="353"/>
      <c r="R558" s="302"/>
      <c r="S558" s="353"/>
      <c r="T558" s="302"/>
      <c r="U558" s="302"/>
      <c r="V558" s="302"/>
      <c r="W558" s="302"/>
      <c r="X558" s="302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</row>
    <row r="559" spans="2:62" ht="15.75" customHeight="1">
      <c r="B559" s="7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63"/>
      <c r="Q559" s="353"/>
      <c r="R559" s="302"/>
      <c r="S559" s="353"/>
      <c r="T559" s="302"/>
      <c r="U559" s="302"/>
      <c r="V559" s="302"/>
      <c r="W559" s="302"/>
      <c r="X559" s="302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  <c r="AS559" s="225"/>
      <c r="AT559" s="225"/>
      <c r="AU559" s="225"/>
      <c r="AV559" s="225"/>
      <c r="AW559" s="225"/>
      <c r="AX559" s="225"/>
      <c r="AY559" s="225"/>
      <c r="AZ559" s="225"/>
      <c r="BA559" s="225"/>
      <c r="BB559" s="225"/>
      <c r="BC559" s="225"/>
      <c r="BD559" s="225"/>
      <c r="BE559" s="225"/>
      <c r="BF559" s="225"/>
      <c r="BG559" s="225"/>
      <c r="BH559" s="225"/>
      <c r="BI559" s="225"/>
      <c r="BJ559" s="225"/>
    </row>
    <row r="560" spans="2:62" ht="15.75" customHeight="1">
      <c r="B560" s="7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63"/>
      <c r="Q560" s="353"/>
      <c r="R560" s="302"/>
      <c r="S560" s="353"/>
      <c r="T560" s="302"/>
      <c r="U560" s="302"/>
      <c r="V560" s="302"/>
      <c r="W560" s="302"/>
      <c r="X560" s="302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</row>
    <row r="561" spans="2:62" ht="15.75" customHeight="1">
      <c r="B561" s="7"/>
      <c r="C561" s="352"/>
      <c r="D561" s="352"/>
      <c r="E561" s="302"/>
      <c r="F561" s="302"/>
      <c r="G561" s="352"/>
      <c r="H561" s="302"/>
      <c r="I561" s="302"/>
      <c r="J561" s="302"/>
      <c r="K561" s="302"/>
      <c r="L561" s="302"/>
      <c r="M561" s="302"/>
      <c r="N561" s="302"/>
      <c r="O561" s="302"/>
      <c r="P561" s="365"/>
      <c r="Q561" s="355"/>
      <c r="R561" s="302"/>
      <c r="S561" s="355"/>
      <c r="T561" s="302"/>
      <c r="U561" s="302"/>
      <c r="V561" s="302"/>
      <c r="W561" s="302"/>
      <c r="X561" s="302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</row>
    <row r="562" spans="2:62" ht="15.75" customHeight="1">
      <c r="B562" s="7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65"/>
      <c r="Q562" s="365"/>
      <c r="R562" s="302"/>
      <c r="S562" s="302"/>
      <c r="T562" s="302"/>
      <c r="U562" s="302"/>
      <c r="V562" s="302"/>
      <c r="W562" s="302"/>
      <c r="X562" s="302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</row>
    <row r="563" spans="2:62" ht="15.75" customHeight="1">
      <c r="B563" s="7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63"/>
      <c r="Q563" s="353"/>
      <c r="R563" s="302"/>
      <c r="S563" s="353"/>
      <c r="T563" s="302"/>
      <c r="U563" s="302"/>
      <c r="V563" s="302"/>
      <c r="W563" s="302"/>
      <c r="X563" s="302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  <c r="AS563" s="225"/>
      <c r="AT563" s="225"/>
      <c r="AU563" s="225"/>
      <c r="AV563" s="225"/>
      <c r="AW563" s="225"/>
      <c r="AX563" s="225"/>
      <c r="AY563" s="225"/>
      <c r="AZ563" s="225"/>
      <c r="BA563" s="225"/>
      <c r="BB563" s="225"/>
      <c r="BC563" s="225"/>
      <c r="BD563" s="225"/>
      <c r="BE563" s="225"/>
      <c r="BF563" s="225"/>
      <c r="BG563" s="225"/>
      <c r="BH563" s="225"/>
      <c r="BI563" s="225"/>
      <c r="BJ563" s="225"/>
    </row>
    <row r="564" spans="2:62" ht="15.75" customHeight="1">
      <c r="B564" s="7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63"/>
      <c r="Q564" s="353"/>
      <c r="R564" s="302"/>
      <c r="S564" s="353"/>
      <c r="T564" s="302"/>
      <c r="U564" s="302"/>
      <c r="V564" s="302"/>
      <c r="W564" s="302"/>
      <c r="X564" s="302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</row>
    <row r="565" spans="2:62" ht="15.75" customHeight="1">
      <c r="B565" s="7"/>
      <c r="C565" s="35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65"/>
      <c r="Q565" s="355"/>
      <c r="R565" s="302"/>
      <c r="S565" s="355"/>
      <c r="T565" s="302"/>
      <c r="U565" s="302"/>
      <c r="V565" s="302"/>
      <c r="W565" s="302"/>
      <c r="X565" s="302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</row>
    <row r="566" spans="2:62" ht="15.75" customHeight="1">
      <c r="B566" s="7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65"/>
      <c r="Q566" s="365"/>
      <c r="R566" s="302"/>
      <c r="S566" s="302"/>
      <c r="T566" s="302"/>
      <c r="U566" s="302"/>
      <c r="V566" s="302"/>
      <c r="W566" s="302"/>
      <c r="X566" s="302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</row>
    <row r="567" spans="2:62" ht="15.75" customHeight="1">
      <c r="B567" s="7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63"/>
      <c r="Q567" s="353"/>
      <c r="R567" s="302"/>
      <c r="S567" s="353"/>
      <c r="T567" s="302"/>
      <c r="U567" s="302"/>
      <c r="V567" s="302"/>
      <c r="W567" s="302"/>
      <c r="X567" s="302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</row>
    <row r="568" spans="2:62" ht="15.75" customHeight="1">
      <c r="B568" s="7"/>
      <c r="C568" s="352"/>
      <c r="D568" s="352"/>
      <c r="E568" s="302"/>
      <c r="F568" s="302"/>
      <c r="G568" s="352"/>
      <c r="H568" s="302"/>
      <c r="I568" s="302"/>
      <c r="J568" s="302"/>
      <c r="K568" s="302"/>
      <c r="L568" s="302"/>
      <c r="M568" s="302"/>
      <c r="N568" s="302"/>
      <c r="O568" s="302"/>
      <c r="P568" s="365"/>
      <c r="Q568" s="355"/>
      <c r="R568" s="302"/>
      <c r="S568" s="355"/>
      <c r="T568" s="302"/>
      <c r="U568" s="302"/>
      <c r="V568" s="302"/>
      <c r="W568" s="302"/>
      <c r="X568" s="302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</row>
    <row r="569" spans="2:62" ht="15.75" customHeight="1">
      <c r="B569" s="7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65"/>
      <c r="Q569" s="365"/>
      <c r="R569" s="302"/>
      <c r="S569" s="302"/>
      <c r="T569" s="302"/>
      <c r="U569" s="302"/>
      <c r="V569" s="302"/>
      <c r="W569" s="302"/>
      <c r="X569" s="302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  <c r="AS569" s="225"/>
      <c r="AT569" s="225"/>
      <c r="AU569" s="225"/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</row>
    <row r="570" spans="2:62" ht="15.75" customHeight="1">
      <c r="B570" s="7"/>
      <c r="C570" s="302"/>
      <c r="D570" s="302"/>
      <c r="E570" s="353"/>
      <c r="F570" s="363"/>
      <c r="G570" s="302"/>
      <c r="H570" s="353"/>
      <c r="I570" s="363"/>
      <c r="J570" s="363"/>
      <c r="K570" s="353"/>
      <c r="L570" s="363"/>
      <c r="M570" s="353"/>
      <c r="N570" s="363"/>
      <c r="O570" s="353"/>
      <c r="P570" s="363"/>
      <c r="Q570" s="353"/>
      <c r="R570" s="353"/>
      <c r="S570" s="302"/>
      <c r="T570" s="302"/>
      <c r="U570" s="302"/>
      <c r="V570" s="302"/>
      <c r="W570" s="302"/>
      <c r="X570" s="302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  <c r="AS570" s="225"/>
      <c r="AT570" s="225"/>
      <c r="AU570" s="225"/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</row>
    <row r="571" spans="2:62" ht="15.75" customHeight="1">
      <c r="B571" s="7"/>
      <c r="C571" s="352"/>
      <c r="D571" s="352"/>
      <c r="E571" s="355"/>
      <c r="F571" s="365"/>
      <c r="G571" s="352"/>
      <c r="H571" s="355"/>
      <c r="I571" s="365"/>
      <c r="J571" s="365"/>
      <c r="K571" s="355"/>
      <c r="L571" s="365"/>
      <c r="M571" s="355"/>
      <c r="N571" s="365"/>
      <c r="O571" s="355"/>
      <c r="P571" s="365"/>
      <c r="Q571" s="355"/>
      <c r="R571" s="355"/>
      <c r="S571" s="355"/>
      <c r="T571" s="302"/>
      <c r="U571" s="302"/>
      <c r="V571" s="302"/>
      <c r="W571" s="302"/>
      <c r="X571" s="302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  <c r="AS571" s="225"/>
      <c r="AT571" s="225"/>
      <c r="AU571" s="225"/>
      <c r="AV571" s="225"/>
      <c r="AW571" s="225"/>
      <c r="AX571" s="225"/>
      <c r="AY571" s="225"/>
      <c r="AZ571" s="225"/>
      <c r="BA571" s="225"/>
      <c r="BB571" s="225"/>
      <c r="BC571" s="225"/>
      <c r="BD571" s="225"/>
      <c r="BE571" s="225"/>
      <c r="BF571" s="225"/>
      <c r="BG571" s="225"/>
      <c r="BH571" s="225"/>
      <c r="BI571" s="225"/>
      <c r="BJ571" s="225"/>
    </row>
    <row r="572" spans="2:62" ht="15.75" customHeight="1">
      <c r="B572" s="7"/>
      <c r="C572" s="302"/>
      <c r="D572" s="302"/>
      <c r="E572" s="353"/>
      <c r="F572" s="363"/>
      <c r="G572" s="302"/>
      <c r="H572" s="353"/>
      <c r="I572" s="363"/>
      <c r="J572" s="353"/>
      <c r="K572" s="363"/>
      <c r="L572" s="353"/>
      <c r="M572" s="302"/>
      <c r="N572" s="353"/>
      <c r="O572" s="363"/>
      <c r="P572" s="355"/>
      <c r="Q572" s="365"/>
      <c r="R572" s="365"/>
      <c r="S572" s="353"/>
      <c r="T572" s="302"/>
      <c r="U572" s="302"/>
      <c r="V572" s="302"/>
      <c r="W572" s="302"/>
      <c r="X572" s="302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</row>
    <row r="573" spans="2:62" ht="15.75" customHeight="1">
      <c r="B573" s="7"/>
      <c r="C573" s="302"/>
      <c r="D573" s="302"/>
      <c r="E573" s="353"/>
      <c r="F573" s="363"/>
      <c r="G573" s="302"/>
      <c r="H573" s="353"/>
      <c r="I573" s="363"/>
      <c r="J573" s="353"/>
      <c r="K573" s="363"/>
      <c r="L573" s="353"/>
      <c r="M573" s="302"/>
      <c r="N573" s="353"/>
      <c r="O573" s="363"/>
      <c r="P573" s="353"/>
      <c r="Q573" s="302"/>
      <c r="R573" s="363"/>
      <c r="S573" s="353"/>
      <c r="T573" s="302"/>
      <c r="U573" s="302"/>
      <c r="V573" s="302"/>
      <c r="W573" s="302"/>
      <c r="X573" s="302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</row>
    <row r="574" spans="2:62" ht="15.75" customHeight="1">
      <c r="B574" s="7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63"/>
      <c r="S574" s="353"/>
      <c r="T574" s="302"/>
      <c r="U574" s="302"/>
      <c r="V574" s="302"/>
      <c r="W574" s="302"/>
      <c r="X574" s="302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  <c r="AS574" s="225"/>
      <c r="AT574" s="225"/>
      <c r="AU574" s="225"/>
      <c r="AV574" s="225"/>
      <c r="AW574" s="225"/>
      <c r="AX574" s="225"/>
      <c r="AY574" s="225"/>
      <c r="AZ574" s="225"/>
      <c r="BA574" s="225"/>
      <c r="BB574" s="225"/>
      <c r="BC574" s="225"/>
      <c r="BD574" s="225"/>
      <c r="BE574" s="225"/>
      <c r="BF574" s="225"/>
      <c r="BG574" s="225"/>
      <c r="BH574" s="225"/>
      <c r="BI574" s="225"/>
      <c r="BJ574" s="225"/>
    </row>
    <row r="575" spans="2:62" ht="15.75" customHeight="1">
      <c r="B575" s="7"/>
      <c r="C575" s="302"/>
      <c r="D575" s="302"/>
      <c r="E575" s="353"/>
      <c r="F575" s="363"/>
      <c r="G575" s="302"/>
      <c r="H575" s="353"/>
      <c r="I575" s="363"/>
      <c r="J575" s="353"/>
      <c r="K575" s="363"/>
      <c r="L575" s="353"/>
      <c r="M575" s="302"/>
      <c r="N575" s="353"/>
      <c r="O575" s="363"/>
      <c r="P575" s="353"/>
      <c r="Q575" s="302"/>
      <c r="R575" s="363"/>
      <c r="S575" s="353"/>
      <c r="T575" s="302"/>
      <c r="U575" s="302"/>
      <c r="V575" s="302"/>
      <c r="W575" s="302"/>
      <c r="X575" s="302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</row>
    <row r="576" spans="2:62" ht="15.75" customHeight="1">
      <c r="B576" s="7"/>
      <c r="C576" s="302"/>
      <c r="D576" s="302"/>
      <c r="E576" s="353"/>
      <c r="F576" s="363"/>
      <c r="G576" s="302"/>
      <c r="H576" s="353"/>
      <c r="I576" s="363"/>
      <c r="J576" s="353"/>
      <c r="K576" s="363"/>
      <c r="L576" s="353"/>
      <c r="M576" s="302"/>
      <c r="N576" s="353"/>
      <c r="O576" s="363"/>
      <c r="P576" s="353"/>
      <c r="Q576" s="302"/>
      <c r="R576" s="363"/>
      <c r="S576" s="353"/>
      <c r="T576" s="302"/>
      <c r="U576" s="302"/>
      <c r="V576" s="302"/>
      <c r="W576" s="302"/>
      <c r="X576" s="302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</row>
    <row r="577" spans="2:62" ht="15.75" customHeight="1">
      <c r="B577" s="7"/>
      <c r="C577" s="302"/>
      <c r="D577" s="302"/>
      <c r="E577" s="353"/>
      <c r="F577" s="363"/>
      <c r="G577" s="302"/>
      <c r="H577" s="353"/>
      <c r="I577" s="363"/>
      <c r="J577" s="353"/>
      <c r="K577" s="363"/>
      <c r="L577" s="353"/>
      <c r="M577" s="302"/>
      <c r="N577" s="353"/>
      <c r="O577" s="363"/>
      <c r="P577" s="353"/>
      <c r="Q577" s="302"/>
      <c r="R577" s="363"/>
      <c r="S577" s="353"/>
      <c r="T577" s="302"/>
      <c r="U577" s="302"/>
      <c r="V577" s="302"/>
      <c r="W577" s="302"/>
      <c r="X577" s="302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  <c r="AS577" s="225"/>
      <c r="AT577" s="225"/>
      <c r="AU577" s="225"/>
      <c r="AV577" s="225"/>
      <c r="AW577" s="225"/>
      <c r="AX577" s="225"/>
      <c r="AY577" s="225"/>
      <c r="AZ577" s="225"/>
      <c r="BA577" s="225"/>
      <c r="BB577" s="225"/>
      <c r="BC577" s="225"/>
      <c r="BD577" s="225"/>
      <c r="BE577" s="225"/>
      <c r="BF577" s="225"/>
      <c r="BG577" s="225"/>
      <c r="BH577" s="225"/>
      <c r="BI577" s="225"/>
      <c r="BJ577" s="225"/>
    </row>
    <row r="578" spans="2:62" ht="15.75" customHeight="1">
      <c r="B578" s="7"/>
      <c r="C578" s="302"/>
      <c r="D578" s="302"/>
      <c r="E578" s="353"/>
      <c r="F578" s="363"/>
      <c r="G578" s="302"/>
      <c r="H578" s="353"/>
      <c r="I578" s="363"/>
      <c r="J578" s="353"/>
      <c r="K578" s="363"/>
      <c r="L578" s="353"/>
      <c r="M578" s="302"/>
      <c r="N578" s="353"/>
      <c r="O578" s="363"/>
      <c r="P578" s="353"/>
      <c r="Q578" s="302"/>
      <c r="R578" s="363"/>
      <c r="S578" s="353"/>
      <c r="T578" s="302"/>
      <c r="U578" s="302"/>
      <c r="V578" s="302"/>
      <c r="W578" s="302"/>
      <c r="X578" s="302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  <c r="AS578" s="225"/>
      <c r="AT578" s="225"/>
      <c r="AU578" s="225"/>
      <c r="AV578" s="225"/>
      <c r="AW578" s="225"/>
      <c r="AX578" s="225"/>
      <c r="AY578" s="225"/>
      <c r="AZ578" s="225"/>
      <c r="BA578" s="225"/>
      <c r="BB578" s="225"/>
      <c r="BC578" s="225"/>
      <c r="BD578" s="225"/>
      <c r="BE578" s="225"/>
      <c r="BF578" s="225"/>
      <c r="BG578" s="225"/>
      <c r="BH578" s="225"/>
      <c r="BI578" s="225"/>
      <c r="BJ578" s="225"/>
    </row>
    <row r="579" spans="2:62" ht="15.75" customHeight="1">
      <c r="B579" s="7"/>
      <c r="C579" s="302"/>
      <c r="D579" s="302"/>
      <c r="E579" s="353"/>
      <c r="F579" s="363"/>
      <c r="G579" s="302"/>
      <c r="H579" s="353"/>
      <c r="I579" s="363"/>
      <c r="J579" s="353"/>
      <c r="K579" s="363"/>
      <c r="L579" s="353"/>
      <c r="M579" s="302"/>
      <c r="N579" s="353"/>
      <c r="O579" s="363"/>
      <c r="P579" s="353"/>
      <c r="Q579" s="302"/>
      <c r="R579" s="363"/>
      <c r="S579" s="353"/>
      <c r="T579" s="302"/>
      <c r="U579" s="302"/>
      <c r="V579" s="302"/>
      <c r="W579" s="302"/>
      <c r="X579" s="302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</row>
    <row r="580" spans="2:62" ht="15.75" customHeight="1">
      <c r="B580" s="7"/>
      <c r="C580" s="302"/>
      <c r="D580" s="302"/>
      <c r="E580" s="353"/>
      <c r="F580" s="363"/>
      <c r="G580" s="302"/>
      <c r="H580" s="353"/>
      <c r="I580" s="363"/>
      <c r="J580" s="353"/>
      <c r="K580" s="363"/>
      <c r="L580" s="353"/>
      <c r="M580" s="302"/>
      <c r="N580" s="353"/>
      <c r="O580" s="363"/>
      <c r="P580" s="353"/>
      <c r="Q580" s="302"/>
      <c r="R580" s="363"/>
      <c r="S580" s="353"/>
      <c r="T580" s="302"/>
      <c r="U580" s="302"/>
      <c r="V580" s="302"/>
      <c r="W580" s="302"/>
      <c r="X580" s="302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</row>
    <row r="581" spans="2:62" ht="15.75" customHeight="1">
      <c r="B581" s="7"/>
      <c r="C581" s="302"/>
      <c r="D581" s="302"/>
      <c r="E581" s="353"/>
      <c r="F581" s="363"/>
      <c r="G581" s="302"/>
      <c r="H581" s="353"/>
      <c r="I581" s="363"/>
      <c r="J581" s="353"/>
      <c r="K581" s="363"/>
      <c r="L581" s="353"/>
      <c r="M581" s="302"/>
      <c r="N581" s="353"/>
      <c r="O581" s="363"/>
      <c r="P581" s="353"/>
      <c r="Q581" s="302"/>
      <c r="R581" s="363"/>
      <c r="S581" s="353"/>
      <c r="T581" s="302"/>
      <c r="U581" s="302"/>
      <c r="V581" s="302"/>
      <c r="W581" s="302"/>
      <c r="X581" s="302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  <c r="AS581" s="225"/>
      <c r="AT581" s="225"/>
      <c r="AU581" s="225"/>
      <c r="AV581" s="225"/>
      <c r="AW581" s="225"/>
      <c r="AX581" s="225"/>
      <c r="AY581" s="225"/>
      <c r="AZ581" s="225"/>
      <c r="BA581" s="225"/>
      <c r="BB581" s="225"/>
      <c r="BC581" s="225"/>
      <c r="BD581" s="225"/>
      <c r="BE581" s="225"/>
      <c r="BF581" s="225"/>
      <c r="BG581" s="225"/>
      <c r="BH581" s="225"/>
      <c r="BI581" s="225"/>
      <c r="BJ581" s="225"/>
    </row>
    <row r="582" spans="2:62" ht="15.75" customHeight="1">
      <c r="B582" s="7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</row>
    <row r="583" spans="2:62" ht="15.75" customHeight="1">
      <c r="B583" s="7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</row>
    <row r="584" spans="2:62" ht="15.75" customHeight="1">
      <c r="B584" s="7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  <c r="AS584" s="225"/>
      <c r="AT584" s="225"/>
      <c r="AU584" s="225"/>
      <c r="AV584" s="225"/>
      <c r="AW584" s="225"/>
      <c r="AX584" s="225"/>
      <c r="AY584" s="225"/>
      <c r="AZ584" s="225"/>
      <c r="BA584" s="225"/>
      <c r="BB584" s="225"/>
      <c r="BC584" s="225"/>
      <c r="BD584" s="225"/>
      <c r="BE584" s="225"/>
      <c r="BF584" s="225"/>
      <c r="BG584" s="225"/>
      <c r="BH584" s="225"/>
      <c r="BI584" s="225"/>
      <c r="BJ584" s="225"/>
    </row>
    <row r="585" spans="2:62" ht="15.75" customHeight="1">
      <c r="B585" s="7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</row>
    <row r="586" spans="2:62" ht="15.75" customHeight="1">
      <c r="B586" s="7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</row>
    <row r="587" spans="2:62" ht="15.75" customHeight="1">
      <c r="B587" s="7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</row>
    <row r="588" spans="2:62" ht="15.75" customHeight="1">
      <c r="B588" s="7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  <c r="AS588" s="225"/>
      <c r="AT588" s="225"/>
      <c r="AU588" s="225"/>
      <c r="AV588" s="225"/>
      <c r="AW588" s="225"/>
      <c r="AX588" s="225"/>
      <c r="AY588" s="225"/>
      <c r="AZ588" s="225"/>
      <c r="BA588" s="225"/>
      <c r="BB588" s="225"/>
      <c r="BC588" s="225"/>
      <c r="BD588" s="225"/>
      <c r="BE588" s="225"/>
      <c r="BF588" s="225"/>
      <c r="BG588" s="225"/>
      <c r="BH588" s="225"/>
      <c r="BI588" s="225"/>
      <c r="BJ588" s="225"/>
    </row>
    <row r="589" spans="2:62" ht="15.75" customHeight="1">
      <c r="B589" s="7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</row>
    <row r="590" spans="2:62" ht="15.75" customHeight="1">
      <c r="B590" s="7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</row>
    <row r="591" spans="2:62" ht="15.75" customHeight="1">
      <c r="B591" s="7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  <c r="AS591" s="225"/>
      <c r="AT591" s="225"/>
      <c r="AU591" s="225"/>
      <c r="AV591" s="225"/>
      <c r="AW591" s="225"/>
      <c r="AX591" s="225"/>
      <c r="AY591" s="225"/>
      <c r="AZ591" s="225"/>
      <c r="BA591" s="225"/>
      <c r="BB591" s="225"/>
      <c r="BC591" s="225"/>
      <c r="BD591" s="225"/>
      <c r="BE591" s="225"/>
      <c r="BF591" s="225"/>
      <c r="BG591" s="225"/>
      <c r="BH591" s="225"/>
      <c r="BI591" s="225"/>
      <c r="BJ591" s="225"/>
    </row>
    <row r="592" spans="2:62" ht="15.75" customHeight="1">
      <c r="B592" s="7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</row>
    <row r="593" spans="2:62" ht="15.75" customHeight="1">
      <c r="B593" s="7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</row>
    <row r="594" spans="2:62" ht="15.75" customHeight="1">
      <c r="B594" s="7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</row>
    <row r="595" spans="2:62" ht="15.75" customHeight="1">
      <c r="B595" s="7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</row>
    <row r="596" spans="2:62" ht="15.75" customHeight="1">
      <c r="B596" s="7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  <c r="AS596" s="225"/>
      <c r="AT596" s="225"/>
      <c r="AU596" s="225"/>
      <c r="AV596" s="225"/>
      <c r="AW596" s="225"/>
      <c r="AX596" s="225"/>
      <c r="AY596" s="225"/>
      <c r="AZ596" s="225"/>
      <c r="BA596" s="225"/>
      <c r="BB596" s="225"/>
      <c r="BC596" s="225"/>
      <c r="BD596" s="225"/>
      <c r="BE596" s="225"/>
      <c r="BF596" s="225"/>
      <c r="BG596" s="225"/>
      <c r="BH596" s="225"/>
      <c r="BI596" s="225"/>
      <c r="BJ596" s="225"/>
    </row>
    <row r="597" spans="2:62" ht="15.75" customHeight="1">
      <c r="B597" s="7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</row>
    <row r="598" spans="2:62" ht="15.75" customHeight="1">
      <c r="B598" s="7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  <c r="AS598" s="225"/>
      <c r="AT598" s="225"/>
      <c r="AU598" s="225"/>
      <c r="AV598" s="225"/>
      <c r="AW598" s="225"/>
      <c r="AX598" s="225"/>
      <c r="AY598" s="225"/>
      <c r="AZ598" s="225"/>
      <c r="BA598" s="225"/>
      <c r="BB598" s="225"/>
      <c r="BC598" s="225"/>
      <c r="BD598" s="225"/>
      <c r="BE598" s="225"/>
      <c r="BF598" s="225"/>
      <c r="BG598" s="225"/>
      <c r="BH598" s="225"/>
      <c r="BI598" s="225"/>
      <c r="BJ598" s="225"/>
    </row>
    <row r="599" spans="2:62" ht="15.75" customHeight="1">
      <c r="B599" s="7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  <c r="AS599" s="225"/>
      <c r="AT599" s="225"/>
      <c r="AU599" s="225"/>
      <c r="AV599" s="225"/>
      <c r="AW599" s="225"/>
      <c r="AX599" s="225"/>
      <c r="AY599" s="225"/>
      <c r="AZ599" s="225"/>
      <c r="BA599" s="225"/>
      <c r="BB599" s="225"/>
      <c r="BC599" s="225"/>
      <c r="BD599" s="225"/>
      <c r="BE599" s="225"/>
      <c r="BF599" s="225"/>
      <c r="BG599" s="225"/>
      <c r="BH599" s="225"/>
      <c r="BI599" s="225"/>
      <c r="BJ599" s="225"/>
    </row>
    <row r="600" spans="2:62" ht="15.75" customHeight="1">
      <c r="B600" s="7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  <c r="AS600" s="225"/>
      <c r="AT600" s="225"/>
      <c r="AU600" s="225"/>
      <c r="AV600" s="225"/>
      <c r="AW600" s="225"/>
      <c r="AX600" s="225"/>
      <c r="AY600" s="225"/>
      <c r="AZ600" s="225"/>
      <c r="BA600" s="225"/>
      <c r="BB600" s="225"/>
      <c r="BC600" s="225"/>
      <c r="BD600" s="225"/>
      <c r="BE600" s="225"/>
      <c r="BF600" s="225"/>
      <c r="BG600" s="225"/>
      <c r="BH600" s="225"/>
      <c r="BI600" s="225"/>
      <c r="BJ600" s="225"/>
    </row>
    <row r="601" spans="2:62" ht="15.75" customHeight="1">
      <c r="B601" s="7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  <c r="AS601" s="225"/>
      <c r="AT601" s="225"/>
      <c r="AU601" s="225"/>
      <c r="AV601" s="225"/>
      <c r="AW601" s="225"/>
      <c r="AX601" s="225"/>
      <c r="AY601" s="225"/>
      <c r="AZ601" s="225"/>
      <c r="BA601" s="225"/>
      <c r="BB601" s="225"/>
      <c r="BC601" s="225"/>
      <c r="BD601" s="225"/>
      <c r="BE601" s="225"/>
      <c r="BF601" s="225"/>
      <c r="BG601" s="225"/>
      <c r="BH601" s="225"/>
      <c r="BI601" s="225"/>
      <c r="BJ601" s="225"/>
    </row>
    <row r="602" spans="2:62" ht="15.75" customHeight="1">
      <c r="B602" s="7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  <c r="AS602" s="225"/>
      <c r="AT602" s="225"/>
      <c r="AU602" s="225"/>
      <c r="AV602" s="225"/>
      <c r="AW602" s="225"/>
      <c r="AX602" s="225"/>
      <c r="AY602" s="225"/>
      <c r="AZ602" s="225"/>
      <c r="BA602" s="225"/>
      <c r="BB602" s="225"/>
      <c r="BC602" s="225"/>
      <c r="BD602" s="225"/>
      <c r="BE602" s="225"/>
      <c r="BF602" s="225"/>
      <c r="BG602" s="225"/>
      <c r="BH602" s="225"/>
      <c r="BI602" s="225"/>
      <c r="BJ602" s="225"/>
    </row>
    <row r="603" spans="2:62" ht="15.75" customHeight="1">
      <c r="B603" s="7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  <c r="AS603" s="225"/>
      <c r="AT603" s="225"/>
      <c r="AU603" s="225"/>
      <c r="AV603" s="225"/>
      <c r="AW603" s="225"/>
      <c r="AX603" s="225"/>
      <c r="AY603" s="225"/>
      <c r="AZ603" s="225"/>
      <c r="BA603" s="225"/>
      <c r="BB603" s="225"/>
      <c r="BC603" s="225"/>
      <c r="BD603" s="225"/>
      <c r="BE603" s="225"/>
      <c r="BF603" s="225"/>
      <c r="BG603" s="225"/>
      <c r="BH603" s="225"/>
      <c r="BI603" s="225"/>
      <c r="BJ603" s="225"/>
    </row>
    <row r="604" spans="2:62" ht="15.75" customHeight="1">
      <c r="B604" s="7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  <c r="AS604" s="225"/>
      <c r="AT604" s="225"/>
      <c r="AU604" s="225"/>
      <c r="AV604" s="225"/>
      <c r="AW604" s="225"/>
      <c r="AX604" s="225"/>
      <c r="AY604" s="225"/>
      <c r="AZ604" s="225"/>
      <c r="BA604" s="225"/>
      <c r="BB604" s="225"/>
      <c r="BC604" s="225"/>
      <c r="BD604" s="225"/>
      <c r="BE604" s="225"/>
      <c r="BF604" s="225"/>
      <c r="BG604" s="225"/>
      <c r="BH604" s="225"/>
      <c r="BI604" s="225"/>
      <c r="BJ604" s="225"/>
    </row>
    <row r="605" spans="2:62" ht="15.75" customHeight="1">
      <c r="B605" s="7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</row>
    <row r="606" spans="2:62" ht="15.75" customHeight="1">
      <c r="B606" s="7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  <c r="AS606" s="225"/>
      <c r="AT606" s="225"/>
      <c r="AU606" s="225"/>
      <c r="AV606" s="225"/>
      <c r="AW606" s="225"/>
      <c r="AX606" s="225"/>
      <c r="AY606" s="225"/>
      <c r="AZ606" s="225"/>
      <c r="BA606" s="225"/>
      <c r="BB606" s="225"/>
      <c r="BC606" s="225"/>
      <c r="BD606" s="225"/>
      <c r="BE606" s="225"/>
      <c r="BF606" s="225"/>
      <c r="BG606" s="225"/>
      <c r="BH606" s="225"/>
      <c r="BI606" s="225"/>
      <c r="BJ606" s="225"/>
    </row>
    <row r="607" spans="2:62" ht="15.75" customHeight="1">
      <c r="B607" s="7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  <c r="AS607" s="225"/>
      <c r="AT607" s="225"/>
      <c r="AU607" s="225"/>
      <c r="AV607" s="225"/>
      <c r="AW607" s="225"/>
      <c r="AX607" s="225"/>
      <c r="AY607" s="225"/>
      <c r="AZ607" s="225"/>
      <c r="BA607" s="225"/>
      <c r="BB607" s="225"/>
      <c r="BC607" s="225"/>
      <c r="BD607" s="225"/>
      <c r="BE607" s="225"/>
      <c r="BF607" s="225"/>
      <c r="BG607" s="225"/>
      <c r="BH607" s="225"/>
      <c r="BI607" s="225"/>
      <c r="BJ607" s="225"/>
    </row>
    <row r="608" spans="2:62" ht="15.75" customHeight="1">
      <c r="B608" s="7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  <c r="AS608" s="225"/>
      <c r="AT608" s="225"/>
      <c r="AU608" s="225"/>
      <c r="AV608" s="225"/>
      <c r="AW608" s="225"/>
      <c r="AX608" s="225"/>
      <c r="AY608" s="225"/>
      <c r="AZ608" s="225"/>
      <c r="BA608" s="225"/>
      <c r="BB608" s="225"/>
      <c r="BC608" s="225"/>
      <c r="BD608" s="225"/>
      <c r="BE608" s="225"/>
      <c r="BF608" s="225"/>
      <c r="BG608" s="225"/>
      <c r="BH608" s="225"/>
      <c r="BI608" s="225"/>
      <c r="BJ608" s="225"/>
    </row>
    <row r="609" spans="2:62" ht="15.75" customHeight="1">
      <c r="B609" s="7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  <c r="AS609" s="225"/>
      <c r="AT609" s="225"/>
      <c r="AU609" s="225"/>
      <c r="AV609" s="225"/>
      <c r="AW609" s="225"/>
      <c r="AX609" s="225"/>
      <c r="AY609" s="225"/>
      <c r="AZ609" s="225"/>
      <c r="BA609" s="225"/>
      <c r="BB609" s="225"/>
      <c r="BC609" s="225"/>
      <c r="BD609" s="225"/>
      <c r="BE609" s="225"/>
      <c r="BF609" s="225"/>
      <c r="BG609" s="225"/>
      <c r="BH609" s="225"/>
      <c r="BI609" s="225"/>
      <c r="BJ609" s="225"/>
    </row>
    <row r="610" spans="2:62" ht="15.75" customHeight="1">
      <c r="B610" s="7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  <c r="AS610" s="225"/>
      <c r="AT610" s="225"/>
      <c r="AU610" s="225"/>
      <c r="AV610" s="225"/>
      <c r="AW610" s="225"/>
      <c r="AX610" s="225"/>
      <c r="AY610" s="225"/>
      <c r="AZ610" s="225"/>
      <c r="BA610" s="225"/>
      <c r="BB610" s="225"/>
      <c r="BC610" s="225"/>
      <c r="BD610" s="225"/>
      <c r="BE610" s="225"/>
      <c r="BF610" s="225"/>
      <c r="BG610" s="225"/>
      <c r="BH610" s="225"/>
      <c r="BI610" s="225"/>
      <c r="BJ610" s="225"/>
    </row>
    <row r="611" spans="2:62" ht="15.75" customHeight="1">
      <c r="B611" s="7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  <c r="AS611" s="225"/>
      <c r="AT611" s="225"/>
      <c r="AU611" s="225"/>
      <c r="AV611" s="225"/>
      <c r="AW611" s="225"/>
      <c r="AX611" s="225"/>
      <c r="AY611" s="225"/>
      <c r="AZ611" s="225"/>
      <c r="BA611" s="225"/>
      <c r="BB611" s="225"/>
      <c r="BC611" s="225"/>
      <c r="BD611" s="225"/>
      <c r="BE611" s="225"/>
      <c r="BF611" s="225"/>
      <c r="BG611" s="225"/>
      <c r="BH611" s="225"/>
      <c r="BI611" s="225"/>
      <c r="BJ611" s="225"/>
    </row>
    <row r="612" spans="2:62" ht="15.75" customHeight="1">
      <c r="B612" s="7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  <c r="AS612" s="225"/>
      <c r="AT612" s="225"/>
      <c r="AU612" s="225"/>
      <c r="AV612" s="225"/>
      <c r="AW612" s="225"/>
      <c r="AX612" s="225"/>
      <c r="AY612" s="225"/>
      <c r="AZ612" s="225"/>
      <c r="BA612" s="225"/>
      <c r="BB612" s="225"/>
      <c r="BC612" s="225"/>
      <c r="BD612" s="225"/>
      <c r="BE612" s="225"/>
      <c r="BF612" s="225"/>
      <c r="BG612" s="225"/>
      <c r="BH612" s="225"/>
      <c r="BI612" s="225"/>
      <c r="BJ612" s="225"/>
    </row>
    <row r="613" spans="2:62" ht="15.75" customHeight="1">
      <c r="B613" s="7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  <c r="AS613" s="225"/>
      <c r="AT613" s="225"/>
      <c r="AU613" s="225"/>
      <c r="AV613" s="225"/>
      <c r="AW613" s="225"/>
      <c r="AX613" s="225"/>
      <c r="AY613" s="225"/>
      <c r="AZ613" s="225"/>
      <c r="BA613" s="225"/>
      <c r="BB613" s="225"/>
      <c r="BC613" s="225"/>
      <c r="BD613" s="225"/>
      <c r="BE613" s="225"/>
      <c r="BF613" s="225"/>
      <c r="BG613" s="225"/>
      <c r="BH613" s="225"/>
      <c r="BI613" s="225"/>
      <c r="BJ613" s="225"/>
    </row>
    <row r="614" spans="2:62" ht="15.75" customHeight="1">
      <c r="B614" s="7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  <c r="AS614" s="225"/>
      <c r="AT614" s="225"/>
      <c r="AU614" s="225"/>
      <c r="AV614" s="225"/>
      <c r="AW614" s="225"/>
      <c r="AX614" s="225"/>
      <c r="AY614" s="225"/>
      <c r="AZ614" s="225"/>
      <c r="BA614" s="225"/>
      <c r="BB614" s="225"/>
      <c r="BC614" s="225"/>
      <c r="BD614" s="225"/>
      <c r="BE614" s="225"/>
      <c r="BF614" s="225"/>
      <c r="BG614" s="225"/>
      <c r="BH614" s="225"/>
      <c r="BI614" s="225"/>
      <c r="BJ614" s="225"/>
    </row>
    <row r="615" spans="2:62" ht="15.75" customHeight="1">
      <c r="B615" s="7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  <c r="AS615" s="225"/>
      <c r="AT615" s="225"/>
      <c r="AU615" s="225"/>
      <c r="AV615" s="225"/>
      <c r="AW615" s="225"/>
      <c r="AX615" s="225"/>
      <c r="AY615" s="225"/>
      <c r="AZ615" s="225"/>
      <c r="BA615" s="225"/>
      <c r="BB615" s="225"/>
      <c r="BC615" s="225"/>
      <c r="BD615" s="225"/>
      <c r="BE615" s="225"/>
      <c r="BF615" s="225"/>
      <c r="BG615" s="225"/>
      <c r="BH615" s="225"/>
      <c r="BI615" s="225"/>
      <c r="BJ615" s="225"/>
    </row>
    <row r="616" spans="2:62" ht="15.75" customHeight="1">
      <c r="B616" s="7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  <c r="AS616" s="225"/>
      <c r="AT616" s="225"/>
      <c r="AU616" s="225"/>
      <c r="AV616" s="225"/>
      <c r="AW616" s="225"/>
      <c r="AX616" s="225"/>
      <c r="AY616" s="225"/>
      <c r="AZ616" s="225"/>
      <c r="BA616" s="225"/>
      <c r="BB616" s="225"/>
      <c r="BC616" s="225"/>
      <c r="BD616" s="225"/>
      <c r="BE616" s="225"/>
      <c r="BF616" s="225"/>
      <c r="BG616" s="225"/>
      <c r="BH616" s="225"/>
      <c r="BI616" s="225"/>
      <c r="BJ616" s="225"/>
    </row>
    <row r="617" spans="2:62" ht="15.75" customHeight="1">
      <c r="B617" s="7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  <c r="AS617" s="225"/>
      <c r="AT617" s="225"/>
      <c r="AU617" s="225"/>
      <c r="AV617" s="225"/>
      <c r="AW617" s="225"/>
      <c r="AX617" s="225"/>
      <c r="AY617" s="225"/>
      <c r="AZ617" s="225"/>
      <c r="BA617" s="225"/>
      <c r="BB617" s="225"/>
      <c r="BC617" s="225"/>
      <c r="BD617" s="225"/>
      <c r="BE617" s="225"/>
      <c r="BF617" s="225"/>
      <c r="BG617" s="225"/>
      <c r="BH617" s="225"/>
      <c r="BI617" s="225"/>
      <c r="BJ617" s="225"/>
    </row>
    <row r="618" spans="2:62" ht="15.75" customHeight="1">
      <c r="B618" s="7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  <c r="AS618" s="225"/>
      <c r="AT618" s="225"/>
      <c r="AU618" s="225"/>
      <c r="AV618" s="225"/>
      <c r="AW618" s="225"/>
      <c r="AX618" s="225"/>
      <c r="AY618" s="225"/>
      <c r="AZ618" s="225"/>
      <c r="BA618" s="225"/>
      <c r="BB618" s="225"/>
      <c r="BC618" s="225"/>
      <c r="BD618" s="225"/>
      <c r="BE618" s="225"/>
      <c r="BF618" s="225"/>
      <c r="BG618" s="225"/>
      <c r="BH618" s="225"/>
      <c r="BI618" s="225"/>
      <c r="BJ618" s="225"/>
    </row>
    <row r="619" spans="2:62" ht="15.75" customHeight="1">
      <c r="B619" s="7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  <c r="AS619" s="225"/>
      <c r="AT619" s="225"/>
      <c r="AU619" s="225"/>
      <c r="AV619" s="225"/>
      <c r="AW619" s="225"/>
      <c r="AX619" s="225"/>
      <c r="AY619" s="225"/>
      <c r="AZ619" s="225"/>
      <c r="BA619" s="225"/>
      <c r="BB619" s="225"/>
      <c r="BC619" s="225"/>
      <c r="BD619" s="225"/>
      <c r="BE619" s="225"/>
      <c r="BF619" s="225"/>
      <c r="BG619" s="225"/>
      <c r="BH619" s="225"/>
      <c r="BI619" s="225"/>
      <c r="BJ619" s="225"/>
    </row>
    <row r="620" spans="2:62" ht="15.75" customHeight="1">
      <c r="B620" s="7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  <c r="AS620" s="225"/>
      <c r="AT620" s="225"/>
      <c r="AU620" s="225"/>
      <c r="AV620" s="225"/>
      <c r="AW620" s="225"/>
      <c r="AX620" s="225"/>
      <c r="AY620" s="225"/>
      <c r="AZ620" s="225"/>
      <c r="BA620" s="225"/>
      <c r="BB620" s="225"/>
      <c r="BC620" s="225"/>
      <c r="BD620" s="225"/>
      <c r="BE620" s="225"/>
      <c r="BF620" s="225"/>
      <c r="BG620" s="225"/>
      <c r="BH620" s="225"/>
      <c r="BI620" s="225"/>
      <c r="BJ620" s="225"/>
    </row>
    <row r="621" spans="2:62" ht="15.75" customHeight="1">
      <c r="B621" s="7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  <c r="AS621" s="225"/>
      <c r="AT621" s="225"/>
      <c r="AU621" s="225"/>
      <c r="AV621" s="225"/>
      <c r="AW621" s="225"/>
      <c r="AX621" s="225"/>
      <c r="AY621" s="225"/>
      <c r="AZ621" s="225"/>
      <c r="BA621" s="225"/>
      <c r="BB621" s="225"/>
      <c r="BC621" s="225"/>
      <c r="BD621" s="225"/>
      <c r="BE621" s="225"/>
      <c r="BF621" s="225"/>
      <c r="BG621" s="225"/>
      <c r="BH621" s="225"/>
      <c r="BI621" s="225"/>
      <c r="BJ621" s="225"/>
    </row>
    <row r="622" spans="2:62" ht="15.75" customHeight="1">
      <c r="B622" s="7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  <c r="AS622" s="225"/>
      <c r="AT622" s="225"/>
      <c r="AU622" s="225"/>
      <c r="AV622" s="225"/>
      <c r="AW622" s="225"/>
      <c r="AX622" s="225"/>
      <c r="AY622" s="225"/>
      <c r="AZ622" s="225"/>
      <c r="BA622" s="225"/>
      <c r="BB622" s="225"/>
      <c r="BC622" s="225"/>
      <c r="BD622" s="225"/>
      <c r="BE622" s="225"/>
      <c r="BF622" s="225"/>
      <c r="BG622" s="225"/>
      <c r="BH622" s="225"/>
      <c r="BI622" s="225"/>
      <c r="BJ622" s="225"/>
    </row>
    <row r="623" spans="2:62" ht="15.75" customHeight="1">
      <c r="B623" s="7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  <c r="AS623" s="225"/>
      <c r="AT623" s="225"/>
      <c r="AU623" s="225"/>
      <c r="AV623" s="225"/>
      <c r="AW623" s="225"/>
      <c r="AX623" s="225"/>
      <c r="AY623" s="225"/>
      <c r="AZ623" s="225"/>
      <c r="BA623" s="225"/>
      <c r="BB623" s="225"/>
      <c r="BC623" s="225"/>
      <c r="BD623" s="225"/>
      <c r="BE623" s="225"/>
      <c r="BF623" s="225"/>
      <c r="BG623" s="225"/>
      <c r="BH623" s="225"/>
      <c r="BI623" s="225"/>
      <c r="BJ623" s="225"/>
    </row>
    <row r="624" spans="2:62" ht="15.75" customHeight="1">
      <c r="B624" s="7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  <c r="AS624" s="225"/>
      <c r="AT624" s="225"/>
      <c r="AU624" s="225"/>
      <c r="AV624" s="225"/>
      <c r="AW624" s="225"/>
      <c r="AX624" s="225"/>
      <c r="AY624" s="225"/>
      <c r="AZ624" s="225"/>
      <c r="BA624" s="225"/>
      <c r="BB624" s="225"/>
      <c r="BC624" s="225"/>
      <c r="BD624" s="225"/>
      <c r="BE624" s="225"/>
      <c r="BF624" s="225"/>
      <c r="BG624" s="225"/>
      <c r="BH624" s="225"/>
      <c r="BI624" s="225"/>
      <c r="BJ624" s="225"/>
    </row>
    <row r="625" spans="2:62" ht="15.75" customHeight="1">
      <c r="B625" s="7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  <c r="AS625" s="225"/>
      <c r="AT625" s="225"/>
      <c r="AU625" s="225"/>
      <c r="AV625" s="225"/>
      <c r="AW625" s="225"/>
      <c r="AX625" s="225"/>
      <c r="AY625" s="225"/>
      <c r="AZ625" s="225"/>
      <c r="BA625" s="225"/>
      <c r="BB625" s="225"/>
      <c r="BC625" s="225"/>
      <c r="BD625" s="225"/>
      <c r="BE625" s="225"/>
      <c r="BF625" s="225"/>
      <c r="BG625" s="225"/>
      <c r="BH625" s="225"/>
      <c r="BI625" s="225"/>
      <c r="BJ625" s="225"/>
    </row>
    <row r="626" spans="2:62" ht="15.75" customHeight="1">
      <c r="B626" s="7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  <c r="AS626" s="225"/>
      <c r="AT626" s="225"/>
      <c r="AU626" s="225"/>
      <c r="AV626" s="225"/>
      <c r="AW626" s="225"/>
      <c r="AX626" s="225"/>
      <c r="AY626" s="225"/>
      <c r="AZ626" s="225"/>
      <c r="BA626" s="225"/>
      <c r="BB626" s="225"/>
      <c r="BC626" s="225"/>
      <c r="BD626" s="225"/>
      <c r="BE626" s="225"/>
      <c r="BF626" s="225"/>
      <c r="BG626" s="225"/>
      <c r="BH626" s="225"/>
      <c r="BI626" s="225"/>
      <c r="BJ626" s="225"/>
    </row>
    <row r="627" spans="2:62" ht="15.75" customHeight="1">
      <c r="B627" s="7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  <c r="AS627" s="225"/>
      <c r="AT627" s="225"/>
      <c r="AU627" s="225"/>
      <c r="AV627" s="225"/>
      <c r="AW627" s="225"/>
      <c r="AX627" s="225"/>
      <c r="AY627" s="225"/>
      <c r="AZ627" s="225"/>
      <c r="BA627" s="225"/>
      <c r="BB627" s="225"/>
      <c r="BC627" s="225"/>
      <c r="BD627" s="225"/>
      <c r="BE627" s="225"/>
      <c r="BF627" s="225"/>
      <c r="BG627" s="225"/>
      <c r="BH627" s="225"/>
      <c r="BI627" s="225"/>
      <c r="BJ627" s="225"/>
    </row>
    <row r="628" spans="2:62" ht="15.75" customHeight="1">
      <c r="B628" s="7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  <c r="AS628" s="225"/>
      <c r="AT628" s="225"/>
      <c r="AU628" s="225"/>
      <c r="AV628" s="225"/>
      <c r="AW628" s="225"/>
      <c r="AX628" s="225"/>
      <c r="AY628" s="225"/>
      <c r="AZ628" s="225"/>
      <c r="BA628" s="225"/>
      <c r="BB628" s="225"/>
      <c r="BC628" s="225"/>
      <c r="BD628" s="225"/>
      <c r="BE628" s="225"/>
      <c r="BF628" s="225"/>
      <c r="BG628" s="225"/>
      <c r="BH628" s="225"/>
      <c r="BI628" s="225"/>
      <c r="BJ628" s="225"/>
    </row>
    <row r="629" spans="2:62" ht="15.75" customHeight="1">
      <c r="B629" s="7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  <c r="AX629" s="225"/>
      <c r="AY629" s="225"/>
      <c r="AZ629" s="225"/>
      <c r="BA629" s="225"/>
      <c r="BB629" s="225"/>
      <c r="BC629" s="225"/>
      <c r="BD629" s="225"/>
      <c r="BE629" s="225"/>
      <c r="BF629" s="225"/>
      <c r="BG629" s="225"/>
      <c r="BH629" s="225"/>
      <c r="BI629" s="225"/>
      <c r="BJ629" s="225"/>
    </row>
    <row r="630" spans="2:62" ht="15.75" customHeight="1">
      <c r="B630" s="7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  <c r="AS630" s="225"/>
      <c r="AT630" s="225"/>
      <c r="AU630" s="225"/>
      <c r="AV630" s="225"/>
      <c r="AW630" s="225"/>
      <c r="AX630" s="225"/>
      <c r="AY630" s="225"/>
      <c r="AZ630" s="225"/>
      <c r="BA630" s="225"/>
      <c r="BB630" s="225"/>
      <c r="BC630" s="225"/>
      <c r="BD630" s="225"/>
      <c r="BE630" s="225"/>
      <c r="BF630" s="225"/>
      <c r="BG630" s="225"/>
      <c r="BH630" s="225"/>
      <c r="BI630" s="225"/>
      <c r="BJ630" s="225"/>
    </row>
    <row r="631" spans="2:62" ht="15.75" customHeight="1">
      <c r="B631" s="7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  <c r="AS631" s="225"/>
      <c r="AT631" s="225"/>
      <c r="AU631" s="225"/>
      <c r="AV631" s="225"/>
      <c r="AW631" s="225"/>
      <c r="AX631" s="225"/>
      <c r="AY631" s="225"/>
      <c r="AZ631" s="225"/>
      <c r="BA631" s="225"/>
      <c r="BB631" s="225"/>
      <c r="BC631" s="225"/>
      <c r="BD631" s="225"/>
      <c r="BE631" s="225"/>
      <c r="BF631" s="225"/>
      <c r="BG631" s="225"/>
      <c r="BH631" s="225"/>
      <c r="BI631" s="225"/>
      <c r="BJ631" s="225"/>
    </row>
    <row r="632" spans="2:62" ht="15.75" customHeight="1">
      <c r="B632" s="7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  <c r="AS632" s="225"/>
      <c r="AT632" s="225"/>
      <c r="AU632" s="225"/>
      <c r="AV632" s="225"/>
      <c r="AW632" s="225"/>
      <c r="AX632" s="225"/>
      <c r="AY632" s="225"/>
      <c r="AZ632" s="225"/>
      <c r="BA632" s="225"/>
      <c r="BB632" s="225"/>
      <c r="BC632" s="225"/>
      <c r="BD632" s="225"/>
      <c r="BE632" s="225"/>
      <c r="BF632" s="225"/>
      <c r="BG632" s="225"/>
      <c r="BH632" s="225"/>
      <c r="BI632" s="225"/>
      <c r="BJ632" s="225"/>
    </row>
    <row r="633" spans="2:62" ht="15.75" customHeight="1">
      <c r="B633" s="7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  <c r="AS633" s="225"/>
      <c r="AT633" s="225"/>
      <c r="AU633" s="225"/>
      <c r="AV633" s="225"/>
      <c r="AW633" s="225"/>
      <c r="AX633" s="225"/>
      <c r="AY633" s="225"/>
      <c r="AZ633" s="225"/>
      <c r="BA633" s="225"/>
      <c r="BB633" s="225"/>
      <c r="BC633" s="225"/>
      <c r="BD633" s="225"/>
      <c r="BE633" s="225"/>
      <c r="BF633" s="225"/>
      <c r="BG633" s="225"/>
      <c r="BH633" s="225"/>
      <c r="BI633" s="225"/>
      <c r="BJ633" s="225"/>
    </row>
    <row r="634" spans="2:62" ht="15.75" customHeight="1">
      <c r="B634" s="7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  <c r="AS634" s="225"/>
      <c r="AT634" s="225"/>
      <c r="AU634" s="225"/>
      <c r="AV634" s="225"/>
      <c r="AW634" s="225"/>
      <c r="AX634" s="225"/>
      <c r="AY634" s="225"/>
      <c r="AZ634" s="225"/>
      <c r="BA634" s="225"/>
      <c r="BB634" s="225"/>
      <c r="BC634" s="225"/>
      <c r="BD634" s="225"/>
      <c r="BE634" s="225"/>
      <c r="BF634" s="225"/>
      <c r="BG634" s="225"/>
      <c r="BH634" s="225"/>
      <c r="BI634" s="225"/>
      <c r="BJ634" s="225"/>
    </row>
    <row r="635" spans="2:62" ht="15.75" customHeight="1">
      <c r="B635" s="7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  <c r="AS635" s="225"/>
      <c r="AT635" s="225"/>
      <c r="AU635" s="225"/>
      <c r="AV635" s="225"/>
      <c r="AW635" s="225"/>
      <c r="AX635" s="225"/>
      <c r="AY635" s="225"/>
      <c r="AZ635" s="225"/>
      <c r="BA635" s="225"/>
      <c r="BB635" s="225"/>
      <c r="BC635" s="225"/>
      <c r="BD635" s="225"/>
      <c r="BE635" s="225"/>
      <c r="BF635" s="225"/>
      <c r="BG635" s="225"/>
      <c r="BH635" s="225"/>
      <c r="BI635" s="225"/>
      <c r="BJ635" s="225"/>
    </row>
    <row r="636" spans="2:62" ht="15.75" customHeight="1">
      <c r="B636" s="7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  <c r="AS636" s="225"/>
      <c r="AT636" s="225"/>
      <c r="AU636" s="225"/>
      <c r="AV636" s="225"/>
      <c r="AW636" s="225"/>
      <c r="AX636" s="225"/>
      <c r="AY636" s="225"/>
      <c r="AZ636" s="225"/>
      <c r="BA636" s="225"/>
      <c r="BB636" s="225"/>
      <c r="BC636" s="225"/>
      <c r="BD636" s="225"/>
      <c r="BE636" s="225"/>
      <c r="BF636" s="225"/>
      <c r="BG636" s="225"/>
      <c r="BH636" s="225"/>
      <c r="BI636" s="225"/>
      <c r="BJ636" s="225"/>
    </row>
    <row r="637" spans="2:62" ht="15.75" customHeight="1">
      <c r="B637" s="7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  <c r="AS637" s="225"/>
      <c r="AT637" s="225"/>
      <c r="AU637" s="225"/>
      <c r="AV637" s="225"/>
      <c r="AW637" s="225"/>
      <c r="AX637" s="225"/>
      <c r="AY637" s="225"/>
      <c r="AZ637" s="225"/>
      <c r="BA637" s="225"/>
      <c r="BB637" s="225"/>
      <c r="BC637" s="225"/>
      <c r="BD637" s="225"/>
      <c r="BE637" s="225"/>
      <c r="BF637" s="225"/>
      <c r="BG637" s="225"/>
      <c r="BH637" s="225"/>
      <c r="BI637" s="225"/>
      <c r="BJ637" s="225"/>
    </row>
    <row r="638" spans="2:62" ht="15.75" customHeight="1">
      <c r="B638" s="7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  <c r="AS638" s="225"/>
      <c r="AT638" s="225"/>
      <c r="AU638" s="225"/>
      <c r="AV638" s="225"/>
      <c r="AW638" s="225"/>
      <c r="AX638" s="225"/>
      <c r="AY638" s="225"/>
      <c r="AZ638" s="225"/>
      <c r="BA638" s="225"/>
      <c r="BB638" s="225"/>
      <c r="BC638" s="225"/>
      <c r="BD638" s="225"/>
      <c r="BE638" s="225"/>
      <c r="BF638" s="225"/>
      <c r="BG638" s="225"/>
      <c r="BH638" s="225"/>
      <c r="BI638" s="225"/>
      <c r="BJ638" s="225"/>
    </row>
    <row r="639" spans="2:62" ht="15.75" customHeight="1">
      <c r="B639" s="7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  <c r="AS639" s="225"/>
      <c r="AT639" s="225"/>
      <c r="AU639" s="225"/>
      <c r="AV639" s="225"/>
      <c r="AW639" s="225"/>
      <c r="AX639" s="225"/>
      <c r="AY639" s="225"/>
      <c r="AZ639" s="225"/>
      <c r="BA639" s="225"/>
      <c r="BB639" s="225"/>
      <c r="BC639" s="225"/>
      <c r="BD639" s="225"/>
      <c r="BE639" s="225"/>
      <c r="BF639" s="225"/>
      <c r="BG639" s="225"/>
      <c r="BH639" s="225"/>
      <c r="BI639" s="225"/>
      <c r="BJ639" s="225"/>
    </row>
    <row r="640" spans="2:62" ht="15.75" customHeight="1">
      <c r="B640" s="7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  <c r="AS640" s="225"/>
      <c r="AT640" s="225"/>
      <c r="AU640" s="225"/>
      <c r="AV640" s="225"/>
      <c r="AW640" s="225"/>
      <c r="AX640" s="225"/>
      <c r="AY640" s="225"/>
      <c r="AZ640" s="225"/>
      <c r="BA640" s="225"/>
      <c r="BB640" s="225"/>
      <c r="BC640" s="225"/>
      <c r="BD640" s="225"/>
      <c r="BE640" s="225"/>
      <c r="BF640" s="225"/>
      <c r="BG640" s="225"/>
      <c r="BH640" s="225"/>
      <c r="BI640" s="225"/>
      <c r="BJ640" s="225"/>
    </row>
    <row r="641" spans="2:62" ht="15.75" customHeight="1">
      <c r="B641" s="7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  <c r="AS641" s="225"/>
      <c r="AT641" s="225"/>
      <c r="AU641" s="225"/>
      <c r="AV641" s="225"/>
      <c r="AW641" s="225"/>
      <c r="AX641" s="225"/>
      <c r="AY641" s="225"/>
      <c r="AZ641" s="225"/>
      <c r="BA641" s="225"/>
      <c r="BB641" s="225"/>
      <c r="BC641" s="225"/>
      <c r="BD641" s="225"/>
      <c r="BE641" s="225"/>
      <c r="BF641" s="225"/>
      <c r="BG641" s="225"/>
      <c r="BH641" s="225"/>
      <c r="BI641" s="225"/>
      <c r="BJ641" s="225"/>
    </row>
    <row r="642" spans="2:62" ht="15.75" customHeight="1">
      <c r="B642" s="7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  <c r="AS642" s="225"/>
      <c r="AT642" s="225"/>
      <c r="AU642" s="225"/>
      <c r="AV642" s="225"/>
      <c r="AW642" s="225"/>
      <c r="AX642" s="225"/>
      <c r="AY642" s="225"/>
      <c r="AZ642" s="225"/>
      <c r="BA642" s="225"/>
      <c r="BB642" s="225"/>
      <c r="BC642" s="225"/>
      <c r="BD642" s="225"/>
      <c r="BE642" s="225"/>
      <c r="BF642" s="225"/>
      <c r="BG642" s="225"/>
      <c r="BH642" s="225"/>
      <c r="BI642" s="225"/>
      <c r="BJ642" s="225"/>
    </row>
    <row r="643" spans="2:62" ht="15.75" customHeight="1">
      <c r="B643" s="7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  <c r="AS643" s="225"/>
      <c r="AT643" s="225"/>
      <c r="AU643" s="225"/>
      <c r="AV643" s="225"/>
      <c r="AW643" s="225"/>
      <c r="AX643" s="225"/>
      <c r="AY643" s="225"/>
      <c r="AZ643" s="225"/>
      <c r="BA643" s="225"/>
      <c r="BB643" s="225"/>
      <c r="BC643" s="225"/>
      <c r="BD643" s="225"/>
      <c r="BE643" s="225"/>
      <c r="BF643" s="225"/>
      <c r="BG643" s="225"/>
      <c r="BH643" s="225"/>
      <c r="BI643" s="225"/>
      <c r="BJ643" s="225"/>
    </row>
    <row r="644" spans="2:62" ht="15.75" customHeight="1">
      <c r="B644" s="7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  <c r="AS644" s="225"/>
      <c r="AT644" s="225"/>
      <c r="AU644" s="225"/>
      <c r="AV644" s="225"/>
      <c r="AW644" s="225"/>
      <c r="AX644" s="225"/>
      <c r="AY644" s="225"/>
      <c r="AZ644" s="225"/>
      <c r="BA644" s="225"/>
      <c r="BB644" s="225"/>
      <c r="BC644" s="225"/>
      <c r="BD644" s="225"/>
      <c r="BE644" s="225"/>
      <c r="BF644" s="225"/>
      <c r="BG644" s="225"/>
      <c r="BH644" s="225"/>
      <c r="BI644" s="225"/>
      <c r="BJ644" s="225"/>
    </row>
    <row r="645" spans="2:62" ht="15.75" customHeight="1">
      <c r="B645" s="7"/>
      <c r="C645" s="366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67"/>
      <c r="P645" s="302"/>
      <c r="Q645" s="302"/>
      <c r="R645" s="302"/>
      <c r="S645" s="302"/>
      <c r="T645" s="302"/>
      <c r="U645" s="302"/>
      <c r="V645" s="302"/>
      <c r="W645" s="302"/>
      <c r="X645" s="302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  <c r="AS645" s="225"/>
      <c r="AT645" s="225"/>
      <c r="AU645" s="225"/>
      <c r="AV645" s="225"/>
      <c r="AW645" s="225"/>
      <c r="AX645" s="225"/>
      <c r="AY645" s="225"/>
      <c r="AZ645" s="225"/>
      <c r="BA645" s="225"/>
      <c r="BB645" s="225"/>
      <c r="BC645" s="225"/>
      <c r="BD645" s="225"/>
      <c r="BE645" s="225"/>
      <c r="BF645" s="225"/>
      <c r="BG645" s="225"/>
      <c r="BH645" s="225"/>
      <c r="BI645" s="225"/>
      <c r="BJ645" s="225"/>
    </row>
    <row r="646" spans="2:62" ht="15.75" customHeight="1">
      <c r="B646" s="7"/>
      <c r="C646" s="356"/>
      <c r="D646" s="360"/>
      <c r="E646" s="360"/>
      <c r="F646" s="360"/>
      <c r="G646" s="360"/>
      <c r="H646" s="360"/>
      <c r="I646" s="360"/>
      <c r="J646" s="360"/>
      <c r="K646" s="360"/>
      <c r="L646" s="360"/>
      <c r="M646" s="360"/>
      <c r="N646" s="360"/>
      <c r="O646" s="360"/>
      <c r="P646" s="360"/>
      <c r="Q646" s="368"/>
      <c r="R646" s="360"/>
      <c r="S646" s="360"/>
      <c r="T646" s="302"/>
      <c r="U646" s="302"/>
      <c r="V646" s="302"/>
      <c r="W646" s="302"/>
      <c r="X646" s="302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  <c r="AS646" s="225"/>
      <c r="AT646" s="225"/>
      <c r="AU646" s="225"/>
      <c r="AV646" s="225"/>
      <c r="AW646" s="225"/>
      <c r="AX646" s="225"/>
      <c r="AY646" s="225"/>
      <c r="AZ646" s="225"/>
      <c r="BA646" s="225"/>
      <c r="BB646" s="225"/>
      <c r="BC646" s="225"/>
      <c r="BD646" s="225"/>
      <c r="BE646" s="225"/>
      <c r="BF646" s="225"/>
      <c r="BG646" s="225"/>
      <c r="BH646" s="225"/>
      <c r="BI646" s="225"/>
      <c r="BJ646" s="225"/>
    </row>
    <row r="647" spans="2:62" ht="15.75" customHeight="1">
      <c r="B647" s="7"/>
      <c r="C647" s="302"/>
      <c r="D647" s="357"/>
      <c r="E647" s="357"/>
      <c r="F647" s="369"/>
      <c r="G647" s="357"/>
      <c r="H647" s="357"/>
      <c r="I647" s="369"/>
      <c r="J647" s="361"/>
      <c r="K647" s="361"/>
      <c r="L647" s="370"/>
      <c r="M647" s="361"/>
      <c r="N647" s="361"/>
      <c r="O647" s="361"/>
      <c r="P647" s="361"/>
      <c r="Q647" s="358"/>
      <c r="R647" s="357"/>
      <c r="S647" s="369"/>
      <c r="T647" s="302"/>
      <c r="U647" s="302"/>
      <c r="V647" s="302"/>
      <c r="W647" s="302"/>
      <c r="X647" s="302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  <c r="AS647" s="225"/>
      <c r="AT647" s="225"/>
      <c r="AU647" s="225"/>
      <c r="AV647" s="225"/>
      <c r="AW647" s="225"/>
      <c r="AX647" s="225"/>
      <c r="AY647" s="225"/>
      <c r="AZ647" s="225"/>
      <c r="BA647" s="225"/>
      <c r="BB647" s="225"/>
      <c r="BC647" s="225"/>
      <c r="BD647" s="225"/>
      <c r="BE647" s="225"/>
      <c r="BF647" s="225"/>
      <c r="BG647" s="225"/>
      <c r="BH647" s="225"/>
      <c r="BI647" s="225"/>
      <c r="BJ647" s="225"/>
    </row>
    <row r="648" spans="2:62" ht="15.75" customHeight="1">
      <c r="B648" s="7"/>
      <c r="C648" s="371"/>
      <c r="D648" s="302"/>
      <c r="E648" s="302"/>
      <c r="F648" s="360"/>
      <c r="G648" s="302"/>
      <c r="H648" s="302"/>
      <c r="I648" s="360"/>
      <c r="J648" s="360"/>
      <c r="K648" s="360"/>
      <c r="L648" s="302"/>
      <c r="M648" s="360"/>
      <c r="N648" s="360"/>
      <c r="O648" s="302"/>
      <c r="P648" s="360"/>
      <c r="Q648" s="360"/>
      <c r="R648" s="302"/>
      <c r="S648" s="360"/>
      <c r="T648" s="302"/>
      <c r="U648" s="302"/>
      <c r="V648" s="302"/>
      <c r="W648" s="302"/>
      <c r="X648" s="302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  <c r="AS648" s="225"/>
      <c r="AT648" s="225"/>
      <c r="AU648" s="225"/>
      <c r="AV648" s="225"/>
      <c r="AW648" s="225"/>
      <c r="AX648" s="225"/>
      <c r="AY648" s="225"/>
      <c r="AZ648" s="225"/>
      <c r="BA648" s="225"/>
      <c r="BB648" s="225"/>
      <c r="BC648" s="225"/>
      <c r="BD648" s="225"/>
      <c r="BE648" s="225"/>
      <c r="BF648" s="225"/>
      <c r="BG648" s="225"/>
      <c r="BH648" s="225"/>
      <c r="BI648" s="225"/>
      <c r="BJ648" s="225"/>
    </row>
    <row r="649" spans="2:62" ht="15.75" customHeight="1">
      <c r="B649" s="7"/>
      <c r="C649" s="302"/>
      <c r="D649" s="302"/>
      <c r="E649" s="302"/>
      <c r="F649" s="353"/>
      <c r="G649" s="302"/>
      <c r="H649" s="302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02"/>
      <c r="U649" s="302"/>
      <c r="V649" s="302"/>
      <c r="W649" s="302"/>
      <c r="X649" s="302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  <c r="AS649" s="225"/>
      <c r="AT649" s="225"/>
      <c r="AU649" s="225"/>
      <c r="AV649" s="225"/>
      <c r="AW649" s="225"/>
      <c r="AX649" s="225"/>
      <c r="AY649" s="225"/>
      <c r="AZ649" s="225"/>
      <c r="BA649" s="225"/>
      <c r="BB649" s="225"/>
      <c r="BC649" s="225"/>
      <c r="BD649" s="225"/>
      <c r="BE649" s="225"/>
      <c r="BF649" s="225"/>
      <c r="BG649" s="225"/>
      <c r="BH649" s="225"/>
      <c r="BI649" s="225"/>
      <c r="BJ649" s="225"/>
    </row>
    <row r="650" spans="2:62" ht="15.75" customHeight="1">
      <c r="B650" s="7"/>
      <c r="C650" s="352"/>
      <c r="D650" s="352"/>
      <c r="E650" s="352"/>
      <c r="F650" s="355"/>
      <c r="G650" s="352"/>
      <c r="H650" s="352"/>
      <c r="I650" s="355"/>
      <c r="J650" s="355"/>
      <c r="K650" s="355"/>
      <c r="L650" s="355"/>
      <c r="M650" s="355"/>
      <c r="N650" s="355"/>
      <c r="O650" s="355"/>
      <c r="P650" s="355"/>
      <c r="Q650" s="355"/>
      <c r="R650" s="355"/>
      <c r="S650" s="355"/>
      <c r="T650" s="302"/>
      <c r="U650" s="302"/>
      <c r="V650" s="302"/>
      <c r="W650" s="302"/>
      <c r="X650" s="302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  <c r="AS650" s="225"/>
      <c r="AT650" s="225"/>
      <c r="AU650" s="225"/>
      <c r="AV650" s="225"/>
      <c r="AW650" s="225"/>
      <c r="AX650" s="225"/>
      <c r="AY650" s="225"/>
      <c r="AZ650" s="225"/>
      <c r="BA650" s="225"/>
      <c r="BB650" s="225"/>
      <c r="BC650" s="225"/>
      <c r="BD650" s="225"/>
      <c r="BE650" s="225"/>
      <c r="BF650" s="225"/>
      <c r="BG650" s="225"/>
      <c r="BH650" s="225"/>
      <c r="BI650" s="225"/>
      <c r="BJ650" s="225"/>
    </row>
    <row r="651" spans="2:62" ht="15.75" customHeight="1">
      <c r="B651" s="7"/>
      <c r="C651" s="302"/>
      <c r="D651" s="302"/>
      <c r="E651" s="302"/>
      <c r="F651" s="302"/>
      <c r="G651" s="302"/>
      <c r="H651" s="302"/>
      <c r="I651" s="302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02"/>
      <c r="U651" s="302"/>
      <c r="V651" s="302"/>
      <c r="W651" s="302"/>
      <c r="X651" s="302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  <c r="AS651" s="225"/>
      <c r="AT651" s="225"/>
      <c r="AU651" s="225"/>
      <c r="AV651" s="225"/>
      <c r="AW651" s="225"/>
      <c r="AX651" s="225"/>
      <c r="AY651" s="225"/>
      <c r="AZ651" s="225"/>
      <c r="BA651" s="225"/>
      <c r="BB651" s="225"/>
      <c r="BC651" s="225"/>
      <c r="BD651" s="225"/>
      <c r="BE651" s="225"/>
      <c r="BF651" s="225"/>
      <c r="BG651" s="225"/>
      <c r="BH651" s="225"/>
      <c r="BI651" s="225"/>
      <c r="BJ651" s="225"/>
    </row>
    <row r="652" spans="2:62" ht="15.75" customHeight="1">
      <c r="B652" s="7"/>
      <c r="C652" s="302"/>
      <c r="D652" s="302"/>
      <c r="E652" s="302"/>
      <c r="F652" s="302"/>
      <c r="G652" s="302"/>
      <c r="H652" s="302"/>
      <c r="I652" s="302"/>
      <c r="J652" s="302"/>
      <c r="K652" s="353"/>
      <c r="L652" s="353"/>
      <c r="M652" s="302"/>
      <c r="N652" s="353"/>
      <c r="O652" s="353"/>
      <c r="P652" s="302"/>
      <c r="Q652" s="353"/>
      <c r="R652" s="353"/>
      <c r="S652" s="302"/>
      <c r="T652" s="302"/>
      <c r="U652" s="302"/>
      <c r="V652" s="302"/>
      <c r="W652" s="302"/>
      <c r="X652" s="302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  <c r="AS652" s="225"/>
      <c r="AT652" s="225"/>
      <c r="AU652" s="225"/>
      <c r="AV652" s="225"/>
      <c r="AW652" s="225"/>
      <c r="AX652" s="225"/>
      <c r="AY652" s="225"/>
      <c r="AZ652" s="225"/>
      <c r="BA652" s="225"/>
      <c r="BB652" s="225"/>
      <c r="BC652" s="225"/>
      <c r="BD652" s="225"/>
      <c r="BE652" s="225"/>
      <c r="BF652" s="225"/>
      <c r="BG652" s="225"/>
      <c r="BH652" s="225"/>
      <c r="BI652" s="225"/>
      <c r="BJ652" s="225"/>
    </row>
    <row r="653" spans="2:62" ht="15.75" customHeight="1">
      <c r="B653" s="7"/>
      <c r="C653" s="302"/>
      <c r="D653" s="302"/>
      <c r="E653" s="302"/>
      <c r="F653" s="302"/>
      <c r="G653" s="302"/>
      <c r="H653" s="302"/>
      <c r="I653" s="302"/>
      <c r="J653" s="302"/>
      <c r="K653" s="353"/>
      <c r="L653" s="353"/>
      <c r="M653" s="302"/>
      <c r="N653" s="353"/>
      <c r="O653" s="353"/>
      <c r="P653" s="302"/>
      <c r="Q653" s="353"/>
      <c r="R653" s="353"/>
      <c r="S653" s="302"/>
      <c r="T653" s="302"/>
      <c r="U653" s="302"/>
      <c r="V653" s="302"/>
      <c r="W653" s="302"/>
      <c r="X653" s="302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  <c r="AS653" s="225"/>
      <c r="AT653" s="225"/>
      <c r="AU653" s="225"/>
      <c r="AV653" s="225"/>
      <c r="AW653" s="225"/>
      <c r="AX653" s="225"/>
      <c r="AY653" s="225"/>
      <c r="AZ653" s="225"/>
      <c r="BA653" s="225"/>
      <c r="BB653" s="225"/>
      <c r="BC653" s="225"/>
      <c r="BD653" s="225"/>
      <c r="BE653" s="225"/>
      <c r="BF653" s="225"/>
      <c r="BG653" s="225"/>
      <c r="BH653" s="225"/>
      <c r="BI653" s="225"/>
      <c r="BJ653" s="225"/>
    </row>
    <row r="654" spans="2:62" ht="15.75" customHeight="1">
      <c r="B654" s="7"/>
      <c r="C654" s="302"/>
      <c r="D654" s="302"/>
      <c r="E654" s="302"/>
      <c r="F654" s="302"/>
      <c r="G654" s="302"/>
      <c r="H654" s="302"/>
      <c r="I654" s="302"/>
      <c r="J654" s="302"/>
      <c r="K654" s="353"/>
      <c r="L654" s="353"/>
      <c r="M654" s="302"/>
      <c r="N654" s="353"/>
      <c r="O654" s="353"/>
      <c r="P654" s="302"/>
      <c r="Q654" s="353"/>
      <c r="R654" s="353"/>
      <c r="S654" s="302"/>
      <c r="T654" s="302"/>
      <c r="U654" s="302"/>
      <c r="V654" s="302"/>
      <c r="W654" s="302"/>
      <c r="X654" s="302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  <c r="AS654" s="225"/>
      <c r="AT654" s="225"/>
      <c r="AU654" s="225"/>
      <c r="AV654" s="225"/>
      <c r="AW654" s="225"/>
      <c r="AX654" s="225"/>
      <c r="AY654" s="225"/>
      <c r="AZ654" s="225"/>
      <c r="BA654" s="225"/>
      <c r="BB654" s="225"/>
      <c r="BC654" s="225"/>
      <c r="BD654" s="225"/>
      <c r="BE654" s="225"/>
      <c r="BF654" s="225"/>
      <c r="BG654" s="225"/>
      <c r="BH654" s="225"/>
      <c r="BI654" s="225"/>
      <c r="BJ654" s="225"/>
    </row>
    <row r="655" spans="2:62" ht="15.75" customHeight="1">
      <c r="B655" s="7"/>
      <c r="C655" s="302"/>
      <c r="D655" s="302"/>
      <c r="E655" s="302"/>
      <c r="F655" s="302"/>
      <c r="G655" s="302"/>
      <c r="H655" s="302"/>
      <c r="I655" s="302"/>
      <c r="J655" s="302"/>
      <c r="K655" s="353"/>
      <c r="L655" s="353"/>
      <c r="M655" s="302"/>
      <c r="N655" s="353"/>
      <c r="O655" s="353"/>
      <c r="P655" s="302"/>
      <c r="Q655" s="353"/>
      <c r="R655" s="353"/>
      <c r="S655" s="302"/>
      <c r="T655" s="302"/>
      <c r="U655" s="302"/>
      <c r="V655" s="302"/>
      <c r="W655" s="302"/>
      <c r="X655" s="302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  <c r="AS655" s="225"/>
      <c r="AT655" s="225"/>
      <c r="AU655" s="225"/>
      <c r="AV655" s="225"/>
      <c r="AW655" s="225"/>
      <c r="AX655" s="225"/>
      <c r="AY655" s="225"/>
      <c r="AZ655" s="225"/>
      <c r="BA655" s="225"/>
      <c r="BB655" s="225"/>
      <c r="BC655" s="225"/>
      <c r="BD655" s="225"/>
      <c r="BE655" s="225"/>
      <c r="BF655" s="225"/>
      <c r="BG655" s="225"/>
      <c r="BH655" s="225"/>
      <c r="BI655" s="225"/>
      <c r="BJ655" s="225"/>
    </row>
    <row r="656" spans="2:62" ht="15.75" customHeight="1">
      <c r="B656" s="7"/>
      <c r="C656" s="302"/>
      <c r="D656" s="302"/>
      <c r="E656" s="302"/>
      <c r="F656" s="302"/>
      <c r="G656" s="302"/>
      <c r="H656" s="302"/>
      <c r="I656" s="302"/>
      <c r="J656" s="302"/>
      <c r="K656" s="353"/>
      <c r="L656" s="353"/>
      <c r="M656" s="302"/>
      <c r="N656" s="353"/>
      <c r="O656" s="353"/>
      <c r="P656" s="302"/>
      <c r="Q656" s="353"/>
      <c r="R656" s="353"/>
      <c r="S656" s="302"/>
      <c r="T656" s="302"/>
      <c r="U656" s="302"/>
      <c r="V656" s="302"/>
      <c r="W656" s="302"/>
      <c r="X656" s="302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  <c r="AS656" s="225"/>
      <c r="AT656" s="225"/>
      <c r="AU656" s="225"/>
      <c r="AV656" s="225"/>
      <c r="AW656" s="225"/>
      <c r="AX656" s="225"/>
      <c r="AY656" s="225"/>
      <c r="AZ656" s="225"/>
      <c r="BA656" s="225"/>
      <c r="BB656" s="225"/>
      <c r="BC656" s="225"/>
      <c r="BD656" s="225"/>
      <c r="BE656" s="225"/>
      <c r="BF656" s="225"/>
      <c r="BG656" s="225"/>
      <c r="BH656" s="225"/>
      <c r="BI656" s="225"/>
      <c r="BJ656" s="225"/>
    </row>
    <row r="657" spans="2:62" ht="15.75" customHeight="1">
      <c r="B657" s="7"/>
      <c r="C657" s="302"/>
      <c r="D657" s="302"/>
      <c r="E657" s="302"/>
      <c r="F657" s="302"/>
      <c r="G657" s="302"/>
      <c r="H657" s="302"/>
      <c r="I657" s="302"/>
      <c r="J657" s="302"/>
      <c r="K657" s="353"/>
      <c r="L657" s="355"/>
      <c r="M657" s="302"/>
      <c r="N657" s="353"/>
      <c r="O657" s="353"/>
      <c r="P657" s="302"/>
      <c r="Q657" s="353"/>
      <c r="R657" s="355"/>
      <c r="S657" s="302"/>
      <c r="T657" s="302"/>
      <c r="U657" s="302"/>
      <c r="V657" s="302"/>
      <c r="W657" s="302"/>
      <c r="X657" s="302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  <c r="AS657" s="225"/>
      <c r="AT657" s="225"/>
      <c r="AU657" s="225"/>
      <c r="AV657" s="225"/>
      <c r="AW657" s="225"/>
      <c r="AX657" s="225"/>
      <c r="AY657" s="225"/>
      <c r="AZ657" s="225"/>
      <c r="BA657" s="225"/>
      <c r="BB657" s="225"/>
      <c r="BC657" s="225"/>
      <c r="BD657" s="225"/>
      <c r="BE657" s="225"/>
      <c r="BF657" s="225"/>
      <c r="BG657" s="225"/>
      <c r="BH657" s="225"/>
      <c r="BI657" s="225"/>
      <c r="BJ657" s="225"/>
    </row>
    <row r="658" spans="2:62" ht="15.75" customHeight="1">
      <c r="B658" s="7"/>
      <c r="C658" s="302"/>
      <c r="D658" s="302"/>
      <c r="E658" s="302"/>
      <c r="F658" s="302"/>
      <c r="G658" s="302"/>
      <c r="H658" s="302"/>
      <c r="I658" s="302"/>
      <c r="J658" s="302"/>
      <c r="K658" s="353"/>
      <c r="L658" s="353"/>
      <c r="M658" s="302"/>
      <c r="N658" s="353"/>
      <c r="O658" s="353"/>
      <c r="P658" s="302"/>
      <c r="Q658" s="353"/>
      <c r="R658" s="353"/>
      <c r="S658" s="302"/>
      <c r="T658" s="302"/>
      <c r="U658" s="302"/>
      <c r="V658" s="302"/>
      <c r="W658" s="302"/>
      <c r="X658" s="302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  <c r="AS658" s="225"/>
      <c r="AT658" s="225"/>
      <c r="AU658" s="225"/>
      <c r="AV658" s="225"/>
      <c r="AW658" s="225"/>
      <c r="AX658" s="225"/>
      <c r="AY658" s="225"/>
      <c r="AZ658" s="225"/>
      <c r="BA658" s="225"/>
      <c r="BB658" s="225"/>
      <c r="BC658" s="225"/>
      <c r="BD658" s="225"/>
      <c r="BE658" s="225"/>
      <c r="BF658" s="225"/>
      <c r="BG658" s="225"/>
      <c r="BH658" s="225"/>
      <c r="BI658" s="225"/>
      <c r="BJ658" s="225"/>
    </row>
    <row r="659" spans="2:62" ht="15.75" customHeight="1">
      <c r="B659" s="7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55"/>
      <c r="O659" s="355"/>
      <c r="P659" s="302"/>
      <c r="Q659" s="355"/>
      <c r="R659" s="302"/>
      <c r="S659" s="302"/>
      <c r="T659" s="302"/>
      <c r="U659" s="302"/>
      <c r="V659" s="302"/>
      <c r="W659" s="302"/>
      <c r="X659" s="302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  <c r="AS659" s="225"/>
      <c r="AT659" s="225"/>
      <c r="AU659" s="225"/>
      <c r="AV659" s="225"/>
      <c r="AW659" s="225"/>
      <c r="AX659" s="225"/>
      <c r="AY659" s="225"/>
      <c r="AZ659" s="225"/>
      <c r="BA659" s="225"/>
      <c r="BB659" s="225"/>
      <c r="BC659" s="225"/>
      <c r="BD659" s="225"/>
      <c r="BE659" s="225"/>
      <c r="BF659" s="225"/>
      <c r="BG659" s="225"/>
      <c r="BH659" s="225"/>
      <c r="BI659" s="225"/>
      <c r="BJ659" s="225"/>
    </row>
    <row r="660" spans="2:62" ht="15.75" customHeight="1">
      <c r="B660" s="7"/>
      <c r="C660" s="302"/>
      <c r="D660" s="302"/>
      <c r="E660" s="302"/>
      <c r="F660" s="302"/>
      <c r="G660" s="302"/>
      <c r="H660" s="302"/>
      <c r="I660" s="302"/>
      <c r="J660" s="302"/>
      <c r="K660" s="355"/>
      <c r="L660" s="355"/>
      <c r="M660" s="302"/>
      <c r="N660" s="353"/>
      <c r="O660" s="353"/>
      <c r="P660" s="302"/>
      <c r="Q660" s="353"/>
      <c r="R660" s="355"/>
      <c r="S660" s="302"/>
      <c r="T660" s="302"/>
      <c r="U660" s="302"/>
      <c r="V660" s="302"/>
      <c r="W660" s="302"/>
      <c r="X660" s="302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  <c r="AS660" s="225"/>
      <c r="AT660" s="225"/>
      <c r="AU660" s="225"/>
      <c r="AV660" s="225"/>
      <c r="AW660" s="225"/>
      <c r="AX660" s="225"/>
      <c r="AY660" s="225"/>
      <c r="AZ660" s="225"/>
      <c r="BA660" s="225"/>
      <c r="BB660" s="225"/>
      <c r="BC660" s="225"/>
      <c r="BD660" s="225"/>
      <c r="BE660" s="225"/>
      <c r="BF660" s="225"/>
      <c r="BG660" s="225"/>
      <c r="BH660" s="225"/>
      <c r="BI660" s="225"/>
      <c r="BJ660" s="225"/>
    </row>
    <row r="661" spans="2:62" ht="15.75" customHeight="1">
      <c r="B661" s="7"/>
      <c r="C661" s="302"/>
      <c r="D661" s="302"/>
      <c r="E661" s="302"/>
      <c r="F661" s="302"/>
      <c r="G661" s="302"/>
      <c r="H661" s="302"/>
      <c r="I661" s="302"/>
      <c r="J661" s="302"/>
      <c r="K661" s="353"/>
      <c r="L661" s="353"/>
      <c r="M661" s="302"/>
      <c r="N661" s="353"/>
      <c r="O661" s="353"/>
      <c r="P661" s="302"/>
      <c r="Q661" s="353"/>
      <c r="R661" s="353"/>
      <c r="S661" s="302"/>
      <c r="T661" s="302"/>
      <c r="U661" s="302"/>
      <c r="V661" s="302"/>
      <c r="W661" s="302"/>
      <c r="X661" s="302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  <c r="AX661" s="225"/>
      <c r="AY661" s="225"/>
      <c r="AZ661" s="225"/>
      <c r="BA661" s="225"/>
      <c r="BB661" s="225"/>
      <c r="BC661" s="225"/>
      <c r="BD661" s="225"/>
      <c r="BE661" s="225"/>
      <c r="BF661" s="225"/>
      <c r="BG661" s="225"/>
      <c r="BH661" s="225"/>
      <c r="BI661" s="225"/>
      <c r="BJ661" s="225"/>
    </row>
    <row r="662" spans="2:62" ht="15.75" customHeight="1">
      <c r="B662" s="7"/>
      <c r="C662" s="302"/>
      <c r="D662" s="302"/>
      <c r="E662" s="302"/>
      <c r="F662" s="302"/>
      <c r="G662" s="302"/>
      <c r="H662" s="302"/>
      <c r="I662" s="302"/>
      <c r="J662" s="302"/>
      <c r="K662" s="353"/>
      <c r="L662" s="353"/>
      <c r="M662" s="302"/>
      <c r="N662" s="353"/>
      <c r="O662" s="353"/>
      <c r="P662" s="302"/>
      <c r="Q662" s="353"/>
      <c r="R662" s="353"/>
      <c r="S662" s="302"/>
      <c r="T662" s="302"/>
      <c r="U662" s="302"/>
      <c r="V662" s="302"/>
      <c r="W662" s="302"/>
      <c r="X662" s="302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  <c r="AX662" s="225"/>
      <c r="AY662" s="225"/>
      <c r="AZ662" s="225"/>
      <c r="BA662" s="225"/>
      <c r="BB662" s="225"/>
      <c r="BC662" s="225"/>
      <c r="BD662" s="225"/>
      <c r="BE662" s="225"/>
      <c r="BF662" s="225"/>
      <c r="BG662" s="225"/>
      <c r="BH662" s="225"/>
      <c r="BI662" s="225"/>
      <c r="BJ662" s="225"/>
    </row>
    <row r="663" spans="2:62" ht="15.75" customHeight="1">
      <c r="B663" s="7"/>
      <c r="C663" s="302"/>
      <c r="D663" s="302"/>
      <c r="E663" s="302"/>
      <c r="F663" s="302"/>
      <c r="G663" s="302"/>
      <c r="H663" s="302"/>
      <c r="I663" s="302"/>
      <c r="J663" s="302"/>
      <c r="K663" s="353"/>
      <c r="L663" s="353"/>
      <c r="M663" s="302"/>
      <c r="N663" s="353"/>
      <c r="O663" s="353"/>
      <c r="P663" s="302"/>
      <c r="Q663" s="353"/>
      <c r="R663" s="353"/>
      <c r="S663" s="302"/>
      <c r="T663" s="302"/>
      <c r="U663" s="302"/>
      <c r="V663" s="302"/>
      <c r="W663" s="302"/>
      <c r="X663" s="302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  <c r="AS663" s="225"/>
      <c r="AT663" s="225"/>
      <c r="AU663" s="225"/>
      <c r="AV663" s="225"/>
      <c r="AW663" s="225"/>
      <c r="AX663" s="225"/>
      <c r="AY663" s="225"/>
      <c r="AZ663" s="225"/>
      <c r="BA663" s="225"/>
      <c r="BB663" s="225"/>
      <c r="BC663" s="225"/>
      <c r="BD663" s="225"/>
      <c r="BE663" s="225"/>
      <c r="BF663" s="225"/>
      <c r="BG663" s="225"/>
      <c r="BH663" s="225"/>
      <c r="BI663" s="225"/>
      <c r="BJ663" s="225"/>
    </row>
    <row r="664" spans="2:62" ht="15.75" customHeight="1">
      <c r="B664" s="7"/>
      <c r="C664" s="302"/>
      <c r="D664" s="302"/>
      <c r="E664" s="302"/>
      <c r="F664" s="302"/>
      <c r="G664" s="302"/>
      <c r="H664" s="302"/>
      <c r="I664" s="302"/>
      <c r="J664" s="302"/>
      <c r="K664" s="353"/>
      <c r="L664" s="353"/>
      <c r="M664" s="302"/>
      <c r="N664" s="353"/>
      <c r="O664" s="353"/>
      <c r="P664" s="302"/>
      <c r="Q664" s="353"/>
      <c r="R664" s="353"/>
      <c r="S664" s="302"/>
      <c r="T664" s="302"/>
      <c r="U664" s="302"/>
      <c r="V664" s="302"/>
      <c r="W664" s="302"/>
      <c r="X664" s="302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  <c r="AS664" s="225"/>
      <c r="AT664" s="225"/>
      <c r="AU664" s="225"/>
      <c r="AV664" s="225"/>
      <c r="AW664" s="225"/>
      <c r="AX664" s="225"/>
      <c r="AY664" s="225"/>
      <c r="AZ664" s="225"/>
      <c r="BA664" s="225"/>
      <c r="BB664" s="225"/>
      <c r="BC664" s="225"/>
      <c r="BD664" s="225"/>
      <c r="BE664" s="225"/>
      <c r="BF664" s="225"/>
      <c r="BG664" s="225"/>
      <c r="BH664" s="225"/>
      <c r="BI664" s="225"/>
      <c r="BJ664" s="225"/>
    </row>
    <row r="665" spans="2:62" ht="15.75" customHeight="1">
      <c r="B665" s="7"/>
      <c r="C665" s="302"/>
      <c r="D665" s="302"/>
      <c r="E665" s="302"/>
      <c r="F665" s="302"/>
      <c r="G665" s="302"/>
      <c r="H665" s="302"/>
      <c r="I665" s="302"/>
      <c r="J665" s="302"/>
      <c r="K665" s="353"/>
      <c r="L665" s="353"/>
      <c r="M665" s="302"/>
      <c r="N665" s="353"/>
      <c r="O665" s="353"/>
      <c r="P665" s="302"/>
      <c r="Q665" s="353"/>
      <c r="R665" s="353"/>
      <c r="S665" s="302"/>
      <c r="T665" s="302"/>
      <c r="U665" s="302"/>
      <c r="V665" s="302"/>
      <c r="W665" s="302"/>
      <c r="X665" s="302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  <c r="AS665" s="225"/>
      <c r="AT665" s="225"/>
      <c r="AU665" s="225"/>
      <c r="AV665" s="225"/>
      <c r="AW665" s="225"/>
      <c r="AX665" s="225"/>
      <c r="AY665" s="225"/>
      <c r="AZ665" s="225"/>
      <c r="BA665" s="225"/>
      <c r="BB665" s="225"/>
      <c r="BC665" s="225"/>
      <c r="BD665" s="225"/>
      <c r="BE665" s="225"/>
      <c r="BF665" s="225"/>
      <c r="BG665" s="225"/>
      <c r="BH665" s="225"/>
      <c r="BI665" s="225"/>
      <c r="BJ665" s="225"/>
    </row>
    <row r="666" spans="2:62" ht="15.75" customHeight="1">
      <c r="B666" s="7"/>
      <c r="C666" s="302"/>
      <c r="D666" s="302"/>
      <c r="E666" s="302"/>
      <c r="F666" s="302"/>
      <c r="G666" s="302"/>
      <c r="H666" s="302"/>
      <c r="I666" s="302"/>
      <c r="J666" s="302"/>
      <c r="K666" s="353"/>
      <c r="L666" s="353"/>
      <c r="M666" s="302"/>
      <c r="N666" s="353"/>
      <c r="O666" s="353"/>
      <c r="P666" s="302"/>
      <c r="Q666" s="353"/>
      <c r="R666" s="353"/>
      <c r="S666" s="302"/>
      <c r="T666" s="302"/>
      <c r="U666" s="302"/>
      <c r="V666" s="302"/>
      <c r="W666" s="302"/>
      <c r="X666" s="302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  <c r="AS666" s="225"/>
      <c r="AT666" s="225"/>
      <c r="AU666" s="225"/>
      <c r="AV666" s="225"/>
      <c r="AW666" s="225"/>
      <c r="AX666" s="225"/>
      <c r="AY666" s="225"/>
      <c r="AZ666" s="225"/>
      <c r="BA666" s="225"/>
      <c r="BB666" s="225"/>
      <c r="BC666" s="225"/>
      <c r="BD666" s="225"/>
      <c r="BE666" s="225"/>
      <c r="BF666" s="225"/>
      <c r="BG666" s="225"/>
      <c r="BH666" s="225"/>
      <c r="BI666" s="225"/>
      <c r="BJ666" s="225"/>
    </row>
    <row r="667" spans="2:62" ht="15.75" customHeight="1">
      <c r="B667" s="7"/>
      <c r="C667" s="302"/>
      <c r="D667" s="302"/>
      <c r="E667" s="302"/>
      <c r="F667" s="302"/>
      <c r="G667" s="302"/>
      <c r="H667" s="302"/>
      <c r="I667" s="302"/>
      <c r="J667" s="302"/>
      <c r="K667" s="353"/>
      <c r="L667" s="353"/>
      <c r="M667" s="302"/>
      <c r="N667" s="353"/>
      <c r="O667" s="353"/>
      <c r="P667" s="302"/>
      <c r="Q667" s="353"/>
      <c r="R667" s="353"/>
      <c r="S667" s="302"/>
      <c r="T667" s="302"/>
      <c r="U667" s="302"/>
      <c r="V667" s="302"/>
      <c r="W667" s="302"/>
      <c r="X667" s="302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  <c r="AS667" s="225"/>
      <c r="AT667" s="225"/>
      <c r="AU667" s="225"/>
      <c r="AV667" s="225"/>
      <c r="AW667" s="225"/>
      <c r="AX667" s="225"/>
      <c r="AY667" s="225"/>
      <c r="AZ667" s="225"/>
      <c r="BA667" s="225"/>
      <c r="BB667" s="225"/>
      <c r="BC667" s="225"/>
      <c r="BD667" s="225"/>
      <c r="BE667" s="225"/>
      <c r="BF667" s="225"/>
      <c r="BG667" s="225"/>
      <c r="BH667" s="225"/>
      <c r="BI667" s="225"/>
      <c r="BJ667" s="225"/>
    </row>
    <row r="668" spans="2:62" ht="15.75" customHeight="1">
      <c r="B668" s="7"/>
      <c r="C668" s="302"/>
      <c r="D668" s="302"/>
      <c r="E668" s="302"/>
      <c r="F668" s="302"/>
      <c r="G668" s="302"/>
      <c r="H668" s="302"/>
      <c r="I668" s="302"/>
      <c r="J668" s="302"/>
      <c r="K668" s="353"/>
      <c r="L668" s="353"/>
      <c r="M668" s="302"/>
      <c r="N668" s="353"/>
      <c r="O668" s="353"/>
      <c r="P668" s="302"/>
      <c r="Q668" s="353"/>
      <c r="R668" s="353"/>
      <c r="S668" s="302"/>
      <c r="T668" s="302"/>
      <c r="U668" s="302"/>
      <c r="V668" s="302"/>
      <c r="W668" s="302"/>
      <c r="X668" s="302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  <c r="AS668" s="225"/>
      <c r="AT668" s="225"/>
      <c r="AU668" s="225"/>
      <c r="AV668" s="225"/>
      <c r="AW668" s="225"/>
      <c r="AX668" s="225"/>
      <c r="AY668" s="225"/>
      <c r="AZ668" s="225"/>
      <c r="BA668" s="225"/>
      <c r="BB668" s="225"/>
      <c r="BC668" s="225"/>
      <c r="BD668" s="225"/>
      <c r="BE668" s="225"/>
      <c r="BF668" s="225"/>
      <c r="BG668" s="225"/>
      <c r="BH668" s="225"/>
      <c r="BI668" s="225"/>
      <c r="BJ668" s="225"/>
    </row>
    <row r="669" spans="2:62" ht="15.75" customHeight="1">
      <c r="B669" s="7"/>
      <c r="C669" s="302"/>
      <c r="D669" s="302"/>
      <c r="E669" s="302"/>
      <c r="F669" s="302"/>
      <c r="G669" s="302"/>
      <c r="H669" s="302"/>
      <c r="I669" s="302"/>
      <c r="J669" s="302"/>
      <c r="K669" s="353"/>
      <c r="L669" s="353"/>
      <c r="M669" s="302"/>
      <c r="N669" s="355"/>
      <c r="O669" s="355"/>
      <c r="P669" s="302"/>
      <c r="Q669" s="355"/>
      <c r="R669" s="353"/>
      <c r="S669" s="302"/>
      <c r="T669" s="302"/>
      <c r="U669" s="302"/>
      <c r="V669" s="302"/>
      <c r="W669" s="302"/>
      <c r="X669" s="302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  <c r="AS669" s="225"/>
      <c r="AT669" s="225"/>
      <c r="AU669" s="225"/>
      <c r="AV669" s="225"/>
      <c r="AW669" s="225"/>
      <c r="AX669" s="225"/>
      <c r="AY669" s="225"/>
      <c r="AZ669" s="225"/>
      <c r="BA669" s="225"/>
      <c r="BB669" s="225"/>
      <c r="BC669" s="225"/>
      <c r="BD669" s="225"/>
      <c r="BE669" s="225"/>
      <c r="BF669" s="225"/>
      <c r="BG669" s="225"/>
      <c r="BH669" s="225"/>
      <c r="BI669" s="225"/>
      <c r="BJ669" s="225"/>
    </row>
    <row r="670" spans="2:62" ht="15.75" customHeight="1">
      <c r="B670" s="7"/>
      <c r="C670" s="302"/>
      <c r="D670" s="302"/>
      <c r="E670" s="302"/>
      <c r="F670" s="302"/>
      <c r="G670" s="302"/>
      <c r="H670" s="302"/>
      <c r="I670" s="302"/>
      <c r="J670" s="302"/>
      <c r="K670" s="355"/>
      <c r="L670" s="355"/>
      <c r="M670" s="302"/>
      <c r="N670" s="353"/>
      <c r="O670" s="353"/>
      <c r="P670" s="302"/>
      <c r="Q670" s="353"/>
      <c r="R670" s="355"/>
      <c r="S670" s="302"/>
      <c r="T670" s="302"/>
      <c r="U670" s="302"/>
      <c r="V670" s="302"/>
      <c r="W670" s="302"/>
      <c r="X670" s="302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  <c r="AS670" s="225"/>
      <c r="AT670" s="225"/>
      <c r="AU670" s="225"/>
      <c r="AV670" s="225"/>
      <c r="AW670" s="225"/>
      <c r="AX670" s="225"/>
      <c r="AY670" s="225"/>
      <c r="AZ670" s="225"/>
      <c r="BA670" s="225"/>
      <c r="BB670" s="225"/>
      <c r="BC670" s="225"/>
      <c r="BD670" s="225"/>
      <c r="BE670" s="225"/>
      <c r="BF670" s="225"/>
      <c r="BG670" s="225"/>
      <c r="BH670" s="225"/>
      <c r="BI670" s="225"/>
      <c r="BJ670" s="225"/>
    </row>
    <row r="671" spans="2:62" ht="15.75" customHeight="1">
      <c r="B671" s="7"/>
      <c r="C671" s="302"/>
      <c r="D671" s="302"/>
      <c r="E671" s="302"/>
      <c r="F671" s="302"/>
      <c r="G671" s="302"/>
      <c r="H671" s="302"/>
      <c r="I671" s="302"/>
      <c r="J671" s="302"/>
      <c r="K671" s="353"/>
      <c r="L671" s="353"/>
      <c r="M671" s="302"/>
      <c r="N671" s="353"/>
      <c r="O671" s="353"/>
      <c r="P671" s="302"/>
      <c r="Q671" s="353"/>
      <c r="R671" s="353"/>
      <c r="S671" s="302"/>
      <c r="T671" s="302"/>
      <c r="U671" s="302"/>
      <c r="V671" s="302"/>
      <c r="W671" s="302"/>
      <c r="X671" s="302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  <c r="AS671" s="225"/>
      <c r="AT671" s="225"/>
      <c r="AU671" s="225"/>
      <c r="AV671" s="225"/>
      <c r="AW671" s="225"/>
      <c r="AX671" s="225"/>
      <c r="AY671" s="225"/>
      <c r="AZ671" s="225"/>
      <c r="BA671" s="225"/>
      <c r="BB671" s="225"/>
      <c r="BC671" s="225"/>
      <c r="BD671" s="225"/>
      <c r="BE671" s="225"/>
      <c r="BF671" s="225"/>
      <c r="BG671" s="225"/>
      <c r="BH671" s="225"/>
      <c r="BI671" s="225"/>
      <c r="BJ671" s="225"/>
    </row>
    <row r="672" spans="2:62" ht="15.75" customHeight="1">
      <c r="B672" s="7"/>
      <c r="C672" s="302"/>
      <c r="D672" s="302"/>
      <c r="E672" s="302"/>
      <c r="F672" s="302"/>
      <c r="G672" s="302"/>
      <c r="H672" s="302"/>
      <c r="I672" s="302"/>
      <c r="J672" s="302"/>
      <c r="K672" s="353"/>
      <c r="L672" s="353"/>
      <c r="M672" s="302"/>
      <c r="N672" s="353"/>
      <c r="O672" s="353"/>
      <c r="P672" s="302"/>
      <c r="Q672" s="353"/>
      <c r="R672" s="353"/>
      <c r="S672" s="302"/>
      <c r="T672" s="302"/>
      <c r="U672" s="302"/>
      <c r="V672" s="302"/>
      <c r="W672" s="302"/>
      <c r="X672" s="302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  <c r="AS672" s="225"/>
      <c r="AT672" s="225"/>
      <c r="AU672" s="225"/>
      <c r="AV672" s="225"/>
      <c r="AW672" s="225"/>
      <c r="AX672" s="225"/>
      <c r="AY672" s="225"/>
      <c r="AZ672" s="225"/>
      <c r="BA672" s="225"/>
      <c r="BB672" s="225"/>
      <c r="BC672" s="225"/>
      <c r="BD672" s="225"/>
      <c r="BE672" s="225"/>
      <c r="BF672" s="225"/>
      <c r="BG672" s="225"/>
      <c r="BH672" s="225"/>
      <c r="BI672" s="225"/>
      <c r="BJ672" s="225"/>
    </row>
    <row r="673" spans="2:62" ht="15.75" customHeight="1">
      <c r="B673" s="7"/>
      <c r="C673" s="302"/>
      <c r="D673" s="302"/>
      <c r="E673" s="302"/>
      <c r="F673" s="302"/>
      <c r="G673" s="302"/>
      <c r="H673" s="302"/>
      <c r="I673" s="302"/>
      <c r="J673" s="302"/>
      <c r="K673" s="353"/>
      <c r="L673" s="353"/>
      <c r="M673" s="302"/>
      <c r="N673" s="353"/>
      <c r="O673" s="353"/>
      <c r="P673" s="302"/>
      <c r="Q673" s="353"/>
      <c r="R673" s="353"/>
      <c r="S673" s="302"/>
      <c r="T673" s="302"/>
      <c r="U673" s="302"/>
      <c r="V673" s="302"/>
      <c r="W673" s="302"/>
      <c r="X673" s="302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  <c r="AS673" s="225"/>
      <c r="AT673" s="225"/>
      <c r="AU673" s="225"/>
      <c r="AV673" s="225"/>
      <c r="AW673" s="225"/>
      <c r="AX673" s="225"/>
      <c r="AY673" s="225"/>
      <c r="AZ673" s="225"/>
      <c r="BA673" s="225"/>
      <c r="BB673" s="225"/>
      <c r="BC673" s="225"/>
      <c r="BD673" s="225"/>
      <c r="BE673" s="225"/>
      <c r="BF673" s="225"/>
      <c r="BG673" s="225"/>
      <c r="BH673" s="225"/>
      <c r="BI673" s="225"/>
      <c r="BJ673" s="225"/>
    </row>
    <row r="674" spans="2:62" ht="15.75" customHeight="1">
      <c r="B674" s="7"/>
      <c r="C674" s="302"/>
      <c r="D674" s="302"/>
      <c r="E674" s="302"/>
      <c r="F674" s="302"/>
      <c r="G674" s="302"/>
      <c r="H674" s="302"/>
      <c r="I674" s="302"/>
      <c r="J674" s="302"/>
      <c r="K674" s="353"/>
      <c r="L674" s="353"/>
      <c r="M674" s="302"/>
      <c r="N674" s="353"/>
      <c r="O674" s="353"/>
      <c r="P674" s="302"/>
      <c r="Q674" s="353"/>
      <c r="R674" s="353"/>
      <c r="S674" s="302"/>
      <c r="T674" s="302"/>
      <c r="U674" s="302"/>
      <c r="V674" s="302"/>
      <c r="W674" s="302"/>
      <c r="X674" s="302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  <c r="AS674" s="225"/>
      <c r="AT674" s="225"/>
      <c r="AU674" s="225"/>
      <c r="AV674" s="225"/>
      <c r="AW674" s="225"/>
      <c r="AX674" s="225"/>
      <c r="AY674" s="225"/>
      <c r="AZ674" s="225"/>
      <c r="BA674" s="225"/>
      <c r="BB674" s="225"/>
      <c r="BC674" s="225"/>
      <c r="BD674" s="225"/>
      <c r="BE674" s="225"/>
      <c r="BF674" s="225"/>
      <c r="BG674" s="225"/>
      <c r="BH674" s="225"/>
      <c r="BI674" s="225"/>
      <c r="BJ674" s="225"/>
    </row>
    <row r="675" spans="2:62" ht="15.75" customHeight="1">
      <c r="B675" s="7"/>
      <c r="C675" s="302"/>
      <c r="D675" s="302"/>
      <c r="E675" s="302"/>
      <c r="F675" s="302"/>
      <c r="G675" s="302"/>
      <c r="H675" s="302"/>
      <c r="I675" s="302"/>
      <c r="J675" s="302"/>
      <c r="K675" s="353"/>
      <c r="L675" s="353"/>
      <c r="M675" s="302"/>
      <c r="N675" s="353"/>
      <c r="O675" s="353"/>
      <c r="P675" s="302"/>
      <c r="Q675" s="353"/>
      <c r="R675" s="353"/>
      <c r="S675" s="302"/>
      <c r="T675" s="302"/>
      <c r="U675" s="302"/>
      <c r="V675" s="302"/>
      <c r="W675" s="302"/>
      <c r="X675" s="302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  <c r="AS675" s="225"/>
      <c r="AT675" s="225"/>
      <c r="AU675" s="225"/>
      <c r="AV675" s="225"/>
      <c r="AW675" s="225"/>
      <c r="AX675" s="225"/>
      <c r="AY675" s="225"/>
      <c r="AZ675" s="225"/>
      <c r="BA675" s="225"/>
      <c r="BB675" s="225"/>
      <c r="BC675" s="225"/>
      <c r="BD675" s="225"/>
      <c r="BE675" s="225"/>
      <c r="BF675" s="225"/>
      <c r="BG675" s="225"/>
      <c r="BH675" s="225"/>
      <c r="BI675" s="225"/>
      <c r="BJ675" s="225"/>
    </row>
    <row r="676" spans="2:62" ht="15.75" customHeight="1">
      <c r="B676" s="7"/>
      <c r="C676" s="302"/>
      <c r="D676" s="302"/>
      <c r="E676" s="302"/>
      <c r="F676" s="302"/>
      <c r="G676" s="302"/>
      <c r="H676" s="302"/>
      <c r="I676" s="302"/>
      <c r="J676" s="302"/>
      <c r="K676" s="353"/>
      <c r="L676" s="353"/>
      <c r="M676" s="302"/>
      <c r="N676" s="353"/>
      <c r="O676" s="353"/>
      <c r="P676" s="302"/>
      <c r="Q676" s="353"/>
      <c r="R676" s="353"/>
      <c r="S676" s="302"/>
      <c r="T676" s="302"/>
      <c r="U676" s="302"/>
      <c r="V676" s="302"/>
      <c r="W676" s="302"/>
      <c r="X676" s="302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  <c r="AS676" s="225"/>
      <c r="AT676" s="225"/>
      <c r="AU676" s="225"/>
      <c r="AV676" s="225"/>
      <c r="AW676" s="225"/>
      <c r="AX676" s="225"/>
      <c r="AY676" s="225"/>
      <c r="AZ676" s="225"/>
      <c r="BA676" s="225"/>
      <c r="BB676" s="225"/>
      <c r="BC676" s="225"/>
      <c r="BD676" s="225"/>
      <c r="BE676" s="225"/>
      <c r="BF676" s="225"/>
      <c r="BG676" s="225"/>
      <c r="BH676" s="225"/>
      <c r="BI676" s="225"/>
      <c r="BJ676" s="225"/>
    </row>
    <row r="677" spans="2:62" ht="15.75" customHeight="1">
      <c r="B677" s="7"/>
      <c r="C677" s="302"/>
      <c r="D677" s="302"/>
      <c r="E677" s="302"/>
      <c r="F677" s="302"/>
      <c r="G677" s="302"/>
      <c r="H677" s="302"/>
      <c r="I677" s="302"/>
      <c r="J677" s="302"/>
      <c r="K677" s="353"/>
      <c r="L677" s="353"/>
      <c r="M677" s="302"/>
      <c r="N677" s="353"/>
      <c r="O677" s="353"/>
      <c r="P677" s="302"/>
      <c r="Q677" s="353"/>
      <c r="R677" s="353"/>
      <c r="S677" s="302"/>
      <c r="T677" s="302"/>
      <c r="U677" s="302"/>
      <c r="V677" s="302"/>
      <c r="W677" s="302"/>
      <c r="X677" s="302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</row>
    <row r="678" spans="2:62" ht="15.75" customHeight="1">
      <c r="B678" s="7"/>
      <c r="C678" s="302"/>
      <c r="D678" s="302"/>
      <c r="E678" s="302"/>
      <c r="F678" s="302"/>
      <c r="G678" s="302"/>
      <c r="H678" s="302"/>
      <c r="I678" s="302"/>
      <c r="J678" s="302"/>
      <c r="K678" s="353"/>
      <c r="L678" s="353"/>
      <c r="M678" s="302"/>
      <c r="N678" s="353"/>
      <c r="O678" s="353"/>
      <c r="P678" s="302"/>
      <c r="Q678" s="353"/>
      <c r="R678" s="353"/>
      <c r="S678" s="302"/>
      <c r="T678" s="302"/>
      <c r="U678" s="302"/>
      <c r="V678" s="302"/>
      <c r="W678" s="302"/>
      <c r="X678" s="302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  <c r="AS678" s="225"/>
      <c r="AT678" s="225"/>
      <c r="AU678" s="225"/>
      <c r="AV678" s="225"/>
      <c r="AW678" s="225"/>
      <c r="AX678" s="225"/>
      <c r="AY678" s="225"/>
      <c r="AZ678" s="225"/>
      <c r="BA678" s="225"/>
      <c r="BB678" s="225"/>
      <c r="BC678" s="225"/>
      <c r="BD678" s="225"/>
      <c r="BE678" s="225"/>
      <c r="BF678" s="225"/>
      <c r="BG678" s="225"/>
      <c r="BH678" s="225"/>
      <c r="BI678" s="225"/>
      <c r="BJ678" s="225"/>
    </row>
    <row r="679" spans="2:62" ht="15.75" customHeight="1">
      <c r="B679" s="7"/>
      <c r="C679" s="302"/>
      <c r="D679" s="302"/>
      <c r="E679" s="302"/>
      <c r="F679" s="302"/>
      <c r="G679" s="302"/>
      <c r="H679" s="302"/>
      <c r="I679" s="302"/>
      <c r="J679" s="302"/>
      <c r="K679" s="353"/>
      <c r="L679" s="353"/>
      <c r="M679" s="302"/>
      <c r="N679" s="353"/>
      <c r="O679" s="353"/>
      <c r="P679" s="302"/>
      <c r="Q679" s="353"/>
      <c r="R679" s="353"/>
      <c r="S679" s="302"/>
      <c r="T679" s="302"/>
      <c r="U679" s="302"/>
      <c r="V679" s="302"/>
      <c r="W679" s="302"/>
      <c r="X679" s="302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  <c r="AS679" s="225"/>
      <c r="AT679" s="225"/>
      <c r="AU679" s="225"/>
      <c r="AV679" s="225"/>
      <c r="AW679" s="225"/>
      <c r="AX679" s="225"/>
      <c r="AY679" s="225"/>
      <c r="AZ679" s="225"/>
      <c r="BA679" s="225"/>
      <c r="BB679" s="225"/>
      <c r="BC679" s="225"/>
      <c r="BD679" s="225"/>
      <c r="BE679" s="225"/>
      <c r="BF679" s="225"/>
      <c r="BG679" s="225"/>
      <c r="BH679" s="225"/>
      <c r="BI679" s="225"/>
      <c r="BJ679" s="225"/>
    </row>
    <row r="680" spans="2:62" ht="15.75" customHeight="1">
      <c r="B680" s="7"/>
      <c r="C680" s="302"/>
      <c r="D680" s="302"/>
      <c r="E680" s="302"/>
      <c r="F680" s="302"/>
      <c r="G680" s="302"/>
      <c r="H680" s="302"/>
      <c r="I680" s="302"/>
      <c r="J680" s="302"/>
      <c r="K680" s="353"/>
      <c r="L680" s="353"/>
      <c r="M680" s="302"/>
      <c r="N680" s="353"/>
      <c r="O680" s="353"/>
      <c r="P680" s="302"/>
      <c r="Q680" s="353"/>
      <c r="R680" s="353"/>
      <c r="S680" s="302"/>
      <c r="T680" s="302"/>
      <c r="U680" s="302"/>
      <c r="V680" s="302"/>
      <c r="W680" s="302"/>
      <c r="X680" s="302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  <c r="AS680" s="225"/>
      <c r="AT680" s="225"/>
      <c r="AU680" s="225"/>
      <c r="AV680" s="225"/>
      <c r="AW680" s="225"/>
      <c r="AX680" s="225"/>
      <c r="AY680" s="225"/>
      <c r="AZ680" s="225"/>
      <c r="BA680" s="225"/>
      <c r="BB680" s="225"/>
      <c r="BC680" s="225"/>
      <c r="BD680" s="225"/>
      <c r="BE680" s="225"/>
      <c r="BF680" s="225"/>
      <c r="BG680" s="225"/>
      <c r="BH680" s="225"/>
      <c r="BI680" s="225"/>
      <c r="BJ680" s="225"/>
    </row>
    <row r="681" spans="2:62" ht="15.75" customHeight="1">
      <c r="B681" s="7"/>
      <c r="C681" s="302"/>
      <c r="D681" s="302"/>
      <c r="E681" s="302"/>
      <c r="F681" s="302"/>
      <c r="G681" s="302"/>
      <c r="H681" s="302"/>
      <c r="I681" s="302"/>
      <c r="J681" s="302"/>
      <c r="K681" s="353"/>
      <c r="L681" s="353"/>
      <c r="M681" s="302"/>
      <c r="N681" s="353"/>
      <c r="O681" s="353"/>
      <c r="P681" s="302"/>
      <c r="Q681" s="353"/>
      <c r="R681" s="353"/>
      <c r="S681" s="302"/>
      <c r="T681" s="302"/>
      <c r="U681" s="302"/>
      <c r="V681" s="302"/>
      <c r="W681" s="302"/>
      <c r="X681" s="302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  <c r="AS681" s="225"/>
      <c r="AT681" s="225"/>
      <c r="AU681" s="225"/>
      <c r="AV681" s="225"/>
      <c r="AW681" s="225"/>
      <c r="AX681" s="225"/>
      <c r="AY681" s="225"/>
      <c r="AZ681" s="225"/>
      <c r="BA681" s="225"/>
      <c r="BB681" s="225"/>
      <c r="BC681" s="225"/>
      <c r="BD681" s="225"/>
      <c r="BE681" s="225"/>
      <c r="BF681" s="225"/>
      <c r="BG681" s="225"/>
      <c r="BH681" s="225"/>
      <c r="BI681" s="225"/>
      <c r="BJ681" s="225"/>
    </row>
    <row r="682" spans="2:62" ht="15.75" customHeight="1">
      <c r="B682" s="7"/>
      <c r="C682" s="302"/>
      <c r="D682" s="302"/>
      <c r="E682" s="302"/>
      <c r="F682" s="302"/>
      <c r="G682" s="302"/>
      <c r="H682" s="302"/>
      <c r="I682" s="302"/>
      <c r="J682" s="302"/>
      <c r="K682" s="353"/>
      <c r="L682" s="353"/>
      <c r="M682" s="302"/>
      <c r="N682" s="353"/>
      <c r="O682" s="353"/>
      <c r="P682" s="302"/>
      <c r="Q682" s="353"/>
      <c r="R682" s="353"/>
      <c r="S682" s="302"/>
      <c r="T682" s="302"/>
      <c r="U682" s="302"/>
      <c r="V682" s="302"/>
      <c r="W682" s="302"/>
      <c r="X682" s="302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  <c r="AT682" s="225"/>
      <c r="AU682" s="225"/>
      <c r="AV682" s="225"/>
      <c r="AW682" s="225"/>
      <c r="AX682" s="225"/>
      <c r="AY682" s="225"/>
      <c r="AZ682" s="225"/>
      <c r="BA682" s="225"/>
      <c r="BB682" s="225"/>
      <c r="BC682" s="225"/>
      <c r="BD682" s="225"/>
      <c r="BE682" s="225"/>
      <c r="BF682" s="225"/>
      <c r="BG682" s="225"/>
      <c r="BH682" s="225"/>
      <c r="BI682" s="225"/>
      <c r="BJ682" s="225"/>
    </row>
    <row r="683" spans="2:62" ht="15.75" customHeight="1">
      <c r="B683" s="7"/>
      <c r="C683" s="302"/>
      <c r="D683" s="302"/>
      <c r="E683" s="302"/>
      <c r="F683" s="302"/>
      <c r="G683" s="302"/>
      <c r="H683" s="302"/>
      <c r="I683" s="302"/>
      <c r="J683" s="302"/>
      <c r="K683" s="353"/>
      <c r="L683" s="353"/>
      <c r="M683" s="302"/>
      <c r="N683" s="353"/>
      <c r="O683" s="353"/>
      <c r="P683" s="302"/>
      <c r="Q683" s="353"/>
      <c r="R683" s="353"/>
      <c r="S683" s="302"/>
      <c r="T683" s="302"/>
      <c r="U683" s="302"/>
      <c r="V683" s="302"/>
      <c r="W683" s="302"/>
      <c r="X683" s="302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  <c r="AS683" s="225"/>
      <c r="AT683" s="225"/>
      <c r="AU683" s="225"/>
      <c r="AV683" s="225"/>
      <c r="AW683" s="225"/>
      <c r="AX683" s="225"/>
      <c r="AY683" s="225"/>
      <c r="AZ683" s="225"/>
      <c r="BA683" s="225"/>
      <c r="BB683" s="225"/>
      <c r="BC683" s="225"/>
      <c r="BD683" s="225"/>
      <c r="BE683" s="225"/>
      <c r="BF683" s="225"/>
      <c r="BG683" s="225"/>
      <c r="BH683" s="225"/>
      <c r="BI683" s="225"/>
      <c r="BJ683" s="225"/>
    </row>
    <row r="684" spans="2:62" ht="15.75" customHeight="1">
      <c r="B684" s="7"/>
      <c r="C684" s="302"/>
      <c r="D684" s="302"/>
      <c r="E684" s="302"/>
      <c r="F684" s="302"/>
      <c r="G684" s="302"/>
      <c r="H684" s="302"/>
      <c r="I684" s="302"/>
      <c r="J684" s="302"/>
      <c r="K684" s="353"/>
      <c r="L684" s="353"/>
      <c r="M684" s="302"/>
      <c r="N684" s="302"/>
      <c r="O684" s="302"/>
      <c r="P684" s="302"/>
      <c r="Q684" s="302"/>
      <c r="R684" s="353"/>
      <c r="S684" s="302"/>
      <c r="T684" s="302"/>
      <c r="U684" s="302"/>
      <c r="V684" s="302"/>
      <c r="W684" s="302"/>
      <c r="X684" s="302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  <c r="AS684" s="225"/>
      <c r="AT684" s="225"/>
      <c r="AU684" s="225"/>
      <c r="AV684" s="225"/>
      <c r="AW684" s="225"/>
      <c r="AX684" s="225"/>
      <c r="AY684" s="225"/>
      <c r="AZ684" s="225"/>
      <c r="BA684" s="225"/>
      <c r="BB684" s="225"/>
      <c r="BC684" s="225"/>
      <c r="BD684" s="225"/>
      <c r="BE684" s="225"/>
      <c r="BF684" s="225"/>
      <c r="BG684" s="225"/>
      <c r="BH684" s="225"/>
      <c r="BI684" s="225"/>
      <c r="BJ684" s="225"/>
    </row>
    <row r="685" spans="2:62" ht="15.75" customHeight="1">
      <c r="B685" s="7"/>
      <c r="C685" s="302"/>
      <c r="D685" s="302"/>
      <c r="E685" s="302"/>
      <c r="F685" s="302"/>
      <c r="G685" s="302"/>
      <c r="H685" s="302"/>
      <c r="I685" s="302"/>
      <c r="J685" s="302"/>
      <c r="K685" s="353"/>
      <c r="L685" s="353"/>
      <c r="M685" s="302"/>
      <c r="N685" s="355"/>
      <c r="O685" s="355"/>
      <c r="P685" s="302"/>
      <c r="Q685" s="355"/>
      <c r="R685" s="353"/>
      <c r="S685" s="302"/>
      <c r="T685" s="302"/>
      <c r="U685" s="302"/>
      <c r="V685" s="302"/>
      <c r="W685" s="302"/>
      <c r="X685" s="302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  <c r="AS685" s="225"/>
      <c r="AT685" s="225"/>
      <c r="AU685" s="225"/>
      <c r="AV685" s="225"/>
      <c r="AW685" s="225"/>
      <c r="AX685" s="225"/>
      <c r="AY685" s="225"/>
      <c r="AZ685" s="225"/>
      <c r="BA685" s="225"/>
      <c r="BB685" s="225"/>
      <c r="BC685" s="225"/>
      <c r="BD685" s="225"/>
      <c r="BE685" s="225"/>
      <c r="BF685" s="225"/>
      <c r="BG685" s="225"/>
      <c r="BH685" s="225"/>
      <c r="BI685" s="225"/>
      <c r="BJ685" s="225"/>
    </row>
    <row r="686" spans="2:62" ht="15.75" customHeight="1">
      <c r="B686" s="7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53"/>
      <c r="O686" s="353"/>
      <c r="P686" s="302"/>
      <c r="Q686" s="353"/>
      <c r="R686" s="302"/>
      <c r="S686" s="302"/>
      <c r="T686" s="302"/>
      <c r="U686" s="302"/>
      <c r="V686" s="302"/>
      <c r="W686" s="302"/>
      <c r="X686" s="302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  <c r="AS686" s="225"/>
      <c r="AT686" s="225"/>
      <c r="AU686" s="225"/>
      <c r="AV686" s="225"/>
      <c r="AW686" s="225"/>
      <c r="AX686" s="225"/>
      <c r="AY686" s="225"/>
      <c r="AZ686" s="225"/>
      <c r="BA686" s="225"/>
      <c r="BB686" s="225"/>
      <c r="BC686" s="225"/>
      <c r="BD686" s="225"/>
      <c r="BE686" s="225"/>
      <c r="BF686" s="225"/>
      <c r="BG686" s="225"/>
      <c r="BH686" s="225"/>
      <c r="BI686" s="225"/>
      <c r="BJ686" s="225"/>
    </row>
    <row r="687" spans="2:62" ht="15.75" customHeight="1">
      <c r="B687" s="7"/>
      <c r="C687" s="302"/>
      <c r="D687" s="302"/>
      <c r="E687" s="302"/>
      <c r="F687" s="302"/>
      <c r="G687" s="302"/>
      <c r="H687" s="302"/>
      <c r="I687" s="302"/>
      <c r="J687" s="302"/>
      <c r="K687" s="355"/>
      <c r="L687" s="355"/>
      <c r="M687" s="302"/>
      <c r="N687" s="353"/>
      <c r="O687" s="353"/>
      <c r="P687" s="302"/>
      <c r="Q687" s="353"/>
      <c r="R687" s="355"/>
      <c r="S687" s="302"/>
      <c r="T687" s="302"/>
      <c r="U687" s="302"/>
      <c r="V687" s="302"/>
      <c r="W687" s="302"/>
      <c r="X687" s="302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  <c r="AS687" s="225"/>
      <c r="AT687" s="225"/>
      <c r="AU687" s="225"/>
      <c r="AV687" s="225"/>
      <c r="AW687" s="225"/>
      <c r="AX687" s="225"/>
      <c r="AY687" s="225"/>
      <c r="AZ687" s="225"/>
      <c r="BA687" s="225"/>
      <c r="BB687" s="225"/>
      <c r="BC687" s="225"/>
      <c r="BD687" s="225"/>
      <c r="BE687" s="225"/>
      <c r="BF687" s="225"/>
      <c r="BG687" s="225"/>
      <c r="BH687" s="225"/>
      <c r="BI687" s="225"/>
      <c r="BJ687" s="225"/>
    </row>
    <row r="688" spans="2:62" ht="15.75" customHeight="1">
      <c r="B688" s="7"/>
      <c r="C688" s="302"/>
      <c r="D688" s="302"/>
      <c r="E688" s="302"/>
      <c r="F688" s="302"/>
      <c r="G688" s="302"/>
      <c r="H688" s="302"/>
      <c r="I688" s="302"/>
      <c r="J688" s="302"/>
      <c r="K688" s="353"/>
      <c r="L688" s="353"/>
      <c r="M688" s="302"/>
      <c r="N688" s="353"/>
      <c r="O688" s="353"/>
      <c r="P688" s="302"/>
      <c r="Q688" s="353"/>
      <c r="R688" s="353"/>
      <c r="S688" s="302"/>
      <c r="T688" s="302"/>
      <c r="U688" s="302"/>
      <c r="V688" s="302"/>
      <c r="W688" s="302"/>
      <c r="X688" s="302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  <c r="AS688" s="225"/>
      <c r="AT688" s="225"/>
      <c r="AU688" s="225"/>
      <c r="AV688" s="225"/>
      <c r="AW688" s="225"/>
      <c r="AX688" s="225"/>
      <c r="AY688" s="225"/>
      <c r="AZ688" s="225"/>
      <c r="BA688" s="225"/>
      <c r="BB688" s="225"/>
      <c r="BC688" s="225"/>
      <c r="BD688" s="225"/>
      <c r="BE688" s="225"/>
      <c r="BF688" s="225"/>
      <c r="BG688" s="225"/>
      <c r="BH688" s="225"/>
      <c r="BI688" s="225"/>
      <c r="BJ688" s="225"/>
    </row>
    <row r="689" spans="2:62" ht="15.75" customHeight="1">
      <c r="B689" s="7"/>
      <c r="C689" s="302"/>
      <c r="D689" s="302"/>
      <c r="E689" s="302"/>
      <c r="F689" s="302"/>
      <c r="G689" s="302"/>
      <c r="H689" s="302"/>
      <c r="I689" s="302"/>
      <c r="J689" s="302"/>
      <c r="K689" s="353"/>
      <c r="L689" s="353"/>
      <c r="M689" s="302"/>
      <c r="N689" s="353"/>
      <c r="O689" s="353"/>
      <c r="P689" s="302"/>
      <c r="Q689" s="353"/>
      <c r="R689" s="353"/>
      <c r="S689" s="302"/>
      <c r="T689" s="302"/>
      <c r="U689" s="302"/>
      <c r="V689" s="302"/>
      <c r="W689" s="302"/>
      <c r="X689" s="302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  <c r="AS689" s="225"/>
      <c r="AT689" s="225"/>
      <c r="AU689" s="225"/>
      <c r="AV689" s="225"/>
      <c r="AW689" s="225"/>
      <c r="AX689" s="225"/>
      <c r="AY689" s="225"/>
      <c r="AZ689" s="225"/>
      <c r="BA689" s="225"/>
      <c r="BB689" s="225"/>
      <c r="BC689" s="225"/>
      <c r="BD689" s="225"/>
      <c r="BE689" s="225"/>
      <c r="BF689" s="225"/>
      <c r="BG689" s="225"/>
      <c r="BH689" s="225"/>
      <c r="BI689" s="225"/>
      <c r="BJ689" s="225"/>
    </row>
    <row r="690" spans="2:62" ht="15.75" customHeight="1">
      <c r="B690" s="7"/>
      <c r="C690" s="302"/>
      <c r="D690" s="302"/>
      <c r="E690" s="302"/>
      <c r="F690" s="302"/>
      <c r="G690" s="302"/>
      <c r="H690" s="302"/>
      <c r="I690" s="302"/>
      <c r="J690" s="302"/>
      <c r="K690" s="353"/>
      <c r="L690" s="353"/>
      <c r="M690" s="302"/>
      <c r="N690" s="353"/>
      <c r="O690" s="353"/>
      <c r="P690" s="302"/>
      <c r="Q690" s="353"/>
      <c r="R690" s="353"/>
      <c r="S690" s="302"/>
      <c r="T690" s="302"/>
      <c r="U690" s="302"/>
      <c r="V690" s="302"/>
      <c r="W690" s="302"/>
      <c r="X690" s="302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  <c r="AS690" s="225"/>
      <c r="AT690" s="225"/>
      <c r="AU690" s="225"/>
      <c r="AV690" s="225"/>
      <c r="AW690" s="225"/>
      <c r="AX690" s="225"/>
      <c r="AY690" s="225"/>
      <c r="AZ690" s="225"/>
      <c r="BA690" s="225"/>
      <c r="BB690" s="225"/>
      <c r="BC690" s="225"/>
      <c r="BD690" s="225"/>
      <c r="BE690" s="225"/>
      <c r="BF690" s="225"/>
      <c r="BG690" s="225"/>
      <c r="BH690" s="225"/>
      <c r="BI690" s="225"/>
      <c r="BJ690" s="225"/>
    </row>
    <row r="691" spans="2:62" ht="15.75" customHeight="1">
      <c r="B691" s="7"/>
      <c r="C691" s="302"/>
      <c r="D691" s="302"/>
      <c r="E691" s="302"/>
      <c r="F691" s="302"/>
      <c r="G691" s="302"/>
      <c r="H691" s="302"/>
      <c r="I691" s="302"/>
      <c r="J691" s="302"/>
      <c r="K691" s="353"/>
      <c r="L691" s="353"/>
      <c r="M691" s="302"/>
      <c r="N691" s="353"/>
      <c r="O691" s="353"/>
      <c r="P691" s="302"/>
      <c r="Q691" s="353"/>
      <c r="R691" s="353"/>
      <c r="S691" s="302"/>
      <c r="T691" s="302"/>
      <c r="U691" s="302"/>
      <c r="V691" s="302"/>
      <c r="W691" s="302"/>
      <c r="X691" s="302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  <c r="AS691" s="225"/>
      <c r="AT691" s="225"/>
      <c r="AU691" s="225"/>
      <c r="AV691" s="225"/>
      <c r="AW691" s="225"/>
      <c r="AX691" s="225"/>
      <c r="AY691" s="225"/>
      <c r="AZ691" s="225"/>
      <c r="BA691" s="225"/>
      <c r="BB691" s="225"/>
      <c r="BC691" s="225"/>
      <c r="BD691" s="225"/>
      <c r="BE691" s="225"/>
      <c r="BF691" s="225"/>
      <c r="BG691" s="225"/>
      <c r="BH691" s="225"/>
      <c r="BI691" s="225"/>
      <c r="BJ691" s="225"/>
    </row>
    <row r="692" spans="2:62" ht="15.75" customHeight="1">
      <c r="B692" s="7"/>
      <c r="C692" s="302"/>
      <c r="D692" s="302"/>
      <c r="E692" s="302"/>
      <c r="F692" s="302"/>
      <c r="G692" s="302"/>
      <c r="H692" s="302"/>
      <c r="I692" s="302"/>
      <c r="J692" s="302"/>
      <c r="K692" s="353"/>
      <c r="L692" s="353"/>
      <c r="M692" s="302"/>
      <c r="N692" s="353"/>
      <c r="O692" s="353"/>
      <c r="P692" s="302"/>
      <c r="Q692" s="353"/>
      <c r="R692" s="353"/>
      <c r="S692" s="302"/>
      <c r="T692" s="302"/>
      <c r="U692" s="302"/>
      <c r="V692" s="302"/>
      <c r="W692" s="302"/>
      <c r="X692" s="302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  <c r="AS692" s="225"/>
      <c r="AT692" s="225"/>
      <c r="AU692" s="225"/>
      <c r="AV692" s="225"/>
      <c r="AW692" s="225"/>
      <c r="AX692" s="225"/>
      <c r="AY692" s="225"/>
      <c r="AZ692" s="225"/>
      <c r="BA692" s="225"/>
      <c r="BB692" s="225"/>
      <c r="BC692" s="225"/>
      <c r="BD692" s="225"/>
      <c r="BE692" s="225"/>
      <c r="BF692" s="225"/>
      <c r="BG692" s="225"/>
      <c r="BH692" s="225"/>
      <c r="BI692" s="225"/>
      <c r="BJ692" s="225"/>
    </row>
    <row r="693" spans="2:62" ht="15.75" customHeight="1">
      <c r="B693" s="7"/>
      <c r="C693" s="302"/>
      <c r="D693" s="302"/>
      <c r="E693" s="302"/>
      <c r="F693" s="302"/>
      <c r="G693" s="302"/>
      <c r="H693" s="302"/>
      <c r="I693" s="302"/>
      <c r="J693" s="302"/>
      <c r="K693" s="353"/>
      <c r="L693" s="353"/>
      <c r="M693" s="302"/>
      <c r="N693" s="353"/>
      <c r="O693" s="353"/>
      <c r="P693" s="302"/>
      <c r="Q693" s="353"/>
      <c r="R693" s="353"/>
      <c r="S693" s="302"/>
      <c r="T693" s="302"/>
      <c r="U693" s="302"/>
      <c r="V693" s="302"/>
      <c r="W693" s="302"/>
      <c r="X693" s="302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  <c r="AS693" s="225"/>
      <c r="AT693" s="225"/>
      <c r="AU693" s="225"/>
      <c r="AV693" s="225"/>
      <c r="AW693" s="225"/>
      <c r="AX693" s="225"/>
      <c r="AY693" s="225"/>
      <c r="AZ693" s="225"/>
      <c r="BA693" s="225"/>
      <c r="BB693" s="225"/>
      <c r="BC693" s="225"/>
      <c r="BD693" s="225"/>
      <c r="BE693" s="225"/>
      <c r="BF693" s="225"/>
      <c r="BG693" s="225"/>
      <c r="BH693" s="225"/>
      <c r="BI693" s="225"/>
      <c r="BJ693" s="225"/>
    </row>
    <row r="694" spans="2:62" ht="15.75" customHeight="1">
      <c r="B694" s="7"/>
      <c r="C694" s="302"/>
      <c r="D694" s="302"/>
      <c r="E694" s="302"/>
      <c r="F694" s="302"/>
      <c r="G694" s="302"/>
      <c r="H694" s="302"/>
      <c r="I694" s="302"/>
      <c r="J694" s="302"/>
      <c r="K694" s="353"/>
      <c r="L694" s="355"/>
      <c r="M694" s="302"/>
      <c r="N694" s="353"/>
      <c r="O694" s="353"/>
      <c r="P694" s="302"/>
      <c r="Q694" s="353"/>
      <c r="R694" s="355"/>
      <c r="S694" s="302"/>
      <c r="T694" s="302"/>
      <c r="U694" s="302"/>
      <c r="V694" s="302"/>
      <c r="W694" s="302"/>
      <c r="X694" s="302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  <c r="AS694" s="225"/>
      <c r="AT694" s="225"/>
      <c r="AU694" s="225"/>
      <c r="AV694" s="225"/>
      <c r="AW694" s="225"/>
      <c r="AX694" s="225"/>
      <c r="AY694" s="225"/>
      <c r="AZ694" s="225"/>
      <c r="BA694" s="225"/>
      <c r="BB694" s="225"/>
      <c r="BC694" s="225"/>
      <c r="BD694" s="225"/>
      <c r="BE694" s="225"/>
      <c r="BF694" s="225"/>
      <c r="BG694" s="225"/>
      <c r="BH694" s="225"/>
      <c r="BI694" s="225"/>
      <c r="BJ694" s="225"/>
    </row>
    <row r="695" spans="2:62" ht="15.75" customHeight="1">
      <c r="B695" s="7"/>
      <c r="C695" s="302"/>
      <c r="D695" s="302"/>
      <c r="E695" s="302"/>
      <c r="F695" s="302"/>
      <c r="G695" s="302"/>
      <c r="H695" s="302"/>
      <c r="I695" s="302"/>
      <c r="J695" s="302"/>
      <c r="K695" s="353"/>
      <c r="L695" s="353"/>
      <c r="M695" s="302"/>
      <c r="N695" s="353"/>
      <c r="O695" s="353"/>
      <c r="P695" s="302"/>
      <c r="Q695" s="353"/>
      <c r="R695" s="353"/>
      <c r="S695" s="302"/>
      <c r="T695" s="302"/>
      <c r="U695" s="302"/>
      <c r="V695" s="302"/>
      <c r="W695" s="302"/>
      <c r="X695" s="302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  <c r="AS695" s="225"/>
      <c r="AT695" s="225"/>
      <c r="AU695" s="225"/>
      <c r="AV695" s="225"/>
      <c r="AW695" s="225"/>
      <c r="AX695" s="225"/>
      <c r="AY695" s="225"/>
      <c r="AZ695" s="225"/>
      <c r="BA695" s="225"/>
      <c r="BB695" s="225"/>
      <c r="BC695" s="225"/>
      <c r="BD695" s="225"/>
      <c r="BE695" s="225"/>
      <c r="BF695" s="225"/>
      <c r="BG695" s="225"/>
      <c r="BH695" s="225"/>
      <c r="BI695" s="225"/>
      <c r="BJ695" s="225"/>
    </row>
    <row r="696" spans="2:62" ht="15.75" customHeight="1">
      <c r="B696" s="7"/>
      <c r="C696" s="302"/>
      <c r="D696" s="302"/>
      <c r="E696" s="302"/>
      <c r="F696" s="302"/>
      <c r="G696" s="302"/>
      <c r="H696" s="302"/>
      <c r="I696" s="302"/>
      <c r="J696" s="302"/>
      <c r="K696" s="353"/>
      <c r="L696" s="353"/>
      <c r="M696" s="302"/>
      <c r="N696" s="353"/>
      <c r="O696" s="353"/>
      <c r="P696" s="302"/>
      <c r="Q696" s="353"/>
      <c r="R696" s="353"/>
      <c r="S696" s="302"/>
      <c r="T696" s="302"/>
      <c r="U696" s="302"/>
      <c r="V696" s="302"/>
      <c r="W696" s="302"/>
      <c r="X696" s="302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  <c r="AS696" s="225"/>
      <c r="AT696" s="225"/>
      <c r="AU696" s="225"/>
      <c r="AV696" s="225"/>
      <c r="AW696" s="225"/>
      <c r="AX696" s="225"/>
      <c r="AY696" s="225"/>
      <c r="AZ696" s="225"/>
      <c r="BA696" s="225"/>
      <c r="BB696" s="225"/>
      <c r="BC696" s="225"/>
      <c r="BD696" s="225"/>
      <c r="BE696" s="225"/>
      <c r="BF696" s="225"/>
      <c r="BG696" s="225"/>
      <c r="BH696" s="225"/>
      <c r="BI696" s="225"/>
      <c r="BJ696" s="225"/>
    </row>
    <row r="697" spans="2:62" ht="15.75" customHeight="1">
      <c r="B697" s="7"/>
      <c r="C697" s="302"/>
      <c r="D697" s="302"/>
      <c r="E697" s="302"/>
      <c r="F697" s="302"/>
      <c r="G697" s="302"/>
      <c r="H697" s="302"/>
      <c r="I697" s="302"/>
      <c r="J697" s="302"/>
      <c r="K697" s="353"/>
      <c r="L697" s="353"/>
      <c r="M697" s="302"/>
      <c r="N697" s="355"/>
      <c r="O697" s="355"/>
      <c r="P697" s="302"/>
      <c r="Q697" s="355"/>
      <c r="R697" s="353"/>
      <c r="S697" s="302"/>
      <c r="T697" s="302"/>
      <c r="U697" s="302"/>
      <c r="V697" s="302"/>
      <c r="W697" s="302"/>
      <c r="X697" s="302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  <c r="AS697" s="225"/>
      <c r="AT697" s="225"/>
      <c r="AU697" s="225"/>
      <c r="AV697" s="225"/>
      <c r="AW697" s="225"/>
      <c r="AX697" s="225"/>
      <c r="AY697" s="225"/>
      <c r="AZ697" s="225"/>
      <c r="BA697" s="225"/>
      <c r="BB697" s="225"/>
      <c r="BC697" s="225"/>
      <c r="BD697" s="225"/>
      <c r="BE697" s="225"/>
      <c r="BF697" s="225"/>
      <c r="BG697" s="225"/>
      <c r="BH697" s="225"/>
      <c r="BI697" s="225"/>
      <c r="BJ697" s="225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3" type="noConversion"/>
  <conditionalFormatting sqref="D171:D180">
    <cfRule type="expression" dxfId="266" priority="23" stopIfTrue="1">
      <formula>"esterreur(reference)"</formula>
    </cfRule>
  </conditionalFormatting>
  <conditionalFormatting sqref="E185">
    <cfRule type="expression" dxfId="265" priority="24" stopIfTrue="1">
      <formula>"esterreur(reference)"</formula>
    </cfRule>
  </conditionalFormatting>
  <conditionalFormatting sqref="F5">
    <cfRule type="expression" dxfId="264" priority="253" stopIfTrue="1">
      <formula>"esterreur(reference)"</formula>
    </cfRule>
  </conditionalFormatting>
  <conditionalFormatting sqref="F183">
    <cfRule type="expression" dxfId="263" priority="13" stopIfTrue="1">
      <formula>"esterreur(reference)"</formula>
    </cfRule>
  </conditionalFormatting>
  <conditionalFormatting sqref="G42">
    <cfRule type="expression" dxfId="262" priority="28" stopIfTrue="1">
      <formula>"esterreur(reference)"</formula>
    </cfRule>
  </conditionalFormatting>
  <conditionalFormatting sqref="G55">
    <cfRule type="expression" dxfId="261" priority="27" stopIfTrue="1">
      <formula>"esterreur(reference)"</formula>
    </cfRule>
  </conditionalFormatting>
  <conditionalFormatting sqref="G111:G112">
    <cfRule type="expression" dxfId="260" priority="73" stopIfTrue="1">
      <formula>"esterreur(reference)"</formula>
    </cfRule>
  </conditionalFormatting>
  <conditionalFormatting sqref="G171:G180">
    <cfRule type="expression" dxfId="259" priority="22" stopIfTrue="1">
      <formula>"esterreur(reference)"</formula>
    </cfRule>
  </conditionalFormatting>
  <conditionalFormatting sqref="H135:H151">
    <cfRule type="expression" dxfId="258" priority="111" stopIfTrue="1">
      <formula>"esterreur(reference)"</formula>
    </cfRule>
  </conditionalFormatting>
  <conditionalFormatting sqref="H359">
    <cfRule type="expression" dxfId="257" priority="405" stopIfTrue="1">
      <formula>"esterreur(reference)"</formula>
    </cfRule>
  </conditionalFormatting>
  <conditionalFormatting sqref="H196:L196">
    <cfRule type="expression" dxfId="256" priority="10" stopIfTrue="1">
      <formula>"esterreur(reference)"</formula>
    </cfRule>
  </conditionalFormatting>
  <conditionalFormatting sqref="H395:L398">
    <cfRule type="expression" dxfId="255" priority="402" stopIfTrue="1">
      <formula>"esterreur(reference)"</formula>
    </cfRule>
  </conditionalFormatting>
  <conditionalFormatting sqref="I5">
    <cfRule type="expression" dxfId="254" priority="72" stopIfTrue="1">
      <formula>"esterreur(reference)"</formula>
    </cfRule>
  </conditionalFormatting>
  <conditionalFormatting sqref="I376:L376 H377:H394">
    <cfRule type="expression" dxfId="253" priority="403" stopIfTrue="1">
      <formula>"esterreur(reference)"</formula>
    </cfRule>
  </conditionalFormatting>
  <conditionalFormatting sqref="J3 I13:J14 I16:J16 I17 I18:J18 J19 I20:J20 J21:J23 I24:J24 H25:L30 J31:K48 H31:H72 F83:F85 H83:L85 H86:K88 L86:L90 H90:I90 K90 J90:J91 H96:L97 I100:L100 H100:H103 I104:L110 H105:H133 I121:L121 H134:L134 H152:L152 H155:H156 J155:K156 H163:L163 H164 J164:K164 H165:K166 L165:L168 H168:K168 H233:K234 L233:L236 H236:I236 K236 J236:J239 H238:I238 J242:L242 J251:L252 J253:K282 J283:J284 J287:L287 J288:K288 H289:K289 L289:L291 H291:I291 K291 J291:J292 H293:L293 H303:L305 H308:L309 H312:L316 H317:H347 J317:K347 H348:L348 H351:L351 H352:H354 J352:K354 H360:L363 H364:H375 H399 J399:K399">
    <cfRule type="expression" dxfId="252" priority="388" stopIfTrue="1">
      <formula>"esterreur(reference)"</formula>
    </cfRule>
  </conditionalFormatting>
  <conditionalFormatting sqref="J169:J175 H170:I170 K170:L172 H172:I172 I173 L173 K174:L175 H175:I175 I176:J176 L176 J177:L178 H178:I178 I179:J179 L179 K180:L181 J180:J195 H181:I182 L182 K182:K183 H184:I186 K184:L195 H188:I189 H191:I195 H197:H228 J197:K228 H231:L231 H232 J232:K232">
    <cfRule type="expression" dxfId="251" priority="9" stopIfTrue="1">
      <formula>"esterreur(reference)"</formula>
    </cfRule>
  </conditionalFormatting>
  <conditionalFormatting sqref="J49:L72">
    <cfRule type="expression" dxfId="250" priority="116" stopIfTrue="1">
      <formula>"esterreur(reference)"</formula>
    </cfRule>
  </conditionalFormatting>
  <conditionalFormatting sqref="J101:L103">
    <cfRule type="expression" dxfId="249" priority="361" stopIfTrue="1">
      <formula>"esterreur(reference)"</formula>
    </cfRule>
  </conditionalFormatting>
  <conditionalFormatting sqref="J111:L120">
    <cfRule type="expression" dxfId="248" priority="333" stopIfTrue="1">
      <formula>"esterreur(reference)"</formula>
    </cfRule>
  </conditionalFormatting>
  <conditionalFormatting sqref="J122:L133">
    <cfRule type="expression" dxfId="247" priority="261" stopIfTrue="1">
      <formula>"esterreur(reference)"</formula>
    </cfRule>
  </conditionalFormatting>
  <conditionalFormatting sqref="J135:L151">
    <cfRule type="expression" dxfId="246" priority="110" stopIfTrue="1">
      <formula>"esterreur(reference)"</formula>
    </cfRule>
  </conditionalFormatting>
  <conditionalFormatting sqref="J294:L302">
    <cfRule type="expression" dxfId="245" priority="83" stopIfTrue="1">
      <formula>"esterreur(reference)"</formula>
    </cfRule>
  </conditionalFormatting>
  <conditionalFormatting sqref="J306:L307">
    <cfRule type="expression" dxfId="244" priority="277" stopIfTrue="1">
      <formula>"esterreur(reference)"</formula>
    </cfRule>
  </conditionalFormatting>
  <conditionalFormatting sqref="J310:L311">
    <cfRule type="expression" dxfId="243" priority="34" stopIfTrue="1">
      <formula>"esterreur(reference)"</formula>
    </cfRule>
  </conditionalFormatting>
  <conditionalFormatting sqref="J359:L359">
    <cfRule type="expression" dxfId="242" priority="266" stopIfTrue="1">
      <formula>"esterreur(reference)"</formula>
    </cfRule>
  </conditionalFormatting>
  <conditionalFormatting sqref="J364:L375">
    <cfRule type="expression" dxfId="241" priority="273" stopIfTrue="1">
      <formula>"esterreur(reference)"</formula>
    </cfRule>
  </conditionalFormatting>
  <conditionalFormatting sqref="J377:L393">
    <cfRule type="expression" dxfId="240" priority="272" stopIfTrue="1">
      <formula>"esterreur(reference)"</formula>
    </cfRule>
  </conditionalFormatting>
  <conditionalFormatting sqref="K5">
    <cfRule type="expression" dxfId="239" priority="282" stopIfTrue="1">
      <formula>"esterreur(reference)"</formula>
    </cfRule>
  </conditionalFormatting>
  <conditionalFormatting sqref="K394">
    <cfRule type="expression" dxfId="238" priority="406" stopIfTrue="1">
      <formula>"esterreur(reference)"</formula>
    </cfRule>
  </conditionalFormatting>
  <conditionalFormatting sqref="K93:L93">
    <cfRule type="expression" dxfId="237" priority="103" stopIfTrue="1">
      <formula>"esterreur(reference)"</formula>
    </cfRule>
  </conditionalFormatting>
  <conditionalFormatting sqref="K98:L99">
    <cfRule type="expression" dxfId="236" priority="364" stopIfTrue="1">
      <formula>"esterreur(reference)"</formula>
    </cfRule>
  </conditionalFormatting>
  <conditionalFormatting sqref="K238:L240">
    <cfRule type="expression" dxfId="235" priority="84" stopIfTrue="1">
      <formula>"esterreur(reference)"</formula>
    </cfRule>
  </conditionalFormatting>
  <conditionalFormatting sqref="K243:L243">
    <cfRule type="expression" dxfId="234" priority="279" stopIfTrue="1">
      <formula>"esterreur(reference)"</formula>
    </cfRule>
  </conditionalFormatting>
  <conditionalFormatting sqref="K246:L246">
    <cfRule type="expression" dxfId="233" priority="278" stopIfTrue="1">
      <formula>"esterreur(reference)"</formula>
    </cfRule>
  </conditionalFormatting>
  <conditionalFormatting sqref="L5:L14">
    <cfRule type="expression" dxfId="232" priority="71" stopIfTrue="1">
      <formula>"esterreur(reference)"</formula>
    </cfRule>
  </conditionalFormatting>
  <conditionalFormatting sqref="L16:L24">
    <cfRule type="expression" dxfId="231" priority="385" stopIfTrue="1">
      <formula>"esterreur(reference)"</formula>
    </cfRule>
  </conditionalFormatting>
  <conditionalFormatting sqref="L42:L48">
    <cfRule type="expression" dxfId="230" priority="381" stopIfTrue="1">
      <formula>"esterreur(reference)"</formula>
    </cfRule>
  </conditionalFormatting>
  <conditionalFormatting sqref="L75:L82">
    <cfRule type="expression" dxfId="229" priority="256" stopIfTrue="1">
      <formula>"esterreur(reference)"</formula>
    </cfRule>
  </conditionalFormatting>
  <conditionalFormatting sqref="L155:L161">
    <cfRule type="expression" dxfId="228" priority="107" stopIfTrue="1">
      <formula>"esterreur(reference)"</formula>
    </cfRule>
  </conditionalFormatting>
  <conditionalFormatting sqref="L197:L208">
    <cfRule type="expression" dxfId="227" priority="11" stopIfTrue="1">
      <formula>"esterreur(reference)"</formula>
    </cfRule>
  </conditionalFormatting>
  <conditionalFormatting sqref="L210:L227">
    <cfRule type="expression" dxfId="226" priority="12" stopIfTrue="1">
      <formula>"esterreur(reference)"</formula>
    </cfRule>
  </conditionalFormatting>
  <conditionalFormatting sqref="L253:L264">
    <cfRule type="expression" dxfId="225" priority="303" stopIfTrue="1">
      <formula>"esterreur(reference)"</formula>
    </cfRule>
  </conditionalFormatting>
  <conditionalFormatting sqref="L266:L284">
    <cfRule type="expression" dxfId="224" priority="258" stopIfTrue="1">
      <formula>"esterreur(reference)"</formula>
    </cfRule>
  </conditionalFormatting>
  <conditionalFormatting sqref="L317:L328">
    <cfRule type="expression" dxfId="223" priority="284" stopIfTrue="1">
      <formula>"esterreur(reference)"</formula>
    </cfRule>
  </conditionalFormatting>
  <conditionalFormatting sqref="L330:L347">
    <cfRule type="expression" dxfId="222" priority="257" stopIfTrue="1">
      <formula>"esterreur(reference)"</formula>
    </cfRule>
  </conditionalFormatting>
  <conditionalFormatting sqref="L355:L356 H356:I356 K356 J356:J357 H358:L358">
    <cfRule type="expression" dxfId="221" priority="401" stopIfTrue="1">
      <formula>"esterreur(reference)"</formula>
    </cfRule>
  </conditionalFormatting>
  <conditionalFormatting sqref="M95:M96">
    <cfRule type="expression" dxfId="220" priority="26" stopIfTrue="1">
      <formula>"esterreur(reference)"</formula>
    </cfRule>
  </conditionalFormatting>
  <conditionalFormatting sqref="M311">
    <cfRule type="expression" dxfId="219" priority="6" stopIfTrue="1">
      <formula>"esterreur(reference)"</formula>
    </cfRule>
  </conditionalFormatting>
  <conditionalFormatting sqref="O13:O14 O16 O18:O24 O83:Q85">
    <cfRule type="expression" dxfId="218" priority="248" stopIfTrue="1">
      <formula>"esterreur(reference)"</formula>
    </cfRule>
  </conditionalFormatting>
  <conditionalFormatting sqref="O317:P347 O348:Q348 O351:Q351 O352:P352">
    <cfRule type="expression" dxfId="217" priority="144" stopIfTrue="1">
      <formula>"esterreur(reference)"</formula>
    </cfRule>
  </conditionalFormatting>
  <conditionalFormatting sqref="O25:Q72">
    <cfRule type="expression" dxfId="216" priority="117" stopIfTrue="1">
      <formula>"esterreur(reference)"</formula>
    </cfRule>
  </conditionalFormatting>
  <conditionalFormatting sqref="O96:Q97 O155:P156 O163:Q163 O164:P164">
    <cfRule type="expression" dxfId="215" priority="216" stopIfTrue="1">
      <formula>"esterreur(reference)"</formula>
    </cfRule>
  </conditionalFormatting>
  <conditionalFormatting sqref="O100:Q152">
    <cfRule type="expression" dxfId="214" priority="29" stopIfTrue="1">
      <formula>"esterreur(reference)"</formula>
    </cfRule>
  </conditionalFormatting>
  <conditionalFormatting sqref="O196:Q196">
    <cfRule type="expression" dxfId="213" priority="16" stopIfTrue="1">
      <formula>"esterreur(reference)"</formula>
    </cfRule>
  </conditionalFormatting>
  <conditionalFormatting sqref="O242:Q242 O251:Q252 O253:P282 O283:O284 O287:Q287 O288:P288">
    <cfRule type="expression" dxfId="212" priority="64" stopIfTrue="1">
      <formula>"esterreur(reference)"</formula>
    </cfRule>
  </conditionalFormatting>
  <conditionalFormatting sqref="O294:Q316">
    <cfRule type="expression" dxfId="211" priority="31" stopIfTrue="1">
      <formula>"esterreur(reference)"</formula>
    </cfRule>
  </conditionalFormatting>
  <conditionalFormatting sqref="O358:Q393">
    <cfRule type="expression" dxfId="210" priority="118" stopIfTrue="1">
      <formula>"esterreur(reference)"</formula>
    </cfRule>
  </conditionalFormatting>
  <conditionalFormatting sqref="O395:Q398">
    <cfRule type="expression" dxfId="209" priority="125" stopIfTrue="1">
      <formula>"esterreur(reference)"</formula>
    </cfRule>
  </conditionalFormatting>
  <conditionalFormatting sqref="P5">
    <cfRule type="expression" dxfId="208" priority="225" stopIfTrue="1">
      <formula>"esterreur(reference)"</formula>
    </cfRule>
  </conditionalFormatting>
  <conditionalFormatting sqref="P174">
    <cfRule type="expression" dxfId="207" priority="19" stopIfTrue="1">
      <formula>"esterreur(reference)"</formula>
    </cfRule>
  </conditionalFormatting>
  <conditionalFormatting sqref="P177">
    <cfRule type="expression" dxfId="206" priority="20" stopIfTrue="1">
      <formula>"esterreur(reference)"</formula>
    </cfRule>
  </conditionalFormatting>
  <conditionalFormatting sqref="P180">
    <cfRule type="expression" dxfId="205" priority="21" stopIfTrue="1">
      <formula>"esterreur(reference)"</formula>
    </cfRule>
  </conditionalFormatting>
  <conditionalFormatting sqref="P394">
    <cfRule type="expression" dxfId="204" priority="127" stopIfTrue="1">
      <formula>"esterreur(reference)"</formula>
    </cfRule>
  </conditionalFormatting>
  <conditionalFormatting sqref="P93:Q93">
    <cfRule type="expression" dxfId="203" priority="102" stopIfTrue="1">
      <formula>"esterreur(reference)"</formula>
    </cfRule>
  </conditionalFormatting>
  <conditionalFormatting sqref="P98:Q99">
    <cfRule type="expression" dxfId="202" priority="104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201" priority="15" stopIfTrue="1">
      <formula>"esterreur(reference)"</formula>
    </cfRule>
  </conditionalFormatting>
  <conditionalFormatting sqref="P240:Q240">
    <cfRule type="expression" dxfId="200" priority="39" stopIfTrue="1">
      <formula>"esterreur(reference)"</formula>
    </cfRule>
  </conditionalFormatting>
  <conditionalFormatting sqref="P243:Q243">
    <cfRule type="expression" dxfId="199" priority="43" stopIfTrue="1">
      <formula>"esterreur(reference)"</formula>
    </cfRule>
  </conditionalFormatting>
  <conditionalFormatting sqref="P246:Q246">
    <cfRule type="expression" dxfId="198" priority="42" stopIfTrue="1">
      <formula>"esterreur(reference)"</formula>
    </cfRule>
  </conditionalFormatting>
  <conditionalFormatting sqref="Q5:Q14">
    <cfRule type="expression" dxfId="197" priority="70" stopIfTrue="1">
      <formula>"esterreur(reference)"</formula>
    </cfRule>
  </conditionalFormatting>
  <conditionalFormatting sqref="Q16:Q24">
    <cfRule type="expression" dxfId="196" priority="245" stopIfTrue="1">
      <formula>"esterreur(reference)"</formula>
    </cfRule>
  </conditionalFormatting>
  <conditionalFormatting sqref="Q75:Q82">
    <cfRule type="expression" dxfId="195" priority="227" stopIfTrue="1">
      <formula>"esterreur(reference)"</formula>
    </cfRule>
  </conditionalFormatting>
  <conditionalFormatting sqref="Q155:Q161">
    <cfRule type="expression" dxfId="194" priority="187" stopIfTrue="1">
      <formula>"esterreur(reference)"</formula>
    </cfRule>
  </conditionalFormatting>
  <conditionalFormatting sqref="Q197:Q208">
    <cfRule type="expression" dxfId="193" priority="17" stopIfTrue="1">
      <formula>"esterreur(reference)"</formula>
    </cfRule>
  </conditionalFormatting>
  <conditionalFormatting sqref="Q210:Q227">
    <cfRule type="expression" dxfId="192" priority="18" stopIfTrue="1">
      <formula>"esterreur(reference)"</formula>
    </cfRule>
  </conditionalFormatting>
  <conditionalFormatting sqref="Q253:Q264">
    <cfRule type="expression" dxfId="191" priority="51" stopIfTrue="1">
      <formula>"esterreur(reference)"</formula>
    </cfRule>
  </conditionalFormatting>
  <conditionalFormatting sqref="Q266:Q284">
    <cfRule type="expression" dxfId="190" priority="41" stopIfTrue="1">
      <formula>"esterreur(reference)"</formula>
    </cfRule>
  </conditionalFormatting>
  <conditionalFormatting sqref="Q317:Q328">
    <cfRule type="expression" dxfId="189" priority="132" stopIfTrue="1">
      <formula>"esterreur(reference)"</formula>
    </cfRule>
  </conditionalFormatting>
  <conditionalFormatting sqref="Q330:Q347">
    <cfRule type="expression" dxfId="188" priority="128" stopIfTrue="1">
      <formula>"esterreur(reference)"</formula>
    </cfRule>
  </conditionalFormatting>
  <conditionalFormatting sqref="R311">
    <cfRule type="expression" dxfId="187" priority="5" stopIfTrue="1">
      <formula>"esterreur(reference)"</formula>
    </cfRule>
  </conditionalFormatting>
  <conditionalFormatting sqref="S185">
    <cfRule type="expression" dxfId="186" priority="8" stopIfTrue="1">
      <formula>"esterreur(reference)"</formula>
    </cfRule>
  </conditionalFormatting>
  <conditionalFormatting sqref="AG408:AI417 AH419:AI450 AH452:AI459 AH460:AH461 AH462:AI464 AH466:AI467 AH490:AI496">
    <cfRule type="cellIs" dxfId="185" priority="2" operator="greaterThan">
      <formula>0</formula>
    </cfRule>
  </conditionalFormatting>
  <conditionalFormatting sqref="AH468:AI475 AH479:AI479">
    <cfRule type="cellIs" dxfId="184" priority="3" operator="lessThan">
      <formula>0</formula>
    </cfRule>
  </conditionalFormatting>
  <conditionalFormatting sqref="AH476:AI478">
    <cfRule type="cellIs" dxfId="183" priority="4" operator="greaterThan">
      <formula>0</formula>
    </cfRule>
  </conditionalFormatting>
  <conditionalFormatting sqref="AO408:AO417">
    <cfRule type="cellIs" dxfId="182" priority="1" operator="greaterThan">
      <formula>0</formula>
    </cfRule>
  </conditionalFormatting>
  <printOptions horizontalCentered="1"/>
  <pageMargins left="0.23622047244094491" right="0.23622047244094491" top="0.51181102362204722" bottom="0.23622047244094491" header="0" footer="0"/>
  <pageSetup scale="44" fitToWidth="0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topLeftCell="A31" workbookViewId="0"/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AB14-2E0E-4B64-9ACF-2191149F7FBC}">
  <sheetPr>
    <tabColor rgb="FFFFC000"/>
  </sheetPr>
  <dimension ref="A1:BJ692"/>
  <sheetViews>
    <sheetView topLeftCell="A129" zoomScale="80" zoomScaleNormal="80" workbookViewId="0">
      <pane xSplit="3" topLeftCell="D1" activePane="topRight" state="frozen"/>
      <selection pane="topRight" activeCell="P163" sqref="A1:XFD1048576"/>
    </sheetView>
  </sheetViews>
  <sheetFormatPr defaultColWidth="12.59765625" defaultRowHeight="15" customHeight="1"/>
  <cols>
    <col min="1" max="1" width="37.5" style="466" hidden="1" customWidth="1"/>
    <col min="2" max="2" width="21.8984375" style="466" hidden="1" customWidth="1"/>
    <col min="3" max="3" width="31.19921875" style="466" customWidth="1"/>
    <col min="4" max="4" width="16.5" style="466" customWidth="1"/>
    <col min="5" max="5" width="14.59765625" style="466" customWidth="1"/>
    <col min="6" max="6" width="14" style="466" customWidth="1"/>
    <col min="7" max="7" width="17.69921875" style="466" hidden="1" customWidth="1"/>
    <col min="8" max="8" width="15.09765625" style="466" hidden="1" customWidth="1"/>
    <col min="9" max="9" width="14" style="466" hidden="1" customWidth="1"/>
    <col min="10" max="10" width="15.59765625" style="466" customWidth="1"/>
    <col min="11" max="11" width="15.5" style="466" customWidth="1"/>
    <col min="12" max="12" width="14.8984375" style="466" customWidth="1"/>
    <col min="13" max="14" width="16.19921875" style="466" customWidth="1"/>
    <col min="15" max="15" width="15.5" style="466" customWidth="1"/>
    <col min="16" max="16" width="14.59765625" style="466" customWidth="1"/>
    <col min="17" max="17" width="14" style="466" customWidth="1"/>
    <col min="18" max="18" width="14.69921875" style="466" customWidth="1"/>
    <col min="19" max="19" width="19" style="466" customWidth="1"/>
    <col min="20" max="20" width="4.59765625" style="466" customWidth="1"/>
    <col min="21" max="21" width="31.69921875" style="466" customWidth="1"/>
    <col min="22" max="22" width="34" style="466" customWidth="1"/>
    <col min="23" max="23" width="12.19921875" style="466" customWidth="1"/>
    <col min="24" max="24" width="13.69921875" style="466" customWidth="1"/>
    <col min="25" max="25" width="15.09765625" style="466" customWidth="1"/>
    <col min="26" max="26" width="15" style="466" customWidth="1"/>
    <col min="27" max="27" width="11.09765625" style="466" hidden="1" customWidth="1"/>
    <col min="28" max="28" width="9.3984375" style="466" hidden="1" customWidth="1"/>
    <col min="29" max="29" width="14.5" style="466" hidden="1" customWidth="1"/>
    <col min="30" max="30" width="13.5" style="466" customWidth="1"/>
    <col min="31" max="31" width="14.19921875" style="466" customWidth="1"/>
    <col min="32" max="32" width="14.09765625" style="466" customWidth="1"/>
    <col min="33" max="33" width="9" style="466" customWidth="1"/>
    <col min="34" max="34" width="13.5" style="466" customWidth="1"/>
    <col min="35" max="35" width="10.09765625" style="466" customWidth="1"/>
    <col min="36" max="36" width="10.8984375" style="466" customWidth="1"/>
    <col min="37" max="37" width="11.3984375" style="466" customWidth="1"/>
    <col min="38" max="38" width="12.69921875" style="466" customWidth="1"/>
    <col min="39" max="39" width="9" style="466" customWidth="1"/>
    <col min="40" max="40" width="11" style="466" customWidth="1"/>
    <col min="41" max="41" width="14.69921875" style="466" customWidth="1"/>
    <col min="42" max="42" width="11" style="466" customWidth="1"/>
    <col min="43" max="43" width="48.3984375" style="466" customWidth="1"/>
    <col min="44" max="62" width="11" style="466" customWidth="1"/>
    <col min="63" max="16384" width="12.59765625" style="466"/>
  </cols>
  <sheetData>
    <row r="1" spans="1:40" ht="36" thickBot="1">
      <c r="B1" s="467"/>
      <c r="C1" s="468" t="s">
        <v>223</v>
      </c>
      <c r="D1" s="469"/>
      <c r="E1" s="470"/>
      <c r="F1" s="469"/>
      <c r="G1" s="469"/>
      <c r="H1" s="467"/>
      <c r="I1" s="469"/>
      <c r="J1" s="467"/>
      <c r="K1" s="471" t="s">
        <v>0</v>
      </c>
      <c r="L1" s="469"/>
      <c r="M1" s="469"/>
      <c r="N1" s="472"/>
      <c r="O1" s="468"/>
      <c r="P1" s="473"/>
      <c r="Q1" s="468"/>
      <c r="R1" s="473"/>
      <c r="S1" s="474" t="s">
        <v>482</v>
      </c>
      <c r="T1" s="469" t="s">
        <v>1</v>
      </c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</row>
    <row r="2" spans="1:40" ht="15" customHeight="1" thickTop="1" thickBot="1">
      <c r="B2" s="475"/>
      <c r="C2" s="476"/>
      <c r="D2" s="477" t="s">
        <v>2</v>
      </c>
      <c r="E2" s="477" t="s">
        <v>3</v>
      </c>
      <c r="F2" s="477" t="s">
        <v>4</v>
      </c>
      <c r="G2" s="477"/>
      <c r="H2" s="477"/>
      <c r="I2" s="477"/>
      <c r="J2" s="477" t="s">
        <v>213</v>
      </c>
      <c r="K2" s="477"/>
      <c r="L2" s="477" t="s">
        <v>210</v>
      </c>
      <c r="M2" s="478"/>
      <c r="N2" s="478"/>
      <c r="O2" s="477" t="s">
        <v>213</v>
      </c>
      <c r="P2" s="477"/>
      <c r="Q2" s="477" t="s">
        <v>210</v>
      </c>
      <c r="R2" s="478"/>
      <c r="S2" s="478"/>
      <c r="T2" s="478"/>
      <c r="U2" s="478"/>
      <c r="V2" s="479" t="s">
        <v>469</v>
      </c>
      <c r="W2" s="480"/>
    </row>
    <row r="3" spans="1:40" ht="21.6" thickTop="1">
      <c r="B3" s="481"/>
      <c r="C3" s="482"/>
      <c r="D3" s="864" t="s">
        <v>5</v>
      </c>
      <c r="E3" s="865"/>
      <c r="F3" s="866"/>
      <c r="G3" s="867"/>
      <c r="H3" s="865"/>
      <c r="I3" s="866"/>
      <c r="J3" s="867" t="s">
        <v>7</v>
      </c>
      <c r="K3" s="865"/>
      <c r="L3" s="866"/>
      <c r="M3" s="867" t="s">
        <v>472</v>
      </c>
      <c r="N3" s="866"/>
      <c r="O3" s="864" t="s">
        <v>9</v>
      </c>
      <c r="P3" s="865"/>
      <c r="Q3" s="866"/>
      <c r="R3" s="867" t="s">
        <v>473</v>
      </c>
      <c r="S3" s="866"/>
      <c r="T3" s="481"/>
      <c r="U3" s="481"/>
      <c r="V3" s="483" t="s">
        <v>218</v>
      </c>
      <c r="W3" s="484">
        <v>0.45</v>
      </c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M3" s="481"/>
      <c r="AN3" s="481"/>
    </row>
    <row r="4" spans="1:40" ht="20.399999999999999">
      <c r="B4" s="481"/>
      <c r="C4" s="485"/>
      <c r="D4" s="486" t="s">
        <v>474</v>
      </c>
      <c r="E4" s="487" t="s">
        <v>12</v>
      </c>
      <c r="F4" s="488" t="s">
        <v>13</v>
      </c>
      <c r="G4" s="489"/>
      <c r="H4" s="487"/>
      <c r="I4" s="488"/>
      <c r="J4" s="489" t="s">
        <v>474</v>
      </c>
      <c r="K4" s="487" t="s">
        <v>14</v>
      </c>
      <c r="L4" s="488" t="s">
        <v>13</v>
      </c>
      <c r="M4" s="489" t="s">
        <v>474</v>
      </c>
      <c r="N4" s="488" t="s">
        <v>13</v>
      </c>
      <c r="O4" s="487" t="s">
        <v>474</v>
      </c>
      <c r="P4" s="487" t="s">
        <v>14</v>
      </c>
      <c r="Q4" s="488" t="s">
        <v>13</v>
      </c>
      <c r="R4" s="489" t="s">
        <v>474</v>
      </c>
      <c r="S4" s="488" t="s">
        <v>13</v>
      </c>
      <c r="T4" s="481"/>
      <c r="U4" s="481"/>
      <c r="V4" s="483" t="s">
        <v>219</v>
      </c>
      <c r="W4" s="484">
        <v>0.1</v>
      </c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481"/>
      <c r="AL4" s="481"/>
      <c r="AM4" s="481"/>
      <c r="AN4" s="481"/>
    </row>
    <row r="5" spans="1:40" ht="20.399999999999999">
      <c r="A5" s="490" t="s">
        <v>224</v>
      </c>
      <c r="B5" s="481" t="s">
        <v>0</v>
      </c>
      <c r="C5" s="491" t="s">
        <v>15</v>
      </c>
      <c r="D5" s="492"/>
      <c r="E5" s="492"/>
      <c r="F5" s="493">
        <v>2357227.2830310399</v>
      </c>
      <c r="G5" s="492"/>
      <c r="H5" s="492"/>
      <c r="I5" s="494"/>
      <c r="J5" s="491"/>
      <c r="K5" s="495"/>
      <c r="L5" s="493">
        <v>2122186.91</v>
      </c>
      <c r="M5" s="496"/>
      <c r="N5" s="497"/>
      <c r="O5" s="491"/>
      <c r="P5" s="495"/>
      <c r="Q5" s="493">
        <v>2657067.04</v>
      </c>
      <c r="R5" s="496"/>
      <c r="S5" s="497"/>
      <c r="T5" s="481"/>
      <c r="U5" s="481"/>
      <c r="V5" s="483" t="s">
        <v>214</v>
      </c>
      <c r="W5" s="484">
        <v>0.22500000000000001</v>
      </c>
      <c r="X5" s="481"/>
      <c r="Y5" s="481"/>
      <c r="Z5" s="481"/>
      <c r="AA5" s="481"/>
      <c r="AB5" s="481"/>
      <c r="AC5" s="481"/>
      <c r="AD5" s="481"/>
      <c r="AE5" s="481"/>
      <c r="AF5" s="481"/>
      <c r="AG5" s="481"/>
      <c r="AH5" s="481"/>
      <c r="AI5" s="481"/>
      <c r="AJ5" s="481"/>
      <c r="AK5" s="481"/>
      <c r="AL5" s="481"/>
      <c r="AM5" s="481"/>
      <c r="AN5" s="481"/>
    </row>
    <row r="6" spans="1:40" ht="20.399999999999999">
      <c r="A6" s="490" t="s">
        <v>225</v>
      </c>
      <c r="B6" s="481" t="s">
        <v>0</v>
      </c>
      <c r="C6" s="498" t="s">
        <v>16</v>
      </c>
      <c r="D6" s="499">
        <v>10.048</v>
      </c>
      <c r="E6" s="499">
        <v>1988.4340000000002</v>
      </c>
      <c r="F6" s="499">
        <v>19979.784832000001</v>
      </c>
      <c r="G6" s="500"/>
      <c r="H6" s="499"/>
      <c r="I6" s="499"/>
      <c r="J6" s="500">
        <v>12</v>
      </c>
      <c r="K6" s="499">
        <v>1882.194166666668</v>
      </c>
      <c r="L6" s="501">
        <v>22586.330000000016</v>
      </c>
      <c r="M6" s="500">
        <v>1.952</v>
      </c>
      <c r="N6" s="501">
        <v>2606.5451680000151</v>
      </c>
      <c r="O6" s="500">
        <v>13</v>
      </c>
      <c r="P6" s="499">
        <v>2819.2123076923094</v>
      </c>
      <c r="Q6" s="501">
        <v>36649.760000000024</v>
      </c>
      <c r="R6" s="500">
        <v>-1</v>
      </c>
      <c r="S6" s="501">
        <v>-14063.430000000008</v>
      </c>
      <c r="T6" s="481"/>
      <c r="U6" s="481"/>
      <c r="V6" s="483" t="s">
        <v>220</v>
      </c>
      <c r="W6" s="484">
        <v>2.5000000000000001E-2</v>
      </c>
      <c r="X6" s="481"/>
      <c r="Y6" s="481"/>
      <c r="Z6" s="481"/>
      <c r="AA6" s="481"/>
      <c r="AB6" s="481"/>
      <c r="AC6" s="481"/>
      <c r="AD6" s="481"/>
      <c r="AE6" s="481"/>
      <c r="AF6" s="481"/>
      <c r="AG6" s="481"/>
      <c r="AH6" s="481"/>
      <c r="AI6" s="481"/>
      <c r="AJ6" s="481"/>
      <c r="AK6" s="481"/>
      <c r="AL6" s="481"/>
      <c r="AM6" s="481"/>
      <c r="AN6" s="481"/>
    </row>
    <row r="7" spans="1:40" ht="20.399999999999999">
      <c r="A7" s="490" t="s">
        <v>226</v>
      </c>
      <c r="B7" s="481" t="s">
        <v>0</v>
      </c>
      <c r="C7" s="498" t="s">
        <v>17</v>
      </c>
      <c r="D7" s="499">
        <v>40.187980800000005</v>
      </c>
      <c r="E7" s="499">
        <v>2556.333633363336</v>
      </c>
      <c r="F7" s="499">
        <v>102733.88697600001</v>
      </c>
      <c r="G7" s="500"/>
      <c r="H7" s="499"/>
      <c r="I7" s="499"/>
      <c r="J7" s="500">
        <v>24</v>
      </c>
      <c r="K7" s="499">
        <v>2577.0195833333323</v>
      </c>
      <c r="L7" s="501">
        <v>61848.469999999972</v>
      </c>
      <c r="M7" s="500">
        <v>-16.187980800000005</v>
      </c>
      <c r="N7" s="501">
        <v>-40885.416976000037</v>
      </c>
      <c r="O7" s="500">
        <v>37</v>
      </c>
      <c r="P7" s="499">
        <v>3278.5564864864823</v>
      </c>
      <c r="Q7" s="501">
        <v>121306.58999999985</v>
      </c>
      <c r="R7" s="500">
        <v>-13</v>
      </c>
      <c r="S7" s="501">
        <v>-59458.119999999879</v>
      </c>
      <c r="T7" s="481"/>
      <c r="U7" s="481"/>
      <c r="V7" s="483" t="s">
        <v>221</v>
      </c>
      <c r="W7" s="484">
        <v>0.2</v>
      </c>
      <c r="X7" s="481"/>
      <c r="Y7" s="481"/>
      <c r="Z7" s="481"/>
      <c r="AA7" s="481"/>
      <c r="AB7" s="481"/>
      <c r="AC7" s="481"/>
      <c r="AD7" s="481"/>
      <c r="AE7" s="481"/>
      <c r="AF7" s="481"/>
      <c r="AG7" s="481"/>
      <c r="AH7" s="481"/>
      <c r="AI7" s="481"/>
      <c r="AJ7" s="481"/>
      <c r="AK7" s="481"/>
      <c r="AL7" s="481"/>
      <c r="AM7" s="481"/>
      <c r="AN7" s="481"/>
    </row>
    <row r="8" spans="1:40" ht="21" thickBot="1">
      <c r="A8" s="490" t="s">
        <v>227</v>
      </c>
      <c r="B8" s="481" t="s">
        <v>0</v>
      </c>
      <c r="C8" s="498" t="s">
        <v>18</v>
      </c>
      <c r="D8" s="499">
        <v>0</v>
      </c>
      <c r="E8" s="499">
        <v>0</v>
      </c>
      <c r="F8" s="499">
        <v>0</v>
      </c>
      <c r="G8" s="500"/>
      <c r="H8" s="499"/>
      <c r="I8" s="499"/>
      <c r="J8" s="500">
        <v>0</v>
      </c>
      <c r="K8" s="499">
        <v>0</v>
      </c>
      <c r="L8" s="501">
        <v>0</v>
      </c>
      <c r="M8" s="500">
        <v>0</v>
      </c>
      <c r="N8" s="501">
        <v>0</v>
      </c>
      <c r="O8" s="500">
        <v>0</v>
      </c>
      <c r="P8" s="499">
        <v>0</v>
      </c>
      <c r="Q8" s="501">
        <v>0</v>
      </c>
      <c r="R8" s="500">
        <v>0</v>
      </c>
      <c r="S8" s="501">
        <v>0</v>
      </c>
      <c r="T8" s="481"/>
      <c r="U8" s="481"/>
      <c r="V8" s="502"/>
      <c r="W8" s="503">
        <v>1</v>
      </c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1"/>
      <c r="AL8" s="481"/>
      <c r="AM8" s="481"/>
      <c r="AN8" s="481"/>
    </row>
    <row r="9" spans="1:40" ht="21" thickTop="1">
      <c r="A9" s="490" t="s">
        <v>228</v>
      </c>
      <c r="B9" s="481" t="s">
        <v>0</v>
      </c>
      <c r="C9" s="498" t="s">
        <v>19</v>
      </c>
      <c r="D9" s="499">
        <v>0</v>
      </c>
      <c r="E9" s="499">
        <v>0</v>
      </c>
      <c r="F9" s="499">
        <v>0</v>
      </c>
      <c r="G9" s="500"/>
      <c r="H9" s="499"/>
      <c r="I9" s="499"/>
      <c r="J9" s="500">
        <v>0</v>
      </c>
      <c r="K9" s="499">
        <v>0</v>
      </c>
      <c r="L9" s="501">
        <v>0</v>
      </c>
      <c r="M9" s="500">
        <v>0</v>
      </c>
      <c r="N9" s="501">
        <v>0</v>
      </c>
      <c r="O9" s="500">
        <v>0</v>
      </c>
      <c r="P9" s="499">
        <v>0</v>
      </c>
      <c r="Q9" s="501">
        <v>0</v>
      </c>
      <c r="R9" s="500">
        <v>0</v>
      </c>
      <c r="S9" s="501">
        <v>0</v>
      </c>
      <c r="T9" s="481"/>
      <c r="U9" s="481"/>
      <c r="V9" s="481"/>
      <c r="W9" s="481"/>
      <c r="X9" s="481"/>
      <c r="Y9" s="481"/>
      <c r="Z9" s="481"/>
      <c r="AA9" s="481"/>
      <c r="AB9" s="481"/>
      <c r="AC9" s="481"/>
      <c r="AD9" s="481"/>
      <c r="AE9" s="481"/>
      <c r="AF9" s="481"/>
      <c r="AG9" s="481"/>
      <c r="AH9" s="481"/>
      <c r="AI9" s="481"/>
      <c r="AJ9" s="481"/>
      <c r="AK9" s="481"/>
      <c r="AL9" s="481"/>
      <c r="AM9" s="481"/>
      <c r="AN9" s="481"/>
    </row>
    <row r="10" spans="1:40" ht="20.25" hidden="1" customHeight="1">
      <c r="A10" s="490" t="s">
        <v>229</v>
      </c>
      <c r="B10" s="481" t="s">
        <v>0</v>
      </c>
      <c r="C10" s="498" t="s">
        <v>20</v>
      </c>
      <c r="D10" s="499">
        <v>0</v>
      </c>
      <c r="E10" s="499">
        <v>0</v>
      </c>
      <c r="F10" s="499">
        <v>0</v>
      </c>
      <c r="G10" s="500"/>
      <c r="H10" s="499"/>
      <c r="I10" s="499"/>
      <c r="J10" s="500">
        <v>0</v>
      </c>
      <c r="K10" s="499">
        <v>0</v>
      </c>
      <c r="L10" s="501">
        <v>0</v>
      </c>
      <c r="M10" s="500">
        <v>0</v>
      </c>
      <c r="N10" s="501">
        <v>0</v>
      </c>
      <c r="O10" s="500">
        <v>0</v>
      </c>
      <c r="P10" s="499">
        <v>0</v>
      </c>
      <c r="Q10" s="501">
        <v>0</v>
      </c>
      <c r="R10" s="500">
        <v>0</v>
      </c>
      <c r="S10" s="501">
        <v>0</v>
      </c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</row>
    <row r="11" spans="1:40" ht="20.25" hidden="1" customHeight="1">
      <c r="A11" s="490" t="s">
        <v>229</v>
      </c>
      <c r="B11" s="481" t="s">
        <v>0</v>
      </c>
      <c r="C11" s="498" t="s">
        <v>20</v>
      </c>
      <c r="D11" s="499">
        <v>0</v>
      </c>
      <c r="E11" s="499">
        <v>0</v>
      </c>
      <c r="F11" s="499">
        <v>0</v>
      </c>
      <c r="G11" s="500"/>
      <c r="H11" s="499"/>
      <c r="I11" s="499"/>
      <c r="J11" s="500">
        <v>0</v>
      </c>
      <c r="K11" s="499">
        <v>0</v>
      </c>
      <c r="L11" s="501">
        <v>0</v>
      </c>
      <c r="M11" s="500">
        <v>0</v>
      </c>
      <c r="N11" s="501">
        <v>0</v>
      </c>
      <c r="O11" s="500">
        <v>0</v>
      </c>
      <c r="P11" s="499">
        <v>0</v>
      </c>
      <c r="Q11" s="501">
        <v>0</v>
      </c>
      <c r="R11" s="500">
        <v>0</v>
      </c>
      <c r="S11" s="501">
        <v>0</v>
      </c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</row>
    <row r="12" spans="1:40" ht="20.25" hidden="1" customHeight="1">
      <c r="A12" s="490" t="s">
        <v>229</v>
      </c>
      <c r="B12" s="481" t="s">
        <v>0</v>
      </c>
      <c r="C12" s="498" t="s">
        <v>20</v>
      </c>
      <c r="D12" s="499">
        <v>0</v>
      </c>
      <c r="E12" s="499">
        <v>0</v>
      </c>
      <c r="F12" s="499">
        <v>0</v>
      </c>
      <c r="G12" s="500"/>
      <c r="H12" s="499"/>
      <c r="I12" s="499"/>
      <c r="J12" s="500">
        <v>0</v>
      </c>
      <c r="K12" s="499">
        <v>0</v>
      </c>
      <c r="L12" s="501">
        <v>0</v>
      </c>
      <c r="M12" s="500">
        <v>0</v>
      </c>
      <c r="N12" s="501">
        <v>0</v>
      </c>
      <c r="O12" s="500">
        <v>0</v>
      </c>
      <c r="P12" s="499">
        <v>0</v>
      </c>
      <c r="Q12" s="501">
        <v>0</v>
      </c>
      <c r="R12" s="500">
        <v>0</v>
      </c>
      <c r="S12" s="501">
        <v>0</v>
      </c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</row>
    <row r="13" spans="1:40" ht="21">
      <c r="A13" s="490" t="s">
        <v>230</v>
      </c>
      <c r="B13" s="481" t="s">
        <v>0</v>
      </c>
      <c r="C13" s="504" t="s">
        <v>21</v>
      </c>
      <c r="D13" s="505">
        <v>50.235980800000007</v>
      </c>
      <c r="E13" s="505">
        <v>2442.7446195695657</v>
      </c>
      <c r="F13" s="506">
        <v>122713.67180800001</v>
      </c>
      <c r="G13" s="507"/>
      <c r="H13" s="505"/>
      <c r="I13" s="506"/>
      <c r="J13" s="507">
        <v>36</v>
      </c>
      <c r="K13" s="505">
        <v>2345.4111111111106</v>
      </c>
      <c r="L13" s="506">
        <v>84434.799999999988</v>
      </c>
      <c r="M13" s="507">
        <v>-14.235980800000005</v>
      </c>
      <c r="N13" s="506">
        <v>-38278.871808000025</v>
      </c>
      <c r="O13" s="507">
        <v>50</v>
      </c>
      <c r="P13" s="505">
        <v>3159.1269999999972</v>
      </c>
      <c r="Q13" s="506">
        <v>157956.34999999986</v>
      </c>
      <c r="R13" s="507">
        <v>-14</v>
      </c>
      <c r="S13" s="506">
        <v>-73521.549999999886</v>
      </c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</row>
    <row r="14" spans="1:40" ht="20.399999999999999">
      <c r="A14" s="490" t="s">
        <v>0</v>
      </c>
      <c r="B14" s="481" t="s">
        <v>0</v>
      </c>
      <c r="C14" s="498"/>
      <c r="D14" s="481"/>
      <c r="E14" s="499"/>
      <c r="F14" s="508"/>
      <c r="G14" s="498"/>
      <c r="H14" s="499"/>
      <c r="I14" s="508"/>
      <c r="J14" s="498"/>
      <c r="K14" s="499"/>
      <c r="L14" s="508"/>
      <c r="M14" s="509">
        <v>-0.28338216101874142</v>
      </c>
      <c r="N14" s="510">
        <v>-0.31193648795622242</v>
      </c>
      <c r="O14" s="498"/>
      <c r="P14" s="499"/>
      <c r="Q14" s="508"/>
      <c r="R14" s="509">
        <v>-0.28000000000000003</v>
      </c>
      <c r="S14" s="510">
        <v>-0.46545485509129547</v>
      </c>
      <c r="T14" s="481"/>
      <c r="U14" s="481"/>
      <c r="V14" s="481"/>
      <c r="W14" s="499"/>
      <c r="X14" s="499"/>
      <c r="Y14" s="481"/>
      <c r="Z14" s="481"/>
      <c r="AA14" s="481"/>
      <c r="AB14" s="481"/>
      <c r="AC14" s="481"/>
      <c r="AD14" s="481">
        <v>20</v>
      </c>
      <c r="AE14" s="481">
        <v>1000</v>
      </c>
      <c r="AF14" s="481">
        <v>20000</v>
      </c>
      <c r="AG14" s="481"/>
      <c r="AH14" s="481"/>
      <c r="AI14" s="481"/>
      <c r="AJ14" s="481"/>
      <c r="AK14" s="481"/>
      <c r="AL14" s="481"/>
      <c r="AM14" s="481"/>
      <c r="AN14" s="481"/>
    </row>
    <row r="15" spans="1:40" ht="21">
      <c r="A15" s="490" t="s">
        <v>231</v>
      </c>
      <c r="B15" s="481" t="s">
        <v>0</v>
      </c>
      <c r="C15" s="511" t="s">
        <v>22</v>
      </c>
      <c r="D15" s="495">
        <v>2.4</v>
      </c>
      <c r="E15" s="495">
        <v>2442.5491999999999</v>
      </c>
      <c r="F15" s="493">
        <v>5862.1180799999993</v>
      </c>
      <c r="G15" s="512"/>
      <c r="H15" s="495"/>
      <c r="I15" s="493"/>
      <c r="J15" s="513">
        <v>3</v>
      </c>
      <c r="K15" s="514">
        <v>851.18000000000268</v>
      </c>
      <c r="L15" s="514">
        <v>2553.5400000000081</v>
      </c>
      <c r="M15" s="512">
        <v>0.60000000000000009</v>
      </c>
      <c r="N15" s="493">
        <v>-3308.5780799999911</v>
      </c>
      <c r="O15" s="513">
        <v>3</v>
      </c>
      <c r="P15" s="514">
        <v>2992.6000000000008</v>
      </c>
      <c r="Q15" s="514">
        <v>8977.8000000000029</v>
      </c>
      <c r="R15" s="512">
        <v>0</v>
      </c>
      <c r="S15" s="493">
        <v>-6424.2599999999948</v>
      </c>
      <c r="T15" s="481"/>
      <c r="U15" s="481"/>
      <c r="V15" s="499"/>
      <c r="W15" s="481"/>
      <c r="X15" s="481"/>
      <c r="Y15" s="481"/>
      <c r="Z15" s="481"/>
      <c r="AA15" s="481"/>
      <c r="AB15" s="481"/>
      <c r="AC15" s="481"/>
      <c r="AD15" s="481">
        <v>25</v>
      </c>
      <c r="AE15" s="481">
        <v>800</v>
      </c>
      <c r="AF15" s="481">
        <v>20000</v>
      </c>
      <c r="AG15" s="481"/>
      <c r="AH15" s="481"/>
      <c r="AI15" s="481"/>
      <c r="AJ15" s="481"/>
      <c r="AK15" s="481"/>
      <c r="AL15" s="481"/>
      <c r="AM15" s="481"/>
      <c r="AN15" s="481"/>
    </row>
    <row r="16" spans="1:40" ht="21">
      <c r="A16" s="490" t="s">
        <v>0</v>
      </c>
      <c r="B16" s="481" t="s">
        <v>0</v>
      </c>
      <c r="C16" s="498"/>
      <c r="D16" s="481"/>
      <c r="E16" s="499"/>
      <c r="F16" s="508"/>
      <c r="G16" s="498"/>
      <c r="H16" s="499"/>
      <c r="I16" s="508"/>
      <c r="J16" s="498"/>
      <c r="K16" s="499"/>
      <c r="L16" s="501"/>
      <c r="M16" s="515"/>
      <c r="N16" s="516"/>
      <c r="O16" s="498"/>
      <c r="P16" s="499"/>
      <c r="Q16" s="501"/>
      <c r="R16" s="515"/>
      <c r="S16" s="516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</row>
    <row r="17" spans="1:40" ht="21">
      <c r="A17" s="490" t="s">
        <v>232</v>
      </c>
      <c r="B17" s="481" t="s">
        <v>0</v>
      </c>
      <c r="C17" s="517" t="s">
        <v>23</v>
      </c>
      <c r="D17" s="499">
        <v>1.92</v>
      </c>
      <c r="E17" s="499">
        <v>2442.5491999999995</v>
      </c>
      <c r="F17" s="499">
        <v>4689.6944639999992</v>
      </c>
      <c r="G17" s="500"/>
      <c r="H17" s="499"/>
      <c r="I17" s="499"/>
      <c r="J17" s="512">
        <v>1</v>
      </c>
      <c r="K17" s="499">
        <v>4279.0500000000029</v>
      </c>
      <c r="L17" s="501">
        <v>4279.0500000000029</v>
      </c>
      <c r="M17" s="512">
        <v>-0.91999999999999993</v>
      </c>
      <c r="N17" s="501">
        <v>-410.64446399999633</v>
      </c>
      <c r="O17" s="512">
        <v>2</v>
      </c>
      <c r="P17" s="499">
        <v>4190.7999999999956</v>
      </c>
      <c r="Q17" s="501">
        <v>8381.5999999999913</v>
      </c>
      <c r="R17" s="500">
        <v>-1</v>
      </c>
      <c r="S17" s="501">
        <v>-4102.5499999999884</v>
      </c>
      <c r="T17" s="481"/>
      <c r="U17" s="481"/>
      <c r="V17" s="518">
        <v>87267.39</v>
      </c>
      <c r="W17" s="481"/>
      <c r="X17" s="481"/>
      <c r="Y17" s="481"/>
      <c r="Z17" s="481"/>
      <c r="AA17" s="499"/>
      <c r="AB17" s="481"/>
      <c r="AC17" s="481"/>
      <c r="AD17" s="481"/>
      <c r="AE17" s="481"/>
      <c r="AF17" s="481"/>
      <c r="AG17" s="481"/>
      <c r="AH17" s="481"/>
      <c r="AI17" s="481"/>
      <c r="AJ17" s="481"/>
      <c r="AK17" s="481"/>
      <c r="AL17" s="481"/>
      <c r="AM17" s="481"/>
      <c r="AN17" s="481"/>
    </row>
    <row r="18" spans="1:40" ht="21">
      <c r="A18" s="490" t="s">
        <v>0</v>
      </c>
      <c r="B18" s="481" t="s">
        <v>0</v>
      </c>
      <c r="C18" s="504"/>
      <c r="D18" s="519"/>
      <c r="E18" s="519"/>
      <c r="F18" s="520"/>
      <c r="G18" s="521"/>
      <c r="H18" s="519"/>
      <c r="I18" s="520"/>
      <c r="J18" s="500"/>
      <c r="K18" s="519"/>
      <c r="L18" s="520"/>
      <c r="M18" s="500"/>
      <c r="N18" s="520"/>
      <c r="O18" s="500"/>
      <c r="P18" s="519"/>
      <c r="Q18" s="520"/>
      <c r="R18" s="521"/>
      <c r="S18" s="520"/>
      <c r="T18" s="481"/>
      <c r="U18" s="481"/>
      <c r="V18" s="466">
        <v>0.3758112852922495</v>
      </c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</row>
    <row r="19" spans="1:40" ht="21">
      <c r="A19" s="490" t="s">
        <v>233</v>
      </c>
      <c r="B19" s="481" t="s">
        <v>0</v>
      </c>
      <c r="C19" s="511" t="s">
        <v>24</v>
      </c>
      <c r="D19" s="499">
        <v>0</v>
      </c>
      <c r="E19" s="499">
        <v>0</v>
      </c>
      <c r="F19" s="499">
        <v>9600</v>
      </c>
      <c r="G19" s="500"/>
      <c r="H19" s="499"/>
      <c r="I19" s="499"/>
      <c r="J19" s="512"/>
      <c r="K19" s="499"/>
      <c r="L19" s="501">
        <v>9971</v>
      </c>
      <c r="M19" s="500"/>
      <c r="N19" s="501">
        <v>371</v>
      </c>
      <c r="O19" s="512"/>
      <c r="P19" s="499"/>
      <c r="Q19" s="501">
        <v>13968.330000000016</v>
      </c>
      <c r="R19" s="500">
        <v>0</v>
      </c>
      <c r="S19" s="501">
        <v>-3997.3300000000163</v>
      </c>
      <c r="T19" s="481"/>
      <c r="W19" s="499"/>
      <c r="X19" s="522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1"/>
      <c r="AL19" s="481"/>
      <c r="AM19" s="481"/>
      <c r="AN19" s="481"/>
    </row>
    <row r="20" spans="1:40" ht="21">
      <c r="A20" s="490" t="s">
        <v>0</v>
      </c>
      <c r="B20" s="481" t="s">
        <v>0</v>
      </c>
      <c r="C20" s="504"/>
      <c r="D20" s="519"/>
      <c r="E20" s="519"/>
      <c r="F20" s="520"/>
      <c r="G20" s="521"/>
      <c r="H20" s="519"/>
      <c r="I20" s="520"/>
      <c r="J20" s="500"/>
      <c r="K20" s="519"/>
      <c r="L20" s="520"/>
      <c r="M20" s="521"/>
      <c r="N20" s="520"/>
      <c r="O20" s="500"/>
      <c r="P20" s="519"/>
      <c r="Q20" s="520"/>
      <c r="R20" s="521"/>
      <c r="S20" s="520"/>
      <c r="T20" s="481"/>
      <c r="U20" s="481"/>
      <c r="W20" s="499"/>
      <c r="X20" s="522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K20" s="481"/>
      <c r="AL20" s="481"/>
      <c r="AM20" s="481"/>
      <c r="AN20" s="481"/>
    </row>
    <row r="21" spans="1:40" ht="15.75" customHeight="1">
      <c r="A21" s="490" t="s">
        <v>234</v>
      </c>
      <c r="B21" s="481" t="s">
        <v>0</v>
      </c>
      <c r="C21" s="498" t="s">
        <v>25</v>
      </c>
      <c r="D21" s="499">
        <v>0</v>
      </c>
      <c r="E21" s="499">
        <v>0</v>
      </c>
      <c r="F21" s="499">
        <v>9053.3886976000013</v>
      </c>
      <c r="G21" s="500"/>
      <c r="H21" s="499"/>
      <c r="I21" s="499"/>
      <c r="J21" s="500"/>
      <c r="K21" s="499">
        <v>247.88589743589742</v>
      </c>
      <c r="L21" s="501">
        <v>9667.5499999999993</v>
      </c>
      <c r="M21" s="500"/>
      <c r="N21" s="501">
        <v>614.16130239999802</v>
      </c>
      <c r="O21" s="500"/>
      <c r="P21" s="499">
        <v>208.71698113207546</v>
      </c>
      <c r="Q21" s="501">
        <v>11062</v>
      </c>
      <c r="R21" s="500">
        <v>-247.88589743589742</v>
      </c>
      <c r="S21" s="501">
        <v>-1394.4500000000007</v>
      </c>
      <c r="T21" s="481"/>
      <c r="U21" s="481"/>
      <c r="W21" s="481"/>
      <c r="X21" s="522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</row>
    <row r="22" spans="1:40" ht="18" customHeight="1">
      <c r="A22" s="490" t="s">
        <v>235</v>
      </c>
      <c r="B22" s="481" t="s">
        <v>0</v>
      </c>
      <c r="C22" s="498" t="s">
        <v>26</v>
      </c>
      <c r="D22" s="499">
        <v>0</v>
      </c>
      <c r="E22" s="499">
        <v>0</v>
      </c>
      <c r="F22" s="499">
        <v>49793.637836800008</v>
      </c>
      <c r="G22" s="500"/>
      <c r="H22" s="499"/>
      <c r="I22" s="499"/>
      <c r="J22" s="500"/>
      <c r="K22" s="499">
        <v>1110.4235897435897</v>
      </c>
      <c r="L22" s="501">
        <v>43306.52</v>
      </c>
      <c r="M22" s="500"/>
      <c r="N22" s="501">
        <v>-6487.117836800011</v>
      </c>
      <c r="O22" s="500"/>
      <c r="P22" s="499">
        <v>1043.6471698113207</v>
      </c>
      <c r="Q22" s="501">
        <v>55313.3</v>
      </c>
      <c r="R22" s="500">
        <v>-1110.4235897435897</v>
      </c>
      <c r="S22" s="501">
        <v>-12006.780000000006</v>
      </c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K22" s="481"/>
      <c r="AL22" s="481"/>
      <c r="AM22" s="481"/>
      <c r="AN22" s="481"/>
    </row>
    <row r="23" spans="1:40" ht="19.5" customHeight="1">
      <c r="A23" s="490" t="s">
        <v>236</v>
      </c>
      <c r="B23" s="481" t="s">
        <v>0</v>
      </c>
      <c r="C23" s="498" t="s">
        <v>27</v>
      </c>
      <c r="D23" s="499">
        <v>0</v>
      </c>
      <c r="E23" s="499">
        <v>0</v>
      </c>
      <c r="F23" s="499">
        <v>1526.4434432000003</v>
      </c>
      <c r="G23" s="500"/>
      <c r="H23" s="499"/>
      <c r="I23" s="499"/>
      <c r="J23" s="500"/>
      <c r="K23" s="499">
        <v>0</v>
      </c>
      <c r="L23" s="501">
        <v>0</v>
      </c>
      <c r="M23" s="512"/>
      <c r="N23" s="501">
        <v>-1526.4434432000003</v>
      </c>
      <c r="O23" s="500"/>
      <c r="P23" s="499">
        <v>26.998867924528302</v>
      </c>
      <c r="Q23" s="501">
        <v>1430.94</v>
      </c>
      <c r="R23" s="500">
        <v>0</v>
      </c>
      <c r="S23" s="501">
        <v>-1430.94</v>
      </c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81"/>
      <c r="AF23" s="481"/>
      <c r="AG23" s="481"/>
      <c r="AH23" s="481"/>
      <c r="AI23" s="481"/>
      <c r="AJ23" s="481"/>
      <c r="AK23" s="481"/>
      <c r="AL23" s="481"/>
      <c r="AM23" s="481"/>
      <c r="AN23" s="481"/>
    </row>
    <row r="24" spans="1:40" ht="18" customHeight="1">
      <c r="A24" s="490" t="s">
        <v>237</v>
      </c>
      <c r="B24" s="481" t="s">
        <v>0</v>
      </c>
      <c r="C24" s="504" t="s">
        <v>28</v>
      </c>
      <c r="D24" s="505">
        <v>52.635980800000006</v>
      </c>
      <c r="E24" s="505">
        <v>1147</v>
      </c>
      <c r="F24" s="506">
        <v>60373.469977600005</v>
      </c>
      <c r="G24" s="507"/>
      <c r="H24" s="505"/>
      <c r="I24" s="506"/>
      <c r="J24" s="507">
        <v>39</v>
      </c>
      <c r="K24" s="505">
        <v>1358.309487179487</v>
      </c>
      <c r="L24" s="506">
        <v>52974.069999999992</v>
      </c>
      <c r="M24" s="523">
        <v>-13.635980800000006</v>
      </c>
      <c r="N24" s="506">
        <v>-7399.3999776000128</v>
      </c>
      <c r="O24" s="507">
        <v>53</v>
      </c>
      <c r="P24" s="505">
        <v>1279.3630188679247</v>
      </c>
      <c r="Q24" s="506">
        <v>67806.240000000005</v>
      </c>
      <c r="R24" s="521"/>
      <c r="S24" s="506">
        <v>-14832.170000000013</v>
      </c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81"/>
      <c r="AF24" s="481"/>
      <c r="AG24" s="481"/>
      <c r="AH24" s="481"/>
      <c r="AI24" s="481"/>
      <c r="AJ24" s="481"/>
      <c r="AK24" s="481"/>
      <c r="AL24" s="481"/>
      <c r="AM24" s="481"/>
      <c r="AN24" s="481"/>
    </row>
    <row r="25" spans="1:40" ht="15.75" customHeight="1">
      <c r="A25" s="490" t="s">
        <v>0</v>
      </c>
      <c r="B25" s="481" t="s">
        <v>0</v>
      </c>
      <c r="C25" s="498"/>
      <c r="D25" s="481"/>
      <c r="E25" s="481"/>
      <c r="F25" s="524"/>
      <c r="G25" s="498"/>
      <c r="H25" s="481"/>
      <c r="I25" s="524"/>
      <c r="J25" s="498"/>
      <c r="K25" s="481"/>
      <c r="L25" s="524"/>
      <c r="M25" s="515"/>
      <c r="N25" s="516">
        <v>-0.12256045545080259</v>
      </c>
      <c r="O25" s="498"/>
      <c r="P25" s="481"/>
      <c r="Q25" s="524"/>
      <c r="R25" s="525"/>
      <c r="S25" s="516">
        <v>-0.21874343718218281</v>
      </c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81"/>
      <c r="AF25" s="481"/>
      <c r="AG25" s="481"/>
      <c r="AH25" s="481"/>
      <c r="AI25" s="481"/>
      <c r="AJ25" s="481"/>
      <c r="AK25" s="481"/>
      <c r="AL25" s="481"/>
      <c r="AM25" s="481"/>
      <c r="AN25" s="481"/>
    </row>
    <row r="26" spans="1:40" ht="15.75" customHeight="1" thickBot="1">
      <c r="A26" s="490" t="s">
        <v>0</v>
      </c>
      <c r="B26" s="481" t="s">
        <v>0</v>
      </c>
      <c r="C26" s="498"/>
      <c r="D26" s="481"/>
      <c r="E26" s="481"/>
      <c r="F26" s="508"/>
      <c r="G26" s="498"/>
      <c r="H26" s="481"/>
      <c r="I26" s="508"/>
      <c r="J26" s="498"/>
      <c r="K26" s="481"/>
      <c r="L26" s="508"/>
      <c r="M26" s="498"/>
      <c r="N26" s="508"/>
      <c r="O26" s="498"/>
      <c r="P26" s="481"/>
      <c r="Q26" s="508"/>
      <c r="R26" s="498"/>
      <c r="S26" s="508"/>
      <c r="T26" s="481"/>
      <c r="U26" s="481"/>
      <c r="V26" s="481"/>
      <c r="W26" s="481"/>
      <c r="X26" s="481"/>
      <c r="Y26" s="481"/>
      <c r="Z26" s="481"/>
      <c r="AA26" s="481"/>
      <c r="AB26" s="481"/>
      <c r="AC26" s="481"/>
      <c r="AD26" s="481"/>
      <c r="AE26" s="481"/>
      <c r="AF26" s="481"/>
      <c r="AG26" s="481"/>
      <c r="AH26" s="481"/>
      <c r="AI26" s="481"/>
      <c r="AJ26" s="481"/>
      <c r="AK26" s="481"/>
      <c r="AL26" s="481"/>
      <c r="AM26" s="481"/>
      <c r="AN26" s="481"/>
    </row>
    <row r="27" spans="1:40" ht="18" customHeight="1" thickTop="1">
      <c r="A27" s="490" t="s">
        <v>238</v>
      </c>
      <c r="B27" s="481" t="s">
        <v>0</v>
      </c>
      <c r="C27" s="526" t="s">
        <v>29</v>
      </c>
      <c r="D27" s="527">
        <v>54.555980800000007</v>
      </c>
      <c r="E27" s="528">
        <v>3725.3285771667397</v>
      </c>
      <c r="F27" s="529">
        <v>203238.9543296</v>
      </c>
      <c r="G27" s="530"/>
      <c r="H27" s="528"/>
      <c r="I27" s="529"/>
      <c r="J27" s="530">
        <v>40</v>
      </c>
      <c r="K27" s="528">
        <v>3855.3114999999998</v>
      </c>
      <c r="L27" s="529">
        <v>154212.46</v>
      </c>
      <c r="M27" s="530">
        <v>-14.555980800000007</v>
      </c>
      <c r="N27" s="529">
        <v>-49026.494329600013</v>
      </c>
      <c r="O27" s="530">
        <v>55</v>
      </c>
      <c r="P27" s="528">
        <v>4674.3694545454518</v>
      </c>
      <c r="Q27" s="529">
        <v>257090.31999999983</v>
      </c>
      <c r="R27" s="530">
        <v>-15</v>
      </c>
      <c r="S27" s="529">
        <v>-102877.85999999984</v>
      </c>
      <c r="T27" s="481"/>
      <c r="U27" s="481"/>
      <c r="V27" s="481"/>
      <c r="W27" s="481"/>
      <c r="X27" s="481"/>
      <c r="Y27" s="481"/>
      <c r="Z27" s="481"/>
      <c r="AA27" s="481"/>
      <c r="AB27" s="481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M27" s="481"/>
      <c r="AN27" s="481"/>
    </row>
    <row r="28" spans="1:40" ht="22.5" customHeight="1" thickBot="1">
      <c r="A28" s="490" t="s">
        <v>0</v>
      </c>
      <c r="B28" s="481" t="s">
        <v>0</v>
      </c>
      <c r="C28" s="531"/>
      <c r="D28" s="532"/>
      <c r="E28" s="532"/>
      <c r="F28" s="533"/>
      <c r="G28" s="531"/>
      <c r="H28" s="532"/>
      <c r="I28" s="533"/>
      <c r="J28" s="531"/>
      <c r="K28" s="532"/>
      <c r="L28" s="534">
        <v>0.75877412629228569</v>
      </c>
      <c r="M28" s="535">
        <v>-0.26680815900573096</v>
      </c>
      <c r="N28" s="536">
        <v>-0.24122587370771434</v>
      </c>
      <c r="O28" s="531"/>
      <c r="P28" s="532"/>
      <c r="Q28" s="533"/>
      <c r="R28" s="535">
        <v>-0.27272727272727271</v>
      </c>
      <c r="S28" s="536">
        <v>-0.40016232427576387</v>
      </c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481"/>
      <c r="AL28" s="481"/>
      <c r="AM28" s="481"/>
      <c r="AN28" s="481"/>
    </row>
    <row r="29" spans="1:40" ht="15.75" customHeight="1" thickTop="1">
      <c r="A29" s="490" t="s">
        <v>0</v>
      </c>
      <c r="B29" s="481" t="s">
        <v>0</v>
      </c>
      <c r="C29" s="517"/>
      <c r="D29" s="537"/>
      <c r="E29" s="537"/>
      <c r="F29" s="538"/>
      <c r="G29" s="517"/>
      <c r="H29" s="537"/>
      <c r="I29" s="538"/>
      <c r="J29" s="517"/>
      <c r="K29" s="537"/>
      <c r="L29" s="538"/>
      <c r="M29" s="515"/>
      <c r="N29" s="516"/>
      <c r="O29" s="517"/>
      <c r="P29" s="537"/>
      <c r="Q29" s="538"/>
      <c r="R29" s="515"/>
      <c r="S29" s="516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</row>
    <row r="30" spans="1:40" ht="15.75" customHeight="1">
      <c r="A30" s="490" t="s">
        <v>239</v>
      </c>
      <c r="B30" s="481" t="s">
        <v>0</v>
      </c>
      <c r="C30" s="539" t="s">
        <v>30</v>
      </c>
      <c r="D30" s="481"/>
      <c r="E30" s="540"/>
      <c r="F30" s="524"/>
      <c r="G30" s="498"/>
      <c r="H30" s="540"/>
      <c r="I30" s="524"/>
      <c r="J30" s="498"/>
      <c r="K30" s="540"/>
      <c r="L30" s="508"/>
      <c r="M30" s="498"/>
      <c r="N30" s="508"/>
      <c r="O30" s="498"/>
      <c r="P30" s="540"/>
      <c r="Q30" s="508"/>
      <c r="R30" s="498"/>
      <c r="S30" s="508"/>
      <c r="T30" s="481"/>
      <c r="U30" s="481"/>
      <c r="V30" s="481"/>
      <c r="W30" s="481"/>
      <c r="X30" s="481"/>
      <c r="Y30" s="481"/>
      <c r="Z30" s="481"/>
      <c r="AA30" s="481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</row>
    <row r="31" spans="1:40" ht="15.75" customHeight="1">
      <c r="A31" s="490" t="s">
        <v>240</v>
      </c>
      <c r="B31" s="481" t="s">
        <v>0</v>
      </c>
      <c r="C31" s="498" t="s">
        <v>31</v>
      </c>
      <c r="D31" s="541">
        <v>0.30450317139293837</v>
      </c>
      <c r="E31" s="542">
        <v>770.95101118358946</v>
      </c>
      <c r="F31" s="499">
        <v>40579.762622400005</v>
      </c>
      <c r="G31" s="543"/>
      <c r="H31" s="542"/>
      <c r="I31" s="499"/>
      <c r="J31" s="543">
        <v>0.35934050486159402</v>
      </c>
      <c r="K31" s="542">
        <v>840.92487179487182</v>
      </c>
      <c r="L31" s="499">
        <v>32796.07</v>
      </c>
      <c r="M31" s="498"/>
      <c r="N31" s="524">
        <v>-7783.6926224000053</v>
      </c>
      <c r="O31" s="498"/>
      <c r="P31" s="542">
        <v>1067.6588679245283</v>
      </c>
      <c r="Q31" s="501">
        <v>56585.919999999998</v>
      </c>
      <c r="R31" s="498"/>
      <c r="S31" s="524">
        <v>-23789.85</v>
      </c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81"/>
      <c r="AF31" s="481"/>
      <c r="AG31" s="481"/>
      <c r="AH31" s="481"/>
      <c r="AI31" s="481"/>
      <c r="AJ31" s="481"/>
      <c r="AK31" s="481"/>
      <c r="AL31" s="481"/>
      <c r="AM31" s="481"/>
      <c r="AN31" s="481"/>
    </row>
    <row r="32" spans="1:40" ht="15.75" customHeight="1">
      <c r="A32" s="490" t="s">
        <v>241</v>
      </c>
      <c r="B32" s="481" t="s">
        <v>0</v>
      </c>
      <c r="C32" s="491" t="s">
        <v>32</v>
      </c>
      <c r="D32" s="544">
        <v>0.3</v>
      </c>
      <c r="E32" s="545">
        <v>344.09999999999997</v>
      </c>
      <c r="F32" s="493">
        <v>18112.040993279999</v>
      </c>
      <c r="G32" s="546"/>
      <c r="H32" s="545"/>
      <c r="I32" s="493"/>
      <c r="J32" s="546">
        <v>0.30073845562555424</v>
      </c>
      <c r="K32" s="545">
        <v>408.49589743589746</v>
      </c>
      <c r="L32" s="493">
        <v>15931.34</v>
      </c>
      <c r="M32" s="491"/>
      <c r="N32" s="547">
        <v>-2180.7009932799992</v>
      </c>
      <c r="O32" s="491"/>
      <c r="P32" s="545">
        <v>423.97528301886791</v>
      </c>
      <c r="Q32" s="493">
        <v>22470.69</v>
      </c>
      <c r="R32" s="491"/>
      <c r="S32" s="547">
        <v>-6539.3499999999985</v>
      </c>
      <c r="T32" s="481"/>
      <c r="U32" s="548">
        <v>0.26707524493492535</v>
      </c>
      <c r="V32" s="549" t="s">
        <v>467</v>
      </c>
      <c r="X32" s="466">
        <v>14148.06272044988</v>
      </c>
      <c r="Y32" s="518">
        <v>1783.2772795501205</v>
      </c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</row>
    <row r="33" spans="1:40" ht="15.75" customHeight="1">
      <c r="A33" s="490" t="s">
        <v>242</v>
      </c>
      <c r="B33" s="481" t="s">
        <v>0</v>
      </c>
      <c r="C33" s="498" t="s">
        <v>33</v>
      </c>
      <c r="D33" s="550"/>
      <c r="E33" s="542">
        <v>113.25897667238421</v>
      </c>
      <c r="F33" s="499">
        <v>5961.4973215552636</v>
      </c>
      <c r="G33" s="551"/>
      <c r="H33" s="542"/>
      <c r="I33" s="499"/>
      <c r="J33" s="498"/>
      <c r="K33" s="542">
        <v>168.41974358974358</v>
      </c>
      <c r="L33" s="499">
        <v>6568.37</v>
      </c>
      <c r="M33" s="498"/>
      <c r="N33" s="524">
        <v>606.87267844473627</v>
      </c>
      <c r="O33" s="498"/>
      <c r="P33" s="542">
        <v>145.8677358490566</v>
      </c>
      <c r="Q33" s="501">
        <v>7730.99</v>
      </c>
      <c r="R33" s="498"/>
      <c r="S33" s="524">
        <v>-1162.6199999999999</v>
      </c>
      <c r="T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</row>
    <row r="34" spans="1:40" ht="15.75" customHeight="1">
      <c r="A34" s="490" t="s">
        <v>243</v>
      </c>
      <c r="B34" s="481" t="s">
        <v>0</v>
      </c>
      <c r="C34" s="498" t="s">
        <v>34</v>
      </c>
      <c r="D34" s="550"/>
      <c r="E34" s="542">
        <v>5.1177856446126109</v>
      </c>
      <c r="F34" s="499">
        <v>269.37966692834505</v>
      </c>
      <c r="G34" s="551"/>
      <c r="H34" s="542"/>
      <c r="I34" s="499"/>
      <c r="J34" s="498"/>
      <c r="K34" s="542">
        <v>1.0256410256410255</v>
      </c>
      <c r="L34" s="499">
        <v>40</v>
      </c>
      <c r="M34" s="498"/>
      <c r="N34" s="524">
        <v>-229.37966692834505</v>
      </c>
      <c r="O34" s="498"/>
      <c r="P34" s="542">
        <v>3.5922641509433961</v>
      </c>
      <c r="Q34" s="501">
        <v>190.39</v>
      </c>
      <c r="R34" s="498"/>
      <c r="S34" s="524">
        <v>-150.38999999999999</v>
      </c>
      <c r="T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</row>
    <row r="35" spans="1:40" ht="15.75" customHeight="1">
      <c r="A35" s="490" t="s">
        <v>244</v>
      </c>
      <c r="B35" s="481" t="s">
        <v>0</v>
      </c>
      <c r="C35" s="491" t="s">
        <v>35</v>
      </c>
      <c r="D35" s="552"/>
      <c r="E35" s="545">
        <v>105.01044339622642</v>
      </c>
      <c r="F35" s="493">
        <v>5527.327682403261</v>
      </c>
      <c r="G35" s="553"/>
      <c r="H35" s="545"/>
      <c r="I35" s="493"/>
      <c r="J35" s="491"/>
      <c r="K35" s="545">
        <v>118.0776923076923</v>
      </c>
      <c r="L35" s="493">
        <v>4605.03</v>
      </c>
      <c r="M35" s="491"/>
      <c r="N35" s="547">
        <v>-922.29768240326121</v>
      </c>
      <c r="O35" s="491"/>
      <c r="P35" s="545">
        <v>176.23962264150944</v>
      </c>
      <c r="Q35" s="501">
        <v>9340.7000000000007</v>
      </c>
      <c r="R35" s="491"/>
      <c r="S35" s="547">
        <v>-4735.670000000001</v>
      </c>
      <c r="T35" s="481"/>
      <c r="Z35" s="481"/>
      <c r="AA35" s="481"/>
      <c r="AB35" s="481"/>
      <c r="AC35" s="481"/>
      <c r="AD35" s="481"/>
      <c r="AE35" s="481"/>
      <c r="AF35" s="481"/>
      <c r="AG35" s="481"/>
      <c r="AH35" s="481"/>
      <c r="AI35" s="481"/>
      <c r="AJ35" s="481"/>
      <c r="AK35" s="481"/>
      <c r="AL35" s="481"/>
      <c r="AM35" s="481"/>
      <c r="AN35" s="481"/>
    </row>
    <row r="36" spans="1:40" ht="15.75" customHeight="1">
      <c r="A36" s="490" t="s">
        <v>245</v>
      </c>
      <c r="B36" s="481" t="s">
        <v>0</v>
      </c>
      <c r="C36" s="498" t="s">
        <v>36</v>
      </c>
      <c r="D36" s="550"/>
      <c r="E36" s="542">
        <v>300.75552273170513</v>
      </c>
      <c r="F36" s="499">
        <v>15830.561919999996</v>
      </c>
      <c r="G36" s="551"/>
      <c r="H36" s="542"/>
      <c r="I36" s="499"/>
      <c r="J36" s="498"/>
      <c r="K36" s="542">
        <v>154.58692307692306</v>
      </c>
      <c r="L36" s="554">
        <v>6028.8899999999994</v>
      </c>
      <c r="M36" s="481"/>
      <c r="N36" s="524">
        <v>-9801.671919999997</v>
      </c>
      <c r="O36" s="498"/>
      <c r="P36" s="542">
        <v>185.94773584905658</v>
      </c>
      <c r="Q36" s="520">
        <v>9855.23</v>
      </c>
      <c r="R36" s="498"/>
      <c r="S36" s="524">
        <v>-3826.34</v>
      </c>
      <c r="T36" s="481"/>
      <c r="Z36" s="481"/>
      <c r="AA36" s="481"/>
      <c r="AB36" s="481"/>
      <c r="AC36" s="481"/>
      <c r="AD36" s="481"/>
      <c r="AE36" s="481"/>
      <c r="AF36" s="481"/>
      <c r="AG36" s="481"/>
      <c r="AH36" s="481"/>
      <c r="AI36" s="481"/>
      <c r="AJ36" s="481"/>
      <c r="AK36" s="481"/>
      <c r="AL36" s="481"/>
      <c r="AM36" s="481"/>
      <c r="AN36" s="481"/>
    </row>
    <row r="37" spans="1:40" ht="15.75" customHeight="1">
      <c r="A37" s="490" t="s">
        <v>246</v>
      </c>
      <c r="B37" s="481" t="s">
        <v>0</v>
      </c>
      <c r="C37" s="498" t="s">
        <v>37</v>
      </c>
      <c r="D37" s="550"/>
      <c r="E37" s="542">
        <v>50.687592283766755</v>
      </c>
      <c r="F37" s="499">
        <v>2667.9911342465753</v>
      </c>
      <c r="G37" s="551"/>
      <c r="H37" s="542"/>
      <c r="I37" s="499"/>
      <c r="J37" s="498"/>
      <c r="K37" s="542">
        <v>90.482564102564112</v>
      </c>
      <c r="L37" s="555">
        <v>3528.82</v>
      </c>
      <c r="M37" s="481"/>
      <c r="N37" s="524">
        <v>860.82886575342491</v>
      </c>
      <c r="O37" s="498"/>
      <c r="P37" s="542">
        <v>21.345283018867924</v>
      </c>
      <c r="Q37" s="501">
        <v>1131.3</v>
      </c>
      <c r="R37" s="498"/>
      <c r="S37" s="524">
        <v>2397.5200000000004</v>
      </c>
      <c r="T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481"/>
      <c r="AL37" s="481"/>
      <c r="AM37" s="481"/>
      <c r="AN37" s="481"/>
    </row>
    <row r="38" spans="1:40" ht="15.75" hidden="1" customHeight="1">
      <c r="A38" s="490" t="s">
        <v>229</v>
      </c>
      <c r="B38" s="481" t="s">
        <v>0</v>
      </c>
      <c r="C38" s="498" t="s">
        <v>20</v>
      </c>
      <c r="D38" s="550"/>
      <c r="E38" s="542">
        <v>0</v>
      </c>
      <c r="F38" s="499">
        <v>0</v>
      </c>
      <c r="G38" s="551"/>
      <c r="H38" s="542"/>
      <c r="I38" s="499"/>
      <c r="J38" s="498"/>
      <c r="K38" s="542">
        <v>0</v>
      </c>
      <c r="L38" s="555">
        <v>0</v>
      </c>
      <c r="M38" s="481"/>
      <c r="N38" s="524">
        <v>0</v>
      </c>
      <c r="O38" s="498"/>
      <c r="P38" s="542">
        <v>0</v>
      </c>
      <c r="Q38" s="501">
        <v>0</v>
      </c>
      <c r="R38" s="498"/>
      <c r="S38" s="524">
        <v>0</v>
      </c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81"/>
      <c r="AF38" s="481"/>
      <c r="AG38" s="481"/>
      <c r="AH38" s="481"/>
      <c r="AI38" s="481"/>
      <c r="AJ38" s="481"/>
      <c r="AK38" s="481"/>
      <c r="AL38" s="481"/>
      <c r="AM38" s="481"/>
      <c r="AN38" s="481"/>
    </row>
    <row r="39" spans="1:40" ht="15.75" hidden="1" customHeight="1">
      <c r="A39" s="490" t="s">
        <v>229</v>
      </c>
      <c r="B39" s="481" t="s">
        <v>0</v>
      </c>
      <c r="C39" s="498" t="s">
        <v>20</v>
      </c>
      <c r="D39" s="550"/>
      <c r="E39" s="542">
        <v>0</v>
      </c>
      <c r="F39" s="499">
        <v>0</v>
      </c>
      <c r="G39" s="551"/>
      <c r="H39" s="542"/>
      <c r="I39" s="499"/>
      <c r="J39" s="498"/>
      <c r="K39" s="542">
        <v>0</v>
      </c>
      <c r="L39" s="555">
        <v>0</v>
      </c>
      <c r="M39" s="481"/>
      <c r="N39" s="524">
        <v>0</v>
      </c>
      <c r="O39" s="498"/>
      <c r="P39" s="542">
        <v>0</v>
      </c>
      <c r="Q39" s="501">
        <v>0</v>
      </c>
      <c r="R39" s="498"/>
      <c r="S39" s="524">
        <v>0</v>
      </c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81"/>
      <c r="AL39" s="481"/>
      <c r="AM39" s="481"/>
      <c r="AN39" s="481"/>
    </row>
    <row r="40" spans="1:40" ht="15.75" hidden="1" customHeight="1">
      <c r="A40" s="490" t="s">
        <v>229</v>
      </c>
      <c r="B40" s="481" t="s">
        <v>0</v>
      </c>
      <c r="C40" s="498" t="s">
        <v>20</v>
      </c>
      <c r="D40" s="550"/>
      <c r="E40" s="542">
        <v>0</v>
      </c>
      <c r="F40" s="499">
        <v>0</v>
      </c>
      <c r="G40" s="551"/>
      <c r="H40" s="542"/>
      <c r="I40" s="499"/>
      <c r="J40" s="498"/>
      <c r="K40" s="542">
        <v>0</v>
      </c>
      <c r="L40" s="556">
        <v>0</v>
      </c>
      <c r="M40" s="481"/>
      <c r="N40" s="524">
        <v>0</v>
      </c>
      <c r="O40" s="498"/>
      <c r="P40" s="542">
        <v>0</v>
      </c>
      <c r="Q40" s="501">
        <v>0</v>
      </c>
      <c r="R40" s="498"/>
      <c r="S40" s="524">
        <v>0</v>
      </c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1"/>
      <c r="AF40" s="481"/>
      <c r="AG40" s="481"/>
      <c r="AH40" s="481"/>
      <c r="AI40" s="481"/>
      <c r="AJ40" s="481"/>
      <c r="AK40" s="481"/>
      <c r="AL40" s="481"/>
      <c r="AM40" s="481"/>
      <c r="AN40" s="481"/>
    </row>
    <row r="41" spans="1:40" ht="15.75" customHeight="1">
      <c r="A41" s="490" t="s">
        <v>247</v>
      </c>
      <c r="B41" s="481" t="s">
        <v>0</v>
      </c>
      <c r="C41" s="557" t="s">
        <v>38</v>
      </c>
      <c r="D41" s="558" t="s">
        <v>39</v>
      </c>
      <c r="E41" s="559">
        <v>0.4376550825810801</v>
      </c>
      <c r="F41" s="560">
        <v>88948.561340813452</v>
      </c>
      <c r="G41" s="561"/>
      <c r="H41" s="559"/>
      <c r="I41" s="560"/>
      <c r="J41" s="561" t="s">
        <v>39</v>
      </c>
      <c r="K41" s="559">
        <v>0.45066734555690263</v>
      </c>
      <c r="L41" s="560">
        <v>69498.520000000019</v>
      </c>
      <c r="M41" s="562"/>
      <c r="N41" s="560">
        <v>-19450.041340813434</v>
      </c>
      <c r="O41" s="561" t="s">
        <v>39</v>
      </c>
      <c r="P41" s="559">
        <v>0.41738335383455927</v>
      </c>
      <c r="Q41" s="563">
        <v>107305.22</v>
      </c>
      <c r="R41" s="564"/>
      <c r="S41" s="560">
        <v>-37806.699999999983</v>
      </c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481"/>
      <c r="AL41" s="481"/>
      <c r="AM41" s="481"/>
      <c r="AN41" s="481"/>
    </row>
    <row r="42" spans="1:40" ht="15.75" customHeight="1">
      <c r="A42" s="490" t="s">
        <v>248</v>
      </c>
      <c r="B42" s="481" t="s">
        <v>0</v>
      </c>
      <c r="C42" s="565" t="s">
        <v>41</v>
      </c>
      <c r="D42" s="481"/>
      <c r="E42" s="481"/>
      <c r="F42" s="499">
        <v>17292.496551724136</v>
      </c>
      <c r="G42" s="498"/>
      <c r="H42" s="481"/>
      <c r="I42" s="499"/>
      <c r="J42" s="498"/>
      <c r="K42" s="481"/>
      <c r="L42" s="501">
        <v>17842.099999999999</v>
      </c>
      <c r="M42" s="498"/>
      <c r="N42" s="524">
        <v>549.60344827586232</v>
      </c>
      <c r="O42" s="498"/>
      <c r="P42" s="481"/>
      <c r="Q42" s="501">
        <v>15898.03</v>
      </c>
      <c r="R42" s="498"/>
      <c r="S42" s="524">
        <v>1944.0699999999979</v>
      </c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1"/>
      <c r="AF42" s="481"/>
      <c r="AG42" s="481"/>
      <c r="AH42" s="481"/>
      <c r="AI42" s="481"/>
      <c r="AJ42" s="481"/>
      <c r="AK42" s="481"/>
      <c r="AL42" s="481"/>
      <c r="AM42" s="481"/>
      <c r="AN42" s="481"/>
    </row>
    <row r="43" spans="1:40" ht="15.75" customHeight="1">
      <c r="A43" s="490" t="s">
        <v>249</v>
      </c>
      <c r="B43" s="481" t="s">
        <v>0</v>
      </c>
      <c r="C43" s="566" t="s">
        <v>42</v>
      </c>
      <c r="D43" s="550"/>
      <c r="E43" s="481"/>
      <c r="F43" s="493">
        <v>10224.637241379311</v>
      </c>
      <c r="G43" s="551"/>
      <c r="H43" s="481"/>
      <c r="I43" s="493"/>
      <c r="J43" s="498"/>
      <c r="K43" s="481"/>
      <c r="L43" s="501">
        <v>9643.58</v>
      </c>
      <c r="M43" s="498"/>
      <c r="N43" s="524">
        <v>-581.05724137931065</v>
      </c>
      <c r="O43" s="498"/>
      <c r="P43" s="481"/>
      <c r="Q43" s="501">
        <v>7132.73</v>
      </c>
      <c r="R43" s="498"/>
      <c r="S43" s="524">
        <v>2510.8500000000004</v>
      </c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</row>
    <row r="44" spans="1:40" ht="15.75" customHeight="1">
      <c r="A44" s="490" t="s">
        <v>250</v>
      </c>
      <c r="B44" s="481" t="s">
        <v>0</v>
      </c>
      <c r="C44" s="565" t="s">
        <v>43</v>
      </c>
      <c r="D44" s="567"/>
      <c r="E44" s="568"/>
      <c r="F44" s="499">
        <v>8208.9839080459769</v>
      </c>
      <c r="G44" s="569"/>
      <c r="H44" s="568"/>
      <c r="I44" s="499"/>
      <c r="J44" s="485"/>
      <c r="K44" s="568"/>
      <c r="L44" s="520">
        <v>12343.13</v>
      </c>
      <c r="M44" s="485"/>
      <c r="N44" s="570">
        <v>4134.1460919540223</v>
      </c>
      <c r="O44" s="485"/>
      <c r="P44" s="568"/>
      <c r="Q44" s="520">
        <v>3509.01</v>
      </c>
      <c r="R44" s="485"/>
      <c r="S44" s="570">
        <v>8834.119999999999</v>
      </c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</row>
    <row r="45" spans="1:40" ht="15.75" customHeight="1">
      <c r="A45" s="490" t="s">
        <v>251</v>
      </c>
      <c r="B45" s="481" t="s">
        <v>0</v>
      </c>
      <c r="C45" s="565" t="s">
        <v>44</v>
      </c>
      <c r="D45" s="550"/>
      <c r="E45" s="481"/>
      <c r="F45" s="499">
        <v>0</v>
      </c>
      <c r="G45" s="551"/>
      <c r="H45" s="481"/>
      <c r="I45" s="499"/>
      <c r="J45" s="498"/>
      <c r="K45" s="481"/>
      <c r="L45" s="501">
        <v>0</v>
      </c>
      <c r="M45" s="498"/>
      <c r="N45" s="524">
        <v>0</v>
      </c>
      <c r="O45" s="498"/>
      <c r="P45" s="481"/>
      <c r="Q45" s="501">
        <v>0</v>
      </c>
      <c r="R45" s="498"/>
      <c r="S45" s="524">
        <v>0</v>
      </c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</row>
    <row r="46" spans="1:40" ht="15.75" hidden="1" customHeight="1">
      <c r="A46" s="490" t="s">
        <v>229</v>
      </c>
      <c r="B46" s="481" t="s">
        <v>0</v>
      </c>
      <c r="C46" s="565" t="s">
        <v>20</v>
      </c>
      <c r="D46" s="550"/>
      <c r="E46" s="481"/>
      <c r="F46" s="499">
        <v>0</v>
      </c>
      <c r="G46" s="551"/>
      <c r="H46" s="481"/>
      <c r="I46" s="499"/>
      <c r="J46" s="498"/>
      <c r="K46" s="481"/>
      <c r="L46" s="501">
        <v>0</v>
      </c>
      <c r="M46" s="498"/>
      <c r="N46" s="524">
        <v>0</v>
      </c>
      <c r="O46" s="498"/>
      <c r="P46" s="481"/>
      <c r="Q46" s="501">
        <v>0</v>
      </c>
      <c r="R46" s="498"/>
      <c r="S46" s="524">
        <v>0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</row>
    <row r="47" spans="1:40" ht="15.75" hidden="1" customHeight="1">
      <c r="A47" s="490" t="s">
        <v>229</v>
      </c>
      <c r="B47" s="481" t="s">
        <v>0</v>
      </c>
      <c r="C47" s="565" t="s">
        <v>20</v>
      </c>
      <c r="D47" s="550"/>
      <c r="E47" s="481"/>
      <c r="F47" s="499">
        <v>0</v>
      </c>
      <c r="G47" s="551"/>
      <c r="H47" s="481"/>
      <c r="I47" s="499"/>
      <c r="J47" s="498"/>
      <c r="K47" s="481"/>
      <c r="L47" s="501">
        <v>0</v>
      </c>
      <c r="M47" s="498"/>
      <c r="N47" s="524">
        <v>0</v>
      </c>
      <c r="O47" s="498"/>
      <c r="P47" s="481"/>
      <c r="Q47" s="501">
        <v>0</v>
      </c>
      <c r="R47" s="498"/>
      <c r="S47" s="524">
        <v>0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</row>
    <row r="48" spans="1:40" ht="15.75" hidden="1" customHeight="1">
      <c r="A48" s="490" t="s">
        <v>229</v>
      </c>
      <c r="B48" s="481" t="s">
        <v>0</v>
      </c>
      <c r="C48" s="565" t="s">
        <v>20</v>
      </c>
      <c r="D48" s="550"/>
      <c r="E48" s="481"/>
      <c r="F48" s="499">
        <v>0</v>
      </c>
      <c r="G48" s="551"/>
      <c r="H48" s="481"/>
      <c r="I48" s="499"/>
      <c r="J48" s="498"/>
      <c r="K48" s="481"/>
      <c r="L48" s="501">
        <v>0</v>
      </c>
      <c r="M48" s="498"/>
      <c r="N48" s="524">
        <v>0</v>
      </c>
      <c r="O48" s="498"/>
      <c r="P48" s="481"/>
      <c r="Q48" s="501">
        <v>0</v>
      </c>
      <c r="R48" s="498"/>
      <c r="S48" s="524">
        <v>0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</row>
    <row r="49" spans="1:40" ht="15.75" customHeight="1">
      <c r="A49" s="490" t="s">
        <v>252</v>
      </c>
      <c r="B49" s="481" t="s">
        <v>0</v>
      </c>
      <c r="C49" s="566" t="s">
        <v>45</v>
      </c>
      <c r="D49" s="550"/>
      <c r="E49" s="481"/>
      <c r="F49" s="493">
        <v>11454.454856244693</v>
      </c>
      <c r="G49" s="551"/>
      <c r="H49" s="481"/>
      <c r="I49" s="493"/>
      <c r="J49" s="498"/>
      <c r="K49" s="481"/>
      <c r="L49" s="493">
        <v>10139.23</v>
      </c>
      <c r="M49" s="498"/>
      <c r="N49" s="524">
        <v>-1315.224856244693</v>
      </c>
      <c r="O49" s="498"/>
      <c r="P49" s="481"/>
      <c r="Q49" s="493">
        <v>20543.52</v>
      </c>
      <c r="R49" s="498"/>
      <c r="S49" s="524">
        <v>-10404.290000000001</v>
      </c>
      <c r="T49" s="481"/>
      <c r="U49" s="481"/>
      <c r="V49" s="481"/>
      <c r="W49" s="481"/>
      <c r="X49" s="478"/>
      <c r="Y49" s="481"/>
      <c r="Z49" s="481"/>
      <c r="AA49" s="481"/>
      <c r="AB49" s="481"/>
      <c r="AC49" s="481"/>
      <c r="AD49" s="481"/>
      <c r="AE49" s="481"/>
      <c r="AF49" s="481"/>
      <c r="AG49" s="481"/>
      <c r="AH49" s="481"/>
      <c r="AI49" s="481"/>
      <c r="AJ49" s="481"/>
      <c r="AK49" s="481"/>
      <c r="AL49" s="481"/>
      <c r="AM49" s="481"/>
      <c r="AN49" s="481"/>
    </row>
    <row r="50" spans="1:40" ht="15.75" customHeight="1">
      <c r="A50" s="490" t="s">
        <v>253</v>
      </c>
      <c r="B50" s="481" t="s">
        <v>0</v>
      </c>
      <c r="C50" s="565" t="s">
        <v>46</v>
      </c>
      <c r="D50" s="567"/>
      <c r="E50" s="568"/>
      <c r="F50" s="499">
        <v>11386.855901736661</v>
      </c>
      <c r="G50" s="569"/>
      <c r="H50" s="568"/>
      <c r="I50" s="499"/>
      <c r="J50" s="485"/>
      <c r="K50" s="568"/>
      <c r="L50" s="501">
        <v>14378.55</v>
      </c>
      <c r="M50" s="485"/>
      <c r="N50" s="570">
        <v>2991.6940982633387</v>
      </c>
      <c r="O50" s="485"/>
      <c r="P50" s="568"/>
      <c r="Q50" s="501">
        <v>17936.939999999999</v>
      </c>
      <c r="R50" s="485"/>
      <c r="S50" s="570">
        <v>-3558.3899999999994</v>
      </c>
      <c r="T50" s="481"/>
      <c r="U50" s="481"/>
      <c r="V50" s="481"/>
      <c r="W50" s="481"/>
      <c r="X50" s="478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481"/>
      <c r="AL50" s="481"/>
      <c r="AM50" s="481"/>
      <c r="AN50" s="481"/>
    </row>
    <row r="51" spans="1:40" ht="15.75" customHeight="1">
      <c r="A51" s="490" t="s">
        <v>254</v>
      </c>
      <c r="B51" s="481" t="s">
        <v>0</v>
      </c>
      <c r="C51" s="565" t="s">
        <v>47</v>
      </c>
      <c r="D51" s="550"/>
      <c r="E51" s="481"/>
      <c r="F51" s="499">
        <v>7973.7373263711697</v>
      </c>
      <c r="G51" s="551"/>
      <c r="H51" s="481"/>
      <c r="I51" s="499"/>
      <c r="J51" s="498"/>
      <c r="K51" s="481"/>
      <c r="L51" s="501">
        <v>7088.75</v>
      </c>
      <c r="M51" s="498"/>
      <c r="N51" s="524">
        <v>-884.98732637116973</v>
      </c>
      <c r="O51" s="498"/>
      <c r="P51" s="481"/>
      <c r="Q51" s="501">
        <v>7345.74</v>
      </c>
      <c r="R51" s="498"/>
      <c r="S51" s="524">
        <v>-256.98999999999978</v>
      </c>
      <c r="T51" s="481"/>
      <c r="U51" s="481"/>
      <c r="V51" s="481"/>
      <c r="W51" s="481"/>
      <c r="X51" s="478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481"/>
      <c r="AM51" s="481"/>
      <c r="AN51" s="481"/>
    </row>
    <row r="52" spans="1:40" ht="15.75" customHeight="1">
      <c r="A52" s="490" t="s">
        <v>255</v>
      </c>
      <c r="B52" s="481" t="s">
        <v>0</v>
      </c>
      <c r="C52" s="565" t="s">
        <v>48</v>
      </c>
      <c r="D52" s="550"/>
      <c r="E52" s="481"/>
      <c r="F52" s="499">
        <v>3809.2841520524616</v>
      </c>
      <c r="G52" s="551"/>
      <c r="H52" s="481"/>
      <c r="I52" s="499"/>
      <c r="J52" s="498"/>
      <c r="K52" s="481"/>
      <c r="L52" s="501">
        <v>2311.3000000000002</v>
      </c>
      <c r="M52" s="498"/>
      <c r="N52" s="524">
        <v>-1497.9841520524615</v>
      </c>
      <c r="O52" s="498"/>
      <c r="P52" s="481"/>
      <c r="Q52" s="501">
        <v>5097.38</v>
      </c>
      <c r="R52" s="498"/>
      <c r="S52" s="524">
        <v>-2786.08</v>
      </c>
      <c r="T52" s="481"/>
      <c r="U52" s="481"/>
      <c r="V52" s="481"/>
      <c r="W52" s="481"/>
      <c r="X52" s="478"/>
      <c r="Y52" s="481"/>
      <c r="Z52" s="481"/>
      <c r="AA52" s="481"/>
      <c r="AB52" s="481"/>
      <c r="AC52" s="481"/>
      <c r="AD52" s="481"/>
      <c r="AE52" s="481"/>
      <c r="AF52" s="481"/>
      <c r="AG52" s="481"/>
      <c r="AH52" s="481"/>
      <c r="AI52" s="481"/>
      <c r="AJ52" s="481"/>
      <c r="AK52" s="481"/>
      <c r="AL52" s="481"/>
      <c r="AM52" s="481"/>
      <c r="AN52" s="481"/>
    </row>
    <row r="53" spans="1:40" ht="15.75" hidden="1" customHeight="1">
      <c r="A53" s="490" t="s">
        <v>229</v>
      </c>
      <c r="B53" s="481" t="s">
        <v>0</v>
      </c>
      <c r="C53" s="498" t="s">
        <v>20</v>
      </c>
      <c r="D53" s="552"/>
      <c r="E53" s="571"/>
      <c r="F53" s="499">
        <v>0</v>
      </c>
      <c r="G53" s="553"/>
      <c r="H53" s="571"/>
      <c r="I53" s="499"/>
      <c r="J53" s="491"/>
      <c r="K53" s="571"/>
      <c r="L53" s="501">
        <v>0</v>
      </c>
      <c r="M53" s="491"/>
      <c r="N53" s="547">
        <v>0</v>
      </c>
      <c r="O53" s="491"/>
      <c r="P53" s="571"/>
      <c r="Q53" s="501">
        <v>0</v>
      </c>
      <c r="R53" s="491"/>
      <c r="S53" s="547">
        <v>0</v>
      </c>
      <c r="T53" s="481"/>
      <c r="U53" s="481"/>
      <c r="V53" s="481"/>
      <c r="W53" s="481"/>
      <c r="X53" s="478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481"/>
      <c r="AL53" s="481"/>
      <c r="AM53" s="481"/>
      <c r="AN53" s="481"/>
    </row>
    <row r="54" spans="1:40" ht="15.75" customHeight="1">
      <c r="A54" s="490" t="s">
        <v>256</v>
      </c>
      <c r="B54" s="481" t="s">
        <v>0</v>
      </c>
      <c r="C54" s="557" t="s">
        <v>49</v>
      </c>
      <c r="D54" s="558" t="s">
        <v>39</v>
      </c>
      <c r="E54" s="559">
        <v>0.34614648638402523</v>
      </c>
      <c r="F54" s="560">
        <v>70350.449937554411</v>
      </c>
      <c r="G54" s="561"/>
      <c r="H54" s="559"/>
      <c r="I54" s="560"/>
      <c r="J54" s="561" t="s">
        <v>39</v>
      </c>
      <c r="K54" s="559">
        <v>0.47821453597199604</v>
      </c>
      <c r="L54" s="560">
        <v>73746.64</v>
      </c>
      <c r="M54" s="564"/>
      <c r="N54" s="560">
        <v>3396.1900624455884</v>
      </c>
      <c r="O54" s="561" t="s">
        <v>39</v>
      </c>
      <c r="P54" s="559">
        <v>0.3013079216673738</v>
      </c>
      <c r="Q54" s="560">
        <v>77463.35000000002</v>
      </c>
      <c r="R54" s="564"/>
      <c r="S54" s="560">
        <v>-3716.7100000000028</v>
      </c>
      <c r="T54" s="542"/>
      <c r="U54" s="481"/>
      <c r="V54" s="481"/>
      <c r="W54" s="481"/>
      <c r="X54" s="478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1"/>
      <c r="AK54" s="481"/>
      <c r="AL54" s="481"/>
      <c r="AM54" s="481"/>
      <c r="AN54" s="481"/>
    </row>
    <row r="55" spans="1:40" ht="15.75" hidden="1" customHeight="1">
      <c r="A55" s="490" t="s">
        <v>257</v>
      </c>
      <c r="B55" s="481" t="s">
        <v>0</v>
      </c>
      <c r="C55" s="498" t="s">
        <v>50</v>
      </c>
      <c r="D55" s="550"/>
      <c r="E55" s="481"/>
      <c r="F55" s="499">
        <v>0</v>
      </c>
      <c r="G55" s="551"/>
      <c r="H55" s="481"/>
      <c r="I55" s="499"/>
      <c r="J55" s="498"/>
      <c r="K55" s="481"/>
      <c r="L55" s="501">
        <v>0</v>
      </c>
      <c r="M55" s="498"/>
      <c r="N55" s="524">
        <v>0</v>
      </c>
      <c r="O55" s="498"/>
      <c r="P55" s="481"/>
      <c r="Q55" s="501">
        <v>0</v>
      </c>
      <c r="R55" s="498"/>
      <c r="S55" s="524">
        <v>0</v>
      </c>
      <c r="T55" s="542"/>
      <c r="U55" s="481"/>
      <c r="V55" s="481"/>
      <c r="W55" s="481"/>
      <c r="X55" s="478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</row>
    <row r="56" spans="1:40" ht="15.75" hidden="1" customHeight="1">
      <c r="A56" s="490" t="s">
        <v>258</v>
      </c>
      <c r="B56" s="481" t="s">
        <v>0</v>
      </c>
      <c r="C56" s="498" t="s">
        <v>51</v>
      </c>
      <c r="D56" s="550"/>
      <c r="E56" s="481"/>
      <c r="F56" s="499">
        <v>0</v>
      </c>
      <c r="G56" s="551"/>
      <c r="H56" s="481"/>
      <c r="I56" s="499"/>
      <c r="J56" s="498"/>
      <c r="K56" s="481"/>
      <c r="L56" s="501">
        <v>0</v>
      </c>
      <c r="M56" s="498"/>
      <c r="N56" s="524">
        <v>0</v>
      </c>
      <c r="O56" s="498"/>
      <c r="P56" s="481"/>
      <c r="Q56" s="501">
        <v>0</v>
      </c>
      <c r="R56" s="498"/>
      <c r="S56" s="524">
        <v>0</v>
      </c>
      <c r="T56" s="542"/>
      <c r="U56" s="481"/>
      <c r="V56" s="481"/>
      <c r="W56" s="481"/>
      <c r="X56" s="478"/>
      <c r="Y56" s="481"/>
      <c r="Z56" s="481"/>
      <c r="AA56" s="481"/>
      <c r="AB56" s="481"/>
      <c r="AC56" s="481"/>
      <c r="AD56" s="481"/>
      <c r="AE56" s="481"/>
      <c r="AF56" s="481"/>
      <c r="AG56" s="481"/>
      <c r="AH56" s="481"/>
      <c r="AI56" s="481"/>
      <c r="AJ56" s="481"/>
      <c r="AK56" s="481"/>
      <c r="AL56" s="481"/>
      <c r="AM56" s="481"/>
      <c r="AN56" s="481"/>
    </row>
    <row r="57" spans="1:40" ht="15.75" customHeight="1">
      <c r="A57" s="490" t="s">
        <v>259</v>
      </c>
      <c r="B57" s="481" t="s">
        <v>0</v>
      </c>
      <c r="C57" s="491" t="s">
        <v>52</v>
      </c>
      <c r="D57" s="552"/>
      <c r="E57" s="571"/>
      <c r="F57" s="493">
        <v>7945.833333333333</v>
      </c>
      <c r="G57" s="553"/>
      <c r="H57" s="571"/>
      <c r="I57" s="493"/>
      <c r="J57" s="491"/>
      <c r="K57" s="571"/>
      <c r="L57" s="493">
        <v>7279.84</v>
      </c>
      <c r="M57" s="491"/>
      <c r="N57" s="547">
        <v>-665.99333333333288</v>
      </c>
      <c r="O57" s="491"/>
      <c r="P57" s="571"/>
      <c r="Q57" s="493">
        <v>6354.05</v>
      </c>
      <c r="R57" s="491"/>
      <c r="S57" s="547">
        <v>925.79</v>
      </c>
      <c r="T57" s="572"/>
      <c r="U57" s="481"/>
      <c r="V57" s="481"/>
      <c r="W57" s="481"/>
      <c r="X57" s="478"/>
      <c r="Y57" s="481"/>
      <c r="Z57" s="481"/>
      <c r="AA57" s="481"/>
      <c r="AB57" s="481"/>
      <c r="AC57" s="481"/>
      <c r="AD57" s="481"/>
      <c r="AE57" s="481"/>
      <c r="AF57" s="481"/>
      <c r="AG57" s="481"/>
      <c r="AH57" s="481"/>
      <c r="AI57" s="481"/>
      <c r="AJ57" s="481"/>
      <c r="AK57" s="481"/>
      <c r="AL57" s="481"/>
      <c r="AM57" s="481"/>
      <c r="AN57" s="481"/>
    </row>
    <row r="58" spans="1:40" ht="15.75" customHeight="1">
      <c r="A58" s="490" t="s">
        <v>260</v>
      </c>
      <c r="B58" s="481" t="s">
        <v>0</v>
      </c>
      <c r="C58" s="498" t="s">
        <v>53</v>
      </c>
      <c r="D58" s="550"/>
      <c r="E58" s="481"/>
      <c r="F58" s="499">
        <v>6260.866398666667</v>
      </c>
      <c r="G58" s="551"/>
      <c r="H58" s="481"/>
      <c r="I58" s="499"/>
      <c r="J58" s="498"/>
      <c r="K58" s="481"/>
      <c r="L58" s="501">
        <v>7196.92</v>
      </c>
      <c r="M58" s="498"/>
      <c r="N58" s="524">
        <v>936.05360133333306</v>
      </c>
      <c r="O58" s="498"/>
      <c r="P58" s="481"/>
      <c r="Q58" s="501">
        <v>7289.36</v>
      </c>
      <c r="R58" s="498"/>
      <c r="S58" s="524">
        <v>-92.4399999999996</v>
      </c>
      <c r="T58" s="542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81"/>
      <c r="AF58" s="481"/>
      <c r="AG58" s="481"/>
      <c r="AH58" s="481"/>
      <c r="AI58" s="481"/>
      <c r="AJ58" s="481"/>
      <c r="AK58" s="481"/>
      <c r="AL58" s="481"/>
      <c r="AM58" s="481"/>
      <c r="AN58" s="481"/>
    </row>
    <row r="59" spans="1:40" ht="15.75" customHeight="1">
      <c r="A59" s="490" t="s">
        <v>261</v>
      </c>
      <c r="B59" s="481" t="s">
        <v>0</v>
      </c>
      <c r="C59" s="498" t="s">
        <v>54</v>
      </c>
      <c r="D59" s="550"/>
      <c r="E59" s="481"/>
      <c r="F59" s="499">
        <v>1000.0880446666665</v>
      </c>
      <c r="G59" s="551"/>
      <c r="H59" s="481"/>
      <c r="I59" s="499"/>
      <c r="J59" s="498"/>
      <c r="K59" s="481"/>
      <c r="L59" s="501">
        <v>818.1</v>
      </c>
      <c r="M59" s="498"/>
      <c r="N59" s="524">
        <v>-181.9880446666665</v>
      </c>
      <c r="O59" s="498"/>
      <c r="P59" s="481"/>
      <c r="Q59" s="501">
        <v>966.86</v>
      </c>
      <c r="R59" s="498"/>
      <c r="S59" s="524">
        <v>-148.76</v>
      </c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481"/>
      <c r="AM59" s="481"/>
      <c r="AN59" s="481"/>
    </row>
    <row r="60" spans="1:40" ht="15.75" customHeight="1">
      <c r="A60" s="490" t="s">
        <v>262</v>
      </c>
      <c r="B60" s="481" t="s">
        <v>0</v>
      </c>
      <c r="C60" s="491" t="s">
        <v>55</v>
      </c>
      <c r="D60" s="552"/>
      <c r="E60" s="571"/>
      <c r="F60" s="493">
        <v>6796.8453297777778</v>
      </c>
      <c r="G60" s="553"/>
      <c r="H60" s="571"/>
      <c r="I60" s="493"/>
      <c r="J60" s="491"/>
      <c r="K60" s="571"/>
      <c r="L60" s="493">
        <v>5967.65</v>
      </c>
      <c r="M60" s="491"/>
      <c r="N60" s="547">
        <v>-829.19532977777817</v>
      </c>
      <c r="O60" s="491"/>
      <c r="P60" s="571"/>
      <c r="Q60" s="493">
        <v>6513.05</v>
      </c>
      <c r="R60" s="491"/>
      <c r="S60" s="547">
        <v>-545.40000000000055</v>
      </c>
      <c r="T60" s="481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81"/>
      <c r="AF60" s="481"/>
      <c r="AG60" s="481"/>
      <c r="AH60" s="481"/>
      <c r="AI60" s="481"/>
      <c r="AJ60" s="481"/>
      <c r="AK60" s="481"/>
      <c r="AL60" s="481"/>
      <c r="AM60" s="481"/>
      <c r="AN60" s="481"/>
    </row>
    <row r="61" spans="1:40" ht="15.75" customHeight="1">
      <c r="A61" s="490" t="s">
        <v>263</v>
      </c>
      <c r="B61" s="481" t="s">
        <v>0</v>
      </c>
      <c r="C61" s="498" t="s">
        <v>56</v>
      </c>
      <c r="D61" s="550"/>
      <c r="E61" s="481"/>
      <c r="F61" s="499">
        <v>117.13645759980204</v>
      </c>
      <c r="G61" s="551"/>
      <c r="H61" s="481"/>
      <c r="I61" s="499"/>
      <c r="J61" s="498"/>
      <c r="K61" s="481"/>
      <c r="L61" s="501">
        <v>0</v>
      </c>
      <c r="M61" s="498"/>
      <c r="N61" s="524">
        <v>-117.13645759980204</v>
      </c>
      <c r="O61" s="498"/>
      <c r="P61" s="481"/>
      <c r="Q61" s="501">
        <v>0</v>
      </c>
      <c r="R61" s="498"/>
      <c r="S61" s="524">
        <v>0</v>
      </c>
      <c r="T61" s="481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81"/>
      <c r="AF61" s="481"/>
      <c r="AG61" s="481"/>
      <c r="AH61" s="481"/>
      <c r="AI61" s="481"/>
      <c r="AJ61" s="481"/>
      <c r="AK61" s="481"/>
      <c r="AL61" s="481"/>
      <c r="AM61" s="481"/>
      <c r="AN61" s="481"/>
    </row>
    <row r="62" spans="1:40" ht="15.75" customHeight="1">
      <c r="A62" s="490" t="s">
        <v>264</v>
      </c>
      <c r="B62" s="481" t="s">
        <v>0</v>
      </c>
      <c r="C62" s="498" t="s">
        <v>57</v>
      </c>
      <c r="D62" s="550"/>
      <c r="E62" s="481"/>
      <c r="F62" s="499">
        <v>60.487931167085833</v>
      </c>
      <c r="G62" s="551"/>
      <c r="H62" s="481"/>
      <c r="I62" s="499"/>
      <c r="J62" s="498"/>
      <c r="K62" s="481"/>
      <c r="L62" s="501">
        <v>0</v>
      </c>
      <c r="M62" s="498"/>
      <c r="N62" s="524">
        <v>-60.487931167085833</v>
      </c>
      <c r="O62" s="498"/>
      <c r="P62" s="481"/>
      <c r="Q62" s="501">
        <v>0</v>
      </c>
      <c r="R62" s="498"/>
      <c r="S62" s="524">
        <v>0</v>
      </c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481"/>
      <c r="AL62" s="481"/>
      <c r="AM62" s="481"/>
      <c r="AN62" s="481"/>
    </row>
    <row r="63" spans="1:40" ht="15.75" customHeight="1">
      <c r="A63" s="490" t="s">
        <v>265</v>
      </c>
      <c r="B63" s="481" t="s">
        <v>0</v>
      </c>
      <c r="C63" s="498" t="s">
        <v>58</v>
      </c>
      <c r="D63" s="550"/>
      <c r="E63" s="481"/>
      <c r="F63" s="499">
        <v>763.45103519999975</v>
      </c>
      <c r="G63" s="551"/>
      <c r="H63" s="481"/>
      <c r="I63" s="499"/>
      <c r="J63" s="498"/>
      <c r="K63" s="481"/>
      <c r="L63" s="501">
        <v>479.83</v>
      </c>
      <c r="M63" s="498"/>
      <c r="N63" s="524">
        <v>-283.62103519999977</v>
      </c>
      <c r="O63" s="498"/>
      <c r="P63" s="481"/>
      <c r="Q63" s="501">
        <v>984.46</v>
      </c>
      <c r="R63" s="498"/>
      <c r="S63" s="524">
        <v>-504.63000000000005</v>
      </c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481"/>
      <c r="AL63" s="481"/>
      <c r="AM63" s="481"/>
      <c r="AN63" s="481"/>
    </row>
    <row r="64" spans="1:40" ht="15.75" customHeight="1">
      <c r="A64" s="490" t="s">
        <v>266</v>
      </c>
      <c r="B64" s="481" t="s">
        <v>0</v>
      </c>
      <c r="C64" s="498" t="s">
        <v>59</v>
      </c>
      <c r="D64" s="550"/>
      <c r="E64" s="481"/>
      <c r="F64" s="499">
        <v>258.72025015555556</v>
      </c>
      <c r="G64" s="551"/>
      <c r="H64" s="481"/>
      <c r="I64" s="499"/>
      <c r="J64" s="498"/>
      <c r="K64" s="481"/>
      <c r="L64" s="501">
        <v>233.9</v>
      </c>
      <c r="M64" s="498"/>
      <c r="N64" s="524">
        <v>-24.820250155555556</v>
      </c>
      <c r="O64" s="498"/>
      <c r="P64" s="481"/>
      <c r="Q64" s="501">
        <v>261.12</v>
      </c>
      <c r="R64" s="498"/>
      <c r="S64" s="524">
        <v>-27.22</v>
      </c>
      <c r="T64" s="481"/>
      <c r="U64" s="481"/>
      <c r="V64" s="481"/>
      <c r="W64" s="481"/>
      <c r="X64" s="481"/>
      <c r="Y64" s="481"/>
      <c r="Z64" s="481"/>
      <c r="AA64" s="481"/>
      <c r="AB64" s="481"/>
      <c r="AC64" s="481"/>
      <c r="AD64" s="481"/>
      <c r="AE64" s="481"/>
      <c r="AF64" s="481"/>
      <c r="AG64" s="481"/>
      <c r="AH64" s="481"/>
      <c r="AI64" s="481"/>
      <c r="AJ64" s="481"/>
      <c r="AK64" s="481"/>
      <c r="AL64" s="481"/>
      <c r="AM64" s="481"/>
      <c r="AN64" s="481"/>
    </row>
    <row r="65" spans="1:40" ht="15.75" customHeight="1">
      <c r="A65" s="490" t="s">
        <v>267</v>
      </c>
      <c r="B65" s="481" t="s">
        <v>0</v>
      </c>
      <c r="C65" s="498" t="s">
        <v>60</v>
      </c>
      <c r="D65" s="550"/>
      <c r="E65" s="481"/>
      <c r="F65" s="499">
        <v>123.74429384444443</v>
      </c>
      <c r="G65" s="551"/>
      <c r="H65" s="481"/>
      <c r="I65" s="499"/>
      <c r="J65" s="498"/>
      <c r="K65" s="481"/>
      <c r="L65" s="501">
        <v>130.12</v>
      </c>
      <c r="M65" s="498"/>
      <c r="N65" s="524">
        <v>6.3757061555555765</v>
      </c>
      <c r="O65" s="498"/>
      <c r="P65" s="481"/>
      <c r="Q65" s="501">
        <v>200.99</v>
      </c>
      <c r="R65" s="498"/>
      <c r="S65" s="524">
        <v>-70.87</v>
      </c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81"/>
      <c r="AF65" s="481"/>
      <c r="AG65" s="481"/>
      <c r="AH65" s="481"/>
      <c r="AI65" s="481"/>
      <c r="AJ65" s="481"/>
      <c r="AK65" s="481"/>
      <c r="AL65" s="481"/>
      <c r="AM65" s="481"/>
      <c r="AN65" s="481"/>
    </row>
    <row r="66" spans="1:40" ht="15.75" customHeight="1">
      <c r="A66" s="490" t="s">
        <v>268</v>
      </c>
      <c r="B66" s="481" t="s">
        <v>0</v>
      </c>
      <c r="C66" s="498" t="s">
        <v>61</v>
      </c>
      <c r="D66" s="550"/>
      <c r="E66" s="481"/>
      <c r="F66" s="499">
        <v>470.18236304444446</v>
      </c>
      <c r="G66" s="551"/>
      <c r="H66" s="481"/>
      <c r="I66" s="499"/>
      <c r="J66" s="498"/>
      <c r="K66" s="481"/>
      <c r="L66" s="501">
        <v>106.21</v>
      </c>
      <c r="M66" s="498"/>
      <c r="N66" s="524">
        <v>-363.97236304444448</v>
      </c>
      <c r="O66" s="498"/>
      <c r="P66" s="481"/>
      <c r="Q66" s="501">
        <v>140.21</v>
      </c>
      <c r="R66" s="498"/>
      <c r="S66" s="524">
        <v>-34.000000000000014</v>
      </c>
      <c r="T66" s="481"/>
      <c r="U66" s="481"/>
      <c r="V66" s="481"/>
      <c r="W66" s="481"/>
      <c r="X66" s="481"/>
      <c r="Y66" s="481"/>
      <c r="Z66" s="481"/>
      <c r="AA66" s="481"/>
      <c r="AB66" s="481"/>
      <c r="AC66" s="481"/>
      <c r="AD66" s="481"/>
      <c r="AE66" s="481"/>
      <c r="AF66" s="481"/>
      <c r="AG66" s="481"/>
      <c r="AH66" s="481"/>
      <c r="AI66" s="481"/>
      <c r="AJ66" s="481"/>
      <c r="AK66" s="481"/>
      <c r="AL66" s="481"/>
      <c r="AM66" s="481"/>
      <c r="AN66" s="481"/>
    </row>
    <row r="67" spans="1:40" ht="15.75" customHeight="1">
      <c r="A67" s="490" t="s">
        <v>269</v>
      </c>
      <c r="B67" s="481" t="s">
        <v>0</v>
      </c>
      <c r="C67" s="498" t="s">
        <v>62</v>
      </c>
      <c r="D67" s="550"/>
      <c r="E67" s="481"/>
      <c r="F67" s="499">
        <v>612.74030200304071</v>
      </c>
      <c r="G67" s="551"/>
      <c r="H67" s="481"/>
      <c r="I67" s="499"/>
      <c r="J67" s="498"/>
      <c r="K67" s="481"/>
      <c r="L67" s="501">
        <v>177.08</v>
      </c>
      <c r="M67" s="498"/>
      <c r="N67" s="524">
        <v>-435.66030200304067</v>
      </c>
      <c r="O67" s="498"/>
      <c r="P67" s="481"/>
      <c r="Q67" s="501">
        <v>1388.34</v>
      </c>
      <c r="R67" s="498"/>
      <c r="S67" s="524">
        <v>-1211.26</v>
      </c>
      <c r="T67" s="481"/>
      <c r="X67" s="481"/>
      <c r="Y67" s="481"/>
      <c r="Z67" s="481"/>
      <c r="AA67" s="481"/>
      <c r="AB67" s="481"/>
      <c r="AC67" s="481"/>
      <c r="AD67" s="481"/>
      <c r="AE67" s="481"/>
      <c r="AF67" s="481"/>
      <c r="AG67" s="481"/>
      <c r="AH67" s="481"/>
      <c r="AI67" s="481"/>
      <c r="AJ67" s="481"/>
      <c r="AK67" s="481"/>
      <c r="AL67" s="481"/>
      <c r="AM67" s="481"/>
      <c r="AN67" s="481"/>
    </row>
    <row r="68" spans="1:40" ht="15.75" customHeight="1">
      <c r="A68" s="490" t="s">
        <v>270</v>
      </c>
      <c r="B68" s="481" t="s">
        <v>0</v>
      </c>
      <c r="C68" s="498" t="s">
        <v>63</v>
      </c>
      <c r="D68" s="550"/>
      <c r="E68" s="481"/>
      <c r="F68" s="499">
        <v>1131.0253593673358</v>
      </c>
      <c r="G68" s="551"/>
      <c r="H68" s="481"/>
      <c r="I68" s="499"/>
      <c r="J68" s="498"/>
      <c r="K68" s="481"/>
      <c r="L68" s="501">
        <v>3406.43</v>
      </c>
      <c r="M68" s="498"/>
      <c r="N68" s="524">
        <v>2275.4046406326643</v>
      </c>
      <c r="O68" s="498"/>
      <c r="P68" s="481"/>
      <c r="Q68" s="501">
        <v>3741.1920000000041</v>
      </c>
      <c r="R68" s="498"/>
      <c r="S68" s="524">
        <v>-334.76200000000426</v>
      </c>
      <c r="T68" s="481"/>
      <c r="X68" s="481"/>
      <c r="Y68" s="481"/>
      <c r="Z68" s="481"/>
      <c r="AA68" s="481"/>
      <c r="AB68" s="481"/>
      <c r="AC68" s="481"/>
      <c r="AD68" s="481"/>
      <c r="AE68" s="481"/>
      <c r="AF68" s="481"/>
      <c r="AG68" s="481"/>
      <c r="AH68" s="481"/>
      <c r="AI68" s="481"/>
      <c r="AJ68" s="481"/>
      <c r="AK68" s="481"/>
      <c r="AL68" s="481"/>
      <c r="AM68" s="481"/>
      <c r="AN68" s="481"/>
    </row>
    <row r="69" spans="1:40" ht="15.75" hidden="1" customHeight="1">
      <c r="A69" s="490" t="s">
        <v>229</v>
      </c>
      <c r="B69" s="481" t="s">
        <v>0</v>
      </c>
      <c r="C69" s="498" t="s">
        <v>20</v>
      </c>
      <c r="D69" s="550"/>
      <c r="E69" s="481"/>
      <c r="F69" s="499">
        <v>0</v>
      </c>
      <c r="G69" s="551"/>
      <c r="H69" s="481"/>
      <c r="I69" s="499"/>
      <c r="J69" s="498"/>
      <c r="K69" s="481"/>
      <c r="L69" s="501"/>
      <c r="M69" s="498"/>
      <c r="N69" s="524">
        <v>0</v>
      </c>
      <c r="O69" s="498"/>
      <c r="P69" s="481"/>
      <c r="Q69" s="501">
        <v>0</v>
      </c>
      <c r="R69" s="498"/>
      <c r="S69" s="524">
        <v>0</v>
      </c>
      <c r="T69" s="481"/>
      <c r="X69" s="481"/>
      <c r="Y69" s="481"/>
      <c r="Z69" s="481"/>
      <c r="AA69" s="481"/>
      <c r="AB69" s="481"/>
      <c r="AC69" s="481"/>
      <c r="AD69" s="481"/>
      <c r="AE69" s="481"/>
      <c r="AF69" s="481"/>
      <c r="AG69" s="481"/>
      <c r="AH69" s="481"/>
      <c r="AI69" s="481"/>
      <c r="AJ69" s="481"/>
      <c r="AK69" s="481"/>
      <c r="AL69" s="481"/>
      <c r="AM69" s="481"/>
      <c r="AN69" s="481"/>
    </row>
    <row r="70" spans="1:40" ht="15.75" hidden="1" customHeight="1">
      <c r="A70" s="490" t="s">
        <v>229</v>
      </c>
      <c r="B70" s="481" t="s">
        <v>0</v>
      </c>
      <c r="C70" s="498" t="s">
        <v>20</v>
      </c>
      <c r="D70" s="550"/>
      <c r="E70" s="481"/>
      <c r="F70" s="499">
        <v>0</v>
      </c>
      <c r="G70" s="551"/>
      <c r="H70" s="481"/>
      <c r="I70" s="499"/>
      <c r="J70" s="498"/>
      <c r="K70" s="481"/>
      <c r="L70" s="501">
        <v>0</v>
      </c>
      <c r="M70" s="498"/>
      <c r="N70" s="524">
        <v>0</v>
      </c>
      <c r="O70" s="498"/>
      <c r="P70" s="481"/>
      <c r="Q70" s="501">
        <v>0</v>
      </c>
      <c r="R70" s="498"/>
      <c r="S70" s="524">
        <v>0</v>
      </c>
      <c r="T70" s="481"/>
      <c r="X70" s="481"/>
      <c r="Y70" s="481"/>
      <c r="Z70" s="481"/>
      <c r="AA70" s="481"/>
      <c r="AB70" s="481"/>
      <c r="AC70" s="481"/>
      <c r="AD70" s="481"/>
      <c r="AE70" s="481"/>
      <c r="AF70" s="481"/>
      <c r="AG70" s="481"/>
      <c r="AH70" s="481"/>
      <c r="AI70" s="481"/>
      <c r="AJ70" s="481"/>
      <c r="AK70" s="481"/>
      <c r="AL70" s="481"/>
      <c r="AM70" s="481"/>
      <c r="AN70" s="481"/>
    </row>
    <row r="71" spans="1:40" ht="15.75" hidden="1" customHeight="1">
      <c r="A71" s="490" t="s">
        <v>229</v>
      </c>
      <c r="B71" s="481" t="s">
        <v>0</v>
      </c>
      <c r="C71" s="498" t="s">
        <v>20</v>
      </c>
      <c r="D71" s="550"/>
      <c r="E71" s="481"/>
      <c r="F71" s="499">
        <v>0</v>
      </c>
      <c r="G71" s="551"/>
      <c r="H71" s="481"/>
      <c r="I71" s="499"/>
      <c r="J71" s="498"/>
      <c r="K71" s="481"/>
      <c r="L71" s="501">
        <v>0</v>
      </c>
      <c r="M71" s="498"/>
      <c r="N71" s="524">
        <v>0</v>
      </c>
      <c r="O71" s="498"/>
      <c r="P71" s="481"/>
      <c r="Q71" s="501">
        <v>0</v>
      </c>
      <c r="R71" s="498"/>
      <c r="S71" s="524">
        <v>0</v>
      </c>
      <c r="T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481"/>
      <c r="AL71" s="481"/>
      <c r="AM71" s="481"/>
      <c r="AN71" s="481"/>
    </row>
    <row r="72" spans="1:40" ht="15.75" customHeight="1">
      <c r="A72" s="490" t="s">
        <v>271</v>
      </c>
      <c r="B72" s="481" t="s">
        <v>0</v>
      </c>
      <c r="C72" s="557" t="s">
        <v>64</v>
      </c>
      <c r="D72" s="558" t="s">
        <v>39</v>
      </c>
      <c r="E72" s="559">
        <v>0.12567040203033708</v>
      </c>
      <c r="F72" s="560">
        <v>25541.121098826152</v>
      </c>
      <c r="G72" s="561"/>
      <c r="H72" s="559"/>
      <c r="I72" s="560"/>
      <c r="J72" s="561" t="s">
        <v>39</v>
      </c>
      <c r="K72" s="559">
        <v>0.16727623695257832</v>
      </c>
      <c r="L72" s="560">
        <v>25796.080000000005</v>
      </c>
      <c r="M72" s="564"/>
      <c r="N72" s="560">
        <v>254.9589011738467</v>
      </c>
      <c r="O72" s="561" t="s">
        <v>39</v>
      </c>
      <c r="P72" s="559">
        <v>0.10828735986636921</v>
      </c>
      <c r="Q72" s="560">
        <v>27839.632000000001</v>
      </c>
      <c r="R72" s="564"/>
      <c r="S72" s="560">
        <v>-2043.5520000000045</v>
      </c>
      <c r="T72" s="481"/>
      <c r="X72" s="481"/>
      <c r="Y72" s="481"/>
      <c r="Z72" s="481"/>
      <c r="AA72" s="481"/>
      <c r="AB72" s="481"/>
      <c r="AC72" s="481"/>
      <c r="AD72" s="481"/>
      <c r="AE72" s="481"/>
      <c r="AF72" s="481"/>
      <c r="AG72" s="481"/>
      <c r="AH72" s="481"/>
      <c r="AI72" s="481"/>
      <c r="AJ72" s="481"/>
      <c r="AK72" s="481"/>
      <c r="AL72" s="481"/>
      <c r="AM72" s="481"/>
      <c r="AN72" s="481"/>
    </row>
    <row r="73" spans="1:40" ht="15.75" customHeight="1">
      <c r="A73" s="490" t="s">
        <v>0</v>
      </c>
      <c r="B73" s="481" t="s">
        <v>0</v>
      </c>
      <c r="C73" s="491"/>
      <c r="D73" s="552"/>
      <c r="E73" s="571"/>
      <c r="F73" s="524"/>
      <c r="G73" s="553"/>
      <c r="H73" s="571"/>
      <c r="I73" s="524"/>
      <c r="J73" s="491"/>
      <c r="K73" s="571"/>
      <c r="L73" s="547"/>
      <c r="M73" s="491"/>
      <c r="N73" s="547"/>
      <c r="O73" s="491"/>
      <c r="P73" s="571"/>
      <c r="Q73" s="547"/>
      <c r="R73" s="491"/>
      <c r="S73" s="547"/>
      <c r="T73" s="481"/>
      <c r="U73" s="481"/>
      <c r="V73" s="481"/>
      <c r="W73" s="481"/>
      <c r="X73" s="481"/>
      <c r="Y73" s="481"/>
      <c r="Z73" s="481"/>
      <c r="AA73" s="481"/>
      <c r="AB73" s="481"/>
      <c r="AC73" s="481"/>
      <c r="AD73" s="481"/>
      <c r="AE73" s="481"/>
      <c r="AF73" s="481"/>
      <c r="AG73" s="481"/>
      <c r="AH73" s="481"/>
      <c r="AI73" s="481"/>
      <c r="AJ73" s="481"/>
      <c r="AK73" s="481"/>
      <c r="AL73" s="481"/>
      <c r="AM73" s="481"/>
      <c r="AN73" s="481"/>
    </row>
    <row r="74" spans="1:40" ht="15.75" customHeight="1">
      <c r="A74" s="490" t="s">
        <v>272</v>
      </c>
      <c r="B74" s="481" t="s">
        <v>0</v>
      </c>
      <c r="C74" s="557" t="s">
        <v>65</v>
      </c>
      <c r="D74" s="558" t="s">
        <v>39</v>
      </c>
      <c r="E74" s="559">
        <v>0.9094719709954423</v>
      </c>
      <c r="F74" s="560">
        <v>184840.13237719401</v>
      </c>
      <c r="G74" s="561"/>
      <c r="H74" s="559"/>
      <c r="I74" s="560"/>
      <c r="J74" s="561" t="s">
        <v>39</v>
      </c>
      <c r="K74" s="559">
        <v>1.0961581184814773</v>
      </c>
      <c r="L74" s="560">
        <v>169041.24000000005</v>
      </c>
      <c r="M74" s="564"/>
      <c r="N74" s="573">
        <v>-15798.892377193959</v>
      </c>
      <c r="O74" s="561" t="s">
        <v>39</v>
      </c>
      <c r="P74" s="559">
        <v>0.8269786353683023</v>
      </c>
      <c r="Q74" s="560">
        <v>212608.20200000002</v>
      </c>
      <c r="R74" s="564"/>
      <c r="S74" s="573">
        <v>-43566.96199999997</v>
      </c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81"/>
      <c r="AF74" s="481"/>
      <c r="AG74" s="481"/>
      <c r="AH74" s="481"/>
      <c r="AI74" s="481"/>
      <c r="AJ74" s="481"/>
      <c r="AK74" s="481"/>
      <c r="AL74" s="481"/>
      <c r="AM74" s="481"/>
      <c r="AN74" s="481"/>
    </row>
    <row r="75" spans="1:40" ht="15.75" customHeight="1">
      <c r="A75" s="490" t="s">
        <v>273</v>
      </c>
      <c r="B75" s="481" t="s">
        <v>0</v>
      </c>
      <c r="C75" s="498" t="s">
        <v>198</v>
      </c>
      <c r="D75" s="550"/>
      <c r="E75" s="481"/>
      <c r="F75" s="499">
        <v>0</v>
      </c>
      <c r="G75" s="551"/>
      <c r="H75" s="481"/>
      <c r="I75" s="499"/>
      <c r="J75" s="498"/>
      <c r="K75" s="481"/>
      <c r="L75" s="501">
        <v>0</v>
      </c>
      <c r="M75" s="498"/>
      <c r="N75" s="524">
        <v>0</v>
      </c>
      <c r="O75" s="498"/>
      <c r="P75" s="481"/>
      <c r="Q75" s="501">
        <v>0</v>
      </c>
      <c r="R75" s="498"/>
      <c r="S75" s="524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1"/>
      <c r="AE75" s="481"/>
      <c r="AF75" s="481"/>
      <c r="AG75" s="481"/>
      <c r="AH75" s="481"/>
      <c r="AI75" s="481"/>
      <c r="AJ75" s="481"/>
      <c r="AK75" s="481"/>
      <c r="AL75" s="481"/>
      <c r="AM75" s="481"/>
      <c r="AN75" s="481"/>
    </row>
    <row r="76" spans="1:40" ht="15.75" customHeight="1">
      <c r="A76" s="490" t="s">
        <v>274</v>
      </c>
      <c r="B76" s="481" t="s">
        <v>0</v>
      </c>
      <c r="C76" s="498" t="s">
        <v>195</v>
      </c>
      <c r="D76" s="550"/>
      <c r="E76" s="481"/>
      <c r="F76" s="499">
        <v>0</v>
      </c>
      <c r="G76" s="551"/>
      <c r="H76" s="481"/>
      <c r="I76" s="499"/>
      <c r="J76" s="498"/>
      <c r="K76" s="481"/>
      <c r="L76" s="501">
        <v>0</v>
      </c>
      <c r="M76" s="498"/>
      <c r="N76" s="524">
        <v>0</v>
      </c>
      <c r="O76" s="498"/>
      <c r="P76" s="481"/>
      <c r="Q76" s="501">
        <v>0</v>
      </c>
      <c r="R76" s="498"/>
      <c r="S76" s="524">
        <v>0</v>
      </c>
      <c r="T76" s="481"/>
      <c r="U76" s="481"/>
      <c r="V76" s="481"/>
      <c r="W76" s="481"/>
      <c r="X76" s="481"/>
      <c r="Y76" s="481"/>
      <c r="Z76" s="481"/>
      <c r="AA76" s="481"/>
      <c r="AB76" s="481"/>
      <c r="AC76" s="481"/>
      <c r="AD76" s="481"/>
      <c r="AE76" s="481"/>
      <c r="AF76" s="481"/>
      <c r="AG76" s="481"/>
      <c r="AH76" s="481"/>
      <c r="AI76" s="481"/>
      <c r="AJ76" s="481"/>
      <c r="AK76" s="481"/>
      <c r="AL76" s="481"/>
      <c r="AM76" s="481"/>
      <c r="AN76" s="481"/>
    </row>
    <row r="77" spans="1:40" ht="15.75" customHeight="1">
      <c r="A77" s="490" t="s">
        <v>275</v>
      </c>
      <c r="B77" s="481" t="s">
        <v>0</v>
      </c>
      <c r="C77" s="498" t="s">
        <v>68</v>
      </c>
      <c r="D77" s="550"/>
      <c r="E77" s="481"/>
      <c r="F77" s="499">
        <v>0</v>
      </c>
      <c r="G77" s="551"/>
      <c r="H77" s="481"/>
      <c r="I77" s="499"/>
      <c r="J77" s="498"/>
      <c r="K77" s="481"/>
      <c r="L77" s="501">
        <v>0</v>
      </c>
      <c r="M77" s="498"/>
      <c r="N77" s="524">
        <v>0</v>
      </c>
      <c r="O77" s="498"/>
      <c r="P77" s="481"/>
      <c r="Q77" s="501">
        <v>0</v>
      </c>
      <c r="R77" s="498"/>
      <c r="S77" s="524">
        <v>0</v>
      </c>
      <c r="T77" s="481"/>
      <c r="U77" s="481"/>
      <c r="V77" s="481"/>
      <c r="W77" s="481"/>
      <c r="X77" s="481"/>
      <c r="Y77" s="481"/>
      <c r="Z77" s="481"/>
      <c r="AA77" s="481"/>
      <c r="AB77" s="481"/>
      <c r="AC77" s="481"/>
      <c r="AD77" s="481"/>
      <c r="AE77" s="481"/>
      <c r="AF77" s="481"/>
      <c r="AG77" s="481"/>
      <c r="AH77" s="481"/>
      <c r="AI77" s="481"/>
      <c r="AJ77" s="481"/>
      <c r="AK77" s="481"/>
      <c r="AL77" s="481"/>
      <c r="AM77" s="481"/>
      <c r="AN77" s="481"/>
    </row>
    <row r="78" spans="1:40" ht="15.75" customHeight="1">
      <c r="A78" s="490" t="s">
        <v>276</v>
      </c>
      <c r="B78" s="481" t="s">
        <v>0</v>
      </c>
      <c r="C78" s="498" t="s">
        <v>69</v>
      </c>
      <c r="D78" s="550"/>
      <c r="E78" s="574">
        <v>1181.3417167759831</v>
      </c>
      <c r="F78" s="499">
        <v>62181.079922459692</v>
      </c>
      <c r="G78" s="551"/>
      <c r="H78" s="481"/>
      <c r="I78" s="499"/>
      <c r="J78" s="498"/>
      <c r="K78" s="574">
        <v>1094.8346153846155</v>
      </c>
      <c r="L78" s="501">
        <v>42698.55</v>
      </c>
      <c r="M78" s="498"/>
      <c r="N78" s="524">
        <v>-19482.529922459689</v>
      </c>
      <c r="O78" s="498"/>
      <c r="P78" s="481"/>
      <c r="Q78" s="501">
        <v>69130</v>
      </c>
      <c r="R78" s="498"/>
      <c r="S78" s="524">
        <v>-26431.449999999997</v>
      </c>
      <c r="T78" s="481"/>
      <c r="U78" s="481"/>
      <c r="V78" s="481"/>
      <c r="W78" s="481"/>
      <c r="X78" s="481"/>
      <c r="Y78" s="481"/>
      <c r="Z78" s="481"/>
      <c r="AA78" s="481"/>
      <c r="AB78" s="481"/>
      <c r="AC78" s="481"/>
      <c r="AD78" s="481"/>
      <c r="AE78" s="481"/>
      <c r="AF78" s="481"/>
      <c r="AG78" s="481"/>
      <c r="AH78" s="481"/>
      <c r="AI78" s="481"/>
      <c r="AJ78" s="481"/>
      <c r="AK78" s="481"/>
      <c r="AL78" s="481"/>
      <c r="AM78" s="481"/>
      <c r="AN78" s="481"/>
    </row>
    <row r="79" spans="1:40" ht="15.75" hidden="1" customHeight="1">
      <c r="A79" s="490" t="s">
        <v>229</v>
      </c>
      <c r="B79" s="481" t="s">
        <v>0</v>
      </c>
      <c r="C79" s="498" t="s">
        <v>20</v>
      </c>
      <c r="D79" s="550"/>
      <c r="E79" s="481"/>
      <c r="F79" s="499">
        <v>0</v>
      </c>
      <c r="G79" s="551"/>
      <c r="H79" s="481"/>
      <c r="I79" s="499"/>
      <c r="J79" s="498"/>
      <c r="K79" s="481"/>
      <c r="L79" s="501">
        <v>0</v>
      </c>
      <c r="M79" s="498"/>
      <c r="N79" s="524">
        <v>0</v>
      </c>
      <c r="O79" s="498"/>
      <c r="P79" s="481"/>
      <c r="Q79" s="501">
        <v>0</v>
      </c>
      <c r="R79" s="498"/>
      <c r="S79" s="524">
        <v>0</v>
      </c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481"/>
      <c r="AM79" s="481"/>
      <c r="AN79" s="481"/>
    </row>
    <row r="80" spans="1:40" ht="15.75" hidden="1" customHeight="1">
      <c r="A80" s="490" t="s">
        <v>229</v>
      </c>
      <c r="B80" s="481" t="s">
        <v>0</v>
      </c>
      <c r="C80" s="498" t="s">
        <v>20</v>
      </c>
      <c r="D80" s="550"/>
      <c r="E80" s="481"/>
      <c r="F80" s="499">
        <v>0</v>
      </c>
      <c r="G80" s="551"/>
      <c r="H80" s="481"/>
      <c r="I80" s="499"/>
      <c r="J80" s="498"/>
      <c r="K80" s="481"/>
      <c r="L80" s="501">
        <v>0</v>
      </c>
      <c r="M80" s="498"/>
      <c r="N80" s="524">
        <v>0</v>
      </c>
      <c r="O80" s="498"/>
      <c r="P80" s="481"/>
      <c r="Q80" s="501">
        <v>0</v>
      </c>
      <c r="R80" s="498"/>
      <c r="S80" s="524">
        <v>0</v>
      </c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81"/>
      <c r="AF80" s="481"/>
      <c r="AG80" s="481"/>
      <c r="AH80" s="481"/>
      <c r="AI80" s="481"/>
      <c r="AJ80" s="481"/>
      <c r="AK80" s="481"/>
      <c r="AL80" s="481"/>
      <c r="AM80" s="481"/>
      <c r="AN80" s="481"/>
    </row>
    <row r="81" spans="1:40" ht="15.75" hidden="1" customHeight="1">
      <c r="A81" s="490" t="s">
        <v>229</v>
      </c>
      <c r="B81" s="481" t="s">
        <v>0</v>
      </c>
      <c r="C81" s="498" t="s">
        <v>20</v>
      </c>
      <c r="D81" s="550"/>
      <c r="E81" s="481"/>
      <c r="F81" s="499">
        <v>0</v>
      </c>
      <c r="G81" s="551"/>
      <c r="H81" s="481"/>
      <c r="I81" s="499"/>
      <c r="J81" s="498"/>
      <c r="K81" s="481"/>
      <c r="L81" s="501">
        <v>0</v>
      </c>
      <c r="M81" s="498"/>
      <c r="N81" s="524">
        <v>0</v>
      </c>
      <c r="O81" s="498"/>
      <c r="P81" s="481"/>
      <c r="Q81" s="501">
        <v>0</v>
      </c>
      <c r="R81" s="498"/>
      <c r="S81" s="524">
        <v>0</v>
      </c>
      <c r="T81" s="481"/>
      <c r="U81" s="481"/>
      <c r="V81" s="481"/>
      <c r="W81" s="481"/>
      <c r="X81" s="481"/>
      <c r="Y81" s="481"/>
      <c r="Z81" s="481"/>
      <c r="AA81" s="481"/>
      <c r="AB81" s="481"/>
      <c r="AC81" s="481"/>
      <c r="AD81" s="481"/>
      <c r="AE81" s="481"/>
      <c r="AF81" s="481"/>
      <c r="AG81" s="481"/>
      <c r="AH81" s="481"/>
      <c r="AI81" s="481"/>
      <c r="AJ81" s="481"/>
      <c r="AK81" s="481"/>
      <c r="AL81" s="481"/>
      <c r="AM81" s="481"/>
      <c r="AN81" s="481"/>
    </row>
    <row r="82" spans="1:40" ht="15.75" customHeight="1">
      <c r="A82" s="575" t="s">
        <v>277</v>
      </c>
      <c r="B82" s="576" t="s">
        <v>0</v>
      </c>
      <c r="C82" s="498" t="s">
        <v>70</v>
      </c>
      <c r="D82" s="550"/>
      <c r="E82" s="481"/>
      <c r="F82" s="499">
        <v>19591.052705280003</v>
      </c>
      <c r="G82" s="551"/>
      <c r="H82" s="481"/>
      <c r="I82" s="499"/>
      <c r="J82" s="577">
        <v>40</v>
      </c>
      <c r="K82" s="578">
        <v>486.15</v>
      </c>
      <c r="L82" s="501">
        <v>19446</v>
      </c>
      <c r="M82" s="498"/>
      <c r="N82" s="524">
        <v>-145.05270528000256</v>
      </c>
      <c r="O82" s="498"/>
      <c r="P82" s="481"/>
      <c r="Q82" s="501">
        <v>20382</v>
      </c>
      <c r="R82" s="498"/>
      <c r="S82" s="524">
        <v>-936</v>
      </c>
      <c r="T82" s="481"/>
      <c r="U82" s="481"/>
      <c r="V82" s="481"/>
      <c r="W82" s="481"/>
      <c r="X82" s="481"/>
      <c r="Y82" s="481"/>
      <c r="Z82" s="481"/>
      <c r="AA82" s="481"/>
      <c r="AB82" s="481"/>
      <c r="AC82" s="481"/>
      <c r="AD82" s="481"/>
      <c r="AE82" s="481"/>
      <c r="AF82" s="481"/>
      <c r="AG82" s="481"/>
      <c r="AH82" s="481"/>
      <c r="AI82" s="481"/>
      <c r="AJ82" s="481"/>
      <c r="AK82" s="481"/>
      <c r="AL82" s="481"/>
      <c r="AM82" s="481"/>
      <c r="AN82" s="481"/>
    </row>
    <row r="83" spans="1:40" ht="15.75" customHeight="1">
      <c r="A83" s="490" t="s">
        <v>278</v>
      </c>
      <c r="B83" s="481" t="s">
        <v>0</v>
      </c>
      <c r="C83" s="557" t="s">
        <v>71</v>
      </c>
      <c r="D83" s="558"/>
      <c r="E83" s="559"/>
      <c r="F83" s="560">
        <v>81772.132627739687</v>
      </c>
      <c r="G83" s="561"/>
      <c r="H83" s="559"/>
      <c r="I83" s="560"/>
      <c r="J83" s="561"/>
      <c r="K83" s="559"/>
      <c r="L83" s="560">
        <v>62144.55</v>
      </c>
      <c r="M83" s="564"/>
      <c r="N83" s="560">
        <v>-19627.582627739692</v>
      </c>
      <c r="O83" s="561"/>
      <c r="P83" s="559"/>
      <c r="Q83" s="560">
        <v>89512</v>
      </c>
      <c r="R83" s="564"/>
      <c r="S83" s="560">
        <v>-27367.449999999997</v>
      </c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81"/>
      <c r="AF83" s="481"/>
      <c r="AG83" s="481"/>
      <c r="AH83" s="481"/>
      <c r="AI83" s="481"/>
      <c r="AJ83" s="481"/>
      <c r="AK83" s="481"/>
      <c r="AL83" s="481"/>
      <c r="AM83" s="481"/>
      <c r="AN83" s="481"/>
    </row>
    <row r="84" spans="1:40" ht="15.75" customHeight="1">
      <c r="A84" s="490" t="s">
        <v>0</v>
      </c>
      <c r="B84" s="481" t="s">
        <v>0</v>
      </c>
      <c r="C84" s="579"/>
      <c r="D84" s="580"/>
      <c r="E84" s="581"/>
      <c r="F84" s="582"/>
      <c r="G84" s="583"/>
      <c r="H84" s="581"/>
      <c r="I84" s="582"/>
      <c r="J84" s="584"/>
      <c r="K84" s="585"/>
      <c r="L84" s="582"/>
      <c r="M84" s="584"/>
      <c r="N84" s="586"/>
      <c r="O84" s="584"/>
      <c r="P84" s="585"/>
      <c r="Q84" s="582"/>
      <c r="R84" s="584"/>
      <c r="S84" s="586"/>
      <c r="T84" s="481"/>
      <c r="U84" s="481"/>
      <c r="V84" s="481"/>
      <c r="W84" s="481"/>
      <c r="X84" s="481"/>
      <c r="Y84" s="481"/>
      <c r="Z84" s="481"/>
      <c r="AA84" s="481"/>
      <c r="AB84" s="481"/>
      <c r="AC84" s="481"/>
      <c r="AD84" s="481"/>
      <c r="AE84" s="481"/>
      <c r="AF84" s="481"/>
      <c r="AG84" s="481"/>
      <c r="AH84" s="481"/>
      <c r="AI84" s="481"/>
      <c r="AJ84" s="481"/>
      <c r="AK84" s="481"/>
      <c r="AL84" s="481"/>
      <c r="AM84" s="481"/>
      <c r="AN84" s="481"/>
    </row>
    <row r="85" spans="1:40" ht="22.5" customHeight="1" thickBot="1">
      <c r="A85" s="490" t="s">
        <v>279</v>
      </c>
      <c r="B85" s="481" t="s">
        <v>0</v>
      </c>
      <c r="C85" s="587" t="s">
        <v>72</v>
      </c>
      <c r="D85" s="588"/>
      <c r="E85" s="589"/>
      <c r="F85" s="590">
        <v>100170.95458014568</v>
      </c>
      <c r="G85" s="591"/>
      <c r="H85" s="589"/>
      <c r="I85" s="590"/>
      <c r="J85" s="591"/>
      <c r="K85" s="588"/>
      <c r="L85" s="590">
        <v>47315.769999999946</v>
      </c>
      <c r="M85" s="591"/>
      <c r="N85" s="590">
        <v>-52855.184580145709</v>
      </c>
      <c r="O85" s="591"/>
      <c r="P85" s="588"/>
      <c r="Q85" s="590">
        <v>133994.11799999981</v>
      </c>
      <c r="R85" s="591"/>
      <c r="S85" s="590">
        <v>-86678.347999999853</v>
      </c>
      <c r="T85" s="481"/>
      <c r="U85" s="481"/>
      <c r="V85" s="481"/>
      <c r="W85" s="481"/>
      <c r="X85" s="481"/>
      <c r="Y85" s="481"/>
      <c r="Z85" s="481"/>
      <c r="AA85" s="481"/>
      <c r="AB85" s="481"/>
      <c r="AC85" s="481"/>
      <c r="AD85" s="481"/>
      <c r="AE85" s="481"/>
      <c r="AF85" s="481"/>
      <c r="AG85" s="481"/>
      <c r="AH85" s="481"/>
      <c r="AI85" s="481"/>
      <c r="AJ85" s="481"/>
      <c r="AK85" s="481"/>
      <c r="AL85" s="481"/>
      <c r="AM85" s="481"/>
      <c r="AN85" s="481"/>
    </row>
    <row r="86" spans="1:40" ht="15.75" customHeight="1" thickTop="1">
      <c r="B86" s="592"/>
      <c r="C86" s="592"/>
      <c r="D86" s="592"/>
      <c r="E86" s="592"/>
      <c r="F86" s="592"/>
      <c r="G86" s="592"/>
      <c r="H86" s="592"/>
      <c r="I86" s="592"/>
      <c r="J86" s="593"/>
      <c r="K86" s="592"/>
      <c r="L86" s="594"/>
      <c r="M86" s="592"/>
      <c r="N86" s="592"/>
      <c r="O86" s="592"/>
      <c r="P86" s="592"/>
      <c r="Q86" s="592"/>
      <c r="R86" s="592"/>
      <c r="S86" s="592"/>
      <c r="T86" s="592"/>
      <c r="U86" s="592"/>
      <c r="V86" s="592"/>
      <c r="W86" s="592"/>
      <c r="X86" s="592"/>
      <c r="Y86" s="592"/>
      <c r="Z86" s="592"/>
      <c r="AA86" s="592"/>
      <c r="AB86" s="592"/>
      <c r="AC86" s="592"/>
      <c r="AD86" s="592"/>
      <c r="AE86" s="592"/>
      <c r="AF86" s="592"/>
      <c r="AG86" s="592"/>
      <c r="AH86" s="592"/>
      <c r="AI86" s="592"/>
      <c r="AJ86" s="592"/>
      <c r="AK86" s="592"/>
      <c r="AL86" s="592"/>
      <c r="AM86" s="592"/>
      <c r="AN86" s="592"/>
    </row>
    <row r="87" spans="1:40" ht="12.75" customHeight="1">
      <c r="B87" s="592"/>
      <c r="C87" s="592"/>
      <c r="D87" s="592"/>
      <c r="E87" s="592"/>
      <c r="F87" s="592"/>
      <c r="G87" s="592"/>
      <c r="H87" s="592"/>
      <c r="I87" s="594"/>
      <c r="J87" s="592"/>
      <c r="K87" s="592"/>
      <c r="L87" s="592"/>
      <c r="M87" s="592"/>
      <c r="N87" s="592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  <c r="AA87" s="592"/>
      <c r="AB87" s="592"/>
      <c r="AC87" s="592"/>
      <c r="AD87" s="592"/>
      <c r="AE87" s="592"/>
      <c r="AF87" s="592"/>
      <c r="AG87" s="592"/>
      <c r="AH87" s="592"/>
      <c r="AI87" s="592"/>
      <c r="AJ87" s="592"/>
      <c r="AK87" s="592"/>
      <c r="AL87" s="592"/>
      <c r="AM87" s="592"/>
      <c r="AN87" s="592"/>
    </row>
    <row r="88" spans="1:40" ht="15.75" hidden="1" customHeight="1">
      <c r="B88" s="475"/>
      <c r="C88" s="478"/>
      <c r="D88" s="478"/>
      <c r="E88" s="478"/>
      <c r="F88" s="478"/>
      <c r="G88" s="478"/>
      <c r="H88" s="478"/>
      <c r="I88" s="478"/>
      <c r="J88" s="478"/>
      <c r="K88" s="478"/>
      <c r="L88" s="478"/>
      <c r="M88" s="478"/>
      <c r="N88" s="478"/>
      <c r="O88" s="478"/>
      <c r="P88" s="478"/>
      <c r="Q88" s="478"/>
      <c r="R88" s="478"/>
      <c r="S88" s="478"/>
      <c r="T88" s="478"/>
      <c r="U88" s="478"/>
    </row>
    <row r="89" spans="1:40" ht="33" customHeight="1">
      <c r="B89" s="467"/>
      <c r="C89" s="595" t="s">
        <v>223</v>
      </c>
      <c r="D89" s="469"/>
      <c r="E89" s="469"/>
      <c r="F89" s="469"/>
      <c r="G89" s="469"/>
      <c r="H89" s="467"/>
      <c r="I89" s="467"/>
      <c r="J89" s="467"/>
      <c r="K89" s="471" t="s">
        <v>73</v>
      </c>
      <c r="L89" s="469"/>
      <c r="M89" s="469"/>
      <c r="N89" s="467"/>
      <c r="O89" s="467"/>
      <c r="P89" s="469"/>
      <c r="Q89" s="467"/>
      <c r="R89" s="469"/>
      <c r="S89" s="596" t="s">
        <v>482</v>
      </c>
      <c r="T89" s="467"/>
      <c r="U89" s="467"/>
      <c r="V89" s="467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467"/>
      <c r="AH89" s="467"/>
      <c r="AI89" s="467"/>
      <c r="AJ89" s="467"/>
      <c r="AK89" s="467"/>
      <c r="AL89" s="467"/>
      <c r="AM89" s="467"/>
      <c r="AN89" s="467"/>
    </row>
    <row r="90" spans="1:40" ht="15.75" customHeight="1" thickBot="1">
      <c r="B90" s="475"/>
      <c r="C90" s="476"/>
      <c r="D90" s="478"/>
      <c r="E90" s="478"/>
      <c r="F90" s="478"/>
      <c r="G90" s="478"/>
      <c r="H90" s="478"/>
      <c r="I90" s="478"/>
      <c r="J90" s="478"/>
      <c r="K90" s="478"/>
      <c r="L90" s="478"/>
      <c r="M90" s="478"/>
      <c r="N90" s="478"/>
      <c r="O90" s="478"/>
      <c r="P90" s="478"/>
      <c r="Q90" s="478"/>
      <c r="R90" s="478"/>
      <c r="S90" s="478"/>
      <c r="T90" s="478"/>
      <c r="U90" s="478"/>
    </row>
    <row r="91" spans="1:40" ht="15.75" customHeight="1" thickTop="1">
      <c r="B91" s="481"/>
      <c r="C91" s="482"/>
      <c r="D91" s="864" t="s">
        <v>5</v>
      </c>
      <c r="E91" s="865"/>
      <c r="F91" s="866"/>
      <c r="G91" s="867"/>
      <c r="H91" s="865"/>
      <c r="I91" s="866"/>
      <c r="J91" s="867" t="s">
        <v>7</v>
      </c>
      <c r="K91" s="865"/>
      <c r="L91" s="866"/>
      <c r="M91" s="867" t="s">
        <v>472</v>
      </c>
      <c r="N91" s="866"/>
      <c r="O91" s="864" t="s">
        <v>9</v>
      </c>
      <c r="P91" s="865"/>
      <c r="Q91" s="866"/>
      <c r="R91" s="867" t="s">
        <v>473</v>
      </c>
      <c r="S91" s="866"/>
      <c r="T91" s="481"/>
      <c r="U91" s="481"/>
      <c r="V91" s="481"/>
      <c r="W91" s="481"/>
      <c r="X91" s="481"/>
      <c r="Y91" s="481"/>
      <c r="Z91" s="481"/>
      <c r="AA91" s="481"/>
      <c r="AB91" s="481"/>
      <c r="AC91" s="481"/>
      <c r="AD91" s="481"/>
      <c r="AE91" s="481"/>
      <c r="AF91" s="481"/>
      <c r="AG91" s="481"/>
      <c r="AH91" s="481"/>
      <c r="AI91" s="481"/>
      <c r="AJ91" s="481"/>
      <c r="AK91" s="481"/>
      <c r="AL91" s="481"/>
      <c r="AM91" s="481"/>
      <c r="AN91" s="481"/>
    </row>
    <row r="92" spans="1:40" ht="15.75" customHeight="1">
      <c r="B92" s="481"/>
      <c r="C92" s="498"/>
      <c r="D92" s="486" t="s">
        <v>474</v>
      </c>
      <c r="E92" s="487" t="s">
        <v>12</v>
      </c>
      <c r="F92" s="488" t="s">
        <v>13</v>
      </c>
      <c r="G92" s="489"/>
      <c r="H92" s="487"/>
      <c r="I92" s="488"/>
      <c r="J92" s="489" t="s">
        <v>474</v>
      </c>
      <c r="K92" s="487" t="s">
        <v>14</v>
      </c>
      <c r="L92" s="488" t="s">
        <v>13</v>
      </c>
      <c r="M92" s="489" t="s">
        <v>474</v>
      </c>
      <c r="N92" s="488" t="s">
        <v>13</v>
      </c>
      <c r="O92" s="487" t="s">
        <v>474</v>
      </c>
      <c r="P92" s="487" t="s">
        <v>14</v>
      </c>
      <c r="Q92" s="488" t="s">
        <v>13</v>
      </c>
      <c r="R92" s="489" t="s">
        <v>474</v>
      </c>
      <c r="S92" s="488" t="s">
        <v>13</v>
      </c>
      <c r="T92" s="481"/>
      <c r="U92" s="481"/>
      <c r="V92" s="481"/>
      <c r="W92" s="481"/>
      <c r="X92" s="481"/>
      <c r="Y92" s="481"/>
      <c r="Z92" s="481"/>
      <c r="AA92" s="481"/>
      <c r="AB92" s="481"/>
      <c r="AC92" s="481"/>
      <c r="AD92" s="481"/>
      <c r="AE92" s="481"/>
      <c r="AF92" s="481"/>
      <c r="AG92" s="481"/>
      <c r="AH92" s="481"/>
      <c r="AI92" s="481"/>
      <c r="AJ92" s="481"/>
      <c r="AK92" s="481"/>
      <c r="AL92" s="481"/>
      <c r="AM92" s="481"/>
      <c r="AN92" s="481"/>
    </row>
    <row r="93" spans="1:40" ht="24" customHeight="1">
      <c r="A93" s="490" t="s">
        <v>280</v>
      </c>
      <c r="B93" s="481" t="s">
        <v>73</v>
      </c>
      <c r="C93" s="491" t="s">
        <v>15</v>
      </c>
      <c r="D93" s="495"/>
      <c r="E93" s="495"/>
      <c r="F93" s="493">
        <v>1504224.6778947767</v>
      </c>
      <c r="G93" s="512"/>
      <c r="H93" s="495"/>
      <c r="I93" s="493"/>
      <c r="J93" s="491"/>
      <c r="K93" s="495"/>
      <c r="L93" s="493">
        <v>1727866.7499999998</v>
      </c>
      <c r="M93" s="597"/>
      <c r="N93" s="598"/>
      <c r="O93" s="491"/>
      <c r="P93" s="495"/>
      <c r="Q93" s="493">
        <v>1722927.0000000002</v>
      </c>
      <c r="R93" s="597"/>
      <c r="S93" s="598"/>
      <c r="T93" s="481"/>
      <c r="U93" s="481"/>
      <c r="V93" s="481"/>
      <c r="W93" s="481"/>
      <c r="X93" s="481"/>
      <c r="Y93" s="481"/>
      <c r="Z93" s="481"/>
      <c r="AA93" s="481"/>
      <c r="AB93" s="481"/>
      <c r="AC93" s="481"/>
      <c r="AD93" s="481"/>
      <c r="AE93" s="481"/>
      <c r="AF93" s="481"/>
      <c r="AG93" s="481"/>
      <c r="AH93" s="481"/>
      <c r="AI93" s="481"/>
      <c r="AJ93" s="481"/>
      <c r="AK93" s="481"/>
      <c r="AL93" s="481"/>
      <c r="AM93" s="481"/>
      <c r="AN93" s="481"/>
    </row>
    <row r="94" spans="1:40" ht="21.75" customHeight="1">
      <c r="A94" s="490" t="s">
        <v>281</v>
      </c>
      <c r="B94" s="481" t="s">
        <v>73</v>
      </c>
      <c r="C94" s="498" t="s">
        <v>75</v>
      </c>
      <c r="D94" s="499">
        <v>36</v>
      </c>
      <c r="E94" s="499">
        <v>1858</v>
      </c>
      <c r="F94" s="499">
        <v>66888</v>
      </c>
      <c r="G94" s="500"/>
      <c r="H94" s="499"/>
      <c r="I94" s="499"/>
      <c r="J94" s="500">
        <v>32</v>
      </c>
      <c r="K94" s="499">
        <v>1803.6106250000021</v>
      </c>
      <c r="L94" s="501">
        <v>57715.540000000066</v>
      </c>
      <c r="M94" s="500">
        <v>-4</v>
      </c>
      <c r="N94" s="501">
        <v>-9172.4599999999336</v>
      </c>
      <c r="O94" s="500">
        <v>39</v>
      </c>
      <c r="P94" s="499">
        <v>1866.1264102564119</v>
      </c>
      <c r="Q94" s="501">
        <v>72778.930000000066</v>
      </c>
      <c r="R94" s="500">
        <v>-7</v>
      </c>
      <c r="S94" s="501">
        <v>-15063.39</v>
      </c>
      <c r="T94" s="481"/>
      <c r="U94" s="481"/>
      <c r="V94" s="481"/>
      <c r="W94" s="481"/>
      <c r="X94" s="481"/>
      <c r="Y94" s="481"/>
      <c r="Z94" s="481"/>
      <c r="AA94" s="481"/>
      <c r="AB94" s="481"/>
      <c r="AC94" s="481"/>
      <c r="AD94" s="481"/>
      <c r="AE94" s="481"/>
      <c r="AF94" s="481"/>
      <c r="AG94" s="481"/>
      <c r="AH94" s="481"/>
      <c r="AI94" s="481"/>
      <c r="AJ94" s="481"/>
      <c r="AK94" s="481"/>
      <c r="AL94" s="481"/>
      <c r="AM94" s="481"/>
      <c r="AN94" s="481"/>
    </row>
    <row r="95" spans="1:40" ht="18.75" customHeight="1">
      <c r="A95" s="490" t="s">
        <v>282</v>
      </c>
      <c r="B95" s="481" t="s">
        <v>73</v>
      </c>
      <c r="C95" s="498" t="s">
        <v>76</v>
      </c>
      <c r="D95" s="499">
        <v>0</v>
      </c>
      <c r="E95" s="495">
        <v>0</v>
      </c>
      <c r="F95" s="499">
        <v>0</v>
      </c>
      <c r="G95" s="500"/>
      <c r="H95" s="499"/>
      <c r="I95" s="499"/>
      <c r="J95" s="500">
        <v>4</v>
      </c>
      <c r="K95" s="499">
        <v>1549.3474999999985</v>
      </c>
      <c r="L95" s="501">
        <v>6197.389999999994</v>
      </c>
      <c r="M95" s="500">
        <v>4</v>
      </c>
      <c r="N95" s="501">
        <v>6197.389999999994</v>
      </c>
      <c r="O95" s="500">
        <v>0</v>
      </c>
      <c r="P95" s="499">
        <v>0</v>
      </c>
      <c r="Q95" s="501">
        <v>0</v>
      </c>
      <c r="R95" s="500">
        <v>4</v>
      </c>
      <c r="S95" s="501">
        <v>6197.389999999994</v>
      </c>
      <c r="T95" s="481"/>
      <c r="U95" s="481"/>
      <c r="V95" s="599"/>
      <c r="W95" s="481"/>
      <c r="X95" s="481"/>
      <c r="Y95" s="481"/>
      <c r="Z95" s="481"/>
      <c r="AA95" s="481"/>
      <c r="AB95" s="481"/>
      <c r="AC95" s="481"/>
      <c r="AD95" s="481"/>
      <c r="AE95" s="481"/>
      <c r="AF95" s="481"/>
      <c r="AG95" s="481"/>
      <c r="AH95" s="481"/>
      <c r="AI95" s="481"/>
      <c r="AJ95" s="481"/>
      <c r="AK95" s="481"/>
      <c r="AL95" s="481"/>
      <c r="AM95" s="481"/>
      <c r="AN95" s="481"/>
    </row>
    <row r="96" spans="1:40" ht="15.75" customHeight="1">
      <c r="A96" s="490" t="s">
        <v>283</v>
      </c>
      <c r="B96" s="481" t="s">
        <v>73</v>
      </c>
      <c r="C96" s="504" t="s">
        <v>77</v>
      </c>
      <c r="D96" s="505">
        <v>36</v>
      </c>
      <c r="E96" s="499">
        <v>1858</v>
      </c>
      <c r="F96" s="506">
        <v>66888</v>
      </c>
      <c r="G96" s="507"/>
      <c r="H96" s="505"/>
      <c r="I96" s="506"/>
      <c r="J96" s="507">
        <v>36</v>
      </c>
      <c r="K96" s="505">
        <v>1775.3591666666682</v>
      </c>
      <c r="L96" s="506">
        <v>63912.930000000058</v>
      </c>
      <c r="M96" s="507">
        <v>0</v>
      </c>
      <c r="N96" s="506">
        <v>-2975.0699999999415</v>
      </c>
      <c r="O96" s="507">
        <v>39</v>
      </c>
      <c r="P96" s="505">
        <v>1866.1264102564119</v>
      </c>
      <c r="Q96" s="506">
        <v>72778.930000000066</v>
      </c>
      <c r="R96" s="507">
        <v>-3</v>
      </c>
      <c r="S96" s="506">
        <v>-8866.0000000000055</v>
      </c>
      <c r="T96" s="481"/>
      <c r="U96" s="481"/>
      <c r="V96" s="481"/>
      <c r="W96" s="481"/>
      <c r="X96" s="481"/>
      <c r="Y96" s="481"/>
      <c r="Z96" s="481"/>
      <c r="AA96" s="481"/>
      <c r="AB96" s="481"/>
      <c r="AC96" s="542"/>
      <c r="AD96" s="481"/>
      <c r="AE96" s="481"/>
      <c r="AF96" s="542"/>
      <c r="AG96" s="481"/>
      <c r="AH96" s="481"/>
      <c r="AI96" s="481"/>
      <c r="AJ96" s="481"/>
      <c r="AK96" s="481"/>
      <c r="AL96" s="481"/>
      <c r="AM96" s="481"/>
      <c r="AN96" s="481"/>
    </row>
    <row r="97" spans="1:40" ht="15.75" customHeight="1">
      <c r="A97" s="490" t="s">
        <v>73</v>
      </c>
      <c r="B97" s="481" t="s">
        <v>73</v>
      </c>
      <c r="C97" s="498"/>
      <c r="D97" s="481"/>
      <c r="E97" s="499">
        <v>0</v>
      </c>
      <c r="F97" s="508"/>
      <c r="G97" s="498"/>
      <c r="H97" s="481"/>
      <c r="I97" s="508"/>
      <c r="J97" s="498"/>
      <c r="K97" s="481"/>
      <c r="L97" s="508"/>
      <c r="M97" s="600">
        <v>0</v>
      </c>
      <c r="N97" s="601">
        <v>-4.4478381772514376E-2</v>
      </c>
      <c r="O97" s="498"/>
      <c r="P97" s="481"/>
      <c r="Q97" s="508"/>
      <c r="R97" s="600">
        <v>-7.6923076923076927E-2</v>
      </c>
      <c r="S97" s="601">
        <v>-0.12182097208628923</v>
      </c>
      <c r="T97" s="481"/>
      <c r="U97" s="481"/>
      <c r="V97" s="481"/>
      <c r="W97" s="481"/>
      <c r="X97" s="481"/>
      <c r="Y97" s="481"/>
      <c r="Z97" s="481"/>
      <c r="AA97" s="481"/>
      <c r="AB97" s="481"/>
      <c r="AC97" s="481"/>
      <c r="AD97" s="481"/>
      <c r="AE97" s="481"/>
      <c r="AF97" s="481"/>
      <c r="AG97" s="481"/>
      <c r="AH97" s="481"/>
      <c r="AI97" s="481"/>
      <c r="AJ97" s="481"/>
      <c r="AK97" s="481"/>
      <c r="AL97" s="481"/>
      <c r="AM97" s="481"/>
      <c r="AN97" s="481"/>
    </row>
    <row r="98" spans="1:40" ht="15.75" customHeight="1">
      <c r="A98" s="490" t="s">
        <v>284</v>
      </c>
      <c r="B98" s="481" t="s">
        <v>73</v>
      </c>
      <c r="C98" s="498" t="s">
        <v>194</v>
      </c>
      <c r="D98" s="499"/>
      <c r="E98" s="499"/>
      <c r="F98" s="499"/>
      <c r="G98" s="500"/>
      <c r="H98" s="499"/>
      <c r="I98" s="499"/>
      <c r="J98" s="500"/>
      <c r="K98" s="499"/>
      <c r="L98" s="501"/>
      <c r="M98" s="500"/>
      <c r="N98" s="501"/>
      <c r="O98" s="500"/>
      <c r="P98" s="499"/>
      <c r="Q98" s="501"/>
      <c r="R98" s="500"/>
      <c r="S98" s="501"/>
      <c r="T98" s="481"/>
      <c r="U98" s="481"/>
      <c r="V98" s="481"/>
      <c r="W98" s="499"/>
      <c r="X98" s="499"/>
      <c r="Y98" s="481"/>
      <c r="Z98" s="481"/>
      <c r="AA98" s="481"/>
      <c r="AB98" s="481"/>
      <c r="AC98" s="481"/>
      <c r="AD98" s="481"/>
      <c r="AE98" s="481"/>
      <c r="AF98" s="481"/>
      <c r="AG98" s="481"/>
      <c r="AH98" s="481"/>
      <c r="AI98" s="481"/>
      <c r="AJ98" s="481"/>
      <c r="AK98" s="481"/>
      <c r="AL98" s="481"/>
      <c r="AM98" s="481"/>
      <c r="AN98" s="481"/>
    </row>
    <row r="99" spans="1:40" ht="15.75" customHeight="1">
      <c r="A99" s="490" t="s">
        <v>285</v>
      </c>
      <c r="B99" s="481" t="s">
        <v>73</v>
      </c>
      <c r="C99" s="498" t="s">
        <v>78</v>
      </c>
      <c r="D99" s="499">
        <v>30.46153846153846</v>
      </c>
      <c r="E99" s="499">
        <v>399</v>
      </c>
      <c r="F99" s="499">
        <v>12154.153846153846</v>
      </c>
      <c r="G99" s="500"/>
      <c r="H99" s="499"/>
      <c r="I99" s="499"/>
      <c r="J99" s="500">
        <v>28</v>
      </c>
      <c r="K99" s="499">
        <v>616.26178571428841</v>
      </c>
      <c r="L99" s="501">
        <v>17255.330000000075</v>
      </c>
      <c r="M99" s="500">
        <v>-2.4615384615384599</v>
      </c>
      <c r="N99" s="501">
        <v>5101.1761538462288</v>
      </c>
      <c r="O99" s="500">
        <v>39</v>
      </c>
      <c r="P99" s="499">
        <v>417.18230769230735</v>
      </c>
      <c r="Q99" s="501">
        <v>16270.109999999986</v>
      </c>
      <c r="R99" s="500">
        <v>-11</v>
      </c>
      <c r="S99" s="501">
        <v>985.22000000008848</v>
      </c>
      <c r="T99" s="481"/>
      <c r="U99" s="481"/>
      <c r="V99" s="481"/>
      <c r="W99" s="481"/>
      <c r="X99" s="481"/>
      <c r="Y99" s="481"/>
      <c r="Z99" s="481"/>
      <c r="AA99" s="481"/>
      <c r="AB99" s="481"/>
      <c r="AC99" s="542"/>
      <c r="AD99" s="481"/>
      <c r="AE99" s="481"/>
      <c r="AF99" s="602"/>
      <c r="AG99" s="481"/>
      <c r="AH99" s="481"/>
      <c r="AI99" s="481"/>
      <c r="AJ99" s="481"/>
      <c r="AK99" s="481"/>
      <c r="AL99" s="481"/>
      <c r="AM99" s="481"/>
      <c r="AN99" s="481"/>
    </row>
    <row r="100" spans="1:40" ht="15.75" customHeight="1">
      <c r="A100" s="490" t="s">
        <v>73</v>
      </c>
      <c r="B100" s="481" t="s">
        <v>73</v>
      </c>
      <c r="C100" s="491"/>
      <c r="D100" s="495"/>
      <c r="E100" s="495"/>
      <c r="F100" s="493"/>
      <c r="G100" s="512"/>
      <c r="H100" s="495"/>
      <c r="I100" s="493"/>
      <c r="J100" s="512"/>
      <c r="K100" s="495"/>
      <c r="L100" s="493"/>
      <c r="M100" s="513"/>
      <c r="N100" s="603"/>
      <c r="O100" s="512"/>
      <c r="P100" s="495"/>
      <c r="Q100" s="493"/>
      <c r="R100" s="513"/>
      <c r="S100" s="603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602"/>
      <c r="AG100" s="481"/>
      <c r="AH100" s="481"/>
      <c r="AI100" s="481"/>
      <c r="AJ100" s="481"/>
      <c r="AK100" s="481"/>
      <c r="AL100" s="481"/>
      <c r="AM100" s="481"/>
      <c r="AN100" s="481"/>
    </row>
    <row r="101" spans="1:40" ht="15.75" customHeight="1">
      <c r="A101" s="490" t="s">
        <v>286</v>
      </c>
      <c r="B101" s="481" t="s">
        <v>73</v>
      </c>
      <c r="C101" s="498" t="s">
        <v>25</v>
      </c>
      <c r="D101" s="499">
        <v>0</v>
      </c>
      <c r="E101" s="499">
        <v>0</v>
      </c>
      <c r="F101" s="501">
        <v>18000</v>
      </c>
      <c r="G101" s="500"/>
      <c r="H101" s="499"/>
      <c r="I101" s="499"/>
      <c r="J101" s="500"/>
      <c r="K101" s="499">
        <v>517.39305555555563</v>
      </c>
      <c r="L101" s="501">
        <v>18626.150000000001</v>
      </c>
      <c r="M101" s="500"/>
      <c r="N101" s="501">
        <v>626.15000000000146</v>
      </c>
      <c r="O101" s="500"/>
      <c r="P101" s="499">
        <v>567.12358974358972</v>
      </c>
      <c r="Q101" s="501">
        <v>22117.82</v>
      </c>
      <c r="R101" s="500">
        <v>-517.39305555555563</v>
      </c>
      <c r="S101" s="501">
        <v>-3491.6699999999983</v>
      </c>
      <c r="T101" s="481"/>
      <c r="U101" s="481"/>
      <c r="V101" s="481"/>
      <c r="W101" s="481"/>
      <c r="X101" s="481"/>
      <c r="Y101" s="481"/>
      <c r="Z101" s="481"/>
      <c r="AA101" s="481"/>
      <c r="AB101" s="481"/>
      <c r="AC101" s="481"/>
      <c r="AD101" s="481"/>
      <c r="AE101" s="481"/>
      <c r="AF101" s="481"/>
      <c r="AG101" s="481"/>
      <c r="AH101" s="481"/>
      <c r="AI101" s="481"/>
      <c r="AJ101" s="481"/>
      <c r="AK101" s="481"/>
      <c r="AL101" s="481"/>
      <c r="AM101" s="481"/>
      <c r="AN101" s="481"/>
    </row>
    <row r="102" spans="1:40" ht="15.75" customHeight="1">
      <c r="A102" s="490" t="s">
        <v>287</v>
      </c>
      <c r="B102" s="481" t="s">
        <v>73</v>
      </c>
      <c r="C102" s="498" t="s">
        <v>26</v>
      </c>
      <c r="D102" s="499">
        <v>0</v>
      </c>
      <c r="E102" s="499">
        <v>0</v>
      </c>
      <c r="F102" s="501">
        <v>45000</v>
      </c>
      <c r="G102" s="500"/>
      <c r="H102" s="499"/>
      <c r="I102" s="499"/>
      <c r="J102" s="500"/>
      <c r="K102" s="499">
        <v>997.11055555555549</v>
      </c>
      <c r="L102" s="501">
        <v>35895.979999999996</v>
      </c>
      <c r="M102" s="500"/>
      <c r="N102" s="501">
        <v>-9104.0200000000041</v>
      </c>
      <c r="O102" s="500"/>
      <c r="P102" s="499">
        <v>1053.2948717948718</v>
      </c>
      <c r="Q102" s="501">
        <v>41078.5</v>
      </c>
      <c r="R102" s="500">
        <v>-997.11055555555549</v>
      </c>
      <c r="S102" s="501">
        <v>-5182.5200000000041</v>
      </c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</row>
    <row r="103" spans="1:40" ht="15.75" customHeight="1">
      <c r="A103" s="490" t="s">
        <v>288</v>
      </c>
      <c r="B103" s="481" t="s">
        <v>73</v>
      </c>
      <c r="C103" s="498" t="s">
        <v>27</v>
      </c>
      <c r="D103" s="499">
        <v>0</v>
      </c>
      <c r="E103" s="495">
        <v>0</v>
      </c>
      <c r="F103" s="501">
        <v>12600</v>
      </c>
      <c r="G103" s="500"/>
      <c r="H103" s="495"/>
      <c r="I103" s="499"/>
      <c r="J103" s="500"/>
      <c r="K103" s="495">
        <v>25.253888888888888</v>
      </c>
      <c r="L103" s="501">
        <v>909.14</v>
      </c>
      <c r="M103" s="512"/>
      <c r="N103" s="501">
        <v>-11690.86</v>
      </c>
      <c r="O103" s="500"/>
      <c r="P103" s="495">
        <v>41.861538461538458</v>
      </c>
      <c r="Q103" s="501">
        <v>1632.6</v>
      </c>
      <c r="R103" s="500">
        <v>-25.253888888888888</v>
      </c>
      <c r="S103" s="501">
        <v>-723.45999999999992</v>
      </c>
      <c r="T103" s="481"/>
      <c r="U103" s="481"/>
      <c r="V103" s="481"/>
      <c r="W103" s="481"/>
      <c r="X103" s="481"/>
      <c r="Y103" s="481"/>
      <c r="Z103" s="481"/>
      <c r="AA103" s="481"/>
      <c r="AB103" s="481"/>
      <c r="AC103" s="481"/>
      <c r="AD103" s="481"/>
      <c r="AE103" s="481"/>
      <c r="AF103" s="481"/>
      <c r="AG103" s="481"/>
      <c r="AH103" s="481"/>
      <c r="AI103" s="481"/>
      <c r="AJ103" s="481"/>
      <c r="AK103" s="481"/>
      <c r="AL103" s="481"/>
      <c r="AM103" s="481"/>
      <c r="AN103" s="481"/>
    </row>
    <row r="104" spans="1:40" ht="15.75" customHeight="1">
      <c r="A104" s="490" t="s">
        <v>289</v>
      </c>
      <c r="B104" s="481" t="s">
        <v>73</v>
      </c>
      <c r="C104" s="504" t="s">
        <v>28</v>
      </c>
      <c r="D104" s="505">
        <v>36</v>
      </c>
      <c r="E104" s="499">
        <v>2100</v>
      </c>
      <c r="F104" s="506">
        <v>75600</v>
      </c>
      <c r="G104" s="507"/>
      <c r="H104" s="505"/>
      <c r="I104" s="506"/>
      <c r="J104" s="507">
        <v>36</v>
      </c>
      <c r="K104" s="505">
        <v>1539.7574999999999</v>
      </c>
      <c r="L104" s="506">
        <v>55431.27</v>
      </c>
      <c r="M104" s="500">
        <v>0</v>
      </c>
      <c r="N104" s="506">
        <v>-20168.730000000003</v>
      </c>
      <c r="O104" s="507">
        <v>39</v>
      </c>
      <c r="P104" s="505">
        <v>1662.28</v>
      </c>
      <c r="Q104" s="506">
        <v>64828.92</v>
      </c>
      <c r="R104" s="521"/>
      <c r="S104" s="506">
        <v>-9397.6500000000015</v>
      </c>
      <c r="T104" s="481"/>
      <c r="U104" s="481"/>
      <c r="V104" s="481"/>
      <c r="W104" s="481"/>
      <c r="X104" s="481"/>
      <c r="Y104" s="481"/>
      <c r="Z104" s="481"/>
      <c r="AA104" s="481"/>
      <c r="AB104" s="481"/>
      <c r="AC104" s="481"/>
      <c r="AD104" s="481"/>
      <c r="AE104" s="481"/>
      <c r="AF104" s="481"/>
      <c r="AG104" s="481"/>
      <c r="AH104" s="481"/>
      <c r="AI104" s="481"/>
      <c r="AJ104" s="481"/>
      <c r="AK104" s="481"/>
      <c r="AL104" s="481"/>
      <c r="AM104" s="481"/>
      <c r="AN104" s="481"/>
    </row>
    <row r="105" spans="1:40" ht="15.75" customHeight="1">
      <c r="A105" s="490" t="s">
        <v>73</v>
      </c>
      <c r="B105" s="481" t="s">
        <v>73</v>
      </c>
      <c r="C105" s="498"/>
      <c r="D105" s="481"/>
      <c r="E105" s="481"/>
      <c r="F105" s="524"/>
      <c r="G105" s="498"/>
      <c r="H105" s="604"/>
      <c r="I105" s="524"/>
      <c r="J105" s="498"/>
      <c r="K105" s="481"/>
      <c r="L105" s="524"/>
      <c r="M105" s="515"/>
      <c r="N105" s="516">
        <v>-0.26678214285714291</v>
      </c>
      <c r="O105" s="498"/>
      <c r="P105" s="481"/>
      <c r="Q105" s="524"/>
      <c r="R105" s="525"/>
      <c r="S105" s="516">
        <v>-0.1449607675093153</v>
      </c>
      <c r="T105" s="481"/>
      <c r="U105" s="481"/>
      <c r="V105" s="481"/>
      <c r="W105" s="481"/>
      <c r="X105" s="481"/>
      <c r="Y105" s="481"/>
      <c r="Z105" s="481"/>
      <c r="AA105" s="481"/>
      <c r="AB105" s="481"/>
      <c r="AC105" s="481"/>
      <c r="AD105" s="481"/>
      <c r="AE105" s="481"/>
      <c r="AF105" s="481"/>
      <c r="AG105" s="481"/>
      <c r="AH105" s="481"/>
      <c r="AI105" s="481"/>
      <c r="AJ105" s="481"/>
      <c r="AK105" s="481"/>
      <c r="AL105" s="481"/>
      <c r="AM105" s="481"/>
      <c r="AN105" s="481"/>
    </row>
    <row r="106" spans="1:40" ht="15.75" customHeight="1" thickBot="1">
      <c r="A106" s="490" t="s">
        <v>73</v>
      </c>
      <c r="B106" s="481" t="s">
        <v>73</v>
      </c>
      <c r="C106" s="498"/>
      <c r="D106" s="481"/>
      <c r="E106" s="481"/>
      <c r="F106" s="524"/>
      <c r="G106" s="498"/>
      <c r="H106" s="604"/>
      <c r="I106" s="524"/>
      <c r="J106" s="498"/>
      <c r="K106" s="481"/>
      <c r="L106" s="524"/>
      <c r="M106" s="515"/>
      <c r="N106" s="516"/>
      <c r="O106" s="498"/>
      <c r="P106" s="481"/>
      <c r="Q106" s="524"/>
      <c r="R106" s="525"/>
      <c r="S106" s="516"/>
      <c r="T106" s="481"/>
      <c r="U106" s="481"/>
      <c r="V106" s="481"/>
      <c r="W106" s="481"/>
      <c r="X106" s="481"/>
      <c r="Y106" s="481"/>
      <c r="Z106" s="481"/>
      <c r="AA106" s="481"/>
      <c r="AB106" s="481"/>
      <c r="AC106" s="481"/>
      <c r="AD106" s="481"/>
      <c r="AE106" s="481"/>
      <c r="AF106" s="481"/>
      <c r="AG106" s="481"/>
      <c r="AH106" s="481"/>
      <c r="AI106" s="481"/>
      <c r="AJ106" s="481"/>
      <c r="AK106" s="481"/>
      <c r="AL106" s="481"/>
      <c r="AM106" s="481"/>
      <c r="AN106" s="481"/>
    </row>
    <row r="107" spans="1:40" ht="23.25" customHeight="1" thickTop="1">
      <c r="A107" s="490" t="s">
        <v>290</v>
      </c>
      <c r="B107" s="481" t="s">
        <v>73</v>
      </c>
      <c r="C107" s="526" t="s">
        <v>79</v>
      </c>
      <c r="D107" s="527">
        <v>66.461538461538453</v>
      </c>
      <c r="E107" s="528">
        <v>2326.791666666667</v>
      </c>
      <c r="F107" s="529">
        <v>154642.15384615384</v>
      </c>
      <c r="G107" s="530"/>
      <c r="H107" s="605"/>
      <c r="I107" s="529"/>
      <c r="J107" s="530">
        <v>64</v>
      </c>
      <c r="K107" s="528">
        <v>2134.3676562500023</v>
      </c>
      <c r="L107" s="529">
        <v>136599.53000000014</v>
      </c>
      <c r="M107" s="530">
        <v>-2.4615384615384528</v>
      </c>
      <c r="N107" s="529">
        <v>-18042.6238461537</v>
      </c>
      <c r="O107" s="530">
        <v>78</v>
      </c>
      <c r="P107" s="528">
        <v>1972.7943589743595</v>
      </c>
      <c r="Q107" s="529">
        <v>153877.96000000005</v>
      </c>
      <c r="R107" s="530">
        <v>-14</v>
      </c>
      <c r="S107" s="529">
        <v>-17278.429999999906</v>
      </c>
      <c r="T107" s="481"/>
      <c r="U107" s="481"/>
      <c r="V107" s="481"/>
      <c r="W107" s="481"/>
      <c r="X107" s="481"/>
      <c r="Y107" s="481"/>
      <c r="Z107" s="481"/>
      <c r="AA107" s="481"/>
      <c r="AB107" s="481"/>
      <c r="AC107" s="481"/>
      <c r="AD107" s="481"/>
      <c r="AE107" s="481"/>
      <c r="AF107" s="481"/>
      <c r="AG107" s="481"/>
      <c r="AH107" s="481"/>
      <c r="AI107" s="481"/>
      <c r="AJ107" s="481"/>
      <c r="AK107" s="481"/>
      <c r="AL107" s="481"/>
      <c r="AM107" s="481"/>
      <c r="AN107" s="481"/>
    </row>
    <row r="108" spans="1:40" ht="19.5" customHeight="1" thickBot="1">
      <c r="A108" s="490" t="s">
        <v>73</v>
      </c>
      <c r="B108" s="481" t="s">
        <v>73</v>
      </c>
      <c r="C108" s="531"/>
      <c r="D108" s="532"/>
      <c r="E108" s="532"/>
      <c r="F108" s="533"/>
      <c r="G108" s="531"/>
      <c r="H108" s="532"/>
      <c r="I108" s="533"/>
      <c r="J108" s="531"/>
      <c r="K108" s="532"/>
      <c r="L108" s="534">
        <v>0.88332661310380189</v>
      </c>
      <c r="M108" s="535">
        <v>-3.703703703703691E-2</v>
      </c>
      <c r="N108" s="536">
        <v>-0.11667338689619812</v>
      </c>
      <c r="O108" s="531"/>
      <c r="P108" s="532"/>
      <c r="Q108" s="533"/>
      <c r="R108" s="606">
        <v>-5.5714285714285712</v>
      </c>
      <c r="S108" s="607">
        <v>-0.11228658087226982</v>
      </c>
      <c r="T108" s="481"/>
      <c r="U108" s="481"/>
      <c r="V108" s="481"/>
      <c r="W108" s="481"/>
      <c r="X108" s="481"/>
      <c r="Y108" s="481"/>
      <c r="Z108" s="481"/>
      <c r="AA108" s="481"/>
      <c r="AB108" s="481"/>
      <c r="AC108" s="481"/>
      <c r="AD108" s="481"/>
      <c r="AE108" s="481"/>
      <c r="AF108" s="481"/>
      <c r="AG108" s="481"/>
      <c r="AH108" s="481"/>
      <c r="AI108" s="481"/>
      <c r="AJ108" s="481"/>
      <c r="AK108" s="481"/>
      <c r="AL108" s="481"/>
      <c r="AM108" s="481"/>
      <c r="AN108" s="481"/>
    </row>
    <row r="109" spans="1:40" ht="15.75" customHeight="1" thickTop="1">
      <c r="A109" s="490" t="s">
        <v>73</v>
      </c>
      <c r="B109" s="481" t="s">
        <v>73</v>
      </c>
      <c r="C109" s="517"/>
      <c r="D109" s="537"/>
      <c r="E109" s="537"/>
      <c r="F109" s="538"/>
      <c r="G109" s="517"/>
      <c r="H109" s="537"/>
      <c r="I109" s="538"/>
      <c r="J109" s="517"/>
      <c r="K109" s="537"/>
      <c r="L109" s="538"/>
      <c r="M109" s="515"/>
      <c r="N109" s="516"/>
      <c r="O109" s="517"/>
      <c r="P109" s="537"/>
      <c r="Q109" s="538"/>
      <c r="R109" s="515"/>
      <c r="S109" s="516"/>
      <c r="T109" s="481"/>
      <c r="U109" s="481"/>
      <c r="V109" s="481"/>
      <c r="W109" s="481"/>
      <c r="X109" s="481"/>
      <c r="Y109" s="481"/>
      <c r="Z109" s="481"/>
      <c r="AA109" s="481"/>
      <c r="AB109" s="481"/>
      <c r="AC109" s="481"/>
      <c r="AD109" s="481"/>
      <c r="AE109" s="481"/>
      <c r="AF109" s="481"/>
      <c r="AG109" s="481"/>
      <c r="AH109" s="481"/>
      <c r="AI109" s="481"/>
      <c r="AJ109" s="481"/>
      <c r="AK109" s="481"/>
      <c r="AL109" s="481"/>
      <c r="AM109" s="481"/>
      <c r="AN109" s="481"/>
    </row>
    <row r="110" spans="1:40" ht="15.75" customHeight="1">
      <c r="A110" s="490" t="s">
        <v>291</v>
      </c>
      <c r="B110" s="481" t="s">
        <v>73</v>
      </c>
      <c r="C110" s="539" t="s">
        <v>30</v>
      </c>
      <c r="D110" s="481"/>
      <c r="E110" s="540"/>
      <c r="F110" s="524"/>
      <c r="G110" s="498"/>
      <c r="H110" s="540"/>
      <c r="I110" s="524"/>
      <c r="J110" s="498"/>
      <c r="K110" s="540"/>
      <c r="L110" s="508"/>
      <c r="M110" s="498"/>
      <c r="N110" s="508"/>
      <c r="O110" s="498"/>
      <c r="P110" s="540"/>
      <c r="Q110" s="508"/>
      <c r="R110" s="498"/>
      <c r="S110" s="508"/>
      <c r="T110" s="481"/>
      <c r="U110" s="481"/>
      <c r="V110" s="481"/>
      <c r="W110" s="481"/>
      <c r="X110" s="481"/>
      <c r="Y110" s="481"/>
      <c r="Z110" s="481"/>
      <c r="AA110" s="481"/>
      <c r="AB110" s="481"/>
      <c r="AC110" s="481"/>
      <c r="AD110" s="481"/>
      <c r="AE110" s="481"/>
      <c r="AF110" s="481"/>
      <c r="AG110" s="481"/>
      <c r="AH110" s="481"/>
      <c r="AI110" s="481"/>
      <c r="AJ110" s="481"/>
      <c r="AK110" s="481"/>
      <c r="AL110" s="481"/>
      <c r="AM110" s="481"/>
      <c r="AN110" s="481"/>
    </row>
    <row r="111" spans="1:40" ht="15.75" customHeight="1">
      <c r="A111" s="490" t="s">
        <v>292</v>
      </c>
      <c r="B111" s="481" t="s">
        <v>73</v>
      </c>
      <c r="C111" s="498" t="s">
        <v>31</v>
      </c>
      <c r="D111" s="608">
        <v>0.32182155244587968</v>
      </c>
      <c r="E111" s="542">
        <v>597.94444444444446</v>
      </c>
      <c r="F111" s="499">
        <v>21526</v>
      </c>
      <c r="G111" s="543"/>
      <c r="H111" s="542"/>
      <c r="I111" s="499"/>
      <c r="J111" s="543">
        <v>0.53527729052634532</v>
      </c>
      <c r="K111" s="542">
        <v>950.30944444444447</v>
      </c>
      <c r="L111" s="501">
        <v>34211.14</v>
      </c>
      <c r="M111" s="498"/>
      <c r="N111" s="524">
        <v>12685.14</v>
      </c>
      <c r="O111" s="498"/>
      <c r="P111" s="542">
        <v>748.14435897435897</v>
      </c>
      <c r="Q111" s="501">
        <v>29177.63</v>
      </c>
      <c r="R111" s="498"/>
      <c r="S111" s="524">
        <v>5033.5099999999984</v>
      </c>
      <c r="T111" s="481"/>
      <c r="U111" s="481"/>
      <c r="V111" s="481"/>
      <c r="W111" s="481"/>
      <c r="X111" s="481"/>
      <c r="Y111" s="481"/>
      <c r="Z111" s="481"/>
      <c r="AA111" s="481"/>
      <c r="AB111" s="481"/>
      <c r="AC111" s="481"/>
      <c r="AD111" s="481"/>
      <c r="AE111" s="481"/>
      <c r="AF111" s="481"/>
      <c r="AG111" s="481"/>
      <c r="AH111" s="481"/>
      <c r="AI111" s="481"/>
      <c r="AJ111" s="481"/>
      <c r="AK111" s="481"/>
      <c r="AL111" s="481"/>
      <c r="AM111" s="481"/>
      <c r="AN111" s="481"/>
    </row>
    <row r="112" spans="1:40" ht="15.75" customHeight="1">
      <c r="A112" s="490" t="s">
        <v>293</v>
      </c>
      <c r="B112" s="481" t="s">
        <v>73</v>
      </c>
      <c r="C112" s="491" t="s">
        <v>32</v>
      </c>
      <c r="D112" s="609">
        <v>0.26619718309859153</v>
      </c>
      <c r="E112" s="545">
        <v>630</v>
      </c>
      <c r="F112" s="493">
        <v>22680</v>
      </c>
      <c r="G112" s="546"/>
      <c r="H112" s="545"/>
      <c r="I112" s="493"/>
      <c r="J112" s="546">
        <v>0.23980895464331742</v>
      </c>
      <c r="K112" s="545">
        <v>435.66805555555555</v>
      </c>
      <c r="L112" s="501">
        <v>15684.05</v>
      </c>
      <c r="M112" s="491"/>
      <c r="N112" s="547">
        <v>-6995.9500000000007</v>
      </c>
      <c r="O112" s="491"/>
      <c r="P112" s="545">
        <v>435.93333333333339</v>
      </c>
      <c r="Q112" s="501">
        <v>17001.400000000001</v>
      </c>
      <c r="R112" s="491"/>
      <c r="S112" s="547">
        <v>-1317.3500000000022</v>
      </c>
      <c r="T112" s="481"/>
      <c r="U112" s="481"/>
      <c r="V112" s="481"/>
      <c r="W112" s="481"/>
      <c r="X112" s="481"/>
      <c r="Y112" s="481"/>
      <c r="Z112" s="481"/>
      <c r="AA112" s="481"/>
      <c r="AB112" s="481"/>
      <c r="AC112" s="481"/>
      <c r="AD112" s="481"/>
      <c r="AE112" s="481"/>
      <c r="AF112" s="481"/>
      <c r="AG112" s="481"/>
      <c r="AH112" s="481"/>
      <c r="AI112" s="481"/>
      <c r="AJ112" s="481"/>
      <c r="AK112" s="481"/>
      <c r="AL112" s="481"/>
      <c r="AM112" s="481"/>
      <c r="AN112" s="481"/>
    </row>
    <row r="113" spans="1:40" ht="15.75" customHeight="1">
      <c r="A113" s="490" t="s">
        <v>294</v>
      </c>
      <c r="B113" s="481" t="s">
        <v>73</v>
      </c>
      <c r="C113" s="498" t="s">
        <v>33</v>
      </c>
      <c r="D113" s="550"/>
      <c r="E113" s="542">
        <v>43.638219139208324</v>
      </c>
      <c r="F113" s="499">
        <v>1570.9758890114997</v>
      </c>
      <c r="G113" s="551"/>
      <c r="H113" s="542"/>
      <c r="I113" s="499"/>
      <c r="J113" s="498"/>
      <c r="K113" s="542">
        <v>-47.69638888888889</v>
      </c>
      <c r="L113" s="520">
        <v>-1717.07</v>
      </c>
      <c r="M113" s="498"/>
      <c r="N113" s="524">
        <v>-3288.0458890114996</v>
      </c>
      <c r="O113" s="498"/>
      <c r="P113" s="542">
        <v>34.773589743589746</v>
      </c>
      <c r="Q113" s="520">
        <v>1356.17</v>
      </c>
      <c r="R113" s="498"/>
      <c r="S113" s="524">
        <v>-3073.24</v>
      </c>
      <c r="T113" s="481"/>
      <c r="U113" s="481"/>
      <c r="V113" s="481"/>
      <c r="W113" s="499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481"/>
      <c r="AL113" s="481"/>
      <c r="AM113" s="481"/>
      <c r="AN113" s="481"/>
    </row>
    <row r="114" spans="1:40" ht="15.75" customHeight="1">
      <c r="A114" s="490" t="s">
        <v>295</v>
      </c>
      <c r="B114" s="481" t="s">
        <v>73</v>
      </c>
      <c r="C114" s="498" t="s">
        <v>34</v>
      </c>
      <c r="D114" s="550"/>
      <c r="E114" s="542">
        <v>15.731566240051016</v>
      </c>
      <c r="F114" s="499">
        <v>566.33638464183662</v>
      </c>
      <c r="G114" s="551"/>
      <c r="H114" s="542"/>
      <c r="I114" s="499"/>
      <c r="J114" s="498"/>
      <c r="K114" s="542">
        <v>17.229722222222222</v>
      </c>
      <c r="L114" s="501">
        <v>620.27</v>
      </c>
      <c r="M114" s="498"/>
      <c r="N114" s="524">
        <v>53.933615358163365</v>
      </c>
      <c r="O114" s="498"/>
      <c r="P114" s="542">
        <v>0</v>
      </c>
      <c r="Q114" s="501">
        <v>0</v>
      </c>
      <c r="R114" s="498"/>
      <c r="S114" s="524">
        <v>620.27</v>
      </c>
      <c r="T114" s="481"/>
      <c r="U114" s="481"/>
      <c r="V114" s="481"/>
      <c r="W114" s="499"/>
      <c r="X114" s="481"/>
      <c r="Y114" s="481"/>
      <c r="Z114" s="481"/>
      <c r="AA114" s="481"/>
      <c r="AB114" s="481"/>
      <c r="AC114" s="481"/>
      <c r="AD114" s="481"/>
      <c r="AE114" s="481"/>
      <c r="AF114" s="481"/>
      <c r="AG114" s="481"/>
      <c r="AH114" s="481"/>
      <c r="AI114" s="481"/>
      <c r="AJ114" s="481"/>
      <c r="AK114" s="481"/>
      <c r="AL114" s="481"/>
      <c r="AM114" s="481"/>
      <c r="AN114" s="481"/>
    </row>
    <row r="115" spans="1:40" ht="15.75" customHeight="1">
      <c r="A115" s="490" t="s">
        <v>296</v>
      </c>
      <c r="B115" s="481" t="s">
        <v>73</v>
      </c>
      <c r="C115" s="491" t="s">
        <v>35</v>
      </c>
      <c r="D115" s="552"/>
      <c r="E115" s="545">
        <v>125.42456696334297</v>
      </c>
      <c r="F115" s="493">
        <v>4515.2844106803468</v>
      </c>
      <c r="G115" s="553"/>
      <c r="H115" s="545"/>
      <c r="I115" s="493"/>
      <c r="J115" s="491"/>
      <c r="K115" s="545">
        <v>118.6263888888889</v>
      </c>
      <c r="L115" s="493">
        <v>4270.55</v>
      </c>
      <c r="M115" s="491"/>
      <c r="N115" s="547">
        <v>-244.73441068034663</v>
      </c>
      <c r="O115" s="491"/>
      <c r="P115" s="545">
        <v>121.49615384615386</v>
      </c>
      <c r="Q115" s="493">
        <v>4738.3500000000004</v>
      </c>
      <c r="R115" s="491"/>
      <c r="S115" s="547">
        <v>-467.80000000000018</v>
      </c>
      <c r="T115" s="481"/>
      <c r="U115" s="542"/>
      <c r="V115" s="481"/>
      <c r="W115" s="499"/>
      <c r="X115" s="481"/>
      <c r="Y115" s="481"/>
      <c r="Z115" s="481"/>
      <c r="AA115" s="481"/>
      <c r="AB115" s="481"/>
      <c r="AC115" s="481"/>
      <c r="AD115" s="481"/>
      <c r="AE115" s="481"/>
      <c r="AF115" s="481"/>
      <c r="AG115" s="481"/>
      <c r="AH115" s="481"/>
      <c r="AI115" s="481"/>
      <c r="AJ115" s="481"/>
      <c r="AK115" s="481"/>
      <c r="AL115" s="481"/>
      <c r="AM115" s="481"/>
      <c r="AN115" s="481"/>
    </row>
    <row r="116" spans="1:40" ht="19.5" customHeight="1">
      <c r="A116" s="490" t="s">
        <v>297</v>
      </c>
      <c r="B116" s="481" t="s">
        <v>73</v>
      </c>
      <c r="C116" s="498" t="s">
        <v>36</v>
      </c>
      <c r="D116" s="550"/>
      <c r="E116" s="542">
        <v>69.006410256410234</v>
      </c>
      <c r="F116" s="499">
        <v>2484.2307692307686</v>
      </c>
      <c r="G116" s="551"/>
      <c r="H116" s="542"/>
      <c r="I116" s="499"/>
      <c r="J116" s="498"/>
      <c r="K116" s="542">
        <v>356.96111111111111</v>
      </c>
      <c r="L116" s="501">
        <v>12850.6</v>
      </c>
      <c r="M116" s="498"/>
      <c r="N116" s="524">
        <v>10366.369230769233</v>
      </c>
      <c r="O116" s="498"/>
      <c r="P116" s="542">
        <v>159.16846153846154</v>
      </c>
      <c r="Q116" s="501">
        <v>6207.57</v>
      </c>
      <c r="R116" s="498"/>
      <c r="S116" s="524">
        <v>6643.0300000000007</v>
      </c>
      <c r="T116" s="481"/>
      <c r="U116" s="481"/>
      <c r="V116" s="481"/>
      <c r="W116" s="499"/>
      <c r="Z116" s="481"/>
      <c r="AA116" s="481"/>
      <c r="AB116" s="481"/>
      <c r="AC116" s="481"/>
      <c r="AD116" s="481"/>
      <c r="AE116" s="481"/>
      <c r="AF116" s="481"/>
      <c r="AG116" s="481"/>
      <c r="AH116" s="481"/>
      <c r="AI116" s="481"/>
      <c r="AJ116" s="481"/>
      <c r="AK116" s="481"/>
      <c r="AL116" s="481"/>
      <c r="AM116" s="481"/>
      <c r="AN116" s="481"/>
    </row>
    <row r="117" spans="1:40" ht="15.75" customHeight="1">
      <c r="A117" s="490" t="s">
        <v>298</v>
      </c>
      <c r="B117" s="481" t="s">
        <v>73</v>
      </c>
      <c r="C117" s="498" t="s">
        <v>37</v>
      </c>
      <c r="D117" s="550"/>
      <c r="E117" s="542">
        <v>187.14308371385081</v>
      </c>
      <c r="F117" s="499">
        <v>6737.151013698629</v>
      </c>
      <c r="G117" s="551"/>
      <c r="H117" s="542"/>
      <c r="I117" s="499"/>
      <c r="J117" s="498"/>
      <c r="K117" s="542">
        <v>64.885000000000005</v>
      </c>
      <c r="L117" s="501">
        <v>2335.86</v>
      </c>
      <c r="M117" s="498"/>
      <c r="N117" s="524">
        <v>-4401.2910136986284</v>
      </c>
      <c r="O117" s="498"/>
      <c r="P117" s="542">
        <v>125.46153846153847</v>
      </c>
      <c r="Q117" s="501">
        <v>4893</v>
      </c>
      <c r="R117" s="498"/>
      <c r="S117" s="524">
        <v>-2557.14</v>
      </c>
      <c r="T117" s="481"/>
      <c r="U117" s="481"/>
      <c r="V117" s="481"/>
      <c r="W117" s="499"/>
      <c r="X117" s="481"/>
      <c r="Y117" s="481"/>
      <c r="Z117" s="481"/>
      <c r="AA117" s="481"/>
      <c r="AB117" s="481"/>
      <c r="AC117" s="481"/>
      <c r="AD117" s="481"/>
      <c r="AE117" s="481"/>
      <c r="AF117" s="481"/>
      <c r="AG117" s="481"/>
      <c r="AH117" s="481"/>
      <c r="AI117" s="481"/>
      <c r="AJ117" s="481"/>
      <c r="AK117" s="481"/>
      <c r="AL117" s="481"/>
      <c r="AM117" s="481"/>
      <c r="AN117" s="481"/>
    </row>
    <row r="118" spans="1:40" ht="15.75" hidden="1" customHeight="1">
      <c r="A118" s="490" t="s">
        <v>299</v>
      </c>
      <c r="B118" s="481" t="s">
        <v>73</v>
      </c>
      <c r="C118" s="498" t="s">
        <v>20</v>
      </c>
      <c r="D118" s="550"/>
      <c r="E118" s="542">
        <v>0</v>
      </c>
      <c r="F118" s="499">
        <v>0</v>
      </c>
      <c r="G118" s="551"/>
      <c r="H118" s="542"/>
      <c r="I118" s="499"/>
      <c r="J118" s="498"/>
      <c r="K118" s="542">
        <v>0</v>
      </c>
      <c r="L118" s="501">
        <v>0</v>
      </c>
      <c r="M118" s="498"/>
      <c r="N118" s="524">
        <v>0</v>
      </c>
      <c r="O118" s="498"/>
      <c r="P118" s="542">
        <v>0</v>
      </c>
      <c r="Q118" s="501">
        <v>0</v>
      </c>
      <c r="R118" s="498"/>
      <c r="S118" s="524">
        <v>0</v>
      </c>
      <c r="T118" s="481"/>
      <c r="U118" s="481"/>
      <c r="V118" s="481"/>
      <c r="W118" s="481"/>
      <c r="X118" s="481"/>
      <c r="Y118" s="481"/>
      <c r="Z118" s="481"/>
      <c r="AA118" s="481"/>
      <c r="AB118" s="481"/>
      <c r="AC118" s="481"/>
      <c r="AD118" s="481"/>
      <c r="AE118" s="481"/>
      <c r="AF118" s="481"/>
      <c r="AG118" s="481"/>
      <c r="AH118" s="481"/>
      <c r="AI118" s="481"/>
      <c r="AJ118" s="481"/>
      <c r="AK118" s="481"/>
      <c r="AL118" s="481"/>
      <c r="AM118" s="481"/>
      <c r="AN118" s="481"/>
    </row>
    <row r="119" spans="1:40" ht="15.75" hidden="1" customHeight="1">
      <c r="A119" s="490" t="s">
        <v>299</v>
      </c>
      <c r="B119" s="481" t="s">
        <v>73</v>
      </c>
      <c r="C119" s="498" t="s">
        <v>20</v>
      </c>
      <c r="D119" s="550"/>
      <c r="E119" s="542">
        <v>0</v>
      </c>
      <c r="F119" s="499">
        <v>0</v>
      </c>
      <c r="G119" s="551"/>
      <c r="H119" s="542"/>
      <c r="I119" s="499"/>
      <c r="J119" s="498"/>
      <c r="K119" s="542">
        <v>0</v>
      </c>
      <c r="L119" s="501">
        <v>0</v>
      </c>
      <c r="M119" s="498"/>
      <c r="N119" s="524">
        <v>0</v>
      </c>
      <c r="O119" s="498"/>
      <c r="P119" s="542">
        <v>0</v>
      </c>
      <c r="Q119" s="501">
        <v>0</v>
      </c>
      <c r="R119" s="498"/>
      <c r="S119" s="524">
        <v>0</v>
      </c>
      <c r="T119" s="481"/>
      <c r="U119" s="481"/>
      <c r="V119" s="481"/>
      <c r="W119" s="481"/>
      <c r="X119" s="481"/>
      <c r="Y119" s="481"/>
      <c r="Z119" s="481"/>
      <c r="AA119" s="481"/>
      <c r="AB119" s="481"/>
      <c r="AC119" s="481"/>
      <c r="AD119" s="481"/>
      <c r="AE119" s="481"/>
      <c r="AF119" s="481"/>
      <c r="AG119" s="481"/>
      <c r="AH119" s="481"/>
      <c r="AI119" s="481"/>
      <c r="AJ119" s="481"/>
      <c r="AK119" s="481"/>
      <c r="AL119" s="481"/>
      <c r="AM119" s="481"/>
      <c r="AN119" s="481"/>
    </row>
    <row r="120" spans="1:40" ht="15.75" hidden="1" customHeight="1">
      <c r="A120" s="490" t="s">
        <v>299</v>
      </c>
      <c r="B120" s="481" t="s">
        <v>73</v>
      </c>
      <c r="C120" s="498" t="s">
        <v>20</v>
      </c>
      <c r="D120" s="550"/>
      <c r="E120" s="542">
        <v>0</v>
      </c>
      <c r="F120" s="499">
        <v>0</v>
      </c>
      <c r="G120" s="551"/>
      <c r="H120" s="542"/>
      <c r="I120" s="499"/>
      <c r="J120" s="498"/>
      <c r="K120" s="542">
        <v>0</v>
      </c>
      <c r="L120" s="501">
        <v>0</v>
      </c>
      <c r="M120" s="498"/>
      <c r="N120" s="524">
        <v>0</v>
      </c>
      <c r="O120" s="498"/>
      <c r="P120" s="542">
        <v>0</v>
      </c>
      <c r="Q120" s="501">
        <v>0</v>
      </c>
      <c r="R120" s="498"/>
      <c r="S120" s="524">
        <v>0</v>
      </c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</row>
    <row r="121" spans="1:40" ht="15.75" customHeight="1">
      <c r="A121" s="490" t="s">
        <v>300</v>
      </c>
      <c r="B121" s="481" t="s">
        <v>73</v>
      </c>
      <c r="C121" s="557" t="s">
        <v>38</v>
      </c>
      <c r="D121" s="558" t="s">
        <v>39</v>
      </c>
      <c r="E121" s="559">
        <v>0.38850971079356411</v>
      </c>
      <c r="F121" s="560">
        <v>60079.978467263078</v>
      </c>
      <c r="G121" s="561"/>
      <c r="H121" s="559"/>
      <c r="I121" s="560"/>
      <c r="J121" s="561" t="s">
        <v>39</v>
      </c>
      <c r="K121" s="559">
        <v>0.49967521850184943</v>
      </c>
      <c r="L121" s="560">
        <v>68255.400000000009</v>
      </c>
      <c r="M121" s="564"/>
      <c r="N121" s="560">
        <v>8175.4215327369311</v>
      </c>
      <c r="O121" s="561" t="s">
        <v>39</v>
      </c>
      <c r="P121" s="559">
        <v>0.41184663482671574</v>
      </c>
      <c r="Q121" s="560">
        <v>63374.119999999995</v>
      </c>
      <c r="R121" s="564"/>
      <c r="S121" s="560">
        <v>4881.2800000000134</v>
      </c>
      <c r="T121" s="481"/>
      <c r="U121" s="481"/>
      <c r="X121" s="481"/>
      <c r="Y121" s="481"/>
      <c r="Z121" s="481"/>
      <c r="AA121" s="481"/>
      <c r="AB121" s="481"/>
      <c r="AC121" s="481"/>
      <c r="AD121" s="481"/>
      <c r="AE121" s="481"/>
      <c r="AF121" s="481"/>
      <c r="AG121" s="481"/>
      <c r="AH121" s="481"/>
      <c r="AI121" s="481"/>
      <c r="AJ121" s="481"/>
      <c r="AK121" s="481"/>
      <c r="AL121" s="481"/>
      <c r="AM121" s="481"/>
      <c r="AN121" s="481"/>
    </row>
    <row r="122" spans="1:40" ht="15.75" customHeight="1">
      <c r="A122" s="490" t="s">
        <v>301</v>
      </c>
      <c r="B122" s="481" t="s">
        <v>73</v>
      </c>
      <c r="C122" s="565" t="s">
        <v>41</v>
      </c>
      <c r="D122" s="481"/>
      <c r="E122" s="481"/>
      <c r="F122" s="499">
        <v>10057.767432950193</v>
      </c>
      <c r="G122" s="498"/>
      <c r="H122" s="481"/>
      <c r="I122" s="499"/>
      <c r="J122" s="498"/>
      <c r="K122" s="481"/>
      <c r="L122" s="501">
        <v>4280.84</v>
      </c>
      <c r="M122" s="498"/>
      <c r="N122" s="524">
        <v>-5776.9274329501932</v>
      </c>
      <c r="O122" s="498"/>
      <c r="P122" s="481"/>
      <c r="Q122" s="501">
        <v>9642.11</v>
      </c>
      <c r="R122" s="498"/>
      <c r="S122" s="524">
        <v>-5361.27</v>
      </c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</row>
    <row r="123" spans="1:40" ht="15.75" customHeight="1">
      <c r="A123" s="490" t="s">
        <v>302</v>
      </c>
      <c r="B123" s="481" t="s">
        <v>73</v>
      </c>
      <c r="C123" s="566" t="s">
        <v>42</v>
      </c>
      <c r="D123" s="550"/>
      <c r="E123" s="481"/>
      <c r="F123" s="493">
        <v>2272.1416091954025</v>
      </c>
      <c r="G123" s="551"/>
      <c r="H123" s="481"/>
      <c r="I123" s="493"/>
      <c r="J123" s="498"/>
      <c r="K123" s="481"/>
      <c r="L123" s="493">
        <v>3874.42</v>
      </c>
      <c r="M123" s="498"/>
      <c r="N123" s="524">
        <v>1602.2783908045976</v>
      </c>
      <c r="O123" s="498"/>
      <c r="P123" s="481"/>
      <c r="Q123" s="493">
        <v>1585.05</v>
      </c>
      <c r="R123" s="498"/>
      <c r="S123" s="524">
        <v>2289.37</v>
      </c>
      <c r="T123" s="481"/>
      <c r="U123" s="481"/>
      <c r="V123" s="481"/>
      <c r="W123" s="481"/>
      <c r="X123" s="481"/>
      <c r="Y123" s="481"/>
      <c r="Z123" s="481"/>
      <c r="AA123" s="481"/>
      <c r="AB123" s="481"/>
      <c r="AC123" s="481"/>
      <c r="AD123" s="481"/>
      <c r="AE123" s="481"/>
      <c r="AF123" s="481"/>
      <c r="AG123" s="481"/>
      <c r="AH123" s="481"/>
      <c r="AI123" s="481"/>
      <c r="AJ123" s="481"/>
      <c r="AK123" s="481"/>
      <c r="AL123" s="481"/>
      <c r="AM123" s="481"/>
      <c r="AN123" s="481"/>
    </row>
    <row r="124" spans="1:40" ht="15.75" customHeight="1">
      <c r="A124" s="490" t="s">
        <v>303</v>
      </c>
      <c r="B124" s="481" t="s">
        <v>73</v>
      </c>
      <c r="C124" s="565" t="s">
        <v>43</v>
      </c>
      <c r="D124" s="567"/>
      <c r="E124" s="568"/>
      <c r="F124" s="499">
        <v>7779.2674329501933</v>
      </c>
      <c r="G124" s="569"/>
      <c r="H124" s="568"/>
      <c r="I124" s="499"/>
      <c r="J124" s="485"/>
      <c r="K124" s="568"/>
      <c r="L124" s="501">
        <v>13291.11</v>
      </c>
      <c r="M124" s="485"/>
      <c r="N124" s="570">
        <v>5511.8425670498073</v>
      </c>
      <c r="O124" s="485"/>
      <c r="P124" s="568"/>
      <c r="Q124" s="501">
        <v>7057.01</v>
      </c>
      <c r="R124" s="485"/>
      <c r="S124" s="570">
        <v>6234.1</v>
      </c>
      <c r="T124" s="481"/>
      <c r="U124" s="481"/>
      <c r="V124" s="481"/>
      <c r="W124" s="481"/>
      <c r="X124" s="481"/>
      <c r="Y124" s="481"/>
      <c r="Z124" s="481"/>
      <c r="AA124" s="481"/>
      <c r="AB124" s="481"/>
      <c r="AC124" s="481"/>
      <c r="AD124" s="481"/>
      <c r="AE124" s="481"/>
      <c r="AF124" s="481"/>
      <c r="AG124" s="481"/>
      <c r="AH124" s="481"/>
      <c r="AI124" s="481"/>
      <c r="AJ124" s="481"/>
      <c r="AK124" s="481"/>
      <c r="AL124" s="481"/>
      <c r="AM124" s="481"/>
      <c r="AN124" s="481"/>
    </row>
    <row r="125" spans="1:40" ht="15.75" customHeight="1">
      <c r="A125" s="490" t="s">
        <v>304</v>
      </c>
      <c r="B125" s="481" t="s">
        <v>73</v>
      </c>
      <c r="C125" s="565" t="s">
        <v>44</v>
      </c>
      <c r="D125" s="550"/>
      <c r="E125" s="481"/>
      <c r="F125" s="499">
        <v>0</v>
      </c>
      <c r="G125" s="551"/>
      <c r="H125" s="481"/>
      <c r="I125" s="499"/>
      <c r="J125" s="498"/>
      <c r="K125" s="481"/>
      <c r="L125" s="501">
        <v>0</v>
      </c>
      <c r="M125" s="498"/>
      <c r="N125" s="524">
        <v>0</v>
      </c>
      <c r="O125" s="498"/>
      <c r="P125" s="481"/>
      <c r="Q125" s="501">
        <v>0</v>
      </c>
      <c r="R125" s="498"/>
      <c r="S125" s="524">
        <v>0</v>
      </c>
      <c r="T125" s="481"/>
      <c r="U125" s="481"/>
      <c r="V125" s="481"/>
      <c r="W125" s="481"/>
      <c r="X125" s="481"/>
      <c r="Y125" s="481"/>
      <c r="Z125" s="481"/>
      <c r="AA125" s="481"/>
      <c r="AB125" s="481"/>
      <c r="AC125" s="481"/>
      <c r="AD125" s="481"/>
      <c r="AE125" s="481"/>
      <c r="AF125" s="481"/>
      <c r="AG125" s="481"/>
      <c r="AH125" s="481"/>
      <c r="AI125" s="481"/>
      <c r="AJ125" s="481"/>
      <c r="AK125" s="481"/>
      <c r="AL125" s="481"/>
      <c r="AM125" s="481"/>
      <c r="AN125" s="481"/>
    </row>
    <row r="126" spans="1:40" ht="15.75" hidden="1" customHeight="1">
      <c r="A126" s="490" t="s">
        <v>299</v>
      </c>
      <c r="B126" s="481" t="s">
        <v>73</v>
      </c>
      <c r="C126" s="565" t="s">
        <v>20</v>
      </c>
      <c r="D126" s="550"/>
      <c r="E126" s="481"/>
      <c r="F126" s="499">
        <v>0</v>
      </c>
      <c r="G126" s="551"/>
      <c r="H126" s="481"/>
      <c r="I126" s="499"/>
      <c r="J126" s="498"/>
      <c r="K126" s="481"/>
      <c r="L126" s="501">
        <v>0</v>
      </c>
      <c r="M126" s="498"/>
      <c r="N126" s="524">
        <v>0</v>
      </c>
      <c r="O126" s="498"/>
      <c r="P126" s="481"/>
      <c r="Q126" s="501">
        <v>0</v>
      </c>
      <c r="R126" s="498"/>
      <c r="S126" s="524">
        <v>0</v>
      </c>
      <c r="T126" s="481"/>
      <c r="U126" s="481"/>
      <c r="V126" s="481"/>
      <c r="W126" s="481"/>
      <c r="X126" s="481"/>
      <c r="Y126" s="481"/>
      <c r="Z126" s="481"/>
      <c r="AA126" s="481"/>
      <c r="AB126" s="481"/>
      <c r="AC126" s="481"/>
      <c r="AD126" s="481"/>
      <c r="AE126" s="481"/>
      <c r="AF126" s="481"/>
      <c r="AG126" s="481"/>
      <c r="AH126" s="481"/>
      <c r="AI126" s="481"/>
      <c r="AJ126" s="481"/>
      <c r="AK126" s="481"/>
      <c r="AL126" s="481"/>
      <c r="AM126" s="481"/>
      <c r="AN126" s="481"/>
    </row>
    <row r="127" spans="1:40" ht="15.75" hidden="1" customHeight="1">
      <c r="A127" s="490" t="s">
        <v>299</v>
      </c>
      <c r="B127" s="481" t="s">
        <v>73</v>
      </c>
      <c r="C127" s="565" t="s">
        <v>20</v>
      </c>
      <c r="D127" s="550"/>
      <c r="E127" s="481"/>
      <c r="F127" s="499">
        <v>0</v>
      </c>
      <c r="G127" s="551"/>
      <c r="H127" s="481"/>
      <c r="I127" s="499"/>
      <c r="J127" s="498"/>
      <c r="K127" s="481"/>
      <c r="L127" s="501">
        <v>0</v>
      </c>
      <c r="M127" s="498"/>
      <c r="N127" s="524">
        <v>0</v>
      </c>
      <c r="O127" s="498"/>
      <c r="P127" s="481"/>
      <c r="Q127" s="501">
        <v>0</v>
      </c>
      <c r="R127" s="498"/>
      <c r="S127" s="524">
        <v>0</v>
      </c>
      <c r="T127" s="481"/>
      <c r="U127" s="481"/>
      <c r="V127" s="481"/>
      <c r="W127" s="481"/>
      <c r="X127" s="481"/>
      <c r="Y127" s="481"/>
      <c r="Z127" s="481"/>
      <c r="AA127" s="481"/>
      <c r="AB127" s="481"/>
      <c r="AC127" s="481"/>
      <c r="AD127" s="481"/>
      <c r="AE127" s="481"/>
      <c r="AF127" s="481"/>
      <c r="AG127" s="481"/>
      <c r="AH127" s="481"/>
      <c r="AI127" s="481"/>
      <c r="AJ127" s="481"/>
      <c r="AK127" s="481"/>
      <c r="AL127" s="481"/>
      <c r="AM127" s="481"/>
      <c r="AN127" s="481"/>
    </row>
    <row r="128" spans="1:40" ht="15.75" hidden="1" customHeight="1">
      <c r="A128" s="490" t="s">
        <v>299</v>
      </c>
      <c r="B128" s="481" t="s">
        <v>73</v>
      </c>
      <c r="C128" s="565" t="s">
        <v>20</v>
      </c>
      <c r="D128" s="550"/>
      <c r="E128" s="481"/>
      <c r="F128" s="499">
        <v>0</v>
      </c>
      <c r="G128" s="551"/>
      <c r="H128" s="481"/>
      <c r="I128" s="499"/>
      <c r="J128" s="498"/>
      <c r="K128" s="481"/>
      <c r="L128" s="501">
        <v>0</v>
      </c>
      <c r="M128" s="498"/>
      <c r="N128" s="524">
        <v>0</v>
      </c>
      <c r="O128" s="498"/>
      <c r="P128" s="481"/>
      <c r="Q128" s="501">
        <v>0</v>
      </c>
      <c r="R128" s="498"/>
      <c r="S128" s="524">
        <v>0</v>
      </c>
      <c r="T128" s="481"/>
      <c r="U128" s="481"/>
      <c r="V128" s="481"/>
      <c r="W128" s="481"/>
      <c r="X128" s="481"/>
      <c r="Y128" s="481"/>
      <c r="Z128" s="481"/>
      <c r="AA128" s="481"/>
      <c r="AB128" s="481"/>
      <c r="AC128" s="481"/>
      <c r="AD128" s="481"/>
      <c r="AE128" s="481"/>
      <c r="AF128" s="481"/>
      <c r="AG128" s="481"/>
      <c r="AH128" s="481"/>
      <c r="AI128" s="481"/>
      <c r="AJ128" s="481"/>
      <c r="AK128" s="481"/>
      <c r="AL128" s="481"/>
      <c r="AM128" s="481"/>
      <c r="AN128" s="481"/>
    </row>
    <row r="129" spans="1:40" ht="15.75" customHeight="1">
      <c r="A129" s="490" t="s">
        <v>305</v>
      </c>
      <c r="B129" s="481" t="s">
        <v>73</v>
      </c>
      <c r="C129" s="566" t="s">
        <v>45</v>
      </c>
      <c r="D129" s="550"/>
      <c r="E129" s="481"/>
      <c r="F129" s="499">
        <v>7435.9520234679849</v>
      </c>
      <c r="G129" s="551"/>
      <c r="H129" s="481"/>
      <c r="I129" s="499"/>
      <c r="J129" s="498"/>
      <c r="K129" s="481"/>
      <c r="L129" s="501">
        <v>3725.02</v>
      </c>
      <c r="M129" s="498"/>
      <c r="N129" s="524">
        <v>-3710.9320234679849</v>
      </c>
      <c r="O129" s="498"/>
      <c r="P129" s="481"/>
      <c r="Q129" s="501">
        <v>6326.55</v>
      </c>
      <c r="R129" s="498"/>
      <c r="S129" s="524">
        <v>-2601.5300000000002</v>
      </c>
      <c r="T129" s="481"/>
      <c r="U129" s="481"/>
      <c r="V129" s="481"/>
      <c r="W129" s="481"/>
      <c r="X129" s="481"/>
      <c r="Y129" s="481"/>
      <c r="Z129" s="481"/>
      <c r="AA129" s="481"/>
      <c r="AB129" s="481"/>
      <c r="AC129" s="481"/>
      <c r="AD129" s="481"/>
      <c r="AE129" s="481"/>
      <c r="AF129" s="481"/>
      <c r="AG129" s="481"/>
      <c r="AH129" s="481"/>
      <c r="AI129" s="481"/>
      <c r="AJ129" s="481"/>
      <c r="AK129" s="481"/>
      <c r="AL129" s="481"/>
      <c r="AM129" s="481"/>
      <c r="AN129" s="481"/>
    </row>
    <row r="130" spans="1:40" ht="15.75" customHeight="1">
      <c r="A130" s="490" t="s">
        <v>306</v>
      </c>
      <c r="B130" s="481" t="s">
        <v>73</v>
      </c>
      <c r="C130" s="565" t="s">
        <v>46</v>
      </c>
      <c r="D130" s="567"/>
      <c r="E130" s="568"/>
      <c r="F130" s="519">
        <v>7392.0684350417505</v>
      </c>
      <c r="G130" s="569"/>
      <c r="H130" s="568"/>
      <c r="I130" s="519"/>
      <c r="J130" s="485"/>
      <c r="K130" s="568"/>
      <c r="L130" s="520">
        <v>5997.26</v>
      </c>
      <c r="M130" s="485"/>
      <c r="N130" s="570">
        <v>-1394.8084350417503</v>
      </c>
      <c r="O130" s="485"/>
      <c r="P130" s="568"/>
      <c r="Q130" s="520">
        <v>3325.6</v>
      </c>
      <c r="R130" s="485"/>
      <c r="S130" s="570">
        <v>2671.6600000000003</v>
      </c>
      <c r="T130" s="481"/>
      <c r="U130" s="481"/>
      <c r="V130" s="481"/>
      <c r="W130" s="481"/>
      <c r="X130" s="481"/>
      <c r="Y130" s="481"/>
      <c r="Z130" s="481"/>
      <c r="AA130" s="481"/>
      <c r="AB130" s="481"/>
      <c r="AC130" s="481"/>
      <c r="AD130" s="481"/>
      <c r="AE130" s="481"/>
      <c r="AF130" s="481"/>
      <c r="AG130" s="481"/>
      <c r="AH130" s="481"/>
      <c r="AI130" s="481"/>
      <c r="AJ130" s="481"/>
      <c r="AK130" s="481"/>
      <c r="AL130" s="481"/>
      <c r="AM130" s="481"/>
      <c r="AN130" s="481"/>
    </row>
    <row r="131" spans="1:40" ht="15.75" customHeight="1">
      <c r="A131" s="490" t="s">
        <v>307</v>
      </c>
      <c r="B131" s="481" t="s">
        <v>73</v>
      </c>
      <c r="C131" s="565" t="s">
        <v>47</v>
      </c>
      <c r="D131" s="550"/>
      <c r="E131" s="481"/>
      <c r="F131" s="499">
        <v>5176.3553089833122</v>
      </c>
      <c r="G131" s="551"/>
      <c r="H131" s="481"/>
      <c r="I131" s="499"/>
      <c r="J131" s="498"/>
      <c r="K131" s="481"/>
      <c r="L131" s="501">
        <v>2237.7599999999998</v>
      </c>
      <c r="M131" s="498"/>
      <c r="N131" s="524">
        <v>-2938.5953089833124</v>
      </c>
      <c r="O131" s="498"/>
      <c r="P131" s="481"/>
      <c r="Q131" s="501">
        <v>2754.64</v>
      </c>
      <c r="R131" s="498"/>
      <c r="S131" s="524">
        <v>-516.88000000000011</v>
      </c>
      <c r="T131" s="481"/>
      <c r="U131" s="481"/>
      <c r="V131" s="481"/>
      <c r="W131" s="481"/>
      <c r="X131" s="481"/>
      <c r="Y131" s="481"/>
      <c r="Z131" s="481"/>
      <c r="AA131" s="481"/>
      <c r="AB131" s="481"/>
      <c r="AC131" s="481"/>
      <c r="AD131" s="481"/>
      <c r="AE131" s="481"/>
      <c r="AF131" s="481"/>
      <c r="AG131" s="481"/>
      <c r="AH131" s="481"/>
      <c r="AI131" s="481"/>
      <c r="AJ131" s="481"/>
      <c r="AK131" s="481"/>
      <c r="AL131" s="481"/>
      <c r="AM131" s="481"/>
      <c r="AN131" s="481"/>
    </row>
    <row r="132" spans="1:40" ht="15.75" customHeight="1">
      <c r="A132" s="490" t="s">
        <v>308</v>
      </c>
      <c r="B132" s="481" t="s">
        <v>73</v>
      </c>
      <c r="C132" s="565" t="s">
        <v>48</v>
      </c>
      <c r="D132" s="550"/>
      <c r="E132" s="481"/>
      <c r="F132" s="499">
        <v>2472.8941319260221</v>
      </c>
      <c r="G132" s="551"/>
      <c r="H132" s="481"/>
      <c r="I132" s="499"/>
      <c r="J132" s="498"/>
      <c r="K132" s="481"/>
      <c r="L132" s="501">
        <v>1223.1400000000001</v>
      </c>
      <c r="M132" s="498"/>
      <c r="N132" s="524">
        <v>-1249.754131926022</v>
      </c>
      <c r="O132" s="498"/>
      <c r="P132" s="481"/>
      <c r="Q132" s="501">
        <v>2150.25</v>
      </c>
      <c r="R132" s="498"/>
      <c r="S132" s="524">
        <v>-927.1099999999999</v>
      </c>
      <c r="T132" s="481"/>
      <c r="U132" s="481"/>
      <c r="V132" s="481"/>
      <c r="W132" s="481"/>
      <c r="X132" s="481"/>
      <c r="Y132" s="481"/>
      <c r="Z132" s="481"/>
      <c r="AA132" s="481"/>
      <c r="AB132" s="481"/>
      <c r="AC132" s="481"/>
      <c r="AD132" s="481"/>
      <c r="AE132" s="481"/>
      <c r="AF132" s="481"/>
      <c r="AG132" s="481"/>
      <c r="AH132" s="481"/>
      <c r="AI132" s="481"/>
      <c r="AJ132" s="481"/>
      <c r="AK132" s="481"/>
      <c r="AL132" s="481"/>
      <c r="AM132" s="481"/>
      <c r="AN132" s="481"/>
    </row>
    <row r="133" spans="1:40" ht="15.75" hidden="1" customHeight="1">
      <c r="A133" s="490" t="s">
        <v>299</v>
      </c>
      <c r="B133" s="481" t="s">
        <v>73</v>
      </c>
      <c r="C133" s="498" t="s">
        <v>20</v>
      </c>
      <c r="D133" s="552"/>
      <c r="E133" s="571"/>
      <c r="F133" s="499">
        <v>0</v>
      </c>
      <c r="G133" s="553"/>
      <c r="H133" s="571"/>
      <c r="I133" s="499"/>
      <c r="J133" s="491"/>
      <c r="K133" s="571"/>
      <c r="L133" s="501">
        <v>0</v>
      </c>
      <c r="M133" s="491"/>
      <c r="N133" s="547">
        <v>0</v>
      </c>
      <c r="O133" s="491"/>
      <c r="P133" s="571"/>
      <c r="Q133" s="501">
        <v>0</v>
      </c>
      <c r="R133" s="491"/>
      <c r="S133" s="547">
        <v>0</v>
      </c>
      <c r="T133" s="481"/>
      <c r="U133" s="481"/>
      <c r="V133" s="481"/>
      <c r="W133" s="481"/>
      <c r="X133" s="481"/>
      <c r="Y133" s="481"/>
      <c r="Z133" s="481"/>
      <c r="AA133" s="481"/>
      <c r="AB133" s="481"/>
      <c r="AC133" s="481"/>
      <c r="AD133" s="481"/>
      <c r="AE133" s="481"/>
      <c r="AF133" s="481"/>
      <c r="AG133" s="481"/>
      <c r="AH133" s="481"/>
      <c r="AI133" s="481"/>
      <c r="AJ133" s="481"/>
      <c r="AK133" s="481"/>
      <c r="AL133" s="481"/>
      <c r="AM133" s="481"/>
      <c r="AN133" s="481"/>
    </row>
    <row r="134" spans="1:40" ht="15.75" customHeight="1">
      <c r="A134" s="490" t="s">
        <v>309</v>
      </c>
      <c r="B134" s="481" t="s">
        <v>73</v>
      </c>
      <c r="C134" s="557" t="s">
        <v>49</v>
      </c>
      <c r="D134" s="558" t="s">
        <v>39</v>
      </c>
      <c r="E134" s="559">
        <v>0.27538704884362963</v>
      </c>
      <c r="F134" s="560">
        <v>42586.446374514853</v>
      </c>
      <c r="G134" s="561"/>
      <c r="H134" s="559"/>
      <c r="I134" s="560"/>
      <c r="J134" s="561" t="s">
        <v>39</v>
      </c>
      <c r="K134" s="559">
        <v>0.25351148719179317</v>
      </c>
      <c r="L134" s="560">
        <v>34629.550000000003</v>
      </c>
      <c r="M134" s="610"/>
      <c r="N134" s="573">
        <v>-7956.8963745148503</v>
      </c>
      <c r="O134" s="561" t="s">
        <v>39</v>
      </c>
      <c r="P134" s="559">
        <v>0.21342374177562518</v>
      </c>
      <c r="Q134" s="560">
        <v>32841.209999999992</v>
      </c>
      <c r="R134" s="610"/>
      <c r="S134" s="573">
        <v>1788.3400000000111</v>
      </c>
      <c r="T134" s="481"/>
      <c r="U134" s="481"/>
      <c r="V134" s="481"/>
      <c r="W134" s="481"/>
      <c r="X134" s="481"/>
      <c r="Y134" s="481"/>
      <c r="Z134" s="481"/>
      <c r="AA134" s="481"/>
      <c r="AB134" s="481"/>
      <c r="AC134" s="481"/>
      <c r="AD134" s="481"/>
      <c r="AE134" s="481"/>
      <c r="AF134" s="481"/>
      <c r="AG134" s="481"/>
      <c r="AH134" s="481"/>
      <c r="AI134" s="481"/>
      <c r="AJ134" s="481"/>
      <c r="AK134" s="481"/>
      <c r="AL134" s="481"/>
      <c r="AM134" s="481"/>
      <c r="AN134" s="481"/>
    </row>
    <row r="135" spans="1:40" ht="15.75" hidden="1" customHeight="1">
      <c r="A135" s="490" t="s">
        <v>310</v>
      </c>
      <c r="B135" s="481" t="s">
        <v>73</v>
      </c>
      <c r="C135" s="498" t="s">
        <v>50</v>
      </c>
      <c r="D135" s="550"/>
      <c r="E135" s="481"/>
      <c r="F135" s="499">
        <v>0</v>
      </c>
      <c r="G135" s="551"/>
      <c r="H135" s="481"/>
      <c r="I135" s="499"/>
      <c r="J135" s="498"/>
      <c r="K135" s="481"/>
      <c r="L135" s="501">
        <v>0</v>
      </c>
      <c r="M135" s="498"/>
      <c r="N135" s="524">
        <v>0</v>
      </c>
      <c r="O135" s="498"/>
      <c r="P135" s="481"/>
      <c r="Q135" s="501">
        <v>0</v>
      </c>
      <c r="R135" s="498"/>
      <c r="S135" s="524">
        <v>0</v>
      </c>
      <c r="T135" s="481"/>
      <c r="U135" s="481"/>
      <c r="V135" s="481"/>
      <c r="W135" s="481"/>
      <c r="X135" s="481"/>
      <c r="Y135" s="481"/>
      <c r="Z135" s="481"/>
      <c r="AA135" s="481"/>
      <c r="AB135" s="481"/>
      <c r="AC135" s="481"/>
      <c r="AD135" s="481"/>
      <c r="AE135" s="481"/>
      <c r="AF135" s="481"/>
      <c r="AG135" s="481"/>
      <c r="AH135" s="481"/>
      <c r="AI135" s="481"/>
      <c r="AJ135" s="481"/>
      <c r="AK135" s="481"/>
      <c r="AL135" s="481"/>
      <c r="AM135" s="481"/>
      <c r="AN135" s="481"/>
    </row>
    <row r="136" spans="1:40" ht="15.75" hidden="1" customHeight="1">
      <c r="A136" s="490" t="s">
        <v>311</v>
      </c>
      <c r="B136" s="481" t="s">
        <v>73</v>
      </c>
      <c r="C136" s="498" t="s">
        <v>51</v>
      </c>
      <c r="D136" s="550"/>
      <c r="E136" s="481"/>
      <c r="F136" s="499">
        <v>0</v>
      </c>
      <c r="G136" s="551"/>
      <c r="H136" s="481"/>
      <c r="I136" s="499"/>
      <c r="J136" s="498"/>
      <c r="K136" s="481"/>
      <c r="L136" s="501">
        <v>0</v>
      </c>
      <c r="M136" s="498"/>
      <c r="N136" s="524">
        <v>0</v>
      </c>
      <c r="O136" s="498"/>
      <c r="P136" s="481"/>
      <c r="Q136" s="501">
        <v>0</v>
      </c>
      <c r="R136" s="498"/>
      <c r="S136" s="524">
        <v>0</v>
      </c>
      <c r="T136" s="481"/>
      <c r="U136" s="481"/>
      <c r="V136" s="481"/>
      <c r="W136" s="481"/>
      <c r="X136" s="481"/>
      <c r="Y136" s="481"/>
      <c r="Z136" s="481"/>
      <c r="AA136" s="481"/>
      <c r="AB136" s="481"/>
      <c r="AC136" s="481"/>
      <c r="AD136" s="481"/>
      <c r="AE136" s="481"/>
      <c r="AF136" s="481"/>
      <c r="AG136" s="481"/>
      <c r="AH136" s="481"/>
      <c r="AI136" s="481"/>
      <c r="AJ136" s="481"/>
      <c r="AK136" s="481"/>
      <c r="AL136" s="481"/>
      <c r="AM136" s="481"/>
      <c r="AN136" s="481"/>
    </row>
    <row r="137" spans="1:40" ht="15.75" customHeight="1">
      <c r="A137" s="490" t="s">
        <v>312</v>
      </c>
      <c r="B137" s="481" t="s">
        <v>73</v>
      </c>
      <c r="C137" s="491" t="s">
        <v>52</v>
      </c>
      <c r="D137" s="552"/>
      <c r="E137" s="571"/>
      <c r="F137" s="493">
        <v>180</v>
      </c>
      <c r="G137" s="553"/>
      <c r="H137" s="571"/>
      <c r="I137" s="493"/>
      <c r="J137" s="491"/>
      <c r="K137" s="571"/>
      <c r="L137" s="493">
        <v>1692.94</v>
      </c>
      <c r="M137" s="491"/>
      <c r="N137" s="547">
        <v>1512.94</v>
      </c>
      <c r="O137" s="491"/>
      <c r="P137" s="571"/>
      <c r="Q137" s="493">
        <v>132.36000000000001</v>
      </c>
      <c r="R137" s="491"/>
      <c r="S137" s="547">
        <v>1560.58</v>
      </c>
      <c r="T137" s="481"/>
      <c r="U137" s="481"/>
      <c r="V137" s="481"/>
      <c r="W137" s="481"/>
      <c r="X137" s="481"/>
      <c r="Y137" s="481"/>
      <c r="Z137" s="481"/>
      <c r="AA137" s="481"/>
      <c r="AB137" s="481"/>
      <c r="AC137" s="481"/>
      <c r="AD137" s="481"/>
      <c r="AE137" s="481"/>
      <c r="AF137" s="481"/>
      <c r="AG137" s="481"/>
      <c r="AH137" s="481"/>
      <c r="AI137" s="481"/>
      <c r="AJ137" s="481"/>
      <c r="AK137" s="481"/>
      <c r="AL137" s="481"/>
      <c r="AM137" s="481"/>
      <c r="AN137" s="481"/>
    </row>
    <row r="138" spans="1:40" ht="15.75" customHeight="1">
      <c r="A138" s="490" t="s">
        <v>313</v>
      </c>
      <c r="B138" s="481" t="s">
        <v>73</v>
      </c>
      <c r="C138" s="498" t="s">
        <v>53</v>
      </c>
      <c r="D138" s="550"/>
      <c r="E138" s="481"/>
      <c r="F138" s="499">
        <v>2754.3646119999999</v>
      </c>
      <c r="G138" s="551"/>
      <c r="H138" s="481"/>
      <c r="I138" s="499"/>
      <c r="J138" s="498"/>
      <c r="K138" s="481"/>
      <c r="L138" s="501">
        <v>3593.59</v>
      </c>
      <c r="M138" s="498"/>
      <c r="N138" s="524">
        <v>839.22538800000029</v>
      </c>
      <c r="O138" s="498"/>
      <c r="P138" s="481"/>
      <c r="Q138" s="501">
        <v>2804.25</v>
      </c>
      <c r="R138" s="498"/>
      <c r="S138" s="524">
        <v>789.34000000000015</v>
      </c>
      <c r="T138" s="481"/>
      <c r="U138" s="481"/>
      <c r="V138" s="481"/>
      <c r="W138" s="481"/>
      <c r="X138" s="481"/>
      <c r="Y138" s="481"/>
      <c r="Z138" s="481"/>
      <c r="AA138" s="481"/>
      <c r="AB138" s="481"/>
      <c r="AC138" s="481"/>
      <c r="AD138" s="481"/>
      <c r="AE138" s="481"/>
      <c r="AF138" s="481"/>
      <c r="AG138" s="481"/>
      <c r="AH138" s="481"/>
      <c r="AI138" s="481"/>
      <c r="AJ138" s="481"/>
      <c r="AK138" s="481"/>
      <c r="AL138" s="481"/>
      <c r="AM138" s="481"/>
      <c r="AN138" s="481"/>
    </row>
    <row r="139" spans="1:40" ht="15.75" customHeight="1">
      <c r="A139" s="490" t="s">
        <v>314</v>
      </c>
      <c r="B139" s="481" t="s">
        <v>73</v>
      </c>
      <c r="C139" s="498" t="s">
        <v>54</v>
      </c>
      <c r="D139" s="550"/>
      <c r="E139" s="481"/>
      <c r="F139" s="499">
        <v>375.03301674999994</v>
      </c>
      <c r="G139" s="551"/>
      <c r="H139" s="481"/>
      <c r="I139" s="499"/>
      <c r="J139" s="498"/>
      <c r="K139" s="481"/>
      <c r="L139" s="501">
        <v>430.47</v>
      </c>
      <c r="M139" s="498"/>
      <c r="N139" s="524">
        <v>55.436983250000083</v>
      </c>
      <c r="O139" s="498"/>
      <c r="P139" s="481"/>
      <c r="Q139" s="501">
        <v>120.55</v>
      </c>
      <c r="R139" s="498"/>
      <c r="S139" s="524">
        <v>309.92</v>
      </c>
      <c r="T139" s="608"/>
      <c r="U139" s="481"/>
      <c r="V139" s="481"/>
      <c r="W139" s="481"/>
      <c r="X139" s="481"/>
      <c r="Y139" s="481"/>
      <c r="Z139" s="481"/>
      <c r="AA139" s="481"/>
      <c r="AB139" s="481"/>
      <c r="AC139" s="481"/>
      <c r="AD139" s="481"/>
      <c r="AE139" s="481"/>
      <c r="AF139" s="481"/>
      <c r="AG139" s="481"/>
      <c r="AH139" s="481"/>
      <c r="AI139" s="481"/>
      <c r="AJ139" s="481"/>
      <c r="AK139" s="481"/>
      <c r="AL139" s="481"/>
      <c r="AM139" s="481"/>
      <c r="AN139" s="481"/>
    </row>
    <row r="140" spans="1:40" ht="15.75" customHeight="1">
      <c r="A140" s="490" t="s">
        <v>315</v>
      </c>
      <c r="B140" s="481" t="s">
        <v>73</v>
      </c>
      <c r="C140" s="491" t="s">
        <v>55</v>
      </c>
      <c r="D140" s="552"/>
      <c r="E140" s="571"/>
      <c r="F140" s="493">
        <v>1545.6919986666667</v>
      </c>
      <c r="G140" s="553"/>
      <c r="H140" s="571"/>
      <c r="I140" s="493"/>
      <c r="J140" s="491"/>
      <c r="K140" s="571"/>
      <c r="L140" s="493">
        <v>1241.24</v>
      </c>
      <c r="M140" s="491"/>
      <c r="N140" s="547">
        <v>-304.45199866666667</v>
      </c>
      <c r="O140" s="491"/>
      <c r="P140" s="571"/>
      <c r="Q140" s="493">
        <v>1365.76</v>
      </c>
      <c r="R140" s="491"/>
      <c r="S140" s="547">
        <v>-124.51999999999998</v>
      </c>
      <c r="T140" s="481"/>
      <c r="U140" s="481"/>
      <c r="V140" s="481"/>
      <c r="W140" s="481"/>
      <c r="X140" s="481"/>
      <c r="Y140" s="481"/>
      <c r="Z140" s="481"/>
      <c r="AA140" s="481"/>
      <c r="AB140" s="481"/>
      <c r="AC140" s="481"/>
      <c r="AD140" s="481"/>
      <c r="AE140" s="481"/>
      <c r="AF140" s="481"/>
      <c r="AG140" s="481"/>
      <c r="AH140" s="481"/>
      <c r="AI140" s="481"/>
      <c r="AJ140" s="481"/>
      <c r="AK140" s="481"/>
      <c r="AL140" s="481"/>
      <c r="AM140" s="481"/>
      <c r="AN140" s="481"/>
    </row>
    <row r="141" spans="1:40" ht="15.75" customHeight="1">
      <c r="A141" s="490" t="s">
        <v>316</v>
      </c>
      <c r="B141" s="481" t="s">
        <v>73</v>
      </c>
      <c r="C141" s="498" t="s">
        <v>56</v>
      </c>
      <c r="D141" s="550"/>
      <c r="E141" s="481"/>
      <c r="F141" s="499">
        <v>117.13645759980204</v>
      </c>
      <c r="G141" s="551"/>
      <c r="H141" s="481"/>
      <c r="I141" s="499"/>
      <c r="J141" s="498"/>
      <c r="K141" s="481"/>
      <c r="L141" s="501">
        <v>0</v>
      </c>
      <c r="M141" s="498"/>
      <c r="N141" s="524">
        <v>-117.13645759980204</v>
      </c>
      <c r="O141" s="498"/>
      <c r="P141" s="481"/>
      <c r="Q141" s="501">
        <v>579.89</v>
      </c>
      <c r="R141" s="498"/>
      <c r="S141" s="524">
        <v>-579.89</v>
      </c>
      <c r="T141" s="481"/>
      <c r="U141" s="481"/>
      <c r="V141" s="481"/>
      <c r="W141" s="481"/>
      <c r="X141" s="481"/>
      <c r="Y141" s="481"/>
      <c r="Z141" s="481"/>
      <c r="AA141" s="481"/>
      <c r="AB141" s="481"/>
      <c r="AC141" s="481"/>
      <c r="AD141" s="481"/>
      <c r="AE141" s="481"/>
      <c r="AF141" s="481"/>
      <c r="AG141" s="481"/>
      <c r="AH141" s="481"/>
      <c r="AI141" s="481"/>
      <c r="AJ141" s="481"/>
      <c r="AK141" s="481"/>
      <c r="AL141" s="481"/>
      <c r="AM141" s="481"/>
      <c r="AN141" s="481"/>
    </row>
    <row r="142" spans="1:40" ht="15.75" customHeight="1">
      <c r="A142" s="490" t="s">
        <v>317</v>
      </c>
      <c r="B142" s="481" t="s">
        <v>73</v>
      </c>
      <c r="C142" s="498" t="s">
        <v>57</v>
      </c>
      <c r="D142" s="550"/>
      <c r="E142" s="481"/>
      <c r="F142" s="499">
        <v>60.487931167085833</v>
      </c>
      <c r="G142" s="551"/>
      <c r="H142" s="481"/>
      <c r="I142" s="499"/>
      <c r="J142" s="498"/>
      <c r="K142" s="481"/>
      <c r="L142" s="501">
        <v>0</v>
      </c>
      <c r="M142" s="498"/>
      <c r="N142" s="524">
        <v>-60.487931167085833</v>
      </c>
      <c r="O142" s="498"/>
      <c r="P142" s="481"/>
      <c r="Q142" s="501">
        <v>0</v>
      </c>
      <c r="R142" s="498"/>
      <c r="S142" s="524">
        <v>0</v>
      </c>
      <c r="T142" s="481"/>
      <c r="U142" s="481"/>
      <c r="V142" s="481"/>
      <c r="W142" s="481"/>
      <c r="X142" s="481"/>
      <c r="Y142" s="481"/>
      <c r="Z142" s="481"/>
      <c r="AA142" s="481"/>
      <c r="AB142" s="481"/>
      <c r="AC142" s="481"/>
      <c r="AD142" s="481"/>
      <c r="AE142" s="481"/>
      <c r="AF142" s="481"/>
      <c r="AG142" s="481"/>
      <c r="AH142" s="481"/>
      <c r="AI142" s="481"/>
      <c r="AJ142" s="481"/>
      <c r="AK142" s="481"/>
      <c r="AL142" s="481"/>
      <c r="AM142" s="481"/>
      <c r="AN142" s="481"/>
    </row>
    <row r="143" spans="1:40" ht="15.75" customHeight="1">
      <c r="A143" s="490" t="s">
        <v>318</v>
      </c>
      <c r="B143" s="481" t="s">
        <v>73</v>
      </c>
      <c r="C143" s="498" t="s">
        <v>58</v>
      </c>
      <c r="D143" s="550"/>
      <c r="E143" s="481"/>
      <c r="F143" s="499">
        <v>286.29413819999991</v>
      </c>
      <c r="G143" s="551"/>
      <c r="H143" s="481"/>
      <c r="I143" s="499"/>
      <c r="J143" s="498"/>
      <c r="K143" s="481"/>
      <c r="L143" s="501">
        <v>179.94</v>
      </c>
      <c r="M143" s="498"/>
      <c r="N143" s="524">
        <v>-106.35413819999991</v>
      </c>
      <c r="O143" s="498"/>
      <c r="P143" s="481"/>
      <c r="Q143" s="501">
        <v>369.17</v>
      </c>
      <c r="R143" s="498"/>
      <c r="S143" s="524">
        <v>-189.23000000000002</v>
      </c>
      <c r="T143" s="481"/>
      <c r="U143" s="481"/>
      <c r="V143" s="481"/>
      <c r="W143" s="481"/>
      <c r="X143" s="481"/>
      <c r="Y143" s="481"/>
      <c r="Z143" s="481"/>
      <c r="AA143" s="481"/>
      <c r="AB143" s="481"/>
      <c r="AC143" s="481"/>
      <c r="AD143" s="481"/>
      <c r="AE143" s="481"/>
      <c r="AF143" s="481"/>
      <c r="AG143" s="481"/>
      <c r="AH143" s="481"/>
      <c r="AI143" s="481"/>
      <c r="AJ143" s="481"/>
      <c r="AK143" s="481"/>
      <c r="AL143" s="481"/>
      <c r="AM143" s="481"/>
      <c r="AN143" s="481"/>
    </row>
    <row r="144" spans="1:40" ht="15.75" customHeight="1">
      <c r="A144" s="490" t="s">
        <v>319</v>
      </c>
      <c r="B144" s="481" t="s">
        <v>73</v>
      </c>
      <c r="C144" s="498" t="s">
        <v>59</v>
      </c>
      <c r="D144" s="550"/>
      <c r="E144" s="481"/>
      <c r="F144" s="499">
        <v>97.020093808333328</v>
      </c>
      <c r="G144" s="551"/>
      <c r="H144" s="481"/>
      <c r="I144" s="499"/>
      <c r="J144" s="498"/>
      <c r="K144" s="481"/>
      <c r="L144" s="501">
        <v>36.340000000000003</v>
      </c>
      <c r="M144" s="498"/>
      <c r="N144" s="524">
        <v>-60.680093808333325</v>
      </c>
      <c r="O144" s="498"/>
      <c r="P144" s="481"/>
      <c r="Q144" s="501">
        <v>46.55</v>
      </c>
      <c r="R144" s="498"/>
      <c r="S144" s="524">
        <v>-10.209999999999994</v>
      </c>
      <c r="T144" s="481"/>
      <c r="U144" s="481"/>
      <c r="V144" s="481"/>
      <c r="W144" s="481"/>
      <c r="X144" s="481"/>
      <c r="Y144" s="481"/>
      <c r="Z144" s="481"/>
      <c r="AA144" s="481"/>
      <c r="AB144" s="481"/>
      <c r="AC144" s="481"/>
      <c r="AD144" s="481"/>
      <c r="AE144" s="481"/>
      <c r="AF144" s="481"/>
      <c r="AG144" s="481"/>
      <c r="AH144" s="481"/>
      <c r="AI144" s="481"/>
      <c r="AJ144" s="481"/>
      <c r="AK144" s="481"/>
      <c r="AL144" s="481"/>
      <c r="AM144" s="481"/>
      <c r="AN144" s="481"/>
    </row>
    <row r="145" spans="1:40" ht="15.75" customHeight="1">
      <c r="A145" s="490" t="s">
        <v>320</v>
      </c>
      <c r="B145" s="481" t="s">
        <v>73</v>
      </c>
      <c r="C145" s="498" t="s">
        <v>60</v>
      </c>
      <c r="D145" s="550"/>
      <c r="E145" s="481"/>
      <c r="F145" s="499">
        <v>46.404110191666653</v>
      </c>
      <c r="G145" s="551"/>
      <c r="H145" s="481"/>
      <c r="I145" s="499"/>
      <c r="J145" s="498"/>
      <c r="K145" s="481"/>
      <c r="L145" s="501">
        <v>92.28</v>
      </c>
      <c r="M145" s="498"/>
      <c r="N145" s="524">
        <v>45.875889808333348</v>
      </c>
      <c r="O145" s="498"/>
      <c r="P145" s="481"/>
      <c r="Q145" s="501">
        <v>100.82</v>
      </c>
      <c r="R145" s="498"/>
      <c r="S145" s="524">
        <v>-8.539999999999992</v>
      </c>
      <c r="T145" s="481"/>
      <c r="U145" s="481"/>
      <c r="V145" s="481"/>
      <c r="W145" s="481"/>
      <c r="X145" s="481"/>
      <c r="Y145" s="481"/>
      <c r="Z145" s="481"/>
      <c r="AA145" s="481"/>
      <c r="AB145" s="481"/>
      <c r="AC145" s="481"/>
      <c r="AD145" s="481"/>
      <c r="AE145" s="481"/>
      <c r="AF145" s="481"/>
      <c r="AG145" s="481"/>
      <c r="AH145" s="481"/>
      <c r="AI145" s="481"/>
      <c r="AJ145" s="481"/>
      <c r="AK145" s="481"/>
      <c r="AL145" s="481"/>
      <c r="AM145" s="481"/>
      <c r="AN145" s="481"/>
    </row>
    <row r="146" spans="1:40" ht="15.75" customHeight="1">
      <c r="A146" s="490" t="s">
        <v>321</v>
      </c>
      <c r="B146" s="481" t="s">
        <v>73</v>
      </c>
      <c r="C146" s="498" t="s">
        <v>61</v>
      </c>
      <c r="D146" s="550"/>
      <c r="E146" s="481"/>
      <c r="F146" s="499">
        <v>176.31838614166665</v>
      </c>
      <c r="G146" s="551"/>
      <c r="H146" s="481"/>
      <c r="I146" s="499"/>
      <c r="J146" s="498"/>
      <c r="K146" s="481"/>
      <c r="L146" s="501">
        <v>29.04</v>
      </c>
      <c r="M146" s="498"/>
      <c r="N146" s="524">
        <v>-147.27838614166666</v>
      </c>
      <c r="O146" s="498"/>
      <c r="P146" s="481"/>
      <c r="Q146" s="501">
        <v>52.58</v>
      </c>
      <c r="R146" s="498"/>
      <c r="S146" s="524">
        <v>-23.54</v>
      </c>
      <c r="T146" s="481"/>
      <c r="U146" s="481"/>
      <c r="V146" s="481"/>
      <c r="W146" s="481"/>
      <c r="X146" s="481"/>
      <c r="Y146" s="481"/>
      <c r="Z146" s="481"/>
      <c r="AA146" s="481"/>
      <c r="AB146" s="481"/>
      <c r="AC146" s="481"/>
      <c r="AD146" s="481"/>
      <c r="AE146" s="481"/>
      <c r="AF146" s="481"/>
      <c r="AG146" s="481"/>
      <c r="AH146" s="481"/>
      <c r="AI146" s="481"/>
      <c r="AJ146" s="481"/>
      <c r="AK146" s="481"/>
      <c r="AL146" s="481"/>
      <c r="AM146" s="481"/>
      <c r="AN146" s="481"/>
    </row>
    <row r="147" spans="1:40" ht="15.75" customHeight="1">
      <c r="A147" s="490" t="s">
        <v>322</v>
      </c>
      <c r="B147" s="481" t="s">
        <v>73</v>
      </c>
      <c r="C147" s="498" t="s">
        <v>62</v>
      </c>
      <c r="D147" s="550"/>
      <c r="E147" s="481"/>
      <c r="F147" s="499">
        <v>310.58430909104328</v>
      </c>
      <c r="G147" s="551"/>
      <c r="H147" s="481"/>
      <c r="I147" s="499"/>
      <c r="J147" s="498"/>
      <c r="K147" s="481"/>
      <c r="L147" s="501">
        <v>113.28</v>
      </c>
      <c r="M147" s="498"/>
      <c r="N147" s="524">
        <v>-197.30430909104328</v>
      </c>
      <c r="O147" s="498"/>
      <c r="P147" s="481"/>
      <c r="Q147" s="501">
        <v>138.30000000000001</v>
      </c>
      <c r="R147" s="498"/>
      <c r="S147" s="524">
        <v>-25.02000000000001</v>
      </c>
      <c r="T147" s="481"/>
      <c r="X147" s="481"/>
      <c r="Y147" s="481"/>
      <c r="Z147" s="481"/>
      <c r="AA147" s="481"/>
      <c r="AB147" s="481"/>
      <c r="AC147" s="481"/>
      <c r="AD147" s="481"/>
      <c r="AE147" s="481"/>
      <c r="AF147" s="481"/>
      <c r="AG147" s="481"/>
      <c r="AH147" s="481"/>
      <c r="AI147" s="481"/>
      <c r="AJ147" s="481"/>
      <c r="AK147" s="481"/>
      <c r="AL147" s="481"/>
      <c r="AM147" s="481"/>
      <c r="AN147" s="481"/>
    </row>
    <row r="148" spans="1:40" ht="15.75" customHeight="1">
      <c r="A148" s="490" t="s">
        <v>323</v>
      </c>
      <c r="B148" s="481" t="s">
        <v>73</v>
      </c>
      <c r="C148" s="498" t="s">
        <v>63</v>
      </c>
      <c r="D148" s="550"/>
      <c r="E148" s="481"/>
      <c r="F148" s="499">
        <v>573.29137426610737</v>
      </c>
      <c r="G148" s="551"/>
      <c r="H148" s="481"/>
      <c r="I148" s="499"/>
      <c r="J148" s="498"/>
      <c r="K148" s="481"/>
      <c r="L148" s="501">
        <v>756.99</v>
      </c>
      <c r="M148" s="498"/>
      <c r="N148" s="524">
        <v>183.69862573389264</v>
      </c>
      <c r="O148" s="498"/>
      <c r="P148" s="481"/>
      <c r="Q148" s="501">
        <v>831.376000000001</v>
      </c>
      <c r="R148" s="498"/>
      <c r="S148" s="524">
        <v>-74.38600000000099</v>
      </c>
      <c r="T148" s="542"/>
      <c r="X148" s="481"/>
      <c r="Y148" s="481"/>
      <c r="Z148" s="481"/>
      <c r="AA148" s="481"/>
      <c r="AB148" s="481"/>
      <c r="AC148" s="481"/>
      <c r="AD148" s="481"/>
      <c r="AE148" s="481"/>
      <c r="AF148" s="481"/>
      <c r="AG148" s="481"/>
      <c r="AH148" s="481"/>
      <c r="AI148" s="481"/>
      <c r="AJ148" s="481"/>
      <c r="AK148" s="481"/>
      <c r="AL148" s="481"/>
      <c r="AM148" s="481"/>
      <c r="AN148" s="481"/>
    </row>
    <row r="149" spans="1:40" ht="15.75" hidden="1" customHeight="1">
      <c r="A149" s="490" t="s">
        <v>299</v>
      </c>
      <c r="B149" s="481" t="s">
        <v>73</v>
      </c>
      <c r="C149" s="498" t="s">
        <v>20</v>
      </c>
      <c r="D149" s="550"/>
      <c r="E149" s="481"/>
      <c r="F149" s="499">
        <v>0</v>
      </c>
      <c r="G149" s="551"/>
      <c r="H149" s="481"/>
      <c r="I149" s="499"/>
      <c r="J149" s="498"/>
      <c r="K149" s="481"/>
      <c r="L149" s="501">
        <v>0</v>
      </c>
      <c r="M149" s="498"/>
      <c r="N149" s="524">
        <v>0</v>
      </c>
      <c r="O149" s="498"/>
      <c r="P149" s="481"/>
      <c r="Q149" s="501">
        <v>0</v>
      </c>
      <c r="R149" s="498"/>
      <c r="S149" s="524">
        <v>0</v>
      </c>
      <c r="T149" s="481"/>
      <c r="X149" s="481"/>
      <c r="Y149" s="481"/>
      <c r="Z149" s="481"/>
      <c r="AA149" s="481"/>
      <c r="AB149" s="481"/>
      <c r="AC149" s="481"/>
      <c r="AD149" s="481"/>
      <c r="AE149" s="481"/>
      <c r="AF149" s="481"/>
      <c r="AG149" s="481"/>
      <c r="AH149" s="481"/>
      <c r="AI149" s="481"/>
      <c r="AJ149" s="481"/>
      <c r="AK149" s="481"/>
      <c r="AL149" s="481"/>
      <c r="AM149" s="481"/>
      <c r="AN149" s="481"/>
    </row>
    <row r="150" spans="1:40" ht="15.75" hidden="1" customHeight="1">
      <c r="A150" s="490" t="s">
        <v>299</v>
      </c>
      <c r="B150" s="481" t="s">
        <v>73</v>
      </c>
      <c r="C150" s="498" t="s">
        <v>20</v>
      </c>
      <c r="D150" s="550"/>
      <c r="E150" s="481"/>
      <c r="F150" s="499">
        <v>0</v>
      </c>
      <c r="G150" s="551"/>
      <c r="H150" s="481"/>
      <c r="I150" s="499"/>
      <c r="J150" s="498"/>
      <c r="K150" s="481"/>
      <c r="L150" s="501">
        <v>0</v>
      </c>
      <c r="M150" s="498"/>
      <c r="N150" s="524">
        <v>0</v>
      </c>
      <c r="O150" s="498"/>
      <c r="P150" s="481"/>
      <c r="Q150" s="501">
        <v>0</v>
      </c>
      <c r="R150" s="498"/>
      <c r="S150" s="524">
        <v>0</v>
      </c>
      <c r="T150" s="481"/>
      <c r="X150" s="481"/>
      <c r="Y150" s="481"/>
      <c r="Z150" s="481"/>
      <c r="AA150" s="481"/>
      <c r="AB150" s="481"/>
      <c r="AC150" s="481"/>
      <c r="AD150" s="481"/>
      <c r="AE150" s="481"/>
      <c r="AF150" s="481"/>
      <c r="AG150" s="481"/>
      <c r="AH150" s="481"/>
      <c r="AI150" s="481"/>
      <c r="AJ150" s="481"/>
      <c r="AK150" s="481"/>
      <c r="AL150" s="481"/>
      <c r="AM150" s="481"/>
      <c r="AN150" s="481"/>
    </row>
    <row r="151" spans="1:40" ht="15.75" hidden="1" customHeight="1">
      <c r="A151" s="490" t="s">
        <v>299</v>
      </c>
      <c r="B151" s="481" t="s">
        <v>73</v>
      </c>
      <c r="C151" s="498" t="s">
        <v>20</v>
      </c>
      <c r="D151" s="550"/>
      <c r="E151" s="481"/>
      <c r="F151" s="499">
        <v>0</v>
      </c>
      <c r="G151" s="551"/>
      <c r="H151" s="481"/>
      <c r="I151" s="499"/>
      <c r="J151" s="498"/>
      <c r="K151" s="481"/>
      <c r="L151" s="501">
        <v>0</v>
      </c>
      <c r="M151" s="498"/>
      <c r="N151" s="524">
        <v>0</v>
      </c>
      <c r="O151" s="498"/>
      <c r="P151" s="481"/>
      <c r="Q151" s="501">
        <v>0</v>
      </c>
      <c r="R151" s="498"/>
      <c r="S151" s="524">
        <v>0</v>
      </c>
      <c r="T151" s="542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</row>
    <row r="152" spans="1:40" ht="15.75" customHeight="1">
      <c r="A152" s="490" t="s">
        <v>324</v>
      </c>
      <c r="B152" s="481" t="s">
        <v>73</v>
      </c>
      <c r="C152" s="557" t="s">
        <v>64</v>
      </c>
      <c r="D152" s="558" t="s">
        <v>39</v>
      </c>
      <c r="E152" s="559">
        <v>4.2178838470986531E-2</v>
      </c>
      <c r="F152" s="560">
        <v>6522.626427882371</v>
      </c>
      <c r="G152" s="561"/>
      <c r="H152" s="559"/>
      <c r="I152" s="560"/>
      <c r="J152" s="561" t="s">
        <v>39</v>
      </c>
      <c r="K152" s="559">
        <v>5.9781391634363537E-2</v>
      </c>
      <c r="L152" s="560">
        <v>8166.11</v>
      </c>
      <c r="M152" s="564"/>
      <c r="N152" s="560">
        <v>1643.4835721176287</v>
      </c>
      <c r="O152" s="561" t="s">
        <v>39</v>
      </c>
      <c r="P152" s="559">
        <v>4.2511650141449753E-2</v>
      </c>
      <c r="Q152" s="560">
        <v>6541.6060000000016</v>
      </c>
      <c r="R152" s="564"/>
      <c r="S152" s="560">
        <v>1624.5039999999981</v>
      </c>
      <c r="T152" s="572"/>
      <c r="X152" s="481"/>
      <c r="Y152" s="481"/>
      <c r="Z152" s="481"/>
      <c r="AA152" s="481"/>
      <c r="AB152" s="481"/>
      <c r="AC152" s="481"/>
      <c r="AD152" s="481"/>
      <c r="AE152" s="481"/>
      <c r="AF152" s="481"/>
      <c r="AG152" s="481"/>
      <c r="AH152" s="481"/>
      <c r="AI152" s="481"/>
      <c r="AJ152" s="481"/>
      <c r="AK152" s="481"/>
      <c r="AL152" s="481"/>
      <c r="AM152" s="481"/>
      <c r="AN152" s="481"/>
    </row>
    <row r="153" spans="1:40" ht="15.75" customHeight="1">
      <c r="A153" s="490" t="s">
        <v>73</v>
      </c>
      <c r="B153" s="481" t="s">
        <v>73</v>
      </c>
      <c r="C153" s="491"/>
      <c r="D153" s="552"/>
      <c r="E153" s="571"/>
      <c r="F153" s="524"/>
      <c r="G153" s="553"/>
      <c r="H153" s="571"/>
      <c r="I153" s="524"/>
      <c r="J153" s="491"/>
      <c r="K153" s="571"/>
      <c r="L153" s="547"/>
      <c r="M153" s="491"/>
      <c r="N153" s="547"/>
      <c r="O153" s="491"/>
      <c r="P153" s="571"/>
      <c r="Q153" s="547"/>
      <c r="R153" s="491"/>
      <c r="S153" s="547"/>
      <c r="T153" s="572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</row>
    <row r="154" spans="1:40" ht="15.75" customHeight="1">
      <c r="A154" s="490" t="s">
        <v>325</v>
      </c>
      <c r="B154" s="481" t="s">
        <v>73</v>
      </c>
      <c r="C154" s="557" t="s">
        <v>65</v>
      </c>
      <c r="D154" s="558" t="s">
        <v>39</v>
      </c>
      <c r="E154" s="559">
        <v>0.70607559810818021</v>
      </c>
      <c r="F154" s="560">
        <v>109189.0512696603</v>
      </c>
      <c r="G154" s="561"/>
      <c r="H154" s="559"/>
      <c r="I154" s="560"/>
      <c r="J154" s="561" t="s">
        <v>39</v>
      </c>
      <c r="K154" s="559">
        <v>0.81296809732800612</v>
      </c>
      <c r="L154" s="560">
        <v>111051.06000000001</v>
      </c>
      <c r="M154" s="564"/>
      <c r="N154" s="573">
        <v>1862.0087303397158</v>
      </c>
      <c r="O154" s="561" t="s">
        <v>39</v>
      </c>
      <c r="P154" s="559">
        <v>0.66778202674379072</v>
      </c>
      <c r="Q154" s="560">
        <v>102756.93599999999</v>
      </c>
      <c r="R154" s="564"/>
      <c r="S154" s="573">
        <v>8294.1240000000253</v>
      </c>
      <c r="T154" s="572"/>
      <c r="U154" s="481"/>
      <c r="V154" s="481"/>
      <c r="W154" s="481"/>
      <c r="X154" s="481"/>
      <c r="Y154" s="481"/>
      <c r="Z154" s="481"/>
      <c r="AA154" s="481"/>
      <c r="AB154" s="481"/>
      <c r="AC154" s="481"/>
      <c r="AD154" s="481"/>
      <c r="AE154" s="481"/>
      <c r="AF154" s="481"/>
      <c r="AG154" s="481"/>
      <c r="AH154" s="481"/>
      <c r="AI154" s="481"/>
      <c r="AJ154" s="481"/>
      <c r="AK154" s="481"/>
      <c r="AL154" s="481"/>
      <c r="AM154" s="481"/>
      <c r="AN154" s="481"/>
    </row>
    <row r="155" spans="1:40" ht="15.75" customHeight="1">
      <c r="A155" s="490" t="s">
        <v>326</v>
      </c>
      <c r="B155" s="481" t="s">
        <v>73</v>
      </c>
      <c r="C155" s="498" t="s">
        <v>211</v>
      </c>
      <c r="D155" s="611"/>
      <c r="E155" s="612"/>
      <c r="F155" s="499">
        <v>0</v>
      </c>
      <c r="G155" s="613"/>
      <c r="H155" s="612"/>
      <c r="I155" s="499"/>
      <c r="J155" s="613"/>
      <c r="K155" s="612"/>
      <c r="L155" s="501">
        <v>0</v>
      </c>
      <c r="M155" s="498"/>
      <c r="N155" s="524">
        <v>0</v>
      </c>
      <c r="O155" s="613"/>
      <c r="P155" s="612"/>
      <c r="Q155" s="501">
        <v>0</v>
      </c>
      <c r="R155" s="498"/>
      <c r="S155" s="524">
        <v>0</v>
      </c>
      <c r="T155" s="572"/>
      <c r="U155" s="481"/>
      <c r="V155" s="481"/>
      <c r="W155" s="481"/>
      <c r="X155" s="481"/>
      <c r="Y155" s="481"/>
      <c r="Z155" s="481"/>
      <c r="AA155" s="481"/>
      <c r="AB155" s="481"/>
      <c r="AC155" s="481"/>
      <c r="AD155" s="481"/>
      <c r="AE155" s="481"/>
      <c r="AF155" s="481"/>
      <c r="AG155" s="481"/>
      <c r="AH155" s="481"/>
      <c r="AI155" s="481"/>
      <c r="AJ155" s="481"/>
      <c r="AK155" s="481"/>
      <c r="AL155" s="481"/>
      <c r="AM155" s="481"/>
      <c r="AN155" s="481"/>
    </row>
    <row r="156" spans="1:40" ht="15.75" customHeight="1">
      <c r="A156" s="490" t="s">
        <v>327</v>
      </c>
      <c r="B156" s="481" t="s">
        <v>73</v>
      </c>
      <c r="C156" s="498" t="s">
        <v>81</v>
      </c>
      <c r="D156" s="611"/>
      <c r="E156" s="612"/>
      <c r="F156" s="499">
        <v>0</v>
      </c>
      <c r="G156" s="613"/>
      <c r="H156" s="612"/>
      <c r="I156" s="499"/>
      <c r="J156" s="613"/>
      <c r="K156" s="612"/>
      <c r="L156" s="501">
        <v>0</v>
      </c>
      <c r="M156" s="498"/>
      <c r="N156" s="524">
        <v>0</v>
      </c>
      <c r="O156" s="613"/>
      <c r="P156" s="612"/>
      <c r="Q156" s="501">
        <v>0</v>
      </c>
      <c r="R156" s="498"/>
      <c r="S156" s="524">
        <v>0</v>
      </c>
      <c r="T156" s="572"/>
      <c r="U156" s="481"/>
      <c r="V156" s="481"/>
      <c r="W156" s="481"/>
      <c r="X156" s="481"/>
      <c r="Y156" s="481"/>
      <c r="Z156" s="481"/>
      <c r="AA156" s="481"/>
      <c r="AB156" s="481"/>
      <c r="AC156" s="481"/>
      <c r="AD156" s="481"/>
      <c r="AE156" s="481"/>
      <c r="AF156" s="481"/>
      <c r="AG156" s="481"/>
      <c r="AH156" s="481"/>
      <c r="AI156" s="481"/>
      <c r="AJ156" s="481"/>
      <c r="AK156" s="481"/>
      <c r="AL156" s="481"/>
      <c r="AM156" s="481"/>
      <c r="AN156" s="481"/>
    </row>
    <row r="157" spans="1:40" ht="15.75" customHeight="1">
      <c r="A157" s="490" t="s">
        <v>328</v>
      </c>
      <c r="B157" s="481" t="s">
        <v>73</v>
      </c>
      <c r="C157" s="498" t="s">
        <v>82</v>
      </c>
      <c r="D157" s="550"/>
      <c r="E157" s="481"/>
      <c r="F157" s="499">
        <v>0</v>
      </c>
      <c r="G157" s="551"/>
      <c r="H157" s="481"/>
      <c r="I157" s="499"/>
      <c r="J157" s="498"/>
      <c r="K157" s="481"/>
      <c r="L157" s="501">
        <v>0</v>
      </c>
      <c r="M157" s="498"/>
      <c r="N157" s="524">
        <v>0</v>
      </c>
      <c r="O157" s="498"/>
      <c r="P157" s="481"/>
      <c r="Q157" s="501">
        <v>0</v>
      </c>
      <c r="R157" s="498"/>
      <c r="S157" s="524">
        <v>0</v>
      </c>
      <c r="T157" s="572"/>
      <c r="U157" s="481"/>
      <c r="V157" s="481"/>
      <c r="W157" s="481"/>
      <c r="X157" s="481"/>
      <c r="Y157" s="481"/>
      <c r="Z157" s="481"/>
      <c r="AA157" s="481"/>
      <c r="AB157" s="481"/>
      <c r="AC157" s="481"/>
      <c r="AD157" s="481"/>
      <c r="AE157" s="481"/>
      <c r="AF157" s="481"/>
      <c r="AG157" s="481"/>
      <c r="AH157" s="481"/>
      <c r="AI157" s="481"/>
      <c r="AJ157" s="481"/>
      <c r="AK157" s="481"/>
      <c r="AL157" s="481"/>
      <c r="AM157" s="481"/>
      <c r="AN157" s="481"/>
    </row>
    <row r="158" spans="1:40" ht="15.75" customHeight="1">
      <c r="A158" s="490" t="s">
        <v>329</v>
      </c>
      <c r="B158" s="481" t="s">
        <v>73</v>
      </c>
      <c r="C158" s="498" t="s">
        <v>70</v>
      </c>
      <c r="D158" s="614">
        <v>36</v>
      </c>
      <c r="E158" s="578">
        <v>359.1</v>
      </c>
      <c r="F158" s="499">
        <v>12927.6</v>
      </c>
      <c r="G158" s="551"/>
      <c r="H158" s="481"/>
      <c r="I158" s="499"/>
      <c r="J158" s="577">
        <v>36</v>
      </c>
      <c r="K158" s="578">
        <v>401.66666666666669</v>
      </c>
      <c r="L158" s="501">
        <v>14460</v>
      </c>
      <c r="M158" s="498"/>
      <c r="N158" s="524">
        <v>1532.3999999999996</v>
      </c>
      <c r="O158" s="498"/>
      <c r="P158" s="481"/>
      <c r="Q158" s="501">
        <v>14183</v>
      </c>
      <c r="R158" s="498"/>
      <c r="S158" s="524">
        <v>277</v>
      </c>
      <c r="T158" s="572"/>
      <c r="U158" s="481"/>
      <c r="V158" s="481"/>
      <c r="W158" s="481"/>
      <c r="X158" s="481"/>
      <c r="Y158" s="481"/>
      <c r="Z158" s="481"/>
      <c r="AA158" s="481"/>
      <c r="AB158" s="481"/>
      <c r="AC158" s="481"/>
      <c r="AD158" s="481"/>
      <c r="AE158" s="481"/>
      <c r="AF158" s="481"/>
      <c r="AG158" s="481"/>
      <c r="AH158" s="481"/>
      <c r="AI158" s="481"/>
      <c r="AJ158" s="481"/>
      <c r="AK158" s="481"/>
      <c r="AL158" s="481"/>
      <c r="AM158" s="481"/>
      <c r="AN158" s="481"/>
    </row>
    <row r="159" spans="1:40" ht="15.75" hidden="1" customHeight="1">
      <c r="A159" s="490" t="s">
        <v>299</v>
      </c>
      <c r="B159" s="481" t="s">
        <v>73</v>
      </c>
      <c r="C159" s="498" t="s">
        <v>20</v>
      </c>
      <c r="D159" s="550"/>
      <c r="E159" s="481"/>
      <c r="F159" s="499">
        <v>0</v>
      </c>
      <c r="G159" s="551"/>
      <c r="H159" s="481"/>
      <c r="I159" s="499"/>
      <c r="J159" s="498"/>
      <c r="K159" s="481"/>
      <c r="L159" s="501">
        <v>0</v>
      </c>
      <c r="M159" s="498"/>
      <c r="N159" s="524">
        <v>0</v>
      </c>
      <c r="O159" s="498"/>
      <c r="P159" s="481"/>
      <c r="Q159" s="501">
        <v>0</v>
      </c>
      <c r="R159" s="498"/>
      <c r="S159" s="524">
        <v>0</v>
      </c>
      <c r="T159" s="572"/>
      <c r="U159" s="481"/>
      <c r="V159" s="481"/>
      <c r="W159" s="481"/>
      <c r="X159" s="481"/>
      <c r="Y159" s="481"/>
      <c r="Z159" s="481"/>
      <c r="AA159" s="481"/>
      <c r="AB159" s="481"/>
      <c r="AC159" s="481"/>
      <c r="AD159" s="481"/>
      <c r="AE159" s="481"/>
      <c r="AF159" s="481"/>
      <c r="AG159" s="481"/>
      <c r="AH159" s="481"/>
      <c r="AI159" s="481"/>
      <c r="AJ159" s="481"/>
      <c r="AK159" s="481"/>
      <c r="AL159" s="481"/>
      <c r="AM159" s="481"/>
      <c r="AN159" s="481"/>
    </row>
    <row r="160" spans="1:40" ht="15.75" hidden="1" customHeight="1">
      <c r="A160" s="490" t="s">
        <v>299</v>
      </c>
      <c r="B160" s="481" t="s">
        <v>73</v>
      </c>
      <c r="C160" s="498" t="s">
        <v>20</v>
      </c>
      <c r="D160" s="550"/>
      <c r="E160" s="481"/>
      <c r="F160" s="499">
        <v>0</v>
      </c>
      <c r="G160" s="551"/>
      <c r="H160" s="481"/>
      <c r="I160" s="499"/>
      <c r="J160" s="498"/>
      <c r="K160" s="481"/>
      <c r="L160" s="501">
        <v>0</v>
      </c>
      <c r="M160" s="498"/>
      <c r="N160" s="524">
        <v>0</v>
      </c>
      <c r="O160" s="498"/>
      <c r="P160" s="481"/>
      <c r="Q160" s="501">
        <v>0</v>
      </c>
      <c r="R160" s="498"/>
      <c r="S160" s="524">
        <v>0</v>
      </c>
      <c r="T160" s="572"/>
      <c r="U160" s="481"/>
      <c r="V160" s="481"/>
      <c r="W160" s="481"/>
      <c r="X160" s="481"/>
      <c r="Y160" s="481"/>
      <c r="Z160" s="481"/>
      <c r="AA160" s="481"/>
      <c r="AB160" s="481"/>
      <c r="AC160" s="481"/>
      <c r="AD160" s="481"/>
      <c r="AE160" s="481"/>
      <c r="AF160" s="481"/>
      <c r="AG160" s="481"/>
      <c r="AH160" s="481"/>
      <c r="AI160" s="481"/>
      <c r="AJ160" s="481"/>
      <c r="AK160" s="481"/>
      <c r="AL160" s="481"/>
      <c r="AM160" s="481"/>
      <c r="AN160" s="481"/>
    </row>
    <row r="161" spans="1:40" ht="15.75" hidden="1" customHeight="1">
      <c r="A161" s="490" t="s">
        <v>299</v>
      </c>
      <c r="B161" s="481" t="s">
        <v>73</v>
      </c>
      <c r="C161" s="491" t="s">
        <v>20</v>
      </c>
      <c r="D161" s="552"/>
      <c r="E161" s="571"/>
      <c r="F161" s="499">
        <v>0</v>
      </c>
      <c r="G161" s="551"/>
      <c r="H161" s="481"/>
      <c r="I161" s="499"/>
      <c r="J161" s="498"/>
      <c r="K161" s="481"/>
      <c r="L161" s="501">
        <v>0</v>
      </c>
      <c r="M161" s="498"/>
      <c r="N161" s="524">
        <v>0</v>
      </c>
      <c r="O161" s="498"/>
      <c r="P161" s="481"/>
      <c r="Q161" s="501">
        <v>0</v>
      </c>
      <c r="R161" s="498"/>
      <c r="S161" s="524">
        <v>0</v>
      </c>
      <c r="T161" s="572"/>
      <c r="U161" s="481"/>
      <c r="V161" s="481"/>
      <c r="W161" s="481"/>
      <c r="X161" s="481"/>
      <c r="Y161" s="481"/>
      <c r="Z161" s="481"/>
      <c r="AA161" s="481"/>
      <c r="AB161" s="481"/>
      <c r="AC161" s="481"/>
      <c r="AD161" s="481"/>
      <c r="AE161" s="481"/>
      <c r="AF161" s="481"/>
      <c r="AG161" s="481"/>
      <c r="AH161" s="481"/>
      <c r="AI161" s="481"/>
      <c r="AJ161" s="481"/>
      <c r="AK161" s="481"/>
      <c r="AL161" s="481"/>
      <c r="AM161" s="481"/>
      <c r="AN161" s="481"/>
    </row>
    <row r="162" spans="1:40" ht="15.75" customHeight="1">
      <c r="B162" s="481"/>
      <c r="C162" s="557" t="s">
        <v>71</v>
      </c>
      <c r="D162" s="558"/>
      <c r="E162" s="559"/>
      <c r="F162" s="560">
        <v>12927.6</v>
      </c>
      <c r="G162" s="561"/>
      <c r="H162" s="559"/>
      <c r="I162" s="560"/>
      <c r="J162" s="561"/>
      <c r="K162" s="559"/>
      <c r="L162" s="560">
        <v>14460</v>
      </c>
      <c r="M162" s="564"/>
      <c r="N162" s="560">
        <v>1532.3999999999996</v>
      </c>
      <c r="O162" s="561"/>
      <c r="P162" s="559"/>
      <c r="Q162" s="560">
        <v>14183</v>
      </c>
      <c r="R162" s="564"/>
      <c r="S162" s="560">
        <v>277</v>
      </c>
      <c r="T162" s="572"/>
      <c r="U162" s="481"/>
      <c r="V162" s="481"/>
      <c r="W162" s="481"/>
      <c r="X162" s="481"/>
      <c r="Y162" s="481"/>
      <c r="Z162" s="481"/>
      <c r="AA162" s="481"/>
      <c r="AB162" s="481"/>
      <c r="AC162" s="481"/>
      <c r="AD162" s="481"/>
      <c r="AE162" s="481"/>
      <c r="AF162" s="481"/>
      <c r="AG162" s="481"/>
      <c r="AH162" s="481"/>
      <c r="AI162" s="481"/>
      <c r="AJ162" s="481"/>
      <c r="AK162" s="481"/>
      <c r="AL162" s="481"/>
      <c r="AM162" s="481"/>
      <c r="AN162" s="481"/>
    </row>
    <row r="163" spans="1:40" ht="15.75" customHeight="1">
      <c r="B163" s="481"/>
      <c r="C163" s="498"/>
      <c r="D163" s="550"/>
      <c r="E163" s="481"/>
      <c r="F163" s="524"/>
      <c r="G163" s="551"/>
      <c r="H163" s="481"/>
      <c r="I163" s="524"/>
      <c r="J163" s="498"/>
      <c r="K163" s="481"/>
      <c r="L163" s="524"/>
      <c r="M163" s="498"/>
      <c r="N163" s="524"/>
      <c r="O163" s="498"/>
      <c r="P163" s="481"/>
      <c r="Q163" s="524"/>
      <c r="R163" s="498"/>
      <c r="S163" s="524"/>
      <c r="T163" s="612"/>
      <c r="U163" s="481"/>
      <c r="V163" s="481"/>
      <c r="W163" s="481"/>
      <c r="X163" s="481"/>
      <c r="Y163" s="481"/>
      <c r="Z163" s="481"/>
      <c r="AA163" s="481"/>
      <c r="AB163" s="481"/>
      <c r="AC163" s="481"/>
      <c r="AD163" s="481"/>
      <c r="AE163" s="481"/>
      <c r="AF163" s="481"/>
      <c r="AG163" s="481"/>
      <c r="AH163" s="481"/>
      <c r="AI163" s="481"/>
      <c r="AJ163" s="481"/>
      <c r="AK163" s="481"/>
      <c r="AL163" s="481"/>
      <c r="AM163" s="481"/>
      <c r="AN163" s="481"/>
    </row>
    <row r="164" spans="1:40" ht="15.75" customHeight="1" thickBot="1">
      <c r="B164" s="481"/>
      <c r="C164" s="587" t="s">
        <v>72</v>
      </c>
      <c r="D164" s="615"/>
      <c r="E164" s="588"/>
      <c r="F164" s="590">
        <v>58380.702576493546</v>
      </c>
      <c r="G164" s="616"/>
      <c r="H164" s="588"/>
      <c r="I164" s="590"/>
      <c r="J164" s="587"/>
      <c r="K164" s="589"/>
      <c r="L164" s="590">
        <v>40008.470000000132</v>
      </c>
      <c r="M164" s="587"/>
      <c r="N164" s="590">
        <v>-18372.232576493414</v>
      </c>
      <c r="O164" s="587"/>
      <c r="P164" s="589"/>
      <c r="Q164" s="590">
        <v>65304.024000000063</v>
      </c>
      <c r="R164" s="587"/>
      <c r="S164" s="590">
        <v>-25295.553999999931</v>
      </c>
      <c r="T164" s="542"/>
      <c r="U164" s="481"/>
      <c r="V164" s="481"/>
      <c r="W164" s="481"/>
      <c r="X164" s="481"/>
      <c r="Y164" s="481"/>
      <c r="Z164" s="481"/>
      <c r="AA164" s="481"/>
      <c r="AB164" s="481"/>
      <c r="AC164" s="481"/>
      <c r="AD164" s="481"/>
      <c r="AE164" s="481"/>
      <c r="AF164" s="481"/>
      <c r="AG164" s="481"/>
      <c r="AH164" s="481"/>
      <c r="AI164" s="481"/>
      <c r="AJ164" s="481"/>
      <c r="AK164" s="481"/>
      <c r="AL164" s="481"/>
      <c r="AM164" s="481"/>
      <c r="AN164" s="481"/>
    </row>
    <row r="165" spans="1:40" ht="15.75" customHeight="1" thickTop="1">
      <c r="B165" s="481"/>
      <c r="C165" s="478"/>
      <c r="D165" s="478"/>
      <c r="E165" s="478"/>
      <c r="F165" s="478"/>
      <c r="G165" s="478"/>
      <c r="H165" s="478"/>
      <c r="I165" s="478"/>
      <c r="J165" s="478"/>
      <c r="K165" s="478"/>
      <c r="L165" s="617"/>
      <c r="M165" s="478"/>
      <c r="N165" s="478"/>
      <c r="O165" s="478"/>
      <c r="P165" s="478"/>
      <c r="Q165" s="478"/>
      <c r="R165" s="478"/>
      <c r="S165" s="478"/>
      <c r="T165" s="617"/>
      <c r="U165" s="478"/>
      <c r="V165" s="481"/>
      <c r="W165" s="481"/>
      <c r="X165" s="481"/>
      <c r="Y165" s="481"/>
      <c r="Z165" s="481"/>
      <c r="AA165" s="481"/>
      <c r="AB165" s="481"/>
      <c r="AC165" s="481"/>
      <c r="AD165" s="481"/>
      <c r="AE165" s="481"/>
      <c r="AF165" s="481"/>
      <c r="AG165" s="481"/>
      <c r="AH165" s="481"/>
      <c r="AI165" s="481"/>
      <c r="AJ165" s="481"/>
      <c r="AK165" s="481"/>
      <c r="AL165" s="481"/>
      <c r="AM165" s="481"/>
      <c r="AN165" s="481"/>
    </row>
    <row r="166" spans="1:40" ht="8.25" customHeight="1">
      <c r="B166" s="481"/>
      <c r="C166" s="478"/>
      <c r="D166" s="478"/>
      <c r="E166" s="478"/>
      <c r="F166" s="478"/>
      <c r="G166" s="478"/>
      <c r="H166" s="478"/>
      <c r="I166" s="478"/>
      <c r="J166" s="478"/>
      <c r="K166" s="478"/>
      <c r="L166" s="478"/>
      <c r="M166" s="478"/>
      <c r="N166" s="478"/>
      <c r="O166" s="478"/>
      <c r="P166" s="478"/>
      <c r="Q166" s="478"/>
      <c r="R166" s="478"/>
      <c r="S166" s="478"/>
      <c r="T166" s="617"/>
      <c r="U166" s="478"/>
      <c r="V166" s="478"/>
      <c r="W166" s="478"/>
      <c r="X166" s="478"/>
      <c r="Y166" s="478"/>
      <c r="Z166" s="478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  <c r="AL166" s="478"/>
      <c r="AM166" s="478"/>
      <c r="AN166" s="478"/>
    </row>
    <row r="167" spans="1:40" ht="33.75" customHeight="1">
      <c r="B167" s="481"/>
      <c r="C167" s="595" t="s">
        <v>223</v>
      </c>
      <c r="D167" s="469"/>
      <c r="E167" s="469"/>
      <c r="F167" s="469"/>
      <c r="G167" s="469"/>
      <c r="H167" s="467"/>
      <c r="I167" s="467"/>
      <c r="J167" s="467"/>
      <c r="K167" s="471" t="s">
        <v>83</v>
      </c>
      <c r="L167" s="469"/>
      <c r="M167" s="469"/>
      <c r="N167" s="467"/>
      <c r="O167" s="467"/>
      <c r="P167" s="469"/>
      <c r="Q167" s="467"/>
      <c r="R167" s="469"/>
      <c r="S167" s="596" t="s">
        <v>482</v>
      </c>
      <c r="T167" s="469"/>
      <c r="U167" s="467"/>
      <c r="V167" s="478"/>
      <c r="W167" s="478"/>
      <c r="X167" s="478"/>
      <c r="Y167" s="478"/>
      <c r="Z167" s="478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  <c r="AL167" s="478"/>
      <c r="AM167" s="478"/>
      <c r="AN167" s="478"/>
    </row>
    <row r="168" spans="1:40" ht="15.75" customHeight="1" thickBot="1">
      <c r="B168" s="481"/>
      <c r="C168" s="476"/>
      <c r="D168" s="478"/>
      <c r="E168" s="478"/>
      <c r="F168" s="478"/>
      <c r="G168" s="478"/>
      <c r="H168" s="478"/>
      <c r="I168" s="478"/>
      <c r="J168" s="478"/>
      <c r="K168" s="478"/>
      <c r="L168" s="478"/>
      <c r="M168" s="478"/>
      <c r="N168" s="478"/>
      <c r="O168" s="478"/>
      <c r="P168" s="478"/>
      <c r="Q168" s="478"/>
      <c r="R168" s="478"/>
      <c r="S168" s="478"/>
      <c r="T168" s="478"/>
      <c r="U168" s="478"/>
      <c r="V168" s="467"/>
      <c r="W168" s="467"/>
      <c r="X168" s="467"/>
      <c r="Y168" s="467"/>
      <c r="Z168" s="467"/>
      <c r="AA168" s="467"/>
      <c r="AB168" s="467"/>
      <c r="AC168" s="467"/>
      <c r="AD168" s="467"/>
      <c r="AE168" s="467"/>
      <c r="AF168" s="467"/>
      <c r="AG168" s="467"/>
      <c r="AH168" s="467"/>
      <c r="AI168" s="467"/>
      <c r="AJ168" s="467"/>
      <c r="AK168" s="467"/>
      <c r="AL168" s="467"/>
      <c r="AM168" s="467"/>
      <c r="AN168" s="467"/>
    </row>
    <row r="169" spans="1:40" ht="15.75" customHeight="1" thickTop="1">
      <c r="B169" s="481"/>
      <c r="C169" s="482"/>
      <c r="D169" s="864" t="s">
        <v>5</v>
      </c>
      <c r="E169" s="865"/>
      <c r="F169" s="866"/>
      <c r="G169" s="867"/>
      <c r="H169" s="865"/>
      <c r="I169" s="866"/>
      <c r="J169" s="867" t="s">
        <v>7</v>
      </c>
      <c r="K169" s="865"/>
      <c r="L169" s="866"/>
      <c r="M169" s="867" t="s">
        <v>472</v>
      </c>
      <c r="N169" s="866"/>
      <c r="O169" s="864" t="s">
        <v>9</v>
      </c>
      <c r="P169" s="865"/>
      <c r="Q169" s="866"/>
      <c r="R169" s="867" t="s">
        <v>473</v>
      </c>
      <c r="S169" s="866"/>
      <c r="T169" s="611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  <c r="AL169" s="478"/>
      <c r="AM169" s="478"/>
      <c r="AN169" s="478"/>
    </row>
    <row r="170" spans="1:40" ht="15.75" customHeight="1">
      <c r="A170" s="490" t="s">
        <v>83</v>
      </c>
      <c r="B170" s="481" t="s">
        <v>83</v>
      </c>
      <c r="C170" s="498"/>
      <c r="D170" s="540" t="s">
        <v>40</v>
      </c>
      <c r="E170" s="540" t="s">
        <v>84</v>
      </c>
      <c r="F170" s="618" t="s">
        <v>13</v>
      </c>
      <c r="G170" s="619"/>
      <c r="H170" s="540"/>
      <c r="I170" s="618"/>
      <c r="J170" s="619" t="s">
        <v>40</v>
      </c>
      <c r="K170" s="540" t="s">
        <v>84</v>
      </c>
      <c r="L170" s="618" t="s">
        <v>13</v>
      </c>
      <c r="M170" s="619" t="s">
        <v>468</v>
      </c>
      <c r="N170" s="618" t="s">
        <v>475</v>
      </c>
      <c r="O170" s="540" t="s">
        <v>40</v>
      </c>
      <c r="P170" s="540" t="s">
        <v>84</v>
      </c>
      <c r="Q170" s="618" t="s">
        <v>13</v>
      </c>
      <c r="R170" s="619" t="s">
        <v>85</v>
      </c>
      <c r="S170" s="618" t="s">
        <v>13</v>
      </c>
      <c r="T170" s="540"/>
      <c r="AA170" s="481"/>
      <c r="AB170" s="481"/>
      <c r="AC170" s="481"/>
      <c r="AD170" s="481"/>
      <c r="AE170" s="481"/>
      <c r="AF170" s="481"/>
      <c r="AG170" s="481"/>
      <c r="AH170" s="481"/>
      <c r="AI170" s="481"/>
      <c r="AJ170" s="481"/>
      <c r="AK170" s="481"/>
      <c r="AL170" s="481"/>
      <c r="AM170" s="481"/>
      <c r="AN170" s="481"/>
    </row>
    <row r="171" spans="1:40" ht="15.75" customHeight="1">
      <c r="A171" s="490" t="s">
        <v>330</v>
      </c>
      <c r="B171" s="481" t="s">
        <v>83</v>
      </c>
      <c r="C171" s="498" t="s">
        <v>86</v>
      </c>
      <c r="D171" s="542">
        <v>375.24620189691194</v>
      </c>
      <c r="E171" s="542">
        <v>110697.62955958901</v>
      </c>
      <c r="F171" s="542">
        <v>84130.198465287656</v>
      </c>
      <c r="G171" s="525"/>
      <c r="H171" s="542"/>
      <c r="I171" s="542"/>
      <c r="J171" s="525">
        <v>376</v>
      </c>
      <c r="K171" s="499">
        <v>134675.75999999998</v>
      </c>
      <c r="L171" s="501">
        <v>98157.879999999976</v>
      </c>
      <c r="M171" s="543">
        <v>0.21660924932004472</v>
      </c>
      <c r="N171" s="524">
        <v>14027.681534712319</v>
      </c>
      <c r="O171" s="525">
        <v>357</v>
      </c>
      <c r="P171" s="499">
        <v>108178.5</v>
      </c>
      <c r="Q171" s="501">
        <v>84640.670000000013</v>
      </c>
      <c r="R171" s="543">
        <v>1.0532212885154062</v>
      </c>
      <c r="S171" s="524">
        <v>13517.209999999963</v>
      </c>
      <c r="T171" s="542"/>
      <c r="AA171" s="481"/>
      <c r="AB171" s="481"/>
      <c r="AC171" s="481"/>
      <c r="AD171" s="481"/>
      <c r="AE171" s="481"/>
      <c r="AF171" s="481"/>
      <c r="AG171" s="481"/>
      <c r="AH171" s="481"/>
      <c r="AI171" s="481"/>
      <c r="AJ171" s="481"/>
      <c r="AK171" s="481"/>
      <c r="AL171" s="481"/>
      <c r="AM171" s="481"/>
      <c r="AN171" s="481"/>
    </row>
    <row r="172" spans="1:40" ht="15.75" customHeight="1">
      <c r="A172" s="490" t="s">
        <v>331</v>
      </c>
      <c r="B172" s="481" t="s">
        <v>83</v>
      </c>
      <c r="C172" s="498" t="s">
        <v>87</v>
      </c>
      <c r="D172" s="542"/>
      <c r="E172" s="604"/>
      <c r="F172" s="620">
        <v>0.76000000000000012</v>
      </c>
      <c r="G172" s="525"/>
      <c r="H172" s="604"/>
      <c r="I172" s="620"/>
      <c r="J172" s="525"/>
      <c r="K172" s="481"/>
      <c r="L172" s="620">
        <v>0.72884593337360781</v>
      </c>
      <c r="M172" s="543"/>
      <c r="N172" s="524"/>
      <c r="O172" s="525"/>
      <c r="P172" s="481"/>
      <c r="Q172" s="620">
        <v>0.782416746396003</v>
      </c>
      <c r="R172" s="525"/>
      <c r="S172" s="524"/>
      <c r="T172" s="542"/>
      <c r="AA172" s="481"/>
      <c r="AB172" s="481"/>
      <c r="AC172" s="481"/>
      <c r="AD172" s="481"/>
      <c r="AE172" s="481"/>
      <c r="AF172" s="481"/>
      <c r="AG172" s="481"/>
      <c r="AH172" s="481"/>
      <c r="AI172" s="481"/>
      <c r="AJ172" s="481"/>
      <c r="AK172" s="481"/>
      <c r="AL172" s="481"/>
      <c r="AM172" s="481"/>
      <c r="AN172" s="481"/>
    </row>
    <row r="173" spans="1:40" ht="15.75" customHeight="1">
      <c r="A173" s="490" t="s">
        <v>83</v>
      </c>
      <c r="B173" s="481" t="s">
        <v>83</v>
      </c>
      <c r="C173" s="491"/>
      <c r="D173" s="545"/>
      <c r="E173" s="621">
        <v>294.99999999999994</v>
      </c>
      <c r="F173" s="622"/>
      <c r="G173" s="623"/>
      <c r="H173" s="621"/>
      <c r="I173" s="622"/>
      <c r="J173" s="623"/>
      <c r="K173" s="621">
        <v>358.18021276595738</v>
      </c>
      <c r="L173" s="622"/>
      <c r="M173" s="546"/>
      <c r="N173" s="547"/>
      <c r="O173" s="623"/>
      <c r="P173" s="621">
        <v>303.02100840336135</v>
      </c>
      <c r="Q173" s="622"/>
      <c r="R173" s="623"/>
      <c r="S173" s="547"/>
      <c r="T173" s="542"/>
      <c r="AA173" s="481"/>
      <c r="AB173" s="481"/>
      <c r="AC173" s="481"/>
      <c r="AD173" s="481"/>
      <c r="AE173" s="481"/>
      <c r="AF173" s="481"/>
      <c r="AG173" s="481"/>
      <c r="AH173" s="481"/>
      <c r="AI173" s="481"/>
      <c r="AJ173" s="481"/>
      <c r="AK173" s="481"/>
      <c r="AL173" s="481"/>
      <c r="AM173" s="481"/>
      <c r="AN173" s="481"/>
    </row>
    <row r="174" spans="1:40" ht="18" customHeight="1">
      <c r="A174" s="490" t="s">
        <v>332</v>
      </c>
      <c r="B174" s="481" t="s">
        <v>83</v>
      </c>
      <c r="C174" s="485" t="s">
        <v>88</v>
      </c>
      <c r="D174" s="624">
        <v>247.89532427287932</v>
      </c>
      <c r="E174" s="542">
        <v>42142.205126389483</v>
      </c>
      <c r="F174" s="542">
        <v>28656.69948594485</v>
      </c>
      <c r="G174" s="625"/>
      <c r="H174" s="542"/>
      <c r="I174" s="542"/>
      <c r="J174" s="625">
        <v>127</v>
      </c>
      <c r="K174" s="519">
        <v>31627.03</v>
      </c>
      <c r="L174" s="501">
        <v>20159.589999999997</v>
      </c>
      <c r="M174" s="543">
        <v>-0.24951649053136218</v>
      </c>
      <c r="N174" s="570">
        <v>-8497.1094859448531</v>
      </c>
      <c r="O174" s="625">
        <v>185</v>
      </c>
      <c r="P174" s="519">
        <v>44677.89</v>
      </c>
      <c r="Q174" s="501">
        <v>27934.35</v>
      </c>
      <c r="R174" s="543">
        <v>0.68648648648648647</v>
      </c>
      <c r="S174" s="524">
        <v>-7774.760000000002</v>
      </c>
      <c r="T174" s="542"/>
      <c r="U174" s="481" t="s">
        <v>470</v>
      </c>
      <c r="V174" s="499">
        <v>78850.489999999991</v>
      </c>
      <c r="W174" s="481"/>
      <c r="AA174" s="481"/>
      <c r="AB174" s="481"/>
      <c r="AC174" s="481"/>
      <c r="AD174" s="481"/>
      <c r="AE174" s="481"/>
      <c r="AF174" s="481"/>
      <c r="AG174" s="481"/>
      <c r="AH174" s="481"/>
      <c r="AI174" s="481"/>
      <c r="AJ174" s="481"/>
      <c r="AK174" s="481"/>
      <c r="AL174" s="481"/>
      <c r="AM174" s="481"/>
      <c r="AN174" s="481"/>
    </row>
    <row r="175" spans="1:40" ht="15.75" customHeight="1">
      <c r="A175" s="490" t="s">
        <v>331</v>
      </c>
      <c r="B175" s="481" t="s">
        <v>83</v>
      </c>
      <c r="C175" s="498" t="s">
        <v>87</v>
      </c>
      <c r="D175" s="481"/>
      <c r="E175" s="481"/>
      <c r="F175" s="620">
        <v>0.68</v>
      </c>
      <c r="G175" s="498"/>
      <c r="H175" s="481"/>
      <c r="I175" s="620"/>
      <c r="J175" s="498"/>
      <c r="K175" s="481"/>
      <c r="L175" s="620">
        <v>0.63741647571713178</v>
      </c>
      <c r="M175" s="515"/>
      <c r="N175" s="516"/>
      <c r="O175" s="498"/>
      <c r="P175" s="481"/>
      <c r="Q175" s="620">
        <v>0.6252387926108417</v>
      </c>
      <c r="R175" s="515"/>
      <c r="S175" s="516"/>
      <c r="T175" s="481"/>
      <c r="U175" s="481" t="s">
        <v>471</v>
      </c>
      <c r="V175" s="499">
        <v>31095.809999999998</v>
      </c>
      <c r="W175" s="626">
        <v>0.39436419481984197</v>
      </c>
      <c r="AA175" s="481"/>
      <c r="AB175" s="481"/>
      <c r="AC175" s="481"/>
      <c r="AD175" s="481"/>
      <c r="AE175" s="481"/>
      <c r="AF175" s="481"/>
      <c r="AG175" s="481"/>
      <c r="AH175" s="481"/>
      <c r="AI175" s="481"/>
      <c r="AJ175" s="481"/>
      <c r="AK175" s="481"/>
      <c r="AL175" s="481"/>
      <c r="AM175" s="481"/>
      <c r="AN175" s="481"/>
    </row>
    <row r="176" spans="1:40" ht="15.75" customHeight="1">
      <c r="A176" s="490" t="s">
        <v>83</v>
      </c>
      <c r="B176" s="481" t="s">
        <v>83</v>
      </c>
      <c r="C176" s="491"/>
      <c r="D176" s="571"/>
      <c r="E176" s="621">
        <v>170</v>
      </c>
      <c r="F176" s="622"/>
      <c r="G176" s="623"/>
      <c r="H176" s="621"/>
      <c r="I176" s="622"/>
      <c r="J176" s="623"/>
      <c r="K176" s="621">
        <v>249.03173228346455</v>
      </c>
      <c r="L176" s="622"/>
      <c r="M176" s="546"/>
      <c r="N176" s="547"/>
      <c r="O176" s="623"/>
      <c r="P176" s="621">
        <v>241.5021081081081</v>
      </c>
      <c r="Q176" s="622"/>
      <c r="R176" s="627"/>
      <c r="S176" s="628"/>
      <c r="T176" s="481"/>
      <c r="AA176" s="481"/>
      <c r="AB176" s="481"/>
      <c r="AC176" s="481"/>
      <c r="AD176" s="481"/>
      <c r="AE176" s="481"/>
      <c r="AF176" s="481"/>
      <c r="AG176" s="481"/>
      <c r="AH176" s="481"/>
      <c r="AI176" s="481"/>
      <c r="AJ176" s="481"/>
      <c r="AK176" s="481"/>
      <c r="AL176" s="481"/>
      <c r="AM176" s="481"/>
      <c r="AN176" s="481"/>
    </row>
    <row r="177" spans="1:40" ht="15.75" customHeight="1">
      <c r="A177" s="490" t="s">
        <v>333</v>
      </c>
      <c r="B177" s="481" t="s">
        <v>83</v>
      </c>
      <c r="C177" s="498" t="s">
        <v>89</v>
      </c>
      <c r="D177" s="542">
        <v>218.02822647784825</v>
      </c>
      <c r="E177" s="542">
        <v>49056.350957515861</v>
      </c>
      <c r="F177" s="542">
        <v>36301.699708561733</v>
      </c>
      <c r="G177" s="525"/>
      <c r="H177" s="542"/>
      <c r="I177" s="542"/>
      <c r="J177" s="525">
        <v>205</v>
      </c>
      <c r="K177" s="519">
        <v>71469.95</v>
      </c>
      <c r="L177" s="501">
        <v>47106.679999999993</v>
      </c>
      <c r="M177" s="543">
        <v>0.45689495050080114</v>
      </c>
      <c r="N177" s="524">
        <v>10804.98029143826</v>
      </c>
      <c r="O177" s="525">
        <v>223</v>
      </c>
      <c r="P177" s="519">
        <v>53961.37</v>
      </c>
      <c r="Q177" s="501">
        <v>40499.480000000003</v>
      </c>
      <c r="R177" s="543">
        <v>0.91928251121076232</v>
      </c>
      <c r="S177" s="524">
        <v>6607.1999999999898</v>
      </c>
      <c r="T177" s="542"/>
      <c r="AA177" s="481"/>
      <c r="AB177" s="481"/>
      <c r="AC177" s="481"/>
      <c r="AD177" s="481"/>
      <c r="AE177" s="481"/>
      <c r="AF177" s="481"/>
      <c r="AG177" s="481"/>
      <c r="AH177" s="481"/>
      <c r="AI177" s="481"/>
      <c r="AJ177" s="481"/>
      <c r="AK177" s="481"/>
      <c r="AL177" s="481"/>
      <c r="AM177" s="481"/>
      <c r="AN177" s="481"/>
    </row>
    <row r="178" spans="1:40" ht="15.75" customHeight="1">
      <c r="A178" s="490" t="s">
        <v>331</v>
      </c>
      <c r="B178" s="481" t="s">
        <v>83</v>
      </c>
      <c r="C178" s="498" t="s">
        <v>87</v>
      </c>
      <c r="D178" s="542"/>
      <c r="E178" s="604"/>
      <c r="F178" s="620">
        <v>0.73999999999999988</v>
      </c>
      <c r="G178" s="525"/>
      <c r="H178" s="604"/>
      <c r="I178" s="620"/>
      <c r="J178" s="525"/>
      <c r="K178" s="604"/>
      <c r="L178" s="620">
        <v>0.65911169659416291</v>
      </c>
      <c r="M178" s="543"/>
      <c r="N178" s="524">
        <v>-8.088830340583697E-2</v>
      </c>
      <c r="O178" s="525"/>
      <c r="P178" s="604"/>
      <c r="Q178" s="620">
        <v>0.75052727534530728</v>
      </c>
      <c r="R178" s="525">
        <v>0</v>
      </c>
      <c r="S178" s="524"/>
      <c r="T178" s="542"/>
      <c r="AA178" s="481"/>
      <c r="AB178" s="481"/>
      <c r="AC178" s="481"/>
      <c r="AD178" s="481"/>
      <c r="AE178" s="481"/>
      <c r="AF178" s="481"/>
      <c r="AG178" s="481"/>
      <c r="AH178" s="481"/>
      <c r="AI178" s="481"/>
      <c r="AJ178" s="481"/>
      <c r="AK178" s="481"/>
      <c r="AL178" s="481"/>
      <c r="AM178" s="481"/>
      <c r="AN178" s="481"/>
    </row>
    <row r="179" spans="1:40" ht="15.75" customHeight="1">
      <c r="A179" s="490" t="s">
        <v>83</v>
      </c>
      <c r="B179" s="481" t="s">
        <v>83</v>
      </c>
      <c r="C179" s="498"/>
      <c r="D179" s="542"/>
      <c r="E179" s="621">
        <v>225.00000000000003</v>
      </c>
      <c r="F179" s="622"/>
      <c r="G179" s="623"/>
      <c r="H179" s="621"/>
      <c r="I179" s="622"/>
      <c r="J179" s="623"/>
      <c r="K179" s="621">
        <v>348.63390243902438</v>
      </c>
      <c r="L179" s="622"/>
      <c r="M179" s="546"/>
      <c r="N179" s="547"/>
      <c r="O179" s="623"/>
      <c r="P179" s="621">
        <v>241.97923766816146</v>
      </c>
      <c r="Q179" s="620"/>
      <c r="R179" s="623"/>
      <c r="S179" s="524"/>
      <c r="T179" s="542"/>
      <c r="U179" s="518">
        <v>71469.95</v>
      </c>
      <c r="V179" s="466">
        <v>65</v>
      </c>
      <c r="X179" s="466">
        <v>35</v>
      </c>
      <c r="AA179" s="481"/>
      <c r="AB179" s="481"/>
      <c r="AC179" s="481"/>
      <c r="AD179" s="481"/>
      <c r="AE179" s="481"/>
      <c r="AF179" s="481"/>
      <c r="AG179" s="481"/>
      <c r="AH179" s="481"/>
      <c r="AI179" s="481"/>
      <c r="AJ179" s="481"/>
      <c r="AK179" s="481"/>
      <c r="AL179" s="481"/>
      <c r="AM179" s="481"/>
      <c r="AN179" s="481"/>
    </row>
    <row r="180" spans="1:40" ht="15.75" customHeight="1">
      <c r="A180" s="490" t="s">
        <v>334</v>
      </c>
      <c r="B180" s="481" t="s">
        <v>83</v>
      </c>
      <c r="C180" s="485" t="s">
        <v>90</v>
      </c>
      <c r="D180" s="624">
        <v>2.097535395909806</v>
      </c>
      <c r="E180" s="542">
        <v>209.75353959098058</v>
      </c>
      <c r="F180" s="542">
        <v>146.82747771368639</v>
      </c>
      <c r="G180" s="625"/>
      <c r="H180" s="542"/>
      <c r="I180" s="542"/>
      <c r="J180" s="625">
        <v>0</v>
      </c>
      <c r="K180" s="519">
        <v>12357.23</v>
      </c>
      <c r="L180" s="520">
        <v>9196.5399999999991</v>
      </c>
      <c r="M180" s="629">
        <v>57.913094025000007</v>
      </c>
      <c r="N180" s="570">
        <v>9049.7125222863124</v>
      </c>
      <c r="O180" s="625">
        <v>0</v>
      </c>
      <c r="P180" s="519">
        <v>469.91</v>
      </c>
      <c r="Q180" s="520">
        <v>379.91</v>
      </c>
      <c r="R180" s="543">
        <v>0</v>
      </c>
      <c r="S180" s="570">
        <v>8816.6299999999992</v>
      </c>
      <c r="T180" s="542"/>
      <c r="U180" s="518">
        <v>24363.270000000004</v>
      </c>
      <c r="V180" s="466">
        <v>30</v>
      </c>
      <c r="X180" s="466">
        <v>35</v>
      </c>
      <c r="AA180" s="481"/>
      <c r="AB180" s="481"/>
      <c r="AC180" s="481"/>
      <c r="AD180" s="481"/>
      <c r="AE180" s="481"/>
      <c r="AF180" s="481"/>
      <c r="AG180" s="481"/>
      <c r="AH180" s="481"/>
      <c r="AI180" s="481"/>
      <c r="AJ180" s="481"/>
      <c r="AK180" s="481"/>
      <c r="AL180" s="481"/>
      <c r="AM180" s="481"/>
      <c r="AN180" s="481"/>
    </row>
    <row r="181" spans="1:40" ht="15.75" customHeight="1">
      <c r="A181" s="490" t="s">
        <v>331</v>
      </c>
      <c r="B181" s="481" t="s">
        <v>83</v>
      </c>
      <c r="C181" s="498" t="s">
        <v>87</v>
      </c>
      <c r="D181" s="537"/>
      <c r="E181" s="630"/>
      <c r="F181" s="620">
        <v>0.7</v>
      </c>
      <c r="G181" s="517"/>
      <c r="H181" s="630"/>
      <c r="I181" s="620"/>
      <c r="J181" s="631"/>
      <c r="K181" s="630">
        <v>0</v>
      </c>
      <c r="L181" s="620">
        <v>0.74422342223945004</v>
      </c>
      <c r="M181" s="525">
        <v>0</v>
      </c>
      <c r="N181" s="632"/>
      <c r="O181" s="631"/>
      <c r="P181" s="630">
        <v>0</v>
      </c>
      <c r="Q181" s="620">
        <v>0.80847396309931685</v>
      </c>
      <c r="R181" s="498"/>
      <c r="S181" s="632"/>
      <c r="T181" s="572"/>
      <c r="U181" s="518">
        <v>47106.679999999993</v>
      </c>
      <c r="X181" s="466">
        <v>0</v>
      </c>
      <c r="AA181" s="481"/>
      <c r="AB181" s="481"/>
      <c r="AC181" s="481"/>
      <c r="AD181" s="481"/>
      <c r="AE181" s="481"/>
      <c r="AF181" s="481"/>
      <c r="AG181" s="481"/>
      <c r="AH181" s="481"/>
      <c r="AI181" s="481"/>
      <c r="AJ181" s="481"/>
      <c r="AK181" s="481"/>
      <c r="AL181" s="481"/>
      <c r="AM181" s="481"/>
      <c r="AN181" s="481"/>
    </row>
    <row r="182" spans="1:40" ht="15.75" customHeight="1">
      <c r="A182" s="490" t="s">
        <v>83</v>
      </c>
      <c r="B182" s="481" t="s">
        <v>83</v>
      </c>
      <c r="C182" s="491"/>
      <c r="D182" s="633"/>
      <c r="E182" s="634"/>
      <c r="F182" s="622"/>
      <c r="G182" s="511"/>
      <c r="H182" s="634"/>
      <c r="I182" s="622"/>
      <c r="J182" s="635"/>
      <c r="K182" s="495"/>
      <c r="L182" s="622"/>
      <c r="M182" s="623"/>
      <c r="N182" s="636"/>
      <c r="O182" s="635"/>
      <c r="P182" s="495"/>
      <c r="Q182" s="622"/>
      <c r="R182" s="491"/>
      <c r="S182" s="636"/>
      <c r="T182" s="572"/>
      <c r="AA182" s="481"/>
      <c r="AB182" s="481"/>
      <c r="AC182" s="481"/>
      <c r="AD182" s="481"/>
      <c r="AE182" s="481"/>
      <c r="AF182" s="481"/>
      <c r="AG182" s="481"/>
      <c r="AH182" s="481"/>
      <c r="AI182" s="481"/>
      <c r="AJ182" s="481"/>
      <c r="AK182" s="481"/>
      <c r="AL182" s="481"/>
      <c r="AM182" s="481"/>
      <c r="AN182" s="481"/>
    </row>
    <row r="183" spans="1:40" ht="26.25" customHeight="1" thickBot="1">
      <c r="A183" s="490" t="s">
        <v>335</v>
      </c>
      <c r="B183" s="481" t="s">
        <v>83</v>
      </c>
      <c r="C183" s="498" t="s">
        <v>91</v>
      </c>
      <c r="D183" s="481"/>
      <c r="E183" s="481"/>
      <c r="F183" s="524">
        <v>-2517.7171734890326</v>
      </c>
      <c r="G183" s="498"/>
      <c r="H183" s="542"/>
      <c r="I183" s="542"/>
      <c r="J183" s="525"/>
      <c r="K183" s="542"/>
      <c r="L183" s="542">
        <v>-1305.82</v>
      </c>
      <c r="M183" s="631"/>
      <c r="N183" s="524">
        <v>1211.8971734890326</v>
      </c>
      <c r="O183" s="525"/>
      <c r="P183" s="542"/>
      <c r="Q183" s="501">
        <v>-1076.94</v>
      </c>
      <c r="R183" s="637"/>
      <c r="S183" s="524">
        <v>-228.87999999999988</v>
      </c>
      <c r="T183" s="481"/>
      <c r="U183" s="481"/>
      <c r="V183" s="481"/>
      <c r="W183" s="481"/>
      <c r="X183" s="481"/>
      <c r="Y183" s="481"/>
      <c r="Z183" s="481"/>
      <c r="AA183" s="481"/>
      <c r="AB183" s="481"/>
      <c r="AC183" s="481"/>
      <c r="AD183" s="481"/>
      <c r="AE183" s="481"/>
      <c r="AF183" s="481"/>
      <c r="AG183" s="481"/>
      <c r="AH183" s="481"/>
      <c r="AI183" s="481"/>
      <c r="AJ183" s="481"/>
      <c r="AK183" s="481"/>
      <c r="AL183" s="481"/>
      <c r="AM183" s="481"/>
      <c r="AN183" s="481"/>
    </row>
    <row r="184" spans="1:40" ht="15.75" customHeight="1" thickTop="1">
      <c r="A184" s="490" t="s">
        <v>336</v>
      </c>
      <c r="B184" s="481" t="s">
        <v>83</v>
      </c>
      <c r="C184" s="638" t="s">
        <v>92</v>
      </c>
      <c r="D184" s="639">
        <v>843.26728804354946</v>
      </c>
      <c r="E184" s="639">
        <v>202105.93918308531</v>
      </c>
      <c r="F184" s="640">
        <v>146717.70796401889</v>
      </c>
      <c r="G184" s="641"/>
      <c r="H184" s="639"/>
      <c r="I184" s="640"/>
      <c r="J184" s="641">
        <v>708</v>
      </c>
      <c r="K184" s="639">
        <v>250129.97</v>
      </c>
      <c r="L184" s="640">
        <v>173314.86999999997</v>
      </c>
      <c r="M184" s="642">
        <v>0.23761810766684249</v>
      </c>
      <c r="N184" s="640">
        <v>26597.162035981077</v>
      </c>
      <c r="O184" s="641">
        <v>765</v>
      </c>
      <c r="P184" s="639">
        <v>207287.67</v>
      </c>
      <c r="Q184" s="640">
        <v>152377.47000000003</v>
      </c>
      <c r="R184" s="515">
        <v>0.92549019607843142</v>
      </c>
      <c r="S184" s="640">
        <v>20937.399999999936</v>
      </c>
      <c r="T184" s="572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</row>
    <row r="185" spans="1:40" ht="15.75" customHeight="1">
      <c r="A185" s="490" t="s">
        <v>337</v>
      </c>
      <c r="B185" s="481" t="s">
        <v>83</v>
      </c>
      <c r="C185" s="643" t="s">
        <v>93</v>
      </c>
      <c r="D185" s="644"/>
      <c r="E185" s="645">
        <v>239.67008094430886</v>
      </c>
      <c r="F185" s="646">
        <v>0.72594456430649024</v>
      </c>
      <c r="G185" s="647"/>
      <c r="H185" s="645"/>
      <c r="I185" s="516"/>
      <c r="J185" s="647"/>
      <c r="K185" s="645">
        <v>353.29091807909606</v>
      </c>
      <c r="L185" s="516">
        <v>0.69289925553503229</v>
      </c>
      <c r="M185" s="647"/>
      <c r="N185" s="646">
        <v>0.18128119914812038</v>
      </c>
      <c r="O185" s="647"/>
      <c r="P185" s="645">
        <v>270.96427450980394</v>
      </c>
      <c r="Q185" s="516">
        <v>0.73510146551408495</v>
      </c>
      <c r="R185" s="647"/>
      <c r="S185" s="516">
        <v>0.13740482762970097</v>
      </c>
      <c r="T185" s="572"/>
      <c r="U185" s="481"/>
      <c r="V185" s="481"/>
      <c r="W185" s="481"/>
      <c r="X185" s="481"/>
      <c r="Y185" s="481"/>
      <c r="Z185" s="481"/>
      <c r="AA185" s="481"/>
      <c r="AB185" s="481"/>
      <c r="AC185" s="481"/>
      <c r="AD185" s="481"/>
      <c r="AE185" s="481"/>
      <c r="AF185" s="481"/>
      <c r="AG185" s="481"/>
      <c r="AH185" s="481"/>
      <c r="AI185" s="481"/>
      <c r="AJ185" s="481"/>
      <c r="AK185" s="481"/>
      <c r="AL185" s="481"/>
      <c r="AM185" s="481"/>
      <c r="AN185" s="481"/>
    </row>
    <row r="186" spans="1:40" ht="15.75" customHeight="1">
      <c r="A186" s="490" t="s">
        <v>83</v>
      </c>
      <c r="B186" s="481" t="s">
        <v>83</v>
      </c>
      <c r="C186" s="504"/>
      <c r="D186" s="648"/>
      <c r="E186" s="649"/>
      <c r="F186" s="650"/>
      <c r="G186" s="651"/>
      <c r="H186" s="649"/>
      <c r="I186" s="650"/>
      <c r="J186" s="651"/>
      <c r="K186" s="649"/>
      <c r="L186" s="650">
        <v>76815.100000000035</v>
      </c>
      <c r="M186" s="651"/>
      <c r="N186" s="650"/>
      <c r="O186" s="651"/>
      <c r="P186" s="649"/>
      <c r="Q186" s="650"/>
      <c r="R186" s="651"/>
      <c r="S186" s="650"/>
      <c r="T186" s="572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</row>
    <row r="187" spans="1:40" ht="19.5" customHeight="1">
      <c r="A187" s="490" t="s">
        <v>338</v>
      </c>
      <c r="B187" s="481" t="s">
        <v>83</v>
      </c>
      <c r="C187" s="498" t="s">
        <v>94</v>
      </c>
      <c r="D187" s="542"/>
      <c r="E187" s="542">
        <v>24681.880087236714</v>
      </c>
      <c r="F187" s="542">
        <v>5430.0136191920774</v>
      </c>
      <c r="G187" s="525"/>
      <c r="H187" s="542"/>
      <c r="I187" s="542"/>
      <c r="J187" s="525"/>
      <c r="K187" s="499">
        <v>13313.75</v>
      </c>
      <c r="L187" s="501">
        <v>2687.7799999999988</v>
      </c>
      <c r="M187" s="543">
        <v>-0.46058606747365671</v>
      </c>
      <c r="N187" s="524">
        <v>-2742.2336191920785</v>
      </c>
      <c r="O187" s="525"/>
      <c r="P187" s="499">
        <v>28286.28</v>
      </c>
      <c r="Q187" s="501">
        <v>6854.9299999999967</v>
      </c>
      <c r="R187" s="543">
        <v>0</v>
      </c>
      <c r="S187" s="524">
        <v>-4167.1499999999978</v>
      </c>
      <c r="T187" s="572"/>
      <c r="U187" s="481"/>
      <c r="V187" s="481"/>
      <c r="W187" s="481"/>
      <c r="X187" s="481"/>
      <c r="Y187" s="481"/>
      <c r="Z187" s="481"/>
      <c r="AA187" s="481"/>
      <c r="AB187" s="481"/>
      <c r="AC187" s="481"/>
      <c r="AD187" s="481"/>
      <c r="AE187" s="481"/>
      <c r="AF187" s="481"/>
      <c r="AG187" s="481"/>
      <c r="AH187" s="481"/>
      <c r="AI187" s="481"/>
      <c r="AJ187" s="481"/>
      <c r="AK187" s="481"/>
      <c r="AL187" s="481"/>
      <c r="AM187" s="481"/>
      <c r="AN187" s="481"/>
    </row>
    <row r="188" spans="1:40" ht="21" customHeight="1">
      <c r="A188" s="490" t="s">
        <v>331</v>
      </c>
      <c r="B188" s="481" t="s">
        <v>83</v>
      </c>
      <c r="C188" s="498" t="s">
        <v>87</v>
      </c>
      <c r="D188" s="481"/>
      <c r="E188" s="604"/>
      <c r="F188" s="620">
        <v>0.22</v>
      </c>
      <c r="G188" s="498"/>
      <c r="H188" s="604"/>
      <c r="I188" s="620"/>
      <c r="J188" s="631"/>
      <c r="K188" s="630"/>
      <c r="L188" s="620">
        <v>0.20188001126654764</v>
      </c>
      <c r="M188" s="631"/>
      <c r="N188" s="632"/>
      <c r="O188" s="631"/>
      <c r="P188" s="630"/>
      <c r="Q188" s="620">
        <v>0.24234116327774444</v>
      </c>
      <c r="R188" s="631"/>
      <c r="S188" s="632"/>
      <c r="T188" s="572"/>
      <c r="U188" s="481"/>
      <c r="V188" s="481"/>
      <c r="W188" s="481"/>
      <c r="X188" s="481"/>
      <c r="Y188" s="481"/>
      <c r="Z188" s="481"/>
      <c r="AA188" s="481"/>
      <c r="AB188" s="481"/>
      <c r="AC188" s="481"/>
      <c r="AD188" s="481"/>
      <c r="AE188" s="481"/>
      <c r="AF188" s="481"/>
      <c r="AG188" s="481"/>
      <c r="AH188" s="481"/>
      <c r="AI188" s="481"/>
      <c r="AJ188" s="481"/>
      <c r="AK188" s="481"/>
      <c r="AL188" s="481"/>
      <c r="AM188" s="481"/>
      <c r="AN188" s="481"/>
    </row>
    <row r="189" spans="1:40" ht="15.75" customHeight="1">
      <c r="A189" s="490" t="s">
        <v>83</v>
      </c>
      <c r="B189" s="481" t="s">
        <v>83</v>
      </c>
      <c r="C189" s="498"/>
      <c r="D189" s="481"/>
      <c r="E189" s="604"/>
      <c r="F189" s="620"/>
      <c r="G189" s="498"/>
      <c r="H189" s="604"/>
      <c r="I189" s="620"/>
      <c r="J189" s="631"/>
      <c r="K189" s="630"/>
      <c r="L189" s="620"/>
      <c r="M189" s="631"/>
      <c r="N189" s="632"/>
      <c r="O189" s="631"/>
      <c r="P189" s="630"/>
      <c r="Q189" s="620"/>
      <c r="R189" s="631"/>
      <c r="S189" s="632"/>
      <c r="T189" s="572"/>
      <c r="U189" s="481"/>
      <c r="V189" s="481"/>
      <c r="W189" s="481"/>
      <c r="X189" s="481"/>
      <c r="Y189" s="481"/>
      <c r="Z189" s="481"/>
      <c r="AA189" s="481"/>
      <c r="AB189" s="481"/>
      <c r="AC189" s="481"/>
      <c r="AD189" s="481"/>
      <c r="AE189" s="481"/>
      <c r="AF189" s="481"/>
      <c r="AG189" s="481"/>
      <c r="AH189" s="481"/>
      <c r="AI189" s="481"/>
      <c r="AJ189" s="481"/>
      <c r="AK189" s="481"/>
      <c r="AL189" s="481"/>
      <c r="AM189" s="481"/>
      <c r="AN189" s="481"/>
    </row>
    <row r="190" spans="1:40" ht="15.75" customHeight="1">
      <c r="A190" s="490" t="s">
        <v>339</v>
      </c>
      <c r="B190" s="481" t="s">
        <v>83</v>
      </c>
      <c r="C190" s="498" t="s">
        <v>95</v>
      </c>
      <c r="D190" s="481"/>
      <c r="E190" s="542">
        <v>0</v>
      </c>
      <c r="F190" s="542">
        <v>0</v>
      </c>
      <c r="G190" s="498"/>
      <c r="H190" s="542"/>
      <c r="I190" s="542"/>
      <c r="J190" s="625">
        <v>37</v>
      </c>
      <c r="K190" s="499">
        <v>6269.36</v>
      </c>
      <c r="L190" s="501">
        <v>4401.66</v>
      </c>
      <c r="M190" s="631"/>
      <c r="N190" s="632"/>
      <c r="O190" s="631"/>
      <c r="P190" s="499">
        <v>0</v>
      </c>
      <c r="Q190" s="620"/>
      <c r="R190" s="631"/>
      <c r="S190" s="632"/>
      <c r="T190" s="572"/>
      <c r="U190" s="481"/>
      <c r="V190" s="481"/>
      <c r="W190" s="481"/>
      <c r="X190" s="481"/>
      <c r="Y190" s="481"/>
      <c r="Z190" s="481"/>
      <c r="AA190" s="481"/>
      <c r="AB190" s="481"/>
      <c r="AC190" s="481"/>
      <c r="AD190" s="481"/>
      <c r="AE190" s="481"/>
      <c r="AF190" s="481"/>
      <c r="AG190" s="481"/>
      <c r="AH190" s="481"/>
      <c r="AI190" s="481"/>
      <c r="AJ190" s="481"/>
      <c r="AK190" s="481"/>
      <c r="AL190" s="481"/>
      <c r="AM190" s="481"/>
      <c r="AN190" s="481"/>
    </row>
    <row r="191" spans="1:40" ht="15.75" customHeight="1">
      <c r="A191" s="490" t="s">
        <v>331</v>
      </c>
      <c r="B191" s="481" t="s">
        <v>83</v>
      </c>
      <c r="C191" s="498" t="s">
        <v>87</v>
      </c>
      <c r="D191" s="481"/>
      <c r="E191" s="604"/>
      <c r="F191" s="620">
        <v>0</v>
      </c>
      <c r="G191" s="498"/>
      <c r="H191" s="604"/>
      <c r="I191" s="620"/>
      <c r="J191" s="631"/>
      <c r="K191" s="630"/>
      <c r="L191" s="620">
        <v>0.70209080352699482</v>
      </c>
      <c r="M191" s="631"/>
      <c r="N191" s="632"/>
      <c r="O191" s="631"/>
      <c r="P191" s="630"/>
      <c r="Q191" s="620">
        <v>0</v>
      </c>
      <c r="R191" s="631"/>
      <c r="S191" s="632"/>
      <c r="T191" s="572"/>
      <c r="U191" s="481"/>
      <c r="V191" s="481"/>
      <c r="W191" s="481"/>
      <c r="X191" s="481"/>
      <c r="Y191" s="481"/>
      <c r="Z191" s="481"/>
      <c r="AA191" s="481"/>
      <c r="AB191" s="481"/>
      <c r="AC191" s="481"/>
      <c r="AD191" s="481"/>
      <c r="AE191" s="481"/>
      <c r="AF191" s="481"/>
      <c r="AG191" s="481"/>
      <c r="AH191" s="481"/>
      <c r="AI191" s="481"/>
      <c r="AJ191" s="481"/>
      <c r="AK191" s="481"/>
      <c r="AL191" s="481"/>
      <c r="AM191" s="481"/>
      <c r="AN191" s="481"/>
    </row>
    <row r="192" spans="1:40" ht="15.75" customHeight="1" thickBot="1">
      <c r="A192" s="490" t="s">
        <v>83</v>
      </c>
      <c r="B192" s="481" t="s">
        <v>83</v>
      </c>
      <c r="C192" s="652"/>
      <c r="D192" s="653"/>
      <c r="E192" s="654"/>
      <c r="F192" s="655"/>
      <c r="G192" s="656"/>
      <c r="H192" s="654"/>
      <c r="I192" s="655"/>
      <c r="J192" s="656"/>
      <c r="K192" s="654"/>
      <c r="L192" s="655"/>
      <c r="M192" s="656"/>
      <c r="N192" s="655"/>
      <c r="O192" s="656"/>
      <c r="P192" s="654"/>
      <c r="Q192" s="655"/>
      <c r="R192" s="656"/>
      <c r="S192" s="655"/>
      <c r="T192" s="572"/>
      <c r="U192" s="481"/>
      <c r="V192" s="481"/>
      <c r="W192" s="481"/>
      <c r="X192" s="481"/>
      <c r="Y192" s="481"/>
      <c r="Z192" s="481"/>
      <c r="AA192" s="481"/>
      <c r="AB192" s="481"/>
      <c r="AC192" s="481"/>
      <c r="AD192" s="481"/>
      <c r="AE192" s="481"/>
      <c r="AF192" s="481"/>
      <c r="AG192" s="481"/>
      <c r="AH192" s="481"/>
      <c r="AI192" s="481"/>
      <c r="AJ192" s="481"/>
      <c r="AK192" s="481"/>
      <c r="AL192" s="481"/>
      <c r="AM192" s="481"/>
      <c r="AN192" s="481"/>
    </row>
    <row r="193" spans="1:40" ht="24.75" customHeight="1" thickTop="1">
      <c r="A193" s="490" t="s">
        <v>340</v>
      </c>
      <c r="B193" s="481" t="s">
        <v>83</v>
      </c>
      <c r="C193" s="526" t="s">
        <v>96</v>
      </c>
      <c r="D193" s="527"/>
      <c r="E193" s="527">
        <v>226787.81927032204</v>
      </c>
      <c r="F193" s="529">
        <v>152147.72158321098</v>
      </c>
      <c r="G193" s="530"/>
      <c r="H193" s="527"/>
      <c r="I193" s="529"/>
      <c r="J193" s="530"/>
      <c r="K193" s="527">
        <v>269713.07999999996</v>
      </c>
      <c r="L193" s="529">
        <v>180404.30999999997</v>
      </c>
      <c r="M193" s="657">
        <v>-2.006462057901337E-3</v>
      </c>
      <c r="N193" s="529">
        <v>28256.588416788989</v>
      </c>
      <c r="O193" s="530"/>
      <c r="P193" s="527">
        <v>235573.95</v>
      </c>
      <c r="Q193" s="529">
        <v>159232.40000000002</v>
      </c>
      <c r="R193" s="657"/>
      <c r="S193" s="529">
        <v>21171.909999999945</v>
      </c>
      <c r="T193" s="572"/>
      <c r="U193" s="481"/>
      <c r="V193" s="481"/>
      <c r="W193" s="481"/>
      <c r="X193" s="481"/>
      <c r="Y193" s="481"/>
      <c r="Z193" s="481"/>
      <c r="AA193" s="481"/>
      <c r="AB193" s="481"/>
      <c r="AC193" s="481"/>
      <c r="AD193" s="481"/>
      <c r="AE193" s="481"/>
      <c r="AF193" s="481"/>
      <c r="AG193" s="481"/>
      <c r="AH193" s="481"/>
      <c r="AI193" s="481"/>
      <c r="AJ193" s="481"/>
      <c r="AK193" s="481"/>
      <c r="AL193" s="481"/>
      <c r="AM193" s="481"/>
      <c r="AN193" s="481"/>
    </row>
    <row r="194" spans="1:40" ht="24" customHeight="1" thickBot="1">
      <c r="A194" s="490" t="s">
        <v>83</v>
      </c>
      <c r="B194" s="481" t="s">
        <v>83</v>
      </c>
      <c r="C194" s="531"/>
      <c r="D194" s="532"/>
      <c r="E194" s="532"/>
      <c r="F194" s="536">
        <v>0.67088136423172251</v>
      </c>
      <c r="G194" s="531"/>
      <c r="H194" s="532"/>
      <c r="I194" s="536"/>
      <c r="J194" s="531"/>
      <c r="K194" s="532"/>
      <c r="L194" s="536">
        <v>0.66887490217382117</v>
      </c>
      <c r="M194" s="535"/>
      <c r="N194" s="536">
        <v>0.18571811738459193</v>
      </c>
      <c r="O194" s="531"/>
      <c r="P194" s="532"/>
      <c r="Q194" s="536">
        <v>0.67593382035662264</v>
      </c>
      <c r="R194" s="535"/>
      <c r="S194" s="536">
        <v>8.5209274930792933</v>
      </c>
      <c r="T194" s="537"/>
      <c r="U194" s="481"/>
      <c r="V194" s="481"/>
      <c r="W194" s="481"/>
      <c r="X194" s="481"/>
      <c r="Y194" s="481"/>
      <c r="Z194" s="481"/>
      <c r="AA194" s="481"/>
      <c r="AB194" s="481"/>
      <c r="AC194" s="481"/>
      <c r="AD194" s="481"/>
      <c r="AE194" s="481"/>
      <c r="AF194" s="481"/>
      <c r="AG194" s="481"/>
      <c r="AH194" s="481"/>
      <c r="AI194" s="481"/>
      <c r="AJ194" s="481"/>
      <c r="AK194" s="481"/>
      <c r="AL194" s="481"/>
      <c r="AM194" s="481"/>
      <c r="AN194" s="481"/>
    </row>
    <row r="195" spans="1:40" ht="15.75" customHeight="1" thickTop="1">
      <c r="A195" s="490" t="s">
        <v>83</v>
      </c>
      <c r="B195" s="481" t="s">
        <v>83</v>
      </c>
      <c r="C195" s="517"/>
      <c r="D195" s="537"/>
      <c r="E195" s="537"/>
      <c r="F195" s="516"/>
      <c r="G195" s="517"/>
      <c r="H195" s="537"/>
      <c r="I195" s="516"/>
      <c r="J195" s="517"/>
      <c r="K195" s="572"/>
      <c r="L195" s="516"/>
      <c r="M195" s="515"/>
      <c r="N195" s="516"/>
      <c r="O195" s="517"/>
      <c r="P195" s="537"/>
      <c r="Q195" s="516"/>
      <c r="R195" s="515"/>
      <c r="S195" s="516"/>
      <c r="T195" s="537"/>
      <c r="U195" s="481"/>
      <c r="V195" s="481"/>
      <c r="W195" s="481"/>
      <c r="X195" s="481"/>
      <c r="Y195" s="481"/>
      <c r="Z195" s="481"/>
      <c r="AA195" s="481"/>
      <c r="AB195" s="481"/>
      <c r="AC195" s="481"/>
      <c r="AD195" s="481"/>
      <c r="AE195" s="481"/>
      <c r="AF195" s="481"/>
      <c r="AG195" s="481"/>
      <c r="AH195" s="481"/>
      <c r="AI195" s="481"/>
      <c r="AJ195" s="481"/>
      <c r="AK195" s="481"/>
      <c r="AL195" s="481"/>
      <c r="AM195" s="481"/>
      <c r="AN195" s="481"/>
    </row>
    <row r="196" spans="1:40" ht="15.75" customHeight="1">
      <c r="A196" s="490" t="s">
        <v>341</v>
      </c>
      <c r="B196" s="481" t="s">
        <v>83</v>
      </c>
      <c r="C196" s="539" t="s">
        <v>30</v>
      </c>
      <c r="D196" s="481"/>
      <c r="E196" s="481"/>
      <c r="F196" s="524"/>
      <c r="G196" s="498"/>
      <c r="H196" s="481"/>
      <c r="I196" s="524"/>
      <c r="J196" s="498"/>
      <c r="K196" s="481"/>
      <c r="L196" s="508"/>
      <c r="M196" s="498"/>
      <c r="N196" s="508"/>
      <c r="O196" s="498"/>
      <c r="P196" s="481"/>
      <c r="Q196" s="508"/>
      <c r="R196" s="498"/>
      <c r="S196" s="508"/>
      <c r="T196" s="481"/>
      <c r="U196" s="481"/>
      <c r="V196" s="481"/>
      <c r="W196" s="481"/>
      <c r="X196" s="481"/>
      <c r="Y196" s="481"/>
      <c r="Z196" s="481"/>
      <c r="AA196" s="481"/>
      <c r="AB196" s="481"/>
      <c r="AC196" s="481"/>
      <c r="AD196" s="481"/>
      <c r="AE196" s="481"/>
      <c r="AF196" s="481"/>
      <c r="AG196" s="481"/>
      <c r="AH196" s="481"/>
      <c r="AI196" s="481"/>
      <c r="AJ196" s="481"/>
      <c r="AK196" s="481"/>
      <c r="AL196" s="481"/>
      <c r="AM196" s="481"/>
      <c r="AN196" s="481"/>
    </row>
    <row r="197" spans="1:40" ht="15.75" customHeight="1">
      <c r="A197" s="490" t="s">
        <v>342</v>
      </c>
      <c r="B197" s="481" t="s">
        <v>83</v>
      </c>
      <c r="C197" s="565" t="s">
        <v>41</v>
      </c>
      <c r="D197" s="481"/>
      <c r="E197" s="481"/>
      <c r="F197" s="499">
        <v>12721.539463601532</v>
      </c>
      <c r="G197" s="498"/>
      <c r="H197" s="481"/>
      <c r="I197" s="499"/>
      <c r="J197" s="498"/>
      <c r="K197" s="481"/>
      <c r="L197" s="501">
        <v>15471.14</v>
      </c>
      <c r="M197" s="498"/>
      <c r="N197" s="524">
        <v>2749.6005363984677</v>
      </c>
      <c r="O197" s="498"/>
      <c r="P197" s="481"/>
      <c r="Q197" s="501">
        <v>9063.5499999999993</v>
      </c>
      <c r="R197" s="498"/>
      <c r="S197" s="501">
        <v>6407.59</v>
      </c>
      <c r="T197" s="481"/>
      <c r="U197" s="481"/>
      <c r="V197" s="481"/>
      <c r="W197" s="481"/>
      <c r="X197" s="481"/>
      <c r="Y197" s="481"/>
      <c r="Z197" s="481"/>
      <c r="AA197" s="481"/>
      <c r="AB197" s="481"/>
      <c r="AC197" s="481"/>
      <c r="AD197" s="481"/>
      <c r="AE197" s="481"/>
      <c r="AF197" s="481"/>
      <c r="AG197" s="481"/>
      <c r="AH197" s="481"/>
      <c r="AI197" s="481"/>
      <c r="AJ197" s="481"/>
      <c r="AK197" s="481"/>
      <c r="AL197" s="481"/>
      <c r="AM197" s="481"/>
      <c r="AN197" s="481"/>
    </row>
    <row r="198" spans="1:40" ht="15.75" customHeight="1">
      <c r="A198" s="490" t="s">
        <v>343</v>
      </c>
      <c r="B198" s="481" t="s">
        <v>83</v>
      </c>
      <c r="C198" s="566" t="s">
        <v>42</v>
      </c>
      <c r="D198" s="550"/>
      <c r="E198" s="481"/>
      <c r="F198" s="493">
        <v>10086.291954022989</v>
      </c>
      <c r="G198" s="551"/>
      <c r="H198" s="481"/>
      <c r="I198" s="493"/>
      <c r="J198" s="498"/>
      <c r="K198" s="481"/>
      <c r="L198" s="501">
        <v>7065.61</v>
      </c>
      <c r="M198" s="498"/>
      <c r="N198" s="524">
        <v>-3020.681954022989</v>
      </c>
      <c r="O198" s="498"/>
      <c r="P198" s="481"/>
      <c r="Q198" s="501">
        <v>5560.81</v>
      </c>
      <c r="R198" s="498"/>
      <c r="S198" s="524">
        <v>1504.7999999999993</v>
      </c>
      <c r="T198" s="481"/>
      <c r="U198" s="481"/>
      <c r="V198" s="481"/>
      <c r="W198" s="481"/>
      <c r="X198" s="481"/>
      <c r="Y198" s="481"/>
      <c r="Z198" s="481"/>
      <c r="AA198" s="481"/>
      <c r="AB198" s="481"/>
      <c r="AC198" s="481"/>
      <c r="AD198" s="481"/>
      <c r="AE198" s="481"/>
      <c r="AF198" s="481"/>
      <c r="AG198" s="481"/>
      <c r="AH198" s="481"/>
      <c r="AI198" s="481"/>
      <c r="AJ198" s="481"/>
      <c r="AK198" s="481"/>
      <c r="AL198" s="481"/>
      <c r="AM198" s="481"/>
      <c r="AN198" s="481"/>
    </row>
    <row r="199" spans="1:40" ht="20.399999999999999">
      <c r="A199" s="490" t="s">
        <v>344</v>
      </c>
      <c r="B199" s="481" t="s">
        <v>83</v>
      </c>
      <c r="C199" s="565" t="s">
        <v>43</v>
      </c>
      <c r="D199" s="567"/>
      <c r="E199" s="568"/>
      <c r="F199" s="499">
        <v>12981.605363984674</v>
      </c>
      <c r="G199" s="569"/>
      <c r="H199" s="568"/>
      <c r="I199" s="499"/>
      <c r="J199" s="485"/>
      <c r="K199" s="568"/>
      <c r="L199" s="520">
        <v>5232</v>
      </c>
      <c r="M199" s="485"/>
      <c r="N199" s="570">
        <v>-7749.6053639846741</v>
      </c>
      <c r="O199" s="485"/>
      <c r="P199" s="568"/>
      <c r="Q199" s="520">
        <v>17561.88</v>
      </c>
      <c r="R199" s="485"/>
      <c r="S199" s="570">
        <v>-12329.880000000001</v>
      </c>
      <c r="T199" s="481"/>
      <c r="U199" s="481"/>
      <c r="V199" s="481"/>
      <c r="W199" s="481"/>
      <c r="X199" s="481"/>
      <c r="Y199" s="481">
        <v>4875</v>
      </c>
      <c r="Z199" s="481"/>
      <c r="AA199" s="481"/>
      <c r="AB199" s="481"/>
      <c r="AC199" s="481"/>
      <c r="AD199" s="481"/>
      <c r="AE199" s="481"/>
      <c r="AF199" s="481"/>
      <c r="AG199" s="481"/>
      <c r="AH199" s="481"/>
      <c r="AI199" s="481"/>
      <c r="AJ199" s="481"/>
      <c r="AK199" s="481"/>
      <c r="AL199" s="481"/>
      <c r="AM199" s="481"/>
      <c r="AN199" s="481"/>
    </row>
    <row r="200" spans="1:40" ht="21.75" customHeight="1">
      <c r="A200" s="490" t="s">
        <v>345</v>
      </c>
      <c r="B200" s="481" t="s">
        <v>83</v>
      </c>
      <c r="C200" s="565" t="s">
        <v>44</v>
      </c>
      <c r="D200" s="550"/>
      <c r="E200" s="481"/>
      <c r="F200" s="499">
        <v>30623.097033317408</v>
      </c>
      <c r="G200" s="551"/>
      <c r="H200" s="481"/>
      <c r="I200" s="499"/>
      <c r="J200" s="498"/>
      <c r="K200" s="481"/>
      <c r="L200" s="501">
        <v>23983.360000000001</v>
      </c>
      <c r="M200" s="498"/>
      <c r="N200" s="524">
        <v>-6639.7370333174076</v>
      </c>
      <c r="O200" s="498"/>
      <c r="P200" s="481"/>
      <c r="Q200" s="501">
        <v>24792.86</v>
      </c>
      <c r="R200" s="498"/>
      <c r="S200" s="524">
        <v>-809.5</v>
      </c>
      <c r="T200" s="481"/>
      <c r="U200" s="481"/>
      <c r="V200" s="481"/>
      <c r="W200" s="481"/>
      <c r="X200" s="481"/>
      <c r="Y200" s="481"/>
      <c r="Z200" s="481"/>
      <c r="AA200" s="481"/>
      <c r="AB200" s="481"/>
      <c r="AC200" s="481"/>
      <c r="AD200" s="481"/>
      <c r="AE200" s="481"/>
      <c r="AF200" s="481"/>
      <c r="AG200" s="481"/>
      <c r="AH200" s="481"/>
      <c r="AI200" s="481"/>
      <c r="AJ200" s="481"/>
      <c r="AK200" s="481"/>
      <c r="AL200" s="481"/>
      <c r="AM200" s="481"/>
      <c r="AN200" s="481"/>
    </row>
    <row r="201" spans="1:40" ht="15.75" hidden="1" customHeight="1">
      <c r="A201" s="490" t="s">
        <v>346</v>
      </c>
      <c r="B201" s="481" t="s">
        <v>83</v>
      </c>
      <c r="C201" s="498" t="s">
        <v>20</v>
      </c>
      <c r="D201" s="550"/>
      <c r="E201" s="481"/>
      <c r="F201" s="499">
        <v>0</v>
      </c>
      <c r="G201" s="551"/>
      <c r="H201" s="481"/>
      <c r="I201" s="499"/>
      <c r="J201" s="498"/>
      <c r="K201" s="481"/>
      <c r="L201" s="501">
        <v>0</v>
      </c>
      <c r="M201" s="498"/>
      <c r="N201" s="524">
        <v>0</v>
      </c>
      <c r="O201" s="498"/>
      <c r="P201" s="481"/>
      <c r="Q201" s="501">
        <v>0</v>
      </c>
      <c r="R201" s="498"/>
      <c r="S201" s="524">
        <v>0</v>
      </c>
      <c r="T201" s="481"/>
      <c r="U201" s="481"/>
      <c r="V201" s="481"/>
      <c r="W201" s="481"/>
      <c r="X201" s="481"/>
      <c r="Y201" s="481"/>
      <c r="Z201" s="481"/>
      <c r="AA201" s="481"/>
      <c r="AB201" s="481"/>
      <c r="AC201" s="481"/>
      <c r="AD201" s="481"/>
      <c r="AE201" s="481"/>
      <c r="AF201" s="481"/>
      <c r="AG201" s="481"/>
      <c r="AH201" s="481"/>
      <c r="AI201" s="481"/>
      <c r="AJ201" s="481"/>
      <c r="AK201" s="481"/>
      <c r="AL201" s="481"/>
      <c r="AM201" s="481"/>
      <c r="AN201" s="481"/>
    </row>
    <row r="202" spans="1:40" ht="15.75" hidden="1" customHeight="1">
      <c r="A202" s="490" t="s">
        <v>346</v>
      </c>
      <c r="B202" s="481" t="s">
        <v>83</v>
      </c>
      <c r="C202" s="498" t="s">
        <v>20</v>
      </c>
      <c r="D202" s="550"/>
      <c r="E202" s="481"/>
      <c r="F202" s="499">
        <v>0</v>
      </c>
      <c r="G202" s="551"/>
      <c r="H202" s="481"/>
      <c r="I202" s="499"/>
      <c r="J202" s="498"/>
      <c r="K202" s="481"/>
      <c r="L202" s="501">
        <v>0</v>
      </c>
      <c r="M202" s="498"/>
      <c r="N202" s="524">
        <v>0</v>
      </c>
      <c r="O202" s="498"/>
      <c r="P202" s="481"/>
      <c r="Q202" s="501">
        <v>0</v>
      </c>
      <c r="R202" s="498"/>
      <c r="S202" s="524">
        <v>0</v>
      </c>
      <c r="T202" s="481"/>
      <c r="U202" s="481"/>
      <c r="V202" s="481"/>
      <c r="W202" s="481"/>
      <c r="X202" s="481"/>
      <c r="Y202" s="481"/>
      <c r="Z202" s="481"/>
      <c r="AA202" s="481"/>
      <c r="AB202" s="481"/>
      <c r="AC202" s="481"/>
      <c r="AD202" s="481"/>
      <c r="AE202" s="481"/>
      <c r="AF202" s="481"/>
      <c r="AG202" s="481"/>
      <c r="AH202" s="481"/>
      <c r="AI202" s="481"/>
      <c r="AJ202" s="481"/>
      <c r="AK202" s="481"/>
      <c r="AL202" s="481"/>
      <c r="AM202" s="481"/>
      <c r="AN202" s="481"/>
    </row>
    <row r="203" spans="1:40" ht="15.75" hidden="1" customHeight="1">
      <c r="A203" s="490" t="s">
        <v>346</v>
      </c>
      <c r="B203" s="481" t="s">
        <v>83</v>
      </c>
      <c r="C203" s="498" t="s">
        <v>20</v>
      </c>
      <c r="D203" s="550"/>
      <c r="E203" s="481"/>
      <c r="F203" s="499">
        <v>0</v>
      </c>
      <c r="G203" s="551"/>
      <c r="H203" s="481"/>
      <c r="I203" s="499"/>
      <c r="J203" s="498"/>
      <c r="K203" s="481"/>
      <c r="L203" s="501">
        <v>0</v>
      </c>
      <c r="M203" s="498"/>
      <c r="N203" s="524">
        <v>0</v>
      </c>
      <c r="O203" s="498"/>
      <c r="P203" s="481"/>
      <c r="Q203" s="501">
        <v>0</v>
      </c>
      <c r="R203" s="498"/>
      <c r="S203" s="524">
        <v>0</v>
      </c>
      <c r="T203" s="481"/>
      <c r="U203" s="481"/>
      <c r="V203" s="481"/>
      <c r="W203" s="481"/>
      <c r="X203" s="481"/>
      <c r="Y203" s="481"/>
      <c r="Z203" s="481"/>
      <c r="AA203" s="481"/>
      <c r="AB203" s="481"/>
      <c r="AC203" s="481"/>
      <c r="AD203" s="481"/>
      <c r="AE203" s="481"/>
      <c r="AF203" s="481"/>
      <c r="AG203" s="481"/>
      <c r="AH203" s="481"/>
      <c r="AI203" s="481"/>
      <c r="AJ203" s="481"/>
      <c r="AK203" s="481"/>
      <c r="AL203" s="481"/>
      <c r="AM203" s="481"/>
      <c r="AN203" s="481"/>
    </row>
    <row r="204" spans="1:40" ht="21.75" customHeight="1">
      <c r="A204" s="490" t="s">
        <v>347</v>
      </c>
      <c r="B204" s="481" t="s">
        <v>83</v>
      </c>
      <c r="C204" s="566" t="s">
        <v>45</v>
      </c>
      <c r="D204" s="550"/>
      <c r="E204" s="481"/>
      <c r="F204" s="499">
        <v>14145.500554724578</v>
      </c>
      <c r="G204" s="551"/>
      <c r="H204" s="481"/>
      <c r="I204" s="499"/>
      <c r="J204" s="498"/>
      <c r="K204" s="481"/>
      <c r="L204" s="501">
        <v>16870.189999999999</v>
      </c>
      <c r="M204" s="498"/>
      <c r="N204" s="524">
        <v>2724.6894452754204</v>
      </c>
      <c r="O204" s="498"/>
      <c r="P204" s="481"/>
      <c r="Q204" s="501">
        <v>19707.28</v>
      </c>
      <c r="R204" s="498"/>
      <c r="S204" s="524">
        <v>-2837.09</v>
      </c>
      <c r="T204" s="481"/>
      <c r="U204" s="481"/>
      <c r="V204" s="481"/>
      <c r="W204" s="481"/>
      <c r="X204" s="481"/>
      <c r="Y204" s="481"/>
      <c r="Z204" s="481"/>
      <c r="AA204" s="481"/>
      <c r="AB204" s="481"/>
      <c r="AC204" s="481"/>
      <c r="AD204" s="481"/>
      <c r="AE204" s="481"/>
      <c r="AF204" s="481"/>
      <c r="AG204" s="481"/>
      <c r="AH204" s="481"/>
      <c r="AI204" s="481"/>
      <c r="AJ204" s="481"/>
      <c r="AK204" s="481"/>
      <c r="AL204" s="481"/>
      <c r="AM204" s="481"/>
      <c r="AN204" s="481"/>
    </row>
    <row r="205" spans="1:40" ht="15.75" customHeight="1">
      <c r="A205" s="490" t="s">
        <v>348</v>
      </c>
      <c r="B205" s="481" t="s">
        <v>83</v>
      </c>
      <c r="C205" s="565" t="s">
        <v>46</v>
      </c>
      <c r="D205" s="567"/>
      <c r="E205" s="568"/>
      <c r="F205" s="520">
        <v>14062.020279103181</v>
      </c>
      <c r="G205" s="569"/>
      <c r="H205" s="568"/>
      <c r="I205" s="520"/>
      <c r="J205" s="485"/>
      <c r="K205" s="568"/>
      <c r="L205" s="520">
        <v>20788.66</v>
      </c>
      <c r="M205" s="485"/>
      <c r="N205" s="570">
        <v>6726.6397208968192</v>
      </c>
      <c r="O205" s="485"/>
      <c r="P205" s="568"/>
      <c r="Q205" s="520">
        <v>16808.12</v>
      </c>
      <c r="R205" s="485"/>
      <c r="S205" s="570">
        <v>3980.5400000000009</v>
      </c>
      <c r="T205" s="481"/>
      <c r="U205" s="481"/>
      <c r="V205" s="481">
        <v>1869.3333333333333</v>
      </c>
      <c r="W205" s="481"/>
      <c r="X205" s="481"/>
      <c r="Y205" s="481"/>
      <c r="Z205" s="481"/>
      <c r="AA205" s="481"/>
      <c r="AB205" s="481"/>
      <c r="AC205" s="481"/>
      <c r="AD205" s="481"/>
      <c r="AE205" s="481"/>
      <c r="AF205" s="481"/>
      <c r="AG205" s="481"/>
      <c r="AH205" s="481"/>
      <c r="AI205" s="481"/>
      <c r="AJ205" s="481"/>
      <c r="AK205" s="481"/>
      <c r="AL205" s="481"/>
      <c r="AM205" s="481"/>
      <c r="AN205" s="481"/>
    </row>
    <row r="206" spans="1:40" ht="15.75" customHeight="1">
      <c r="A206" s="490" t="s">
        <v>349</v>
      </c>
      <c r="B206" s="481" t="s">
        <v>83</v>
      </c>
      <c r="C206" s="565" t="s">
        <v>47</v>
      </c>
      <c r="D206" s="550"/>
      <c r="E206" s="481"/>
      <c r="F206" s="499">
        <v>9847.0426736999798</v>
      </c>
      <c r="G206" s="551"/>
      <c r="H206" s="481"/>
      <c r="I206" s="499"/>
      <c r="J206" s="498"/>
      <c r="K206" s="481"/>
      <c r="L206" s="501">
        <v>10049.94</v>
      </c>
      <c r="M206" s="498"/>
      <c r="N206" s="524">
        <v>202.89732630002072</v>
      </c>
      <c r="O206" s="498"/>
      <c r="P206" s="481"/>
      <c r="Q206" s="501">
        <v>5840.27</v>
      </c>
      <c r="R206" s="498"/>
      <c r="S206" s="524">
        <v>4209.67</v>
      </c>
      <c r="T206" s="481"/>
      <c r="U206" s="481"/>
      <c r="V206" s="481"/>
      <c r="W206" s="481"/>
      <c r="X206" s="481"/>
      <c r="Y206" s="481"/>
      <c r="Z206" s="481"/>
      <c r="AA206" s="481"/>
      <c r="AB206" s="481"/>
      <c r="AC206" s="481"/>
      <c r="AD206" s="481"/>
      <c r="AE206" s="481"/>
      <c r="AF206" s="481"/>
      <c r="AG206" s="481"/>
      <c r="AH206" s="481"/>
      <c r="AI206" s="481"/>
      <c r="AJ206" s="481"/>
      <c r="AK206" s="481"/>
      <c r="AL206" s="481"/>
      <c r="AM206" s="481"/>
      <c r="AN206" s="481"/>
    </row>
    <row r="207" spans="1:40" ht="15.75" customHeight="1">
      <c r="A207" s="490" t="s">
        <v>350</v>
      </c>
      <c r="B207" s="481" t="s">
        <v>83</v>
      </c>
      <c r="C207" s="565" t="s">
        <v>48</v>
      </c>
      <c r="D207" s="550"/>
      <c r="E207" s="481"/>
      <c r="F207" s="499">
        <v>4704.2161117414726</v>
      </c>
      <c r="G207" s="551"/>
      <c r="H207" s="481"/>
      <c r="I207" s="499"/>
      <c r="J207" s="498"/>
      <c r="K207" s="481"/>
      <c r="L207" s="501">
        <v>3934.27</v>
      </c>
      <c r="M207" s="498"/>
      <c r="N207" s="524">
        <v>-769.94611174147258</v>
      </c>
      <c r="O207" s="498"/>
      <c r="P207" s="481"/>
      <c r="Q207" s="501">
        <v>7273.93</v>
      </c>
      <c r="R207" s="498"/>
      <c r="S207" s="524">
        <v>-3339.6600000000003</v>
      </c>
      <c r="T207" s="481"/>
      <c r="U207" s="481"/>
      <c r="V207" s="481"/>
      <c r="W207" s="481"/>
      <c r="X207" s="481"/>
      <c r="Y207" s="481"/>
      <c r="Z207" s="481"/>
      <c r="AA207" s="481"/>
      <c r="AB207" s="481"/>
      <c r="AC207" s="481"/>
      <c r="AD207" s="481"/>
      <c r="AE207" s="481"/>
      <c r="AF207" s="481"/>
      <c r="AG207" s="481"/>
      <c r="AH207" s="481"/>
      <c r="AI207" s="481"/>
      <c r="AJ207" s="481"/>
      <c r="AK207" s="481"/>
      <c r="AL207" s="481"/>
      <c r="AM207" s="481"/>
      <c r="AN207" s="481"/>
    </row>
    <row r="208" spans="1:40" ht="15.75" hidden="1" customHeight="1">
      <c r="A208" s="490" t="s">
        <v>346</v>
      </c>
      <c r="B208" s="481" t="s">
        <v>83</v>
      </c>
      <c r="C208" s="498" t="s">
        <v>20</v>
      </c>
      <c r="D208" s="552"/>
      <c r="E208" s="571"/>
      <c r="F208" s="499">
        <v>0</v>
      </c>
      <c r="G208" s="553"/>
      <c r="H208" s="571"/>
      <c r="I208" s="499"/>
      <c r="J208" s="491"/>
      <c r="K208" s="571"/>
      <c r="L208" s="501">
        <v>0</v>
      </c>
      <c r="M208" s="491"/>
      <c r="N208" s="547">
        <v>0</v>
      </c>
      <c r="O208" s="491"/>
      <c r="P208" s="571"/>
      <c r="Q208" s="501">
        <v>0</v>
      </c>
      <c r="R208" s="491"/>
      <c r="S208" s="547">
        <v>0</v>
      </c>
      <c r="T208" s="481"/>
      <c r="U208" s="481"/>
      <c r="V208" s="481"/>
      <c r="W208" s="481"/>
      <c r="X208" s="481"/>
      <c r="Y208" s="481"/>
      <c r="Z208" s="481"/>
      <c r="AA208" s="481"/>
      <c r="AB208" s="481"/>
      <c r="AC208" s="481"/>
      <c r="AD208" s="481"/>
      <c r="AE208" s="481"/>
      <c r="AF208" s="481"/>
      <c r="AG208" s="481"/>
      <c r="AH208" s="481"/>
      <c r="AI208" s="481"/>
      <c r="AJ208" s="481"/>
      <c r="AK208" s="481"/>
      <c r="AL208" s="481"/>
      <c r="AM208" s="481"/>
      <c r="AN208" s="481"/>
    </row>
    <row r="209" spans="1:40" ht="15.75" customHeight="1">
      <c r="A209" s="490" t="s">
        <v>351</v>
      </c>
      <c r="B209" s="481" t="s">
        <v>83</v>
      </c>
      <c r="C209" s="557" t="s">
        <v>49</v>
      </c>
      <c r="D209" s="558" t="s">
        <v>97</v>
      </c>
      <c r="E209" s="559">
        <v>0.71753498703882357</v>
      </c>
      <c r="F209" s="560">
        <v>109171.31343419582</v>
      </c>
      <c r="G209" s="561"/>
      <c r="H209" s="559"/>
      <c r="I209" s="560"/>
      <c r="J209" s="561" t="s">
        <v>97</v>
      </c>
      <c r="K209" s="559">
        <v>0.57313026501417863</v>
      </c>
      <c r="L209" s="560">
        <v>103395.17000000001</v>
      </c>
      <c r="M209" s="610"/>
      <c r="N209" s="573">
        <v>-5776.1434341958084</v>
      </c>
      <c r="O209" s="561" t="s">
        <v>97</v>
      </c>
      <c r="P209" s="559">
        <v>0.66951637983224521</v>
      </c>
      <c r="Q209" s="560">
        <v>106608.70000000001</v>
      </c>
      <c r="R209" s="610"/>
      <c r="S209" s="573">
        <v>-3213.5299999999988</v>
      </c>
      <c r="T209" s="481"/>
      <c r="U209" s="481"/>
      <c r="V209" s="481"/>
      <c r="W209" s="481"/>
      <c r="X209" s="481"/>
      <c r="Y209" s="481"/>
      <c r="Z209" s="481"/>
      <c r="AA209" s="481"/>
      <c r="AB209" s="481"/>
      <c r="AC209" s="481"/>
      <c r="AD209" s="481"/>
      <c r="AE209" s="481"/>
      <c r="AF209" s="481"/>
      <c r="AG209" s="481"/>
      <c r="AH209" s="481"/>
      <c r="AI209" s="481"/>
      <c r="AJ209" s="481"/>
      <c r="AK209" s="481"/>
      <c r="AL209" s="481"/>
      <c r="AM209" s="481"/>
      <c r="AN209" s="481"/>
    </row>
    <row r="210" spans="1:40" ht="15.75" customHeight="1">
      <c r="A210" s="490" t="s">
        <v>352</v>
      </c>
      <c r="B210" s="481" t="s">
        <v>83</v>
      </c>
      <c r="C210" s="498" t="s">
        <v>50</v>
      </c>
      <c r="D210" s="550"/>
      <c r="E210" s="481"/>
      <c r="F210" s="499">
        <v>8429.5936020833342</v>
      </c>
      <c r="G210" s="551"/>
      <c r="H210" s="481"/>
      <c r="I210" s="499"/>
      <c r="J210" s="498"/>
      <c r="K210" s="481"/>
      <c r="L210" s="501">
        <v>12593.62</v>
      </c>
      <c r="M210" s="498"/>
      <c r="N210" s="524">
        <v>4164.0263979166666</v>
      </c>
      <c r="O210" s="498"/>
      <c r="P210" s="481"/>
      <c r="Q210" s="501">
        <v>9723.5400000000009</v>
      </c>
      <c r="R210" s="498"/>
      <c r="S210" s="524">
        <v>2870.08</v>
      </c>
      <c r="T210" s="481"/>
      <c r="U210" s="481"/>
      <c r="V210" s="481"/>
      <c r="W210" s="481"/>
      <c r="X210" s="481"/>
      <c r="Y210" s="481"/>
      <c r="Z210" s="481"/>
      <c r="AA210" s="481"/>
      <c r="AB210" s="481"/>
      <c r="AC210" s="481"/>
      <c r="AD210" s="481"/>
      <c r="AE210" s="481"/>
      <c r="AF210" s="481"/>
      <c r="AG210" s="481"/>
      <c r="AH210" s="481"/>
      <c r="AI210" s="481"/>
      <c r="AJ210" s="481"/>
      <c r="AK210" s="481"/>
      <c r="AL210" s="481"/>
      <c r="AM210" s="481"/>
      <c r="AN210" s="481"/>
    </row>
    <row r="211" spans="1:40" ht="15.75" customHeight="1">
      <c r="A211" s="490" t="s">
        <v>353</v>
      </c>
      <c r="B211" s="481" t="s">
        <v>83</v>
      </c>
      <c r="C211" s="498" t="s">
        <v>51</v>
      </c>
      <c r="D211" s="550"/>
      <c r="E211" s="481"/>
      <c r="F211" s="499">
        <v>2295.7079729336124</v>
      </c>
      <c r="G211" s="551"/>
      <c r="H211" s="481"/>
      <c r="I211" s="499"/>
      <c r="J211" s="498"/>
      <c r="K211" s="481"/>
      <c r="L211" s="501">
        <v>4847.43</v>
      </c>
      <c r="M211" s="498"/>
      <c r="N211" s="524">
        <v>2551.7220270663879</v>
      </c>
      <c r="O211" s="498"/>
      <c r="P211" s="481"/>
      <c r="Q211" s="501">
        <v>2142.3200000000002</v>
      </c>
      <c r="R211" s="498"/>
      <c r="S211" s="524">
        <v>2705.11</v>
      </c>
      <c r="T211" s="481"/>
      <c r="U211" s="481"/>
      <c r="V211" s="481"/>
      <c r="W211" s="481"/>
      <c r="X211" s="481"/>
      <c r="Y211" s="481"/>
      <c r="Z211" s="481"/>
      <c r="AA211" s="481"/>
      <c r="AB211" s="481"/>
      <c r="AC211" s="481"/>
      <c r="AD211" s="481"/>
      <c r="AE211" s="481"/>
      <c r="AF211" s="481"/>
      <c r="AG211" s="481"/>
      <c r="AH211" s="481"/>
      <c r="AI211" s="481"/>
      <c r="AJ211" s="481"/>
      <c r="AK211" s="481"/>
      <c r="AL211" s="481"/>
      <c r="AM211" s="481"/>
      <c r="AN211" s="481"/>
    </row>
    <row r="212" spans="1:40" ht="15.75" customHeight="1">
      <c r="A212" s="490" t="s">
        <v>354</v>
      </c>
      <c r="B212" s="481" t="s">
        <v>83</v>
      </c>
      <c r="C212" s="491" t="s">
        <v>52</v>
      </c>
      <c r="D212" s="552"/>
      <c r="E212" s="571"/>
      <c r="F212" s="493">
        <v>13231.666666666666</v>
      </c>
      <c r="G212" s="553"/>
      <c r="H212" s="571"/>
      <c r="I212" s="493"/>
      <c r="J212" s="491"/>
      <c r="K212" s="571"/>
      <c r="L212" s="501">
        <v>14517.16</v>
      </c>
      <c r="M212" s="491"/>
      <c r="N212" s="547">
        <v>1285.4933333333338</v>
      </c>
      <c r="O212" s="491"/>
      <c r="P212" s="571"/>
      <c r="Q212" s="501">
        <v>15595.63</v>
      </c>
      <c r="R212" s="491"/>
      <c r="S212" s="547">
        <v>-1078.4699999999993</v>
      </c>
      <c r="T212" s="481"/>
      <c r="U212" s="481"/>
      <c r="V212" s="481"/>
      <c r="W212" s="481"/>
      <c r="X212" s="481"/>
      <c r="Y212" s="481"/>
      <c r="Z212" s="481"/>
      <c r="AA212" s="481"/>
      <c r="AB212" s="481"/>
      <c r="AC212" s="481"/>
      <c r="AD212" s="481"/>
      <c r="AE212" s="481"/>
      <c r="AF212" s="481"/>
      <c r="AG212" s="481"/>
      <c r="AH212" s="481"/>
      <c r="AI212" s="481"/>
      <c r="AJ212" s="481"/>
      <c r="AK212" s="481"/>
      <c r="AL212" s="481"/>
      <c r="AM212" s="481"/>
      <c r="AN212" s="481"/>
    </row>
    <row r="213" spans="1:40" ht="15.75" customHeight="1">
      <c r="A213" s="490" t="s">
        <v>355</v>
      </c>
      <c r="B213" s="481" t="s">
        <v>83</v>
      </c>
      <c r="C213" s="498" t="s">
        <v>53</v>
      </c>
      <c r="D213" s="550"/>
      <c r="E213" s="481"/>
      <c r="F213" s="499">
        <v>6003.0056239999994</v>
      </c>
      <c r="G213" s="551"/>
      <c r="H213" s="481"/>
      <c r="I213" s="499"/>
      <c r="J213" s="498"/>
      <c r="K213" s="481"/>
      <c r="L213" s="520">
        <v>4994.3100000000004</v>
      </c>
      <c r="M213" s="498"/>
      <c r="N213" s="524">
        <v>-1008.695623999999</v>
      </c>
      <c r="O213" s="498"/>
      <c r="P213" s="481"/>
      <c r="Q213" s="520">
        <v>4091.51</v>
      </c>
      <c r="R213" s="498"/>
      <c r="S213" s="524">
        <v>902.80000000000018</v>
      </c>
      <c r="T213" s="481"/>
      <c r="U213" s="481"/>
      <c r="V213" s="481"/>
      <c r="W213" s="481"/>
      <c r="X213" s="481"/>
      <c r="Y213" s="481"/>
      <c r="Z213" s="481"/>
      <c r="AA213" s="481"/>
      <c r="AB213" s="481"/>
      <c r="AC213" s="481"/>
      <c r="AD213" s="481"/>
      <c r="AE213" s="481"/>
      <c r="AF213" s="481"/>
      <c r="AG213" s="481"/>
      <c r="AH213" s="481"/>
      <c r="AI213" s="481"/>
      <c r="AJ213" s="481"/>
      <c r="AK213" s="481"/>
      <c r="AL213" s="481"/>
      <c r="AM213" s="481"/>
      <c r="AN213" s="481"/>
    </row>
    <row r="214" spans="1:40" ht="15.75" customHeight="1">
      <c r="A214" s="490" t="s">
        <v>356</v>
      </c>
      <c r="B214" s="481" t="s">
        <v>83</v>
      </c>
      <c r="C214" s="498" t="s">
        <v>54</v>
      </c>
      <c r="D214" s="550"/>
      <c r="E214" s="481"/>
      <c r="F214" s="499">
        <v>750.06603349999989</v>
      </c>
      <c r="G214" s="551"/>
      <c r="H214" s="481"/>
      <c r="I214" s="499"/>
      <c r="J214" s="498"/>
      <c r="K214" s="481"/>
      <c r="L214" s="501">
        <v>1758.01</v>
      </c>
      <c r="M214" s="498"/>
      <c r="N214" s="524">
        <v>1007.9439665000001</v>
      </c>
      <c r="O214" s="498"/>
      <c r="P214" s="481"/>
      <c r="Q214" s="501">
        <v>901.28</v>
      </c>
      <c r="R214" s="498"/>
      <c r="S214" s="524">
        <v>856.73</v>
      </c>
      <c r="T214" s="481"/>
      <c r="U214" s="481"/>
      <c r="V214" s="481"/>
      <c r="W214" s="481"/>
      <c r="X214" s="481"/>
      <c r="Y214" s="481"/>
      <c r="Z214" s="481"/>
      <c r="AA214" s="481"/>
      <c r="AB214" s="481"/>
      <c r="AC214" s="481"/>
      <c r="AD214" s="481"/>
      <c r="AE214" s="481"/>
      <c r="AF214" s="481"/>
      <c r="AG214" s="481"/>
      <c r="AH214" s="481"/>
      <c r="AI214" s="481"/>
      <c r="AJ214" s="481"/>
      <c r="AK214" s="481"/>
      <c r="AL214" s="481"/>
      <c r="AM214" s="481"/>
      <c r="AN214" s="481"/>
    </row>
    <row r="215" spans="1:40" ht="15.75" customHeight="1">
      <c r="A215" s="490" t="s">
        <v>357</v>
      </c>
      <c r="B215" s="481" t="s">
        <v>83</v>
      </c>
      <c r="C215" s="491" t="s">
        <v>55</v>
      </c>
      <c r="D215" s="552"/>
      <c r="E215" s="571"/>
      <c r="F215" s="493">
        <v>3091.3839973333334</v>
      </c>
      <c r="G215" s="553"/>
      <c r="H215" s="571"/>
      <c r="I215" s="493"/>
      <c r="J215" s="491"/>
      <c r="K215" s="571"/>
      <c r="L215" s="501">
        <v>2838</v>
      </c>
      <c r="M215" s="491"/>
      <c r="N215" s="547">
        <v>-253.38399733333335</v>
      </c>
      <c r="O215" s="491"/>
      <c r="P215" s="571"/>
      <c r="Q215" s="501">
        <v>1941.65</v>
      </c>
      <c r="R215" s="491"/>
      <c r="S215" s="547">
        <v>896.34999999999991</v>
      </c>
      <c r="T215" s="481"/>
      <c r="U215" s="481"/>
      <c r="V215" s="481"/>
      <c r="W215" s="481"/>
      <c r="X215" s="481"/>
      <c r="Y215" s="481"/>
      <c r="Z215" s="481"/>
      <c r="AA215" s="481"/>
      <c r="AB215" s="481"/>
      <c r="AC215" s="481"/>
      <c r="AD215" s="481"/>
      <c r="AE215" s="481"/>
      <c r="AF215" s="481"/>
      <c r="AG215" s="481"/>
      <c r="AH215" s="481"/>
      <c r="AI215" s="481"/>
      <c r="AJ215" s="481"/>
      <c r="AK215" s="481"/>
      <c r="AL215" s="481"/>
      <c r="AM215" s="481"/>
      <c r="AN215" s="481"/>
    </row>
    <row r="216" spans="1:40" ht="15.75" customHeight="1">
      <c r="A216" s="490" t="s">
        <v>358</v>
      </c>
      <c r="B216" s="481" t="s">
        <v>83</v>
      </c>
      <c r="C216" s="498" t="s">
        <v>98</v>
      </c>
      <c r="D216" s="550"/>
      <c r="E216" s="481"/>
      <c r="F216" s="499"/>
      <c r="G216" s="551"/>
      <c r="H216" s="481"/>
      <c r="I216" s="499"/>
      <c r="J216" s="498"/>
      <c r="K216" s="481"/>
      <c r="L216" s="520">
        <v>0</v>
      </c>
      <c r="M216" s="498"/>
      <c r="N216" s="524">
        <v>0</v>
      </c>
      <c r="O216" s="498"/>
      <c r="P216" s="481"/>
      <c r="Q216" s="520">
        <v>0</v>
      </c>
      <c r="R216" s="498"/>
      <c r="S216" s="524">
        <v>0</v>
      </c>
      <c r="T216" s="481"/>
      <c r="U216" s="481"/>
      <c r="V216" s="481"/>
      <c r="W216" s="481"/>
      <c r="X216" s="481"/>
      <c r="Y216" s="481"/>
      <c r="Z216" s="481"/>
      <c r="AA216" s="481"/>
      <c r="AB216" s="481"/>
      <c r="AC216" s="481"/>
      <c r="AD216" s="481"/>
      <c r="AE216" s="481"/>
      <c r="AF216" s="481"/>
      <c r="AG216" s="481"/>
      <c r="AH216" s="481"/>
      <c r="AI216" s="481"/>
      <c r="AJ216" s="481"/>
      <c r="AK216" s="481"/>
      <c r="AL216" s="481"/>
      <c r="AM216" s="481"/>
      <c r="AN216" s="481"/>
    </row>
    <row r="217" spans="1:40" ht="15.75" customHeight="1">
      <c r="A217" s="490" t="s">
        <v>359</v>
      </c>
      <c r="B217" s="481" t="s">
        <v>83</v>
      </c>
      <c r="C217" s="498" t="s">
        <v>56</v>
      </c>
      <c r="D217" s="550"/>
      <c r="E217" s="481"/>
      <c r="F217" s="499">
        <v>1568.6099539451754</v>
      </c>
      <c r="G217" s="551"/>
      <c r="H217" s="481"/>
      <c r="I217" s="499"/>
      <c r="J217" s="498"/>
      <c r="K217" s="481"/>
      <c r="L217" s="501">
        <v>8929.44</v>
      </c>
      <c r="M217" s="498"/>
      <c r="N217" s="524">
        <v>7360.8300460548253</v>
      </c>
      <c r="O217" s="498"/>
      <c r="P217" s="481"/>
      <c r="Q217" s="501">
        <v>700.67</v>
      </c>
      <c r="R217" s="498"/>
      <c r="S217" s="524">
        <v>8228.77</v>
      </c>
      <c r="T217" s="481"/>
      <c r="U217" s="481"/>
      <c r="V217" s="481"/>
      <c r="W217" s="481"/>
      <c r="X217" s="481"/>
      <c r="Y217" s="481"/>
      <c r="Z217" s="481"/>
      <c r="AA217" s="481"/>
      <c r="AB217" s="481"/>
      <c r="AC217" s="481"/>
      <c r="AD217" s="481"/>
      <c r="AE217" s="481"/>
      <c r="AF217" s="481"/>
      <c r="AG217" s="481"/>
      <c r="AH217" s="481"/>
      <c r="AI217" s="481"/>
      <c r="AJ217" s="481"/>
      <c r="AK217" s="481"/>
      <c r="AL217" s="481"/>
      <c r="AM217" s="481"/>
      <c r="AN217" s="481"/>
    </row>
    <row r="218" spans="1:40" ht="15.75" customHeight="1">
      <c r="A218" s="490" t="s">
        <v>360</v>
      </c>
      <c r="B218" s="481" t="s">
        <v>83</v>
      </c>
      <c r="C218" s="498" t="s">
        <v>57</v>
      </c>
      <c r="D218" s="550"/>
      <c r="E218" s="481"/>
      <c r="F218" s="499">
        <v>810.01229562880167</v>
      </c>
      <c r="G218" s="551"/>
      <c r="H218" s="481"/>
      <c r="I218" s="499"/>
      <c r="J218" s="498"/>
      <c r="K218" s="481"/>
      <c r="L218" s="501">
        <v>1535.27</v>
      </c>
      <c r="M218" s="498"/>
      <c r="N218" s="524">
        <v>725.25770437119832</v>
      </c>
      <c r="O218" s="498"/>
      <c r="P218" s="481"/>
      <c r="Q218" s="501">
        <v>325.68</v>
      </c>
      <c r="R218" s="498"/>
      <c r="S218" s="524">
        <v>1209.5899999999999</v>
      </c>
      <c r="T218" s="481"/>
      <c r="U218" s="481"/>
      <c r="V218" s="481"/>
      <c r="W218" s="481"/>
      <c r="X218" s="481"/>
      <c r="Y218" s="481"/>
      <c r="Z218" s="481"/>
      <c r="AA218" s="481"/>
      <c r="AB218" s="481"/>
      <c r="AC218" s="481"/>
      <c r="AD218" s="481"/>
      <c r="AE218" s="481"/>
      <c r="AF218" s="481"/>
      <c r="AG218" s="481"/>
      <c r="AH218" s="481"/>
      <c r="AI218" s="481"/>
      <c r="AJ218" s="481"/>
      <c r="AK218" s="481"/>
      <c r="AL218" s="481"/>
      <c r="AM218" s="481"/>
      <c r="AN218" s="481"/>
    </row>
    <row r="219" spans="1:40" ht="15.75" customHeight="1">
      <c r="A219" s="490" t="s">
        <v>361</v>
      </c>
      <c r="B219" s="481" t="s">
        <v>83</v>
      </c>
      <c r="C219" s="498" t="s">
        <v>58</v>
      </c>
      <c r="D219" s="550"/>
      <c r="E219" s="481"/>
      <c r="F219" s="499">
        <v>572.58827639999981</v>
      </c>
      <c r="G219" s="551"/>
      <c r="H219" s="481"/>
      <c r="I219" s="499"/>
      <c r="J219" s="498"/>
      <c r="K219" s="481"/>
      <c r="L219" s="501">
        <v>359.87</v>
      </c>
      <c r="M219" s="498"/>
      <c r="N219" s="524">
        <v>-212.71827639999981</v>
      </c>
      <c r="O219" s="498"/>
      <c r="P219" s="481"/>
      <c r="Q219" s="501">
        <v>738.32</v>
      </c>
      <c r="R219" s="498"/>
      <c r="S219" s="524">
        <v>-378.45000000000005</v>
      </c>
      <c r="T219" s="481"/>
      <c r="U219" s="481"/>
      <c r="V219" s="481"/>
      <c r="W219" s="481"/>
      <c r="X219" s="481"/>
      <c r="Y219" s="481"/>
      <c r="Z219" s="481"/>
      <c r="AA219" s="481"/>
      <c r="AB219" s="481"/>
      <c r="AC219" s="481"/>
      <c r="AD219" s="481"/>
      <c r="AE219" s="481"/>
      <c r="AF219" s="481"/>
      <c r="AG219" s="481"/>
      <c r="AH219" s="481"/>
      <c r="AI219" s="481"/>
      <c r="AJ219" s="481"/>
      <c r="AK219" s="481"/>
      <c r="AL219" s="481"/>
      <c r="AM219" s="481"/>
      <c r="AN219" s="481"/>
    </row>
    <row r="220" spans="1:40" ht="15.75" customHeight="1">
      <c r="A220" s="490" t="s">
        <v>362</v>
      </c>
      <c r="B220" s="481" t="s">
        <v>83</v>
      </c>
      <c r="C220" s="498" t="s">
        <v>59</v>
      </c>
      <c r="D220" s="550"/>
      <c r="E220" s="481"/>
      <c r="F220" s="499">
        <v>194.04018761666666</v>
      </c>
      <c r="G220" s="551"/>
      <c r="H220" s="481"/>
      <c r="I220" s="499"/>
      <c r="J220" s="498"/>
      <c r="K220" s="481"/>
      <c r="L220" s="501">
        <v>248.63</v>
      </c>
      <c r="M220" s="498"/>
      <c r="N220" s="524">
        <v>54.589812383333339</v>
      </c>
      <c r="O220" s="498"/>
      <c r="P220" s="481"/>
      <c r="Q220" s="501">
        <v>198.67</v>
      </c>
      <c r="R220" s="498"/>
      <c r="S220" s="524">
        <v>49.960000000000008</v>
      </c>
      <c r="T220" s="481"/>
      <c r="U220" s="481"/>
      <c r="V220" s="481"/>
      <c r="W220" s="481"/>
      <c r="X220" s="481"/>
      <c r="Y220" s="481"/>
      <c r="Z220" s="481"/>
      <c r="AA220" s="481"/>
      <c r="AB220" s="481"/>
      <c r="AC220" s="481"/>
      <c r="AD220" s="481"/>
      <c r="AE220" s="481"/>
      <c r="AF220" s="481"/>
      <c r="AG220" s="481"/>
      <c r="AH220" s="481"/>
      <c r="AI220" s="481"/>
      <c r="AJ220" s="481"/>
      <c r="AK220" s="481"/>
      <c r="AL220" s="481"/>
      <c r="AM220" s="481"/>
      <c r="AN220" s="481"/>
    </row>
    <row r="221" spans="1:40" ht="15.75" customHeight="1">
      <c r="A221" s="490" t="s">
        <v>363</v>
      </c>
      <c r="B221" s="481" t="s">
        <v>83</v>
      </c>
      <c r="C221" s="498" t="s">
        <v>60</v>
      </c>
      <c r="D221" s="550"/>
      <c r="E221" s="481"/>
      <c r="F221" s="499">
        <v>92.808220383333307</v>
      </c>
      <c r="G221" s="551"/>
      <c r="H221" s="481"/>
      <c r="I221" s="499"/>
      <c r="J221" s="498"/>
      <c r="K221" s="481"/>
      <c r="L221" s="501">
        <v>97.59</v>
      </c>
      <c r="M221" s="498"/>
      <c r="N221" s="524">
        <v>4.7817796166666966</v>
      </c>
      <c r="O221" s="498"/>
      <c r="P221" s="481"/>
      <c r="Q221" s="501">
        <v>150.72999999999999</v>
      </c>
      <c r="R221" s="498"/>
      <c r="S221" s="524">
        <v>-53.139999999999986</v>
      </c>
      <c r="T221" s="481"/>
      <c r="U221" s="481"/>
      <c r="V221" s="481"/>
      <c r="W221" s="481"/>
      <c r="X221" s="481"/>
      <c r="Y221" s="481"/>
      <c r="Z221" s="481"/>
      <c r="AA221" s="481"/>
      <c r="AB221" s="481"/>
      <c r="AC221" s="481"/>
      <c r="AD221" s="481"/>
      <c r="AE221" s="481"/>
      <c r="AF221" s="481"/>
      <c r="AG221" s="481"/>
      <c r="AH221" s="481"/>
      <c r="AI221" s="481"/>
      <c r="AJ221" s="481"/>
      <c r="AK221" s="481"/>
      <c r="AL221" s="481"/>
      <c r="AM221" s="481"/>
      <c r="AN221" s="481"/>
    </row>
    <row r="222" spans="1:40" ht="15.75" customHeight="1">
      <c r="A222" s="490" t="s">
        <v>364</v>
      </c>
      <c r="B222" s="481" t="s">
        <v>83</v>
      </c>
      <c r="C222" s="498" t="s">
        <v>61</v>
      </c>
      <c r="D222" s="550"/>
      <c r="E222" s="481"/>
      <c r="F222" s="499">
        <v>352.6367722833333</v>
      </c>
      <c r="G222" s="551"/>
      <c r="H222" s="481"/>
      <c r="I222" s="499"/>
      <c r="J222" s="498"/>
      <c r="K222" s="481"/>
      <c r="L222" s="501">
        <v>58.08</v>
      </c>
      <c r="M222" s="498"/>
      <c r="N222" s="524">
        <v>-294.55677228333332</v>
      </c>
      <c r="O222" s="498"/>
      <c r="P222" s="481"/>
      <c r="Q222" s="501">
        <v>105.15</v>
      </c>
      <c r="R222" s="498"/>
      <c r="S222" s="524">
        <v>-47.070000000000007</v>
      </c>
      <c r="T222" s="481"/>
      <c r="U222" s="481"/>
      <c r="V222" s="481"/>
      <c r="W222" s="481"/>
      <c r="X222" s="481"/>
      <c r="Y222" s="481"/>
      <c r="Z222" s="481"/>
      <c r="AA222" s="481"/>
      <c r="AB222" s="481"/>
      <c r="AC222" s="481"/>
      <c r="AD222" s="481"/>
      <c r="AE222" s="481"/>
      <c r="AF222" s="481"/>
      <c r="AG222" s="481"/>
      <c r="AH222" s="481"/>
      <c r="AI222" s="481"/>
      <c r="AJ222" s="481"/>
      <c r="AK222" s="481"/>
      <c r="AL222" s="481"/>
      <c r="AM222" s="481"/>
      <c r="AN222" s="481"/>
    </row>
    <row r="223" spans="1:40" ht="15.75" customHeight="1">
      <c r="A223" s="490" t="s">
        <v>365</v>
      </c>
      <c r="B223" s="481" t="s">
        <v>83</v>
      </c>
      <c r="C223" s="498" t="s">
        <v>62</v>
      </c>
      <c r="D223" s="550"/>
      <c r="E223" s="481"/>
      <c r="F223" s="499">
        <v>1972.9836663454639</v>
      </c>
      <c r="G223" s="551"/>
      <c r="H223" s="481"/>
      <c r="I223" s="499"/>
      <c r="J223" s="498"/>
      <c r="K223" s="481"/>
      <c r="L223" s="501">
        <v>5450.1</v>
      </c>
      <c r="M223" s="498"/>
      <c r="N223" s="524">
        <v>3477.1163336545364</v>
      </c>
      <c r="O223" s="498"/>
      <c r="P223" s="481"/>
      <c r="Q223" s="501">
        <v>2563.9299999999998</v>
      </c>
      <c r="R223" s="498"/>
      <c r="S223" s="524">
        <v>2886.1700000000005</v>
      </c>
      <c r="T223" s="481"/>
      <c r="X223" s="481"/>
      <c r="Y223" s="481"/>
      <c r="Z223" s="481"/>
      <c r="AA223" s="481"/>
      <c r="AB223" s="481"/>
      <c r="AC223" s="481"/>
      <c r="AD223" s="481"/>
      <c r="AE223" s="481"/>
      <c r="AF223" s="481"/>
      <c r="AG223" s="481"/>
      <c r="AH223" s="481"/>
      <c r="AI223" s="481"/>
      <c r="AJ223" s="481"/>
      <c r="AK223" s="481"/>
      <c r="AL223" s="481"/>
      <c r="AM223" s="481"/>
      <c r="AN223" s="481"/>
    </row>
    <row r="224" spans="1:40" ht="15.75" customHeight="1">
      <c r="A224" s="490" t="s">
        <v>366</v>
      </c>
      <c r="B224" s="481" t="s">
        <v>83</v>
      </c>
      <c r="C224" s="498" t="s">
        <v>63</v>
      </c>
      <c r="D224" s="550"/>
      <c r="E224" s="481"/>
      <c r="F224" s="499">
        <v>3641.8276273970109</v>
      </c>
      <c r="G224" s="551"/>
      <c r="H224" s="481"/>
      <c r="I224" s="499"/>
      <c r="J224" s="498"/>
      <c r="K224" s="481"/>
      <c r="L224" s="501">
        <v>1703.22</v>
      </c>
      <c r="M224" s="498"/>
      <c r="N224" s="524">
        <v>-1938.6076273970109</v>
      </c>
      <c r="O224" s="498"/>
      <c r="P224" s="481"/>
      <c r="Q224" s="501">
        <v>1870.5960000000021</v>
      </c>
      <c r="R224" s="498"/>
      <c r="S224" s="524">
        <v>-167.37600000000202</v>
      </c>
      <c r="T224" s="481"/>
      <c r="X224" s="481"/>
      <c r="Y224" s="481"/>
      <c r="Z224" s="481"/>
      <c r="AA224" s="481"/>
      <c r="AB224" s="481"/>
      <c r="AC224" s="481"/>
      <c r="AD224" s="481"/>
      <c r="AE224" s="481"/>
      <c r="AF224" s="481"/>
      <c r="AG224" s="481"/>
      <c r="AH224" s="481"/>
      <c r="AI224" s="481"/>
      <c r="AJ224" s="481"/>
      <c r="AK224" s="481"/>
      <c r="AL224" s="481"/>
      <c r="AM224" s="481"/>
      <c r="AN224" s="481"/>
    </row>
    <row r="225" spans="1:40" ht="15.75" hidden="1" customHeight="1">
      <c r="A225" s="490" t="s">
        <v>346</v>
      </c>
      <c r="B225" s="481" t="s">
        <v>83</v>
      </c>
      <c r="C225" s="498" t="s">
        <v>20</v>
      </c>
      <c r="D225" s="550"/>
      <c r="E225" s="481"/>
      <c r="F225" s="499">
        <v>0</v>
      </c>
      <c r="G225" s="551"/>
      <c r="H225" s="481"/>
      <c r="I225" s="499"/>
      <c r="J225" s="498"/>
      <c r="K225" s="481"/>
      <c r="L225" s="501">
        <v>0</v>
      </c>
      <c r="M225" s="498"/>
      <c r="N225" s="524">
        <v>0</v>
      </c>
      <c r="O225" s="498"/>
      <c r="P225" s="481"/>
      <c r="Q225" s="501">
        <v>0</v>
      </c>
      <c r="R225" s="498"/>
      <c r="S225" s="524">
        <v>0</v>
      </c>
      <c r="T225" s="481"/>
      <c r="U225" s="481"/>
      <c r="V225" s="481"/>
      <c r="W225" s="481"/>
      <c r="X225" s="481"/>
      <c r="Y225" s="481"/>
      <c r="Z225" s="481"/>
      <c r="AA225" s="481"/>
      <c r="AB225" s="481"/>
      <c r="AC225" s="481"/>
      <c r="AD225" s="481"/>
      <c r="AE225" s="481"/>
      <c r="AF225" s="481"/>
      <c r="AG225" s="481"/>
      <c r="AH225" s="481"/>
      <c r="AI225" s="481"/>
      <c r="AJ225" s="481"/>
      <c r="AK225" s="481"/>
      <c r="AL225" s="481"/>
      <c r="AM225" s="481"/>
      <c r="AN225" s="481"/>
    </row>
    <row r="226" spans="1:40" ht="15.75" hidden="1" customHeight="1">
      <c r="A226" s="490" t="s">
        <v>346</v>
      </c>
      <c r="B226" s="481" t="s">
        <v>83</v>
      </c>
      <c r="C226" s="498" t="s">
        <v>20</v>
      </c>
      <c r="D226" s="550"/>
      <c r="E226" s="481"/>
      <c r="F226" s="499">
        <v>0</v>
      </c>
      <c r="G226" s="551"/>
      <c r="H226" s="481"/>
      <c r="I226" s="499"/>
      <c r="J226" s="498"/>
      <c r="K226" s="481"/>
      <c r="L226" s="501">
        <v>0</v>
      </c>
      <c r="M226" s="498"/>
      <c r="N226" s="524">
        <v>0</v>
      </c>
      <c r="O226" s="498"/>
      <c r="P226" s="481"/>
      <c r="Q226" s="501">
        <v>0</v>
      </c>
      <c r="R226" s="498"/>
      <c r="S226" s="524">
        <v>0</v>
      </c>
      <c r="T226" s="481"/>
      <c r="U226" s="481"/>
      <c r="V226" s="481"/>
      <c r="W226" s="481"/>
      <c r="X226" s="481"/>
      <c r="Y226" s="481"/>
      <c r="Z226" s="481"/>
      <c r="AA226" s="481"/>
      <c r="AB226" s="481"/>
      <c r="AC226" s="481"/>
      <c r="AD226" s="481"/>
      <c r="AE226" s="481"/>
      <c r="AF226" s="481"/>
      <c r="AG226" s="481"/>
      <c r="AH226" s="481"/>
      <c r="AI226" s="481"/>
      <c r="AJ226" s="481"/>
      <c r="AK226" s="481"/>
      <c r="AL226" s="481"/>
      <c r="AM226" s="481"/>
      <c r="AN226" s="481"/>
    </row>
    <row r="227" spans="1:40" ht="15.75" hidden="1" customHeight="1">
      <c r="A227" s="490" t="s">
        <v>346</v>
      </c>
      <c r="B227" s="481" t="s">
        <v>83</v>
      </c>
      <c r="C227" s="498" t="s">
        <v>20</v>
      </c>
      <c r="D227" s="550"/>
      <c r="E227" s="481"/>
      <c r="F227" s="499">
        <v>0</v>
      </c>
      <c r="G227" s="551"/>
      <c r="H227" s="481"/>
      <c r="I227" s="499"/>
      <c r="J227" s="498"/>
      <c r="K227" s="481"/>
      <c r="L227" s="501">
        <v>0</v>
      </c>
      <c r="M227" s="498"/>
      <c r="N227" s="524">
        <v>0</v>
      </c>
      <c r="O227" s="498"/>
      <c r="P227" s="481"/>
      <c r="Q227" s="501">
        <v>0</v>
      </c>
      <c r="R227" s="498"/>
      <c r="S227" s="524">
        <v>0</v>
      </c>
      <c r="T227" s="481"/>
      <c r="U227" s="481"/>
      <c r="V227" s="481"/>
      <c r="W227" s="481"/>
      <c r="X227" s="481"/>
      <c r="Y227" s="481"/>
      <c r="Z227" s="481"/>
      <c r="AA227" s="481"/>
      <c r="AB227" s="481"/>
      <c r="AC227" s="481"/>
      <c r="AD227" s="481"/>
      <c r="AE227" s="481"/>
      <c r="AF227" s="481"/>
      <c r="AG227" s="481"/>
      <c r="AH227" s="481"/>
      <c r="AI227" s="481"/>
      <c r="AJ227" s="481"/>
      <c r="AK227" s="481"/>
      <c r="AL227" s="481"/>
      <c r="AM227" s="481"/>
      <c r="AN227" s="481"/>
    </row>
    <row r="228" spans="1:40" ht="15.75" customHeight="1">
      <c r="B228" s="481"/>
      <c r="C228" s="557" t="s">
        <v>64</v>
      </c>
      <c r="D228" s="558" t="s">
        <v>97</v>
      </c>
      <c r="E228" s="559">
        <v>0.28266562554468383</v>
      </c>
      <c r="F228" s="560">
        <v>43006.930896516722</v>
      </c>
      <c r="G228" s="561"/>
      <c r="H228" s="559"/>
      <c r="I228" s="560"/>
      <c r="J228" s="561" t="s">
        <v>97</v>
      </c>
      <c r="K228" s="559">
        <v>0.33220231822621099</v>
      </c>
      <c r="L228" s="560">
        <v>59930.73</v>
      </c>
      <c r="M228" s="564"/>
      <c r="N228" s="560">
        <v>16923.799103483281</v>
      </c>
      <c r="O228" s="561" t="s">
        <v>97</v>
      </c>
      <c r="P228" s="559">
        <v>0.25779725734209874</v>
      </c>
      <c r="Q228" s="560">
        <v>41049.676000000007</v>
      </c>
      <c r="R228" s="564"/>
      <c r="S228" s="560">
        <v>18881.053999999996</v>
      </c>
      <c r="T228" s="481"/>
      <c r="U228" s="481"/>
      <c r="V228" s="481"/>
      <c r="W228" s="481"/>
      <c r="X228" s="481"/>
      <c r="Y228" s="481"/>
      <c r="Z228" s="481"/>
      <c r="AA228" s="481"/>
      <c r="AB228" s="481"/>
      <c r="AC228" s="481"/>
      <c r="AD228" s="481"/>
      <c r="AE228" s="481"/>
      <c r="AF228" s="481"/>
      <c r="AG228" s="481"/>
      <c r="AH228" s="481"/>
      <c r="AI228" s="481"/>
      <c r="AJ228" s="481"/>
      <c r="AK228" s="481"/>
      <c r="AL228" s="481"/>
      <c r="AM228" s="481"/>
      <c r="AN228" s="481"/>
    </row>
    <row r="229" spans="1:40" ht="15.75" customHeight="1">
      <c r="B229" s="481"/>
      <c r="C229" s="491"/>
      <c r="D229" s="552"/>
      <c r="E229" s="571"/>
      <c r="F229" s="524"/>
      <c r="G229" s="553"/>
      <c r="H229" s="571"/>
      <c r="I229" s="524"/>
      <c r="J229" s="491"/>
      <c r="K229" s="571"/>
      <c r="L229" s="547"/>
      <c r="M229" s="491"/>
      <c r="N229" s="547"/>
      <c r="O229" s="491"/>
      <c r="P229" s="571"/>
      <c r="Q229" s="547"/>
      <c r="R229" s="491"/>
      <c r="S229" s="547"/>
      <c r="T229" s="481"/>
      <c r="U229" s="481"/>
      <c r="V229" s="481"/>
      <c r="W229" s="481"/>
      <c r="X229" s="481"/>
      <c r="Y229" s="481"/>
      <c r="Z229" s="481"/>
      <c r="AA229" s="481"/>
      <c r="AB229" s="481"/>
      <c r="AC229" s="481"/>
      <c r="AD229" s="481"/>
      <c r="AE229" s="481"/>
      <c r="AF229" s="481"/>
      <c r="AG229" s="481"/>
      <c r="AH229" s="481"/>
      <c r="AI229" s="481"/>
      <c r="AJ229" s="481"/>
      <c r="AK229" s="481"/>
      <c r="AL229" s="481"/>
      <c r="AM229" s="481"/>
      <c r="AN229" s="481"/>
    </row>
    <row r="230" spans="1:40" ht="15.75" customHeight="1">
      <c r="B230" s="481"/>
      <c r="C230" s="557" t="s">
        <v>65</v>
      </c>
      <c r="D230" s="558" t="s">
        <v>39</v>
      </c>
      <c r="E230" s="559">
        <v>1.0002006125835072</v>
      </c>
      <c r="F230" s="560">
        <v>152178.24433071254</v>
      </c>
      <c r="G230" s="561"/>
      <c r="H230" s="559"/>
      <c r="I230" s="560"/>
      <c r="J230" s="561" t="s">
        <v>39</v>
      </c>
      <c r="K230" s="559">
        <v>0.90533258324038957</v>
      </c>
      <c r="L230" s="560">
        <v>163325.90000000002</v>
      </c>
      <c r="M230" s="564"/>
      <c r="N230" s="573">
        <v>11147.655669287487</v>
      </c>
      <c r="O230" s="561" t="s">
        <v>39</v>
      </c>
      <c r="P230" s="559">
        <v>0.9273136371743439</v>
      </c>
      <c r="Q230" s="560">
        <v>147658.37600000002</v>
      </c>
      <c r="R230" s="564"/>
      <c r="S230" s="573">
        <v>15667.524000000005</v>
      </c>
      <c r="T230" s="481"/>
      <c r="U230" s="481"/>
      <c r="V230" s="481"/>
      <c r="W230" s="481"/>
      <c r="X230" s="481"/>
      <c r="Y230" s="481"/>
      <c r="Z230" s="481"/>
      <c r="AA230" s="481"/>
      <c r="AB230" s="481"/>
      <c r="AC230" s="481"/>
      <c r="AD230" s="481"/>
      <c r="AE230" s="481"/>
      <c r="AF230" s="481"/>
      <c r="AG230" s="481"/>
      <c r="AH230" s="481"/>
      <c r="AI230" s="481"/>
      <c r="AJ230" s="481"/>
      <c r="AK230" s="481"/>
      <c r="AL230" s="481"/>
      <c r="AM230" s="481"/>
      <c r="AN230" s="481"/>
    </row>
    <row r="231" spans="1:40" ht="15.75" customHeight="1">
      <c r="B231" s="481"/>
      <c r="C231" s="498"/>
      <c r="D231" s="550"/>
      <c r="E231" s="481"/>
      <c r="F231" s="524"/>
      <c r="G231" s="551"/>
      <c r="H231" s="481"/>
      <c r="I231" s="524"/>
      <c r="J231" s="498"/>
      <c r="K231" s="481"/>
      <c r="L231" s="524"/>
      <c r="M231" s="498"/>
      <c r="N231" s="524">
        <v>0</v>
      </c>
      <c r="O231" s="498"/>
      <c r="P231" s="481"/>
      <c r="Q231" s="524"/>
      <c r="R231" s="498"/>
      <c r="S231" s="524"/>
      <c r="T231" s="481"/>
      <c r="U231" s="481"/>
      <c r="V231" s="481"/>
      <c r="W231" s="481"/>
      <c r="X231" s="481"/>
      <c r="Y231" s="481"/>
      <c r="Z231" s="481"/>
      <c r="AA231" s="481"/>
      <c r="AB231" s="481"/>
      <c r="AC231" s="481"/>
      <c r="AD231" s="481"/>
      <c r="AE231" s="481"/>
      <c r="AF231" s="481"/>
      <c r="AG231" s="481"/>
      <c r="AH231" s="481"/>
      <c r="AI231" s="481"/>
      <c r="AJ231" s="481"/>
      <c r="AK231" s="481"/>
      <c r="AL231" s="481"/>
      <c r="AM231" s="481"/>
      <c r="AN231" s="481"/>
    </row>
    <row r="232" spans="1:40" ht="15.75" customHeight="1" thickBot="1">
      <c r="B232" s="481"/>
      <c r="C232" s="587" t="s">
        <v>72</v>
      </c>
      <c r="D232" s="615"/>
      <c r="E232" s="588"/>
      <c r="F232" s="590">
        <v>-30.522747501556296</v>
      </c>
      <c r="G232" s="616"/>
      <c r="H232" s="588"/>
      <c r="I232" s="590"/>
      <c r="J232" s="587"/>
      <c r="K232" s="589"/>
      <c r="L232" s="590">
        <v>17078.409999999945</v>
      </c>
      <c r="M232" s="587"/>
      <c r="N232" s="590">
        <v>17108.932747501502</v>
      </c>
      <c r="O232" s="587"/>
      <c r="P232" s="589"/>
      <c r="Q232" s="590">
        <v>11574.024000000005</v>
      </c>
      <c r="R232" s="587"/>
      <c r="S232" s="590">
        <v>5504.3859999999404</v>
      </c>
      <c r="T232" s="481"/>
      <c r="U232" s="481"/>
      <c r="V232" s="481"/>
      <c r="W232" s="481"/>
      <c r="X232" s="481"/>
      <c r="Y232" s="481"/>
      <c r="Z232" s="481"/>
      <c r="AA232" s="481"/>
      <c r="AB232" s="481"/>
      <c r="AC232" s="481"/>
      <c r="AD232" s="481"/>
      <c r="AE232" s="481"/>
      <c r="AF232" s="481"/>
      <c r="AG232" s="481"/>
      <c r="AH232" s="481"/>
      <c r="AI232" s="481"/>
      <c r="AJ232" s="481"/>
      <c r="AK232" s="481"/>
      <c r="AL232" s="481"/>
      <c r="AM232" s="481"/>
      <c r="AN232" s="481"/>
    </row>
    <row r="233" spans="1:40" ht="15.75" customHeight="1" thickTop="1">
      <c r="B233" s="481"/>
      <c r="C233" s="481"/>
      <c r="D233" s="481"/>
      <c r="E233" s="481"/>
      <c r="F233" s="481"/>
      <c r="G233" s="481"/>
      <c r="H233" s="481"/>
      <c r="I233" s="481"/>
      <c r="J233" s="481"/>
      <c r="K233" s="481"/>
      <c r="L233" s="542"/>
      <c r="M233" s="542"/>
      <c r="N233" s="481"/>
      <c r="O233" s="542"/>
      <c r="P233" s="481"/>
      <c r="Q233" s="542"/>
      <c r="R233" s="481"/>
      <c r="S233" s="481"/>
      <c r="T233" s="481"/>
      <c r="U233" s="481"/>
      <c r="V233" s="481"/>
      <c r="W233" s="481"/>
      <c r="X233" s="481"/>
      <c r="Y233" s="481"/>
      <c r="Z233" s="481"/>
      <c r="AA233" s="481"/>
      <c r="AB233" s="481"/>
      <c r="AC233" s="481"/>
      <c r="AD233" s="481"/>
      <c r="AE233" s="481"/>
      <c r="AF233" s="481"/>
      <c r="AG233" s="481"/>
      <c r="AH233" s="481"/>
      <c r="AI233" s="481"/>
      <c r="AJ233" s="481"/>
      <c r="AK233" s="481"/>
      <c r="AL233" s="481"/>
      <c r="AM233" s="481"/>
      <c r="AN233" s="481"/>
    </row>
    <row r="234" spans="1:40" ht="15.75" customHeight="1">
      <c r="B234" s="481"/>
      <c r="C234" s="478"/>
      <c r="D234" s="478"/>
      <c r="E234" s="478"/>
      <c r="F234" s="478"/>
      <c r="G234" s="478"/>
      <c r="H234" s="478"/>
      <c r="I234" s="478"/>
      <c r="J234" s="478"/>
      <c r="K234" s="478"/>
      <c r="L234" s="617"/>
      <c r="M234" s="617"/>
      <c r="N234" s="478"/>
      <c r="O234" s="617"/>
      <c r="P234" s="478"/>
      <c r="Q234" s="617"/>
      <c r="R234" s="478"/>
      <c r="S234" s="478"/>
      <c r="T234" s="478"/>
      <c r="U234" s="478"/>
      <c r="V234" s="481"/>
      <c r="W234" s="481"/>
      <c r="X234" s="481"/>
      <c r="Y234" s="481"/>
      <c r="Z234" s="481"/>
      <c r="AA234" s="481"/>
      <c r="AB234" s="481"/>
      <c r="AC234" s="481"/>
      <c r="AD234" s="481"/>
      <c r="AE234" s="481"/>
      <c r="AF234" s="481"/>
      <c r="AG234" s="481"/>
      <c r="AH234" s="481"/>
      <c r="AI234" s="481"/>
      <c r="AJ234" s="481"/>
      <c r="AK234" s="481"/>
      <c r="AL234" s="481"/>
      <c r="AM234" s="481"/>
      <c r="AN234" s="481"/>
    </row>
    <row r="235" spans="1:40" ht="33" customHeight="1">
      <c r="B235" s="481"/>
      <c r="C235" s="595" t="s">
        <v>223</v>
      </c>
      <c r="D235" s="469"/>
      <c r="E235" s="469"/>
      <c r="F235" s="469"/>
      <c r="G235" s="469"/>
      <c r="H235" s="467"/>
      <c r="I235" s="467"/>
      <c r="J235" s="467"/>
      <c r="K235" s="471" t="s">
        <v>99</v>
      </c>
      <c r="L235" s="469"/>
      <c r="M235" s="469"/>
      <c r="N235" s="467"/>
      <c r="O235" s="467"/>
      <c r="P235" s="469"/>
      <c r="Q235" s="467"/>
      <c r="R235" s="469"/>
      <c r="S235" s="596" t="s">
        <v>482</v>
      </c>
      <c r="T235" s="469"/>
      <c r="U235" s="467"/>
      <c r="V235" s="478"/>
      <c r="W235" s="478"/>
      <c r="X235" s="478"/>
      <c r="Y235" s="478"/>
      <c r="Z235" s="478"/>
      <c r="AA235" s="478"/>
      <c r="AB235" s="478"/>
      <c r="AC235" s="478"/>
      <c r="AD235" s="478"/>
      <c r="AE235" s="478"/>
      <c r="AF235" s="478"/>
      <c r="AG235" s="478"/>
      <c r="AH235" s="478"/>
      <c r="AI235" s="478"/>
      <c r="AJ235" s="478"/>
      <c r="AK235" s="478"/>
      <c r="AL235" s="478"/>
      <c r="AM235" s="478"/>
      <c r="AN235" s="478"/>
    </row>
    <row r="236" spans="1:40" ht="24" customHeight="1" thickBot="1">
      <c r="B236" s="481"/>
      <c r="C236" s="476"/>
      <c r="D236" s="478"/>
      <c r="E236" s="478"/>
      <c r="F236" s="478"/>
      <c r="G236" s="478"/>
      <c r="H236" s="478"/>
      <c r="I236" s="478"/>
      <c r="J236" s="478"/>
      <c r="K236" s="478"/>
      <c r="L236" s="478"/>
      <c r="M236" s="478"/>
      <c r="N236" s="478"/>
      <c r="O236" s="478"/>
      <c r="P236" s="478"/>
      <c r="Q236" s="478"/>
      <c r="R236" s="478"/>
      <c r="S236" s="478"/>
      <c r="T236" s="478"/>
      <c r="U236" s="478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7"/>
      <c r="AG236" s="467"/>
      <c r="AH236" s="467"/>
      <c r="AI236" s="467"/>
      <c r="AJ236" s="467"/>
      <c r="AK236" s="467"/>
      <c r="AL236" s="467"/>
      <c r="AM236" s="467"/>
      <c r="AN236" s="467"/>
    </row>
    <row r="237" spans="1:40" ht="15.75" customHeight="1" thickTop="1">
      <c r="B237" s="481"/>
      <c r="C237" s="482"/>
      <c r="D237" s="864" t="s">
        <v>5</v>
      </c>
      <c r="E237" s="865"/>
      <c r="F237" s="866"/>
      <c r="G237" s="867"/>
      <c r="H237" s="865"/>
      <c r="I237" s="866"/>
      <c r="J237" s="867" t="s">
        <v>7</v>
      </c>
      <c r="K237" s="865"/>
      <c r="L237" s="866"/>
      <c r="M237" s="867" t="s">
        <v>472</v>
      </c>
      <c r="N237" s="866"/>
      <c r="O237" s="864" t="s">
        <v>9</v>
      </c>
      <c r="P237" s="865"/>
      <c r="Q237" s="866"/>
      <c r="R237" s="867" t="s">
        <v>473</v>
      </c>
      <c r="S237" s="866"/>
      <c r="T237" s="611"/>
      <c r="U237" s="481"/>
      <c r="V237" s="478"/>
      <c r="W237" s="478"/>
      <c r="X237" s="478"/>
      <c r="Y237" s="478"/>
      <c r="Z237" s="478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  <c r="AL237" s="478"/>
      <c r="AM237" s="478"/>
      <c r="AN237" s="478"/>
    </row>
    <row r="238" spans="1:40" ht="15.75" customHeight="1">
      <c r="A238" s="490" t="s">
        <v>99</v>
      </c>
      <c r="B238" s="481" t="s">
        <v>99</v>
      </c>
      <c r="C238" s="498"/>
      <c r="D238" s="540" t="s">
        <v>40</v>
      </c>
      <c r="E238" s="540" t="s">
        <v>84</v>
      </c>
      <c r="F238" s="618" t="s">
        <v>13</v>
      </c>
      <c r="G238" s="619"/>
      <c r="H238" s="540"/>
      <c r="I238" s="618"/>
      <c r="J238" s="619" t="s">
        <v>40</v>
      </c>
      <c r="K238" s="540" t="s">
        <v>84</v>
      </c>
      <c r="L238" s="618" t="s">
        <v>13</v>
      </c>
      <c r="M238" s="619" t="s">
        <v>40</v>
      </c>
      <c r="N238" s="618" t="s">
        <v>475</v>
      </c>
      <c r="O238" s="540" t="s">
        <v>40</v>
      </c>
      <c r="P238" s="540" t="s">
        <v>84</v>
      </c>
      <c r="Q238" s="618" t="s">
        <v>13</v>
      </c>
      <c r="R238" s="619" t="s">
        <v>85</v>
      </c>
      <c r="S238" s="618" t="s">
        <v>13</v>
      </c>
      <c r="T238" s="540"/>
      <c r="U238" s="481"/>
      <c r="V238" s="481"/>
      <c r="W238" s="481"/>
      <c r="X238" s="481"/>
      <c r="Y238" s="481"/>
      <c r="Z238" s="481"/>
      <c r="AA238" s="481"/>
      <c r="AB238" s="481"/>
      <c r="AC238" s="481"/>
      <c r="AD238" s="481"/>
      <c r="AE238" s="481"/>
      <c r="AF238" s="481"/>
      <c r="AG238" s="481"/>
      <c r="AH238" s="481"/>
      <c r="AI238" s="481"/>
      <c r="AJ238" s="481"/>
      <c r="AK238" s="481"/>
      <c r="AL238" s="481"/>
      <c r="AM238" s="481"/>
      <c r="AN238" s="481"/>
    </row>
    <row r="239" spans="1:40" ht="15.75" customHeight="1">
      <c r="A239" s="490" t="s">
        <v>99</v>
      </c>
      <c r="B239" s="481" t="s">
        <v>99</v>
      </c>
      <c r="C239" s="498"/>
      <c r="D239" s="540"/>
      <c r="E239" s="540"/>
      <c r="F239" s="618"/>
      <c r="G239" s="619"/>
      <c r="H239" s="540"/>
      <c r="I239" s="618"/>
      <c r="J239" s="619"/>
      <c r="K239" s="499"/>
      <c r="L239" s="501"/>
      <c r="M239" s="619"/>
      <c r="N239" s="618"/>
      <c r="O239" s="540"/>
      <c r="P239" s="540"/>
      <c r="Q239" s="618"/>
      <c r="R239" s="619"/>
      <c r="S239" s="618"/>
      <c r="T239" s="540"/>
      <c r="U239" s="481"/>
      <c r="V239" s="481"/>
      <c r="W239" s="481"/>
      <c r="X239" s="481"/>
      <c r="Y239" s="481"/>
      <c r="Z239" s="481"/>
      <c r="AA239" s="481"/>
      <c r="AB239" s="481"/>
      <c r="AC239" s="481"/>
      <c r="AD239" s="481"/>
      <c r="AE239" s="481"/>
      <c r="AF239" s="481"/>
      <c r="AG239" s="481"/>
      <c r="AH239" s="481"/>
      <c r="AI239" s="481"/>
      <c r="AJ239" s="481"/>
      <c r="AK239" s="481"/>
      <c r="AL239" s="481"/>
      <c r="AM239" s="481"/>
      <c r="AN239" s="481"/>
    </row>
    <row r="240" spans="1:40" ht="15.75" customHeight="1">
      <c r="A240" s="490" t="s">
        <v>367</v>
      </c>
      <c r="B240" s="481" t="s">
        <v>99</v>
      </c>
      <c r="C240" s="498" t="s">
        <v>100</v>
      </c>
      <c r="D240" s="658">
        <v>0</v>
      </c>
      <c r="E240" s="542">
        <v>102279.60711969429</v>
      </c>
      <c r="F240" s="542">
        <v>24045.321490116985</v>
      </c>
      <c r="G240" s="577"/>
      <c r="H240" s="542"/>
      <c r="I240" s="542"/>
      <c r="J240" s="525">
        <v>43</v>
      </c>
      <c r="K240" s="499">
        <v>93198.95</v>
      </c>
      <c r="L240" s="501">
        <v>23146.659999999996</v>
      </c>
      <c r="M240" s="543">
        <v>-8.8782675016218213E-2</v>
      </c>
      <c r="N240" s="524">
        <v>-898.66149011698872</v>
      </c>
      <c r="O240" s="525">
        <v>40</v>
      </c>
      <c r="P240" s="499">
        <v>83278.680000000008</v>
      </c>
      <c r="Q240" s="501">
        <v>20646.130000000008</v>
      </c>
      <c r="R240" s="543">
        <v>1.075</v>
      </c>
      <c r="S240" s="524">
        <v>2500.5299999999879</v>
      </c>
      <c r="T240" s="540"/>
      <c r="U240" s="481"/>
      <c r="V240" s="481"/>
      <c r="W240" s="481"/>
      <c r="X240" s="481"/>
      <c r="Y240" s="481"/>
      <c r="Z240" s="481"/>
      <c r="AA240" s="481"/>
      <c r="AB240" s="481"/>
      <c r="AC240" s="481"/>
      <c r="AD240" s="481"/>
      <c r="AE240" s="481"/>
      <c r="AF240" s="481"/>
      <c r="AG240" s="481"/>
      <c r="AH240" s="481"/>
      <c r="AI240" s="481"/>
      <c r="AJ240" s="481"/>
      <c r="AK240" s="481"/>
      <c r="AL240" s="481"/>
      <c r="AM240" s="481"/>
      <c r="AN240" s="481"/>
    </row>
    <row r="241" spans="1:40" ht="15.75" customHeight="1">
      <c r="A241" s="490" t="s">
        <v>368</v>
      </c>
      <c r="B241" s="481" t="s">
        <v>99</v>
      </c>
      <c r="C241" s="498" t="s">
        <v>87</v>
      </c>
      <c r="D241" s="540"/>
      <c r="E241" s="604"/>
      <c r="F241" s="620">
        <v>0.23509399544307572</v>
      </c>
      <c r="G241" s="498"/>
      <c r="H241" s="604"/>
      <c r="I241" s="620"/>
      <c r="J241" s="525"/>
      <c r="K241" s="481"/>
      <c r="L241" s="620">
        <v>0.24835751904930256</v>
      </c>
      <c r="M241" s="543"/>
      <c r="N241" s="524">
        <v>10122.036646821323</v>
      </c>
      <c r="O241" s="525"/>
      <c r="P241" s="481"/>
      <c r="Q241" s="620">
        <v>0.24791615333000003</v>
      </c>
      <c r="R241" s="525"/>
      <c r="S241" s="524">
        <v>2326.07441860464</v>
      </c>
      <c r="T241" s="540"/>
      <c r="U241" s="481"/>
      <c r="V241" s="481"/>
      <c r="W241" s="481"/>
      <c r="X241" s="481"/>
      <c r="Y241" s="481"/>
      <c r="Z241" s="481"/>
      <c r="AA241" s="481"/>
      <c r="AB241" s="481"/>
      <c r="AC241" s="481"/>
      <c r="AD241" s="481"/>
      <c r="AE241" s="481"/>
      <c r="AF241" s="481"/>
      <c r="AG241" s="481"/>
      <c r="AH241" s="481"/>
      <c r="AI241" s="481"/>
      <c r="AJ241" s="481"/>
      <c r="AK241" s="481"/>
      <c r="AL241" s="481"/>
      <c r="AM241" s="481"/>
      <c r="AN241" s="481"/>
    </row>
    <row r="242" spans="1:40" ht="15.75" customHeight="1">
      <c r="A242" s="490" t="s">
        <v>99</v>
      </c>
      <c r="B242" s="481" t="s">
        <v>99</v>
      </c>
      <c r="C242" s="498"/>
      <c r="D242" s="540"/>
      <c r="E242" s="659"/>
      <c r="F242" s="598"/>
      <c r="G242" s="619"/>
      <c r="H242" s="659"/>
      <c r="I242" s="598"/>
      <c r="J242" s="619"/>
      <c r="K242" s="540"/>
      <c r="L242" s="618"/>
      <c r="M242" s="619"/>
      <c r="N242" s="618"/>
      <c r="O242" s="619"/>
      <c r="P242" s="540"/>
      <c r="Q242" s="618"/>
      <c r="R242" s="597"/>
      <c r="S242" s="618"/>
      <c r="T242" s="540"/>
      <c r="U242" s="481"/>
      <c r="V242" s="481"/>
      <c r="W242" s="481"/>
      <c r="X242" s="481"/>
      <c r="Y242" s="481"/>
      <c r="Z242" s="481"/>
      <c r="AA242" s="481"/>
      <c r="AB242" s="481"/>
      <c r="AC242" s="481"/>
      <c r="AD242" s="481"/>
      <c r="AE242" s="481"/>
      <c r="AF242" s="481"/>
      <c r="AG242" s="481"/>
      <c r="AH242" s="481"/>
      <c r="AI242" s="481"/>
      <c r="AJ242" s="481"/>
      <c r="AK242" s="481"/>
      <c r="AL242" s="481"/>
      <c r="AM242" s="481"/>
      <c r="AN242" s="481"/>
    </row>
    <row r="243" spans="1:40" ht="15.75" customHeight="1">
      <c r="A243" s="490" t="s">
        <v>369</v>
      </c>
      <c r="B243" s="481" t="s">
        <v>99</v>
      </c>
      <c r="C243" s="485" t="s">
        <v>101</v>
      </c>
      <c r="D243" s="624">
        <v>0</v>
      </c>
      <c r="E243" s="542">
        <v>0</v>
      </c>
      <c r="F243" s="542">
        <v>0</v>
      </c>
      <c r="G243" s="660"/>
      <c r="H243" s="542"/>
      <c r="I243" s="542"/>
      <c r="J243" s="625">
        <v>0</v>
      </c>
      <c r="K243" s="519">
        <v>0</v>
      </c>
      <c r="L243" s="520">
        <v>0</v>
      </c>
      <c r="M243" s="629">
        <v>0</v>
      </c>
      <c r="N243" s="570">
        <v>0</v>
      </c>
      <c r="O243" s="625">
        <v>0</v>
      </c>
      <c r="P243" s="519">
        <v>0</v>
      </c>
      <c r="Q243" s="520">
        <v>0</v>
      </c>
      <c r="R243" s="543">
        <v>0</v>
      </c>
      <c r="S243" s="570">
        <v>0</v>
      </c>
      <c r="T243" s="608"/>
      <c r="U243" s="481"/>
      <c r="V243" s="481"/>
      <c r="W243" s="481"/>
      <c r="X243" s="481"/>
      <c r="Y243" s="481"/>
      <c r="Z243" s="481"/>
      <c r="AA243" s="481"/>
      <c r="AB243" s="481"/>
      <c r="AC243" s="481"/>
      <c r="AD243" s="481"/>
      <c r="AE243" s="481"/>
      <c r="AF243" s="481"/>
      <c r="AG243" s="481"/>
      <c r="AH243" s="481"/>
      <c r="AI243" s="481"/>
      <c r="AJ243" s="481"/>
      <c r="AK243" s="481"/>
      <c r="AL243" s="481"/>
      <c r="AM243" s="481"/>
      <c r="AN243" s="481"/>
    </row>
    <row r="244" spans="1:40" ht="15.75" customHeight="1">
      <c r="A244" s="490" t="s">
        <v>368</v>
      </c>
      <c r="B244" s="481" t="s">
        <v>99</v>
      </c>
      <c r="C244" s="498" t="s">
        <v>87</v>
      </c>
      <c r="D244" s="481"/>
      <c r="E244" s="604"/>
      <c r="F244" s="620">
        <v>0</v>
      </c>
      <c r="G244" s="498"/>
      <c r="H244" s="604"/>
      <c r="I244" s="620"/>
      <c r="J244" s="525"/>
      <c r="K244" s="481"/>
      <c r="L244" s="620">
        <v>0</v>
      </c>
      <c r="M244" s="543"/>
      <c r="N244" s="524">
        <v>0</v>
      </c>
      <c r="O244" s="525"/>
      <c r="P244" s="481"/>
      <c r="Q244" s="620">
        <v>0</v>
      </c>
      <c r="R244" s="525"/>
      <c r="S244" s="524">
        <v>0</v>
      </c>
      <c r="T244" s="608"/>
      <c r="U244" s="481"/>
      <c r="V244" s="481"/>
      <c r="W244" s="481"/>
      <c r="X244" s="481"/>
      <c r="Y244" s="481"/>
      <c r="Z244" s="481"/>
      <c r="AA244" s="481"/>
      <c r="AB244" s="481"/>
      <c r="AC244" s="481"/>
      <c r="AD244" s="481"/>
      <c r="AE244" s="481"/>
      <c r="AF244" s="481"/>
      <c r="AG244" s="481"/>
      <c r="AH244" s="481"/>
      <c r="AI244" s="481"/>
      <c r="AJ244" s="481"/>
      <c r="AK244" s="481"/>
      <c r="AL244" s="481"/>
      <c r="AM244" s="481"/>
      <c r="AN244" s="481"/>
    </row>
    <row r="245" spans="1:40" ht="15.75" customHeight="1">
      <c r="A245" s="490" t="s">
        <v>99</v>
      </c>
      <c r="B245" s="481" t="s">
        <v>99</v>
      </c>
      <c r="C245" s="491"/>
      <c r="D245" s="571"/>
      <c r="E245" s="661"/>
      <c r="F245" s="622"/>
      <c r="G245" s="491"/>
      <c r="H245" s="661"/>
      <c r="I245" s="622"/>
      <c r="J245" s="623"/>
      <c r="K245" s="662"/>
      <c r="L245" s="622"/>
      <c r="M245" s="546"/>
      <c r="N245" s="547"/>
      <c r="O245" s="623"/>
      <c r="P245" s="662"/>
      <c r="Q245" s="622"/>
      <c r="R245" s="623"/>
      <c r="S245" s="547"/>
      <c r="T245" s="608"/>
      <c r="U245" s="481"/>
      <c r="V245" s="481"/>
      <c r="W245" s="481"/>
      <c r="X245" s="481"/>
      <c r="Y245" s="481"/>
      <c r="Z245" s="481"/>
      <c r="AA245" s="481"/>
      <c r="AB245" s="481"/>
      <c r="AC245" s="481"/>
      <c r="AD245" s="481"/>
      <c r="AE245" s="481"/>
      <c r="AF245" s="481"/>
      <c r="AG245" s="481"/>
      <c r="AH245" s="481"/>
      <c r="AI245" s="481"/>
      <c r="AJ245" s="481"/>
      <c r="AK245" s="481"/>
      <c r="AL245" s="481"/>
      <c r="AM245" s="481"/>
      <c r="AN245" s="481"/>
    </row>
    <row r="246" spans="1:40" ht="15.75" customHeight="1">
      <c r="A246" s="490" t="s">
        <v>370</v>
      </c>
      <c r="B246" s="481" t="s">
        <v>99</v>
      </c>
      <c r="C246" s="485" t="s">
        <v>102</v>
      </c>
      <c r="D246" s="624">
        <v>0</v>
      </c>
      <c r="E246" s="542">
        <v>0</v>
      </c>
      <c r="F246" s="542">
        <v>0</v>
      </c>
      <c r="G246" s="625"/>
      <c r="H246" s="542"/>
      <c r="I246" s="542"/>
      <c r="J246" s="625">
        <v>0</v>
      </c>
      <c r="K246" s="499">
        <v>0</v>
      </c>
      <c r="L246" s="501">
        <v>0</v>
      </c>
      <c r="M246" s="543">
        <v>0</v>
      </c>
      <c r="N246" s="570">
        <v>0</v>
      </c>
      <c r="O246" s="625">
        <v>0</v>
      </c>
      <c r="P246" s="499">
        <v>0</v>
      </c>
      <c r="Q246" s="501">
        <v>0</v>
      </c>
      <c r="R246" s="543">
        <v>0</v>
      </c>
      <c r="S246" s="524">
        <v>0</v>
      </c>
      <c r="T246" s="608"/>
      <c r="U246" s="481"/>
      <c r="V246" s="481"/>
      <c r="W246" s="481"/>
      <c r="X246" s="481"/>
      <c r="Y246" s="481"/>
      <c r="Z246" s="481"/>
      <c r="AA246" s="481"/>
      <c r="AB246" s="481"/>
      <c r="AC246" s="481"/>
      <c r="AD246" s="481"/>
      <c r="AE246" s="481"/>
      <c r="AF246" s="481"/>
      <c r="AG246" s="481"/>
      <c r="AH246" s="481"/>
      <c r="AI246" s="481"/>
      <c r="AJ246" s="481"/>
      <c r="AK246" s="481"/>
      <c r="AL246" s="481"/>
      <c r="AM246" s="481"/>
      <c r="AN246" s="481"/>
    </row>
    <row r="247" spans="1:40" ht="15.75" customHeight="1">
      <c r="A247" s="490" t="s">
        <v>368</v>
      </c>
      <c r="B247" s="481" t="s">
        <v>99</v>
      </c>
      <c r="C247" s="498" t="s">
        <v>87</v>
      </c>
      <c r="D247" s="481"/>
      <c r="E247" s="481"/>
      <c r="F247" s="620">
        <v>0</v>
      </c>
      <c r="G247" s="498"/>
      <c r="H247" s="481"/>
      <c r="I247" s="620"/>
      <c r="J247" s="498"/>
      <c r="K247" s="481"/>
      <c r="L247" s="620">
        <v>0</v>
      </c>
      <c r="M247" s="515"/>
      <c r="N247" s="516">
        <v>0</v>
      </c>
      <c r="O247" s="498"/>
      <c r="P247" s="481"/>
      <c r="Q247" s="620">
        <v>0</v>
      </c>
      <c r="R247" s="515"/>
      <c r="S247" s="516">
        <v>0</v>
      </c>
      <c r="T247" s="608"/>
      <c r="U247" s="481"/>
      <c r="V247" s="481"/>
      <c r="W247" s="481"/>
      <c r="X247" s="481"/>
      <c r="Y247" s="481"/>
      <c r="Z247" s="481"/>
      <c r="AA247" s="481"/>
      <c r="AB247" s="481"/>
      <c r="AC247" s="481"/>
      <c r="AD247" s="481"/>
      <c r="AE247" s="481"/>
      <c r="AF247" s="481"/>
      <c r="AG247" s="481"/>
      <c r="AH247" s="481"/>
      <c r="AI247" s="481"/>
      <c r="AJ247" s="481"/>
      <c r="AK247" s="481"/>
      <c r="AL247" s="481"/>
      <c r="AM247" s="481"/>
      <c r="AN247" s="481"/>
    </row>
    <row r="248" spans="1:40" ht="15.75" customHeight="1" thickBot="1">
      <c r="A248" s="490" t="s">
        <v>99</v>
      </c>
      <c r="B248" s="481" t="s">
        <v>99</v>
      </c>
      <c r="C248" s="498"/>
      <c r="D248" s="481"/>
      <c r="E248" s="481"/>
      <c r="F248" s="620"/>
      <c r="G248" s="498"/>
      <c r="H248" s="481"/>
      <c r="I248" s="620"/>
      <c r="J248" s="498"/>
      <c r="K248" s="481"/>
      <c r="L248" s="620"/>
      <c r="M248" s="515"/>
      <c r="N248" s="516"/>
      <c r="O248" s="498"/>
      <c r="P248" s="481"/>
      <c r="Q248" s="620"/>
      <c r="R248" s="515"/>
      <c r="S248" s="516"/>
      <c r="T248" s="608"/>
      <c r="U248" s="481"/>
      <c r="V248" s="481"/>
      <c r="W248" s="481"/>
      <c r="X248" s="481"/>
      <c r="Y248" s="481"/>
      <c r="Z248" s="481"/>
      <c r="AA248" s="481"/>
      <c r="AB248" s="481"/>
      <c r="AC248" s="481"/>
      <c r="AD248" s="481"/>
      <c r="AE248" s="481"/>
      <c r="AF248" s="481"/>
      <c r="AG248" s="481"/>
      <c r="AH248" s="481"/>
      <c r="AI248" s="481"/>
      <c r="AJ248" s="481"/>
      <c r="AK248" s="481"/>
      <c r="AL248" s="481"/>
      <c r="AM248" s="481"/>
      <c r="AN248" s="481"/>
    </row>
    <row r="249" spans="1:40" ht="15.75" customHeight="1" thickTop="1">
      <c r="A249" s="490" t="s">
        <v>371</v>
      </c>
      <c r="B249" s="481" t="s">
        <v>99</v>
      </c>
      <c r="C249" s="526" t="s">
        <v>96</v>
      </c>
      <c r="D249" s="527"/>
      <c r="E249" s="527">
        <v>102279.60711969429</v>
      </c>
      <c r="F249" s="529">
        <v>24045.321490116985</v>
      </c>
      <c r="G249" s="530"/>
      <c r="H249" s="527"/>
      <c r="I249" s="529"/>
      <c r="J249" s="530"/>
      <c r="K249" s="527">
        <v>93198.95</v>
      </c>
      <c r="L249" s="529">
        <v>23146.659999999996</v>
      </c>
      <c r="M249" s="657">
        <v>1.3263523606226846E-2</v>
      </c>
      <c r="N249" s="529">
        <v>-898.66149011698872</v>
      </c>
      <c r="O249" s="530"/>
      <c r="P249" s="527">
        <v>83278.680000000008</v>
      </c>
      <c r="Q249" s="529">
        <v>20646.130000000008</v>
      </c>
      <c r="R249" s="663">
        <v>4.4136571930253332E-4</v>
      </c>
      <c r="S249" s="529">
        <v>2500.5299999999879</v>
      </c>
      <c r="T249" s="608"/>
      <c r="U249" s="481"/>
      <c r="V249" s="481"/>
      <c r="W249" s="481"/>
      <c r="X249" s="481"/>
      <c r="Y249" s="481"/>
      <c r="Z249" s="481"/>
      <c r="AA249" s="481"/>
      <c r="AB249" s="481"/>
      <c r="AC249" s="481"/>
      <c r="AD249" s="481"/>
      <c r="AE249" s="481"/>
      <c r="AF249" s="481"/>
      <c r="AG249" s="481"/>
      <c r="AH249" s="481"/>
      <c r="AI249" s="481"/>
      <c r="AJ249" s="481"/>
      <c r="AK249" s="481"/>
      <c r="AL249" s="481"/>
      <c r="AM249" s="481"/>
      <c r="AN249" s="481"/>
    </row>
    <row r="250" spans="1:40" ht="23.25" customHeight="1" thickBot="1">
      <c r="A250" s="490" t="s">
        <v>99</v>
      </c>
      <c r="B250" s="481" t="s">
        <v>99</v>
      </c>
      <c r="C250" s="531"/>
      <c r="D250" s="532"/>
      <c r="E250" s="532"/>
      <c r="F250" s="536">
        <v>0.23509399544307572</v>
      </c>
      <c r="G250" s="531"/>
      <c r="H250" s="532"/>
      <c r="I250" s="536"/>
      <c r="J250" s="531"/>
      <c r="K250" s="532"/>
      <c r="L250" s="536">
        <v>0.24835751904930256</v>
      </c>
      <c r="M250" s="535"/>
      <c r="N250" s="536">
        <v>-3.7373652520568422E-2</v>
      </c>
      <c r="O250" s="531"/>
      <c r="P250" s="532"/>
      <c r="Q250" s="536">
        <v>0.24791615333000003</v>
      </c>
      <c r="R250" s="535"/>
      <c r="S250" s="536">
        <v>0.12111373899127764</v>
      </c>
      <c r="T250" s="608"/>
      <c r="U250" s="481"/>
      <c r="V250" s="481"/>
      <c r="W250" s="481"/>
      <c r="X250" s="481"/>
      <c r="Y250" s="481"/>
      <c r="Z250" s="481"/>
      <c r="AA250" s="481"/>
      <c r="AB250" s="481"/>
      <c r="AC250" s="481"/>
      <c r="AD250" s="481"/>
      <c r="AE250" s="481"/>
      <c r="AF250" s="481"/>
      <c r="AG250" s="481"/>
      <c r="AH250" s="481"/>
      <c r="AI250" s="481"/>
      <c r="AJ250" s="481"/>
      <c r="AK250" s="481"/>
      <c r="AL250" s="481"/>
      <c r="AM250" s="481"/>
      <c r="AN250" s="481"/>
    </row>
    <row r="251" spans="1:40" ht="15.75" customHeight="1" thickTop="1">
      <c r="A251" s="490" t="s">
        <v>99</v>
      </c>
      <c r="B251" s="481" t="s">
        <v>99</v>
      </c>
      <c r="C251" s="498"/>
      <c r="D251" s="481"/>
      <c r="E251" s="481"/>
      <c r="F251" s="524"/>
      <c r="G251" s="498"/>
      <c r="H251" s="481"/>
      <c r="I251" s="524"/>
      <c r="J251" s="498"/>
      <c r="K251" s="481"/>
      <c r="L251" s="508"/>
      <c r="M251" s="498"/>
      <c r="N251" s="508"/>
      <c r="O251" s="498"/>
      <c r="P251" s="481"/>
      <c r="Q251" s="508"/>
      <c r="R251" s="498"/>
      <c r="S251" s="508"/>
      <c r="T251" s="481"/>
      <c r="U251" s="481"/>
      <c r="V251" s="481"/>
      <c r="W251" s="481"/>
      <c r="X251" s="481"/>
      <c r="Y251" s="481"/>
      <c r="Z251" s="481"/>
      <c r="AA251" s="481"/>
      <c r="AB251" s="481"/>
      <c r="AC251" s="481"/>
      <c r="AD251" s="481"/>
      <c r="AE251" s="481"/>
      <c r="AF251" s="481"/>
      <c r="AG251" s="481"/>
      <c r="AH251" s="481"/>
      <c r="AI251" s="481"/>
      <c r="AJ251" s="481"/>
      <c r="AK251" s="481"/>
      <c r="AL251" s="481"/>
      <c r="AM251" s="481"/>
      <c r="AN251" s="481"/>
    </row>
    <row r="252" spans="1:40" ht="15.75" customHeight="1">
      <c r="A252" s="490" t="s">
        <v>372</v>
      </c>
      <c r="B252" s="481" t="s">
        <v>99</v>
      </c>
      <c r="C252" s="539" t="s">
        <v>30</v>
      </c>
      <c r="D252" s="481"/>
      <c r="E252" s="481"/>
      <c r="F252" s="524"/>
      <c r="G252" s="498"/>
      <c r="H252" s="481"/>
      <c r="I252" s="524"/>
      <c r="J252" s="498"/>
      <c r="K252" s="481"/>
      <c r="L252" s="508"/>
      <c r="M252" s="498"/>
      <c r="N252" s="508"/>
      <c r="O252" s="498"/>
      <c r="P252" s="481"/>
      <c r="Q252" s="508"/>
      <c r="R252" s="498"/>
      <c r="S252" s="508"/>
      <c r="T252" s="481"/>
      <c r="U252" s="481"/>
      <c r="V252" s="481"/>
      <c r="W252" s="481"/>
      <c r="X252" s="481"/>
      <c r="Y252" s="481"/>
      <c r="Z252" s="481"/>
      <c r="AA252" s="481"/>
      <c r="AB252" s="481"/>
      <c r="AC252" s="481"/>
      <c r="AD252" s="481"/>
      <c r="AE252" s="481"/>
      <c r="AF252" s="481"/>
      <c r="AG252" s="481"/>
      <c r="AH252" s="481"/>
      <c r="AI252" s="481"/>
      <c r="AJ252" s="481"/>
      <c r="AK252" s="481"/>
      <c r="AL252" s="481"/>
      <c r="AM252" s="481"/>
      <c r="AN252" s="481"/>
    </row>
    <row r="253" spans="1:40" ht="15.75" customHeight="1">
      <c r="A253" s="490" t="s">
        <v>373</v>
      </c>
      <c r="B253" s="481" t="s">
        <v>99</v>
      </c>
      <c r="C253" s="565" t="s">
        <v>41</v>
      </c>
      <c r="D253" s="481"/>
      <c r="E253" s="481"/>
      <c r="F253" s="499">
        <v>325.80440613026821</v>
      </c>
      <c r="G253" s="498"/>
      <c r="H253" s="481"/>
      <c r="I253" s="499"/>
      <c r="J253" s="498"/>
      <c r="K253" s="481"/>
      <c r="L253" s="501">
        <v>651.88</v>
      </c>
      <c r="M253" s="498"/>
      <c r="N253" s="524">
        <v>326.07559386973179</v>
      </c>
      <c r="O253" s="498"/>
      <c r="P253" s="481"/>
      <c r="Q253" s="501">
        <v>901.88</v>
      </c>
      <c r="R253" s="498"/>
      <c r="S253" s="501">
        <v>-250</v>
      </c>
      <c r="T253" s="481"/>
      <c r="U253" s="481"/>
      <c r="V253" s="481"/>
      <c r="W253" s="481"/>
      <c r="X253" s="481"/>
      <c r="Y253" s="481"/>
      <c r="Z253" s="481"/>
      <c r="AA253" s="481"/>
      <c r="AB253" s="481"/>
      <c r="AC253" s="481"/>
      <c r="AD253" s="481"/>
      <c r="AE253" s="481"/>
      <c r="AF253" s="481"/>
      <c r="AG253" s="481"/>
      <c r="AH253" s="481"/>
      <c r="AI253" s="481"/>
      <c r="AJ253" s="481"/>
      <c r="AK253" s="481"/>
      <c r="AL253" s="481"/>
      <c r="AM253" s="481"/>
      <c r="AN253" s="481"/>
    </row>
    <row r="254" spans="1:40" ht="15.75" customHeight="1">
      <c r="A254" s="490" t="s">
        <v>374</v>
      </c>
      <c r="B254" s="481" t="s">
        <v>99</v>
      </c>
      <c r="C254" s="566" t="s">
        <v>42</v>
      </c>
      <c r="D254" s="550"/>
      <c r="E254" s="481"/>
      <c r="F254" s="493">
        <v>568.03540229885061</v>
      </c>
      <c r="G254" s="551"/>
      <c r="H254" s="481"/>
      <c r="I254" s="493"/>
      <c r="J254" s="498"/>
      <c r="K254" s="481"/>
      <c r="L254" s="501">
        <v>0</v>
      </c>
      <c r="M254" s="498"/>
      <c r="N254" s="524">
        <v>-568.03540229885061</v>
      </c>
      <c r="O254" s="498"/>
      <c r="P254" s="481"/>
      <c r="Q254" s="501">
        <v>0</v>
      </c>
      <c r="R254" s="498"/>
      <c r="S254" s="524">
        <v>0</v>
      </c>
      <c r="T254" s="481"/>
      <c r="U254" s="481"/>
      <c r="V254" s="481"/>
      <c r="W254" s="481"/>
      <c r="X254" s="481"/>
      <c r="Y254" s="481"/>
      <c r="Z254" s="481"/>
      <c r="AA254" s="481"/>
      <c r="AB254" s="481"/>
      <c r="AC254" s="481"/>
      <c r="AD254" s="481"/>
      <c r="AE254" s="481"/>
      <c r="AF254" s="481"/>
      <c r="AG254" s="481"/>
      <c r="AH254" s="481"/>
      <c r="AI254" s="481"/>
      <c r="AJ254" s="481"/>
      <c r="AK254" s="481"/>
      <c r="AL254" s="481"/>
      <c r="AM254" s="481"/>
      <c r="AN254" s="481"/>
    </row>
    <row r="255" spans="1:40" ht="15.75" customHeight="1">
      <c r="A255" s="490" t="s">
        <v>375</v>
      </c>
      <c r="B255" s="481" t="s">
        <v>99</v>
      </c>
      <c r="C255" s="565" t="s">
        <v>43</v>
      </c>
      <c r="D255" s="567"/>
      <c r="E255" s="568"/>
      <c r="F255" s="499">
        <v>371.30268199233717</v>
      </c>
      <c r="G255" s="569"/>
      <c r="H255" s="568"/>
      <c r="I255" s="499"/>
      <c r="J255" s="485"/>
      <c r="K255" s="568"/>
      <c r="L255" s="520">
        <v>-0.02</v>
      </c>
      <c r="M255" s="485"/>
      <c r="N255" s="570">
        <v>-371.32268199233715</v>
      </c>
      <c r="O255" s="485"/>
      <c r="P255" s="568"/>
      <c r="Q255" s="520">
        <v>1.23</v>
      </c>
      <c r="R255" s="485"/>
      <c r="S255" s="570">
        <v>-1.25</v>
      </c>
      <c r="T255" s="481"/>
      <c r="U255" s="481"/>
      <c r="V255" s="481"/>
      <c r="W255" s="481"/>
      <c r="X255" s="481"/>
      <c r="Y255" s="481"/>
      <c r="Z255" s="481"/>
      <c r="AA255" s="481"/>
      <c r="AB255" s="481"/>
      <c r="AC255" s="481"/>
      <c r="AD255" s="481"/>
      <c r="AE255" s="481"/>
      <c r="AF255" s="481"/>
      <c r="AG255" s="481"/>
      <c r="AH255" s="481"/>
      <c r="AI255" s="481"/>
      <c r="AJ255" s="481"/>
      <c r="AK255" s="481"/>
      <c r="AL255" s="481"/>
      <c r="AM255" s="481"/>
      <c r="AN255" s="481"/>
    </row>
    <row r="256" spans="1:40" ht="15.75" customHeight="1">
      <c r="A256" s="490" t="s">
        <v>376</v>
      </c>
      <c r="B256" s="481" t="s">
        <v>99</v>
      </c>
      <c r="C256" s="565" t="s">
        <v>44</v>
      </c>
      <c r="D256" s="550"/>
      <c r="E256" s="481"/>
      <c r="F256" s="499">
        <v>3655.8620689655172</v>
      </c>
      <c r="G256" s="551"/>
      <c r="H256" s="481"/>
      <c r="I256" s="499"/>
      <c r="J256" s="498"/>
      <c r="K256" s="481"/>
      <c r="L256" s="501">
        <v>4550.6000000000004</v>
      </c>
      <c r="M256" s="498"/>
      <c r="N256" s="524">
        <v>894.73793103448315</v>
      </c>
      <c r="O256" s="498"/>
      <c r="P256" s="481"/>
      <c r="Q256" s="501">
        <v>3149.32</v>
      </c>
      <c r="R256" s="498"/>
      <c r="S256" s="524">
        <v>1401.2800000000002</v>
      </c>
      <c r="T256" s="481"/>
      <c r="U256" s="481"/>
      <c r="V256" s="481"/>
      <c r="W256" s="481"/>
      <c r="X256" s="481"/>
      <c r="Y256" s="481"/>
      <c r="Z256" s="481"/>
      <c r="AA256" s="481"/>
      <c r="AB256" s="481"/>
      <c r="AC256" s="481"/>
      <c r="AD256" s="481"/>
      <c r="AE256" s="481"/>
      <c r="AF256" s="481"/>
      <c r="AG256" s="481"/>
      <c r="AH256" s="481"/>
      <c r="AI256" s="481"/>
      <c r="AJ256" s="481"/>
      <c r="AK256" s="481"/>
      <c r="AL256" s="481"/>
      <c r="AM256" s="481"/>
      <c r="AN256" s="481"/>
    </row>
    <row r="257" spans="1:40" ht="15.75" hidden="1" customHeight="1">
      <c r="A257" s="490" t="s">
        <v>377</v>
      </c>
      <c r="B257" s="481" t="s">
        <v>99</v>
      </c>
      <c r="C257" s="498" t="s">
        <v>20</v>
      </c>
      <c r="D257" s="550"/>
      <c r="E257" s="481"/>
      <c r="F257" s="499">
        <v>0</v>
      </c>
      <c r="G257" s="551"/>
      <c r="H257" s="481"/>
      <c r="I257" s="499"/>
      <c r="J257" s="498"/>
      <c r="K257" s="481"/>
      <c r="L257" s="501">
        <v>0</v>
      </c>
      <c r="M257" s="498"/>
      <c r="N257" s="524">
        <v>0</v>
      </c>
      <c r="O257" s="498"/>
      <c r="P257" s="481"/>
      <c r="Q257" s="501">
        <v>0</v>
      </c>
      <c r="R257" s="498"/>
      <c r="S257" s="524">
        <v>0</v>
      </c>
      <c r="T257" s="481"/>
      <c r="U257" s="481"/>
      <c r="V257" s="481"/>
      <c r="W257" s="481"/>
      <c r="X257" s="481"/>
      <c r="Y257" s="481"/>
      <c r="Z257" s="481"/>
      <c r="AA257" s="481"/>
      <c r="AB257" s="481"/>
      <c r="AC257" s="481"/>
      <c r="AD257" s="481"/>
      <c r="AE257" s="481"/>
      <c r="AF257" s="481"/>
      <c r="AG257" s="481"/>
      <c r="AH257" s="481"/>
      <c r="AI257" s="481"/>
      <c r="AJ257" s="481"/>
      <c r="AK257" s="481"/>
      <c r="AL257" s="481"/>
      <c r="AM257" s="481"/>
      <c r="AN257" s="481"/>
    </row>
    <row r="258" spans="1:40" ht="15.75" hidden="1" customHeight="1">
      <c r="A258" s="490" t="s">
        <v>377</v>
      </c>
      <c r="B258" s="481" t="s">
        <v>99</v>
      </c>
      <c r="C258" s="498" t="s">
        <v>20</v>
      </c>
      <c r="D258" s="550"/>
      <c r="E258" s="481"/>
      <c r="F258" s="499">
        <v>0</v>
      </c>
      <c r="G258" s="551"/>
      <c r="H258" s="481"/>
      <c r="I258" s="499"/>
      <c r="J258" s="498"/>
      <c r="K258" s="481"/>
      <c r="L258" s="501">
        <v>0</v>
      </c>
      <c r="M258" s="498"/>
      <c r="N258" s="524">
        <v>0</v>
      </c>
      <c r="O258" s="498"/>
      <c r="P258" s="481"/>
      <c r="Q258" s="501">
        <v>0</v>
      </c>
      <c r="R258" s="498"/>
      <c r="S258" s="524">
        <v>0</v>
      </c>
      <c r="T258" s="481"/>
      <c r="U258" s="481"/>
      <c r="V258" s="481"/>
      <c r="W258" s="481"/>
      <c r="X258" s="481"/>
      <c r="Y258" s="481"/>
      <c r="Z258" s="481"/>
      <c r="AA258" s="481"/>
      <c r="AB258" s="481"/>
      <c r="AC258" s="481"/>
      <c r="AD258" s="481"/>
      <c r="AE258" s="481"/>
      <c r="AF258" s="481"/>
      <c r="AG258" s="481"/>
      <c r="AH258" s="481"/>
      <c r="AI258" s="481"/>
      <c r="AJ258" s="481"/>
      <c r="AK258" s="481"/>
      <c r="AL258" s="481"/>
      <c r="AM258" s="481"/>
      <c r="AN258" s="481"/>
    </row>
    <row r="259" spans="1:40" ht="15.75" hidden="1" customHeight="1">
      <c r="A259" s="490" t="s">
        <v>377</v>
      </c>
      <c r="B259" s="481" t="s">
        <v>99</v>
      </c>
      <c r="C259" s="498" t="s">
        <v>20</v>
      </c>
      <c r="D259" s="550"/>
      <c r="E259" s="481"/>
      <c r="F259" s="499">
        <v>0</v>
      </c>
      <c r="G259" s="551"/>
      <c r="H259" s="481"/>
      <c r="I259" s="499"/>
      <c r="J259" s="498"/>
      <c r="K259" s="481"/>
      <c r="L259" s="501">
        <v>0</v>
      </c>
      <c r="M259" s="498"/>
      <c r="N259" s="524">
        <v>0</v>
      </c>
      <c r="O259" s="498"/>
      <c r="P259" s="481"/>
      <c r="Q259" s="501">
        <v>0</v>
      </c>
      <c r="R259" s="498"/>
      <c r="S259" s="524">
        <v>0</v>
      </c>
      <c r="T259" s="481"/>
      <c r="U259" s="481"/>
      <c r="V259" s="481"/>
      <c r="W259" s="481"/>
      <c r="X259" s="481"/>
      <c r="Y259" s="481"/>
      <c r="Z259" s="481"/>
      <c r="AA259" s="481"/>
      <c r="AB259" s="481"/>
      <c r="AC259" s="481"/>
      <c r="AD259" s="481"/>
      <c r="AE259" s="481"/>
      <c r="AF259" s="481"/>
      <c r="AG259" s="481"/>
      <c r="AH259" s="481"/>
      <c r="AI259" s="481"/>
      <c r="AJ259" s="481"/>
      <c r="AK259" s="481"/>
      <c r="AL259" s="481"/>
      <c r="AM259" s="481"/>
      <c r="AN259" s="481"/>
    </row>
    <row r="260" spans="1:40" ht="15.75" customHeight="1">
      <c r="A260" s="490" t="s">
        <v>378</v>
      </c>
      <c r="B260" s="481" t="s">
        <v>99</v>
      </c>
      <c r="C260" s="566" t="s">
        <v>45</v>
      </c>
      <c r="D260" s="550"/>
      <c r="E260" s="481"/>
      <c r="F260" s="493">
        <v>599.74349788961297</v>
      </c>
      <c r="G260" s="551"/>
      <c r="H260" s="481"/>
      <c r="I260" s="493"/>
      <c r="J260" s="498"/>
      <c r="K260" s="481"/>
      <c r="L260" s="501">
        <v>382.81</v>
      </c>
      <c r="M260" s="498"/>
      <c r="N260" s="524">
        <v>-216.93349788961297</v>
      </c>
      <c r="O260" s="498"/>
      <c r="P260" s="481"/>
      <c r="Q260" s="501">
        <v>924.62</v>
      </c>
      <c r="R260" s="498"/>
      <c r="S260" s="524">
        <v>-541.80999999999995</v>
      </c>
      <c r="T260" s="481"/>
      <c r="U260" s="481"/>
      <c r="V260" s="481"/>
      <c r="W260" s="481"/>
      <c r="X260" s="481"/>
      <c r="Y260" s="481"/>
      <c r="Z260" s="481"/>
      <c r="AA260" s="481"/>
      <c r="AB260" s="481"/>
      <c r="AC260" s="481"/>
      <c r="AD260" s="481"/>
      <c r="AE260" s="481"/>
      <c r="AF260" s="481"/>
      <c r="AG260" s="481"/>
      <c r="AH260" s="481"/>
      <c r="AI260" s="481"/>
      <c r="AJ260" s="481"/>
      <c r="AK260" s="481"/>
      <c r="AL260" s="481"/>
      <c r="AM260" s="481"/>
      <c r="AN260" s="481"/>
    </row>
    <row r="261" spans="1:40" ht="15.75" customHeight="1">
      <c r="A261" s="490" t="s">
        <v>379</v>
      </c>
      <c r="B261" s="481" t="s">
        <v>99</v>
      </c>
      <c r="C261" s="565" t="s">
        <v>46</v>
      </c>
      <c r="D261" s="567"/>
      <c r="E261" s="568"/>
      <c r="F261" s="499">
        <v>596.20408602417399</v>
      </c>
      <c r="G261" s="569"/>
      <c r="H261" s="568"/>
      <c r="I261" s="499"/>
      <c r="J261" s="485"/>
      <c r="K261" s="568"/>
      <c r="L261" s="520">
        <v>1298.79</v>
      </c>
      <c r="M261" s="485"/>
      <c r="N261" s="570">
        <v>702.58591397582597</v>
      </c>
      <c r="O261" s="485"/>
      <c r="P261" s="568"/>
      <c r="Q261" s="520">
        <v>1758.56</v>
      </c>
      <c r="R261" s="485"/>
      <c r="S261" s="570">
        <v>-459.77</v>
      </c>
      <c r="T261" s="481"/>
      <c r="U261" s="481"/>
      <c r="V261" s="481"/>
      <c r="W261" s="481"/>
      <c r="X261" s="481"/>
      <c r="Y261" s="481"/>
      <c r="Z261" s="481"/>
      <c r="AA261" s="481"/>
      <c r="AB261" s="481"/>
      <c r="AC261" s="481"/>
      <c r="AD261" s="481"/>
      <c r="AE261" s="481"/>
      <c r="AF261" s="481"/>
      <c r="AG261" s="481"/>
      <c r="AH261" s="481"/>
      <c r="AI261" s="481"/>
      <c r="AJ261" s="481"/>
      <c r="AK261" s="481"/>
      <c r="AL261" s="481"/>
      <c r="AM261" s="481"/>
      <c r="AN261" s="481"/>
    </row>
    <row r="262" spans="1:40" ht="15.75" customHeight="1">
      <c r="A262" s="490" t="s">
        <v>380</v>
      </c>
      <c r="B262" s="481" t="s">
        <v>99</v>
      </c>
      <c r="C262" s="565" t="s">
        <v>47</v>
      </c>
      <c r="D262" s="550"/>
      <c r="E262" s="481"/>
      <c r="F262" s="499">
        <v>417.4967010991079</v>
      </c>
      <c r="G262" s="551"/>
      <c r="H262" s="481"/>
      <c r="I262" s="499"/>
      <c r="J262" s="498"/>
      <c r="K262" s="481"/>
      <c r="L262" s="501">
        <v>46.81</v>
      </c>
      <c r="M262" s="498"/>
      <c r="N262" s="524">
        <v>-370.68670109910789</v>
      </c>
      <c r="O262" s="498"/>
      <c r="P262" s="481"/>
      <c r="Q262" s="501">
        <v>1606.88</v>
      </c>
      <c r="R262" s="498"/>
      <c r="S262" s="524">
        <v>-1560.0700000000002</v>
      </c>
      <c r="T262" s="481"/>
      <c r="U262" s="481"/>
      <c r="V262" s="481"/>
      <c r="W262" s="481"/>
      <c r="X262" s="481"/>
      <c r="Y262" s="481"/>
      <c r="Z262" s="481"/>
      <c r="AA262" s="481"/>
      <c r="AB262" s="481"/>
      <c r="AC262" s="481"/>
      <c r="AD262" s="481"/>
      <c r="AE262" s="481"/>
      <c r="AF262" s="481"/>
      <c r="AG262" s="481"/>
      <c r="AH262" s="481"/>
      <c r="AI262" s="481"/>
      <c r="AJ262" s="481"/>
      <c r="AK262" s="481"/>
      <c r="AL262" s="481"/>
      <c r="AM262" s="481"/>
      <c r="AN262" s="481"/>
    </row>
    <row r="263" spans="1:40" ht="15.75" customHeight="1">
      <c r="A263" s="490" t="s">
        <v>381</v>
      </c>
      <c r="B263" s="481" t="s">
        <v>99</v>
      </c>
      <c r="C263" s="565" t="s">
        <v>48</v>
      </c>
      <c r="D263" s="550"/>
      <c r="E263" s="481"/>
      <c r="F263" s="499">
        <v>199.45020784310012</v>
      </c>
      <c r="G263" s="551"/>
      <c r="H263" s="481"/>
      <c r="I263" s="499"/>
      <c r="J263" s="498"/>
      <c r="K263" s="481"/>
      <c r="L263" s="501">
        <v>170.57</v>
      </c>
      <c r="M263" s="498"/>
      <c r="N263" s="524">
        <v>-28.880207843100123</v>
      </c>
      <c r="O263" s="498"/>
      <c r="P263" s="481"/>
      <c r="Q263" s="501">
        <v>466.12</v>
      </c>
      <c r="R263" s="498"/>
      <c r="S263" s="524">
        <v>-295.55</v>
      </c>
      <c r="T263" s="481"/>
      <c r="U263" s="481"/>
      <c r="V263" s="481"/>
      <c r="W263" s="481"/>
      <c r="X263" s="481"/>
      <c r="Y263" s="481"/>
      <c r="Z263" s="481"/>
      <c r="AA263" s="481"/>
      <c r="AB263" s="481"/>
      <c r="AC263" s="481"/>
      <c r="AD263" s="481"/>
      <c r="AE263" s="481"/>
      <c r="AF263" s="481"/>
      <c r="AG263" s="481"/>
      <c r="AH263" s="481"/>
      <c r="AI263" s="481"/>
      <c r="AJ263" s="481"/>
      <c r="AK263" s="481"/>
      <c r="AL263" s="481"/>
      <c r="AM263" s="481"/>
      <c r="AN263" s="481"/>
    </row>
    <row r="264" spans="1:40" ht="15.75" hidden="1" customHeight="1">
      <c r="A264" s="490" t="s">
        <v>377</v>
      </c>
      <c r="B264" s="481" t="s">
        <v>99</v>
      </c>
      <c r="C264" s="498" t="s">
        <v>20</v>
      </c>
      <c r="D264" s="552"/>
      <c r="E264" s="571"/>
      <c r="F264" s="499">
        <v>0</v>
      </c>
      <c r="G264" s="553"/>
      <c r="H264" s="571"/>
      <c r="I264" s="499"/>
      <c r="J264" s="491"/>
      <c r="K264" s="571"/>
      <c r="L264" s="501">
        <v>0</v>
      </c>
      <c r="M264" s="491"/>
      <c r="N264" s="547">
        <v>0</v>
      </c>
      <c r="O264" s="491"/>
      <c r="P264" s="571"/>
      <c r="Q264" s="501">
        <v>0</v>
      </c>
      <c r="R264" s="491"/>
      <c r="S264" s="547">
        <v>0</v>
      </c>
      <c r="T264" s="481"/>
      <c r="U264" s="481"/>
      <c r="V264" s="481"/>
      <c r="W264" s="481"/>
      <c r="X264" s="481"/>
      <c r="Y264" s="481"/>
      <c r="Z264" s="481"/>
      <c r="AA264" s="481"/>
      <c r="AB264" s="481"/>
      <c r="AC264" s="481"/>
      <c r="AD264" s="481"/>
      <c r="AE264" s="481"/>
      <c r="AF264" s="481"/>
      <c r="AG264" s="481"/>
      <c r="AH264" s="481"/>
      <c r="AI264" s="481"/>
      <c r="AJ264" s="481"/>
      <c r="AK264" s="481"/>
      <c r="AL264" s="481"/>
      <c r="AM264" s="481"/>
      <c r="AN264" s="481"/>
    </row>
    <row r="265" spans="1:40" ht="15.75" customHeight="1">
      <c r="A265" s="490" t="s">
        <v>382</v>
      </c>
      <c r="B265" s="481" t="s">
        <v>99</v>
      </c>
      <c r="C265" s="557" t="s">
        <v>49</v>
      </c>
      <c r="D265" s="558" t="s">
        <v>39</v>
      </c>
      <c r="E265" s="559">
        <v>0.28005028150739047</v>
      </c>
      <c r="F265" s="560">
        <v>6733.8990522429676</v>
      </c>
      <c r="G265" s="561"/>
      <c r="H265" s="559"/>
      <c r="I265" s="560"/>
      <c r="J265" s="561" t="s">
        <v>39</v>
      </c>
      <c r="K265" s="559">
        <v>0.30680193168258407</v>
      </c>
      <c r="L265" s="560">
        <v>7101.4400000000005</v>
      </c>
      <c r="M265" s="610"/>
      <c r="N265" s="573">
        <v>367.54094775703288</v>
      </c>
      <c r="O265" s="561" t="s">
        <v>39</v>
      </c>
      <c r="P265" s="559">
        <v>0.42664702779649255</v>
      </c>
      <c r="Q265" s="560">
        <v>8808.6100000000024</v>
      </c>
      <c r="R265" s="610"/>
      <c r="S265" s="573">
        <v>-1707.1700000000019</v>
      </c>
      <c r="T265" s="481"/>
      <c r="U265" s="481"/>
      <c r="V265" s="481"/>
      <c r="W265" s="481"/>
      <c r="X265" s="481"/>
      <c r="Y265" s="481"/>
      <c r="Z265" s="481"/>
      <c r="AA265" s="481"/>
      <c r="AB265" s="481"/>
      <c r="AC265" s="481"/>
      <c r="AD265" s="481"/>
      <c r="AE265" s="481"/>
      <c r="AF265" s="481"/>
      <c r="AG265" s="481"/>
      <c r="AH265" s="481"/>
      <c r="AI265" s="481"/>
      <c r="AJ265" s="481"/>
      <c r="AK265" s="481"/>
      <c r="AL265" s="481"/>
      <c r="AM265" s="481"/>
      <c r="AN265" s="481"/>
    </row>
    <row r="266" spans="1:40" ht="15.75" customHeight="1">
      <c r="A266" s="490" t="s">
        <v>383</v>
      </c>
      <c r="B266" s="481" t="s">
        <v>99</v>
      </c>
      <c r="C266" s="664" t="s">
        <v>50</v>
      </c>
      <c r="D266" s="550"/>
      <c r="E266" s="481"/>
      <c r="F266" s="499">
        <v>0</v>
      </c>
      <c r="G266" s="551"/>
      <c r="H266" s="481"/>
      <c r="I266" s="499"/>
      <c r="J266" s="498"/>
      <c r="K266" s="481"/>
      <c r="L266" s="501">
        <v>24.55</v>
      </c>
      <c r="M266" s="498"/>
      <c r="N266" s="524">
        <v>24.55</v>
      </c>
      <c r="O266" s="498"/>
      <c r="P266" s="481"/>
      <c r="Q266" s="501">
        <v>0.06</v>
      </c>
      <c r="R266" s="498"/>
      <c r="S266" s="524">
        <v>24.490000000000002</v>
      </c>
      <c r="T266" s="481"/>
      <c r="U266" s="481"/>
      <c r="V266" s="481"/>
      <c r="W266" s="481"/>
      <c r="X266" s="481"/>
      <c r="Y266" s="481"/>
      <c r="Z266" s="481"/>
      <c r="AA266" s="481"/>
      <c r="AB266" s="481"/>
      <c r="AC266" s="481"/>
      <c r="AD266" s="481"/>
      <c r="AE266" s="481"/>
      <c r="AF266" s="481"/>
      <c r="AG266" s="481"/>
      <c r="AH266" s="481"/>
      <c r="AI266" s="481"/>
      <c r="AJ266" s="481"/>
      <c r="AK266" s="481"/>
      <c r="AL266" s="481"/>
      <c r="AM266" s="481"/>
      <c r="AN266" s="481"/>
    </row>
    <row r="267" spans="1:40" ht="15.75" customHeight="1">
      <c r="A267" s="490" t="s">
        <v>384</v>
      </c>
      <c r="B267" s="481" t="s">
        <v>99</v>
      </c>
      <c r="C267" s="565" t="s">
        <v>51</v>
      </c>
      <c r="D267" s="550"/>
      <c r="E267" s="481"/>
      <c r="F267" s="499">
        <v>311.01554484837368</v>
      </c>
      <c r="G267" s="551"/>
      <c r="H267" s="481"/>
      <c r="I267" s="499"/>
      <c r="J267" s="498"/>
      <c r="K267" s="481"/>
      <c r="L267" s="501">
        <v>1009.17</v>
      </c>
      <c r="M267" s="498"/>
      <c r="N267" s="524">
        <v>698.15445515162628</v>
      </c>
      <c r="O267" s="498"/>
      <c r="P267" s="481"/>
      <c r="Q267" s="501">
        <v>15.15</v>
      </c>
      <c r="R267" s="498"/>
      <c r="S267" s="524">
        <v>994.02</v>
      </c>
      <c r="T267" s="481"/>
      <c r="U267" s="481"/>
      <c r="V267" s="481"/>
      <c r="W267" s="481"/>
      <c r="X267" s="481"/>
      <c r="Y267" s="481"/>
      <c r="Z267" s="481"/>
      <c r="AA267" s="481"/>
      <c r="AB267" s="481"/>
      <c r="AC267" s="481"/>
      <c r="AD267" s="481"/>
      <c r="AE267" s="481"/>
      <c r="AF267" s="481"/>
      <c r="AG267" s="481"/>
      <c r="AH267" s="481"/>
      <c r="AI267" s="481"/>
      <c r="AJ267" s="481"/>
      <c r="AK267" s="481"/>
      <c r="AL267" s="481"/>
      <c r="AM267" s="481"/>
      <c r="AN267" s="481"/>
    </row>
    <row r="268" spans="1:40" ht="15.75" customHeight="1">
      <c r="A268" s="490" t="s">
        <v>385</v>
      </c>
      <c r="B268" s="481" t="s">
        <v>99</v>
      </c>
      <c r="C268" s="566" t="s">
        <v>52</v>
      </c>
      <c r="D268" s="552"/>
      <c r="E268" s="571"/>
      <c r="F268" s="493">
        <v>458.33333333333331</v>
      </c>
      <c r="G268" s="553"/>
      <c r="H268" s="571"/>
      <c r="I268" s="493"/>
      <c r="J268" s="491"/>
      <c r="K268" s="571"/>
      <c r="L268" s="501">
        <v>149.79</v>
      </c>
      <c r="M268" s="491"/>
      <c r="N268" s="547">
        <v>-308.54333333333329</v>
      </c>
      <c r="O268" s="491"/>
      <c r="P268" s="571"/>
      <c r="Q268" s="501">
        <v>901.54</v>
      </c>
      <c r="R268" s="491"/>
      <c r="S268" s="547">
        <v>-751.75</v>
      </c>
      <c r="T268" s="481"/>
      <c r="U268" s="481"/>
      <c r="V268" s="481"/>
      <c r="W268" s="481"/>
      <c r="X268" s="481"/>
      <c r="Y268" s="481"/>
      <c r="Z268" s="481"/>
      <c r="AA268" s="481"/>
      <c r="AB268" s="481"/>
      <c r="AC268" s="481"/>
      <c r="AD268" s="481"/>
      <c r="AE268" s="481"/>
      <c r="AF268" s="481"/>
      <c r="AG268" s="481"/>
      <c r="AH268" s="481"/>
      <c r="AI268" s="481"/>
      <c r="AJ268" s="481"/>
      <c r="AK268" s="481"/>
      <c r="AL268" s="481"/>
      <c r="AM268" s="481"/>
      <c r="AN268" s="481"/>
    </row>
    <row r="269" spans="1:40" ht="15.75" customHeight="1">
      <c r="A269" s="490" t="s">
        <v>386</v>
      </c>
      <c r="B269" s="481" t="s">
        <v>99</v>
      </c>
      <c r="C269" s="565" t="s">
        <v>53</v>
      </c>
      <c r="D269" s="550"/>
      <c r="E269" s="481"/>
      <c r="F269" s="499">
        <v>1324.9767903333334</v>
      </c>
      <c r="G269" s="551"/>
      <c r="H269" s="481"/>
      <c r="I269" s="499"/>
      <c r="J269" s="498"/>
      <c r="K269" s="481"/>
      <c r="L269" s="520">
        <v>1466.11</v>
      </c>
      <c r="M269" s="498"/>
      <c r="N269" s="524">
        <v>141.13320966666652</v>
      </c>
      <c r="O269" s="498"/>
      <c r="P269" s="481"/>
      <c r="Q269" s="520">
        <v>1475.24</v>
      </c>
      <c r="R269" s="498"/>
      <c r="S269" s="524">
        <v>-9.1300000000001091</v>
      </c>
      <c r="T269" s="481"/>
      <c r="U269" s="481"/>
      <c r="V269" s="481"/>
      <c r="W269" s="481"/>
      <c r="X269" s="481"/>
      <c r="Y269" s="481"/>
      <c r="Z269" s="481"/>
      <c r="AA269" s="481"/>
      <c r="AB269" s="481"/>
      <c r="AC269" s="481"/>
      <c r="AD269" s="481"/>
      <c r="AE269" s="481"/>
      <c r="AF269" s="481"/>
      <c r="AG269" s="481"/>
      <c r="AH269" s="481"/>
      <c r="AI269" s="481"/>
      <c r="AJ269" s="481"/>
      <c r="AK269" s="481"/>
      <c r="AL269" s="481"/>
      <c r="AM269" s="481"/>
      <c r="AN269" s="481"/>
    </row>
    <row r="270" spans="1:40" ht="15.75" customHeight="1">
      <c r="A270" s="490" t="s">
        <v>387</v>
      </c>
      <c r="B270" s="481" t="s">
        <v>99</v>
      </c>
      <c r="C270" s="565" t="s">
        <v>54</v>
      </c>
      <c r="D270" s="550"/>
      <c r="E270" s="481"/>
      <c r="F270" s="499">
        <v>218.76925977083332</v>
      </c>
      <c r="G270" s="551"/>
      <c r="H270" s="481"/>
      <c r="I270" s="499"/>
      <c r="J270" s="498"/>
      <c r="K270" s="481"/>
      <c r="L270" s="501">
        <v>169.45</v>
      </c>
      <c r="M270" s="498"/>
      <c r="N270" s="524">
        <v>-49.319259770833327</v>
      </c>
      <c r="O270" s="498"/>
      <c r="P270" s="481"/>
      <c r="Q270" s="501">
        <v>111.16</v>
      </c>
      <c r="R270" s="498"/>
      <c r="S270" s="524">
        <v>58.289999999999992</v>
      </c>
      <c r="T270" s="481"/>
      <c r="U270" s="481"/>
      <c r="V270" s="481"/>
      <c r="W270" s="481"/>
      <c r="X270" s="481"/>
      <c r="Y270" s="481"/>
      <c r="Z270" s="481"/>
      <c r="AA270" s="481"/>
      <c r="AB270" s="481"/>
      <c r="AC270" s="481"/>
      <c r="AD270" s="481"/>
      <c r="AE270" s="481"/>
      <c r="AF270" s="481"/>
      <c r="AG270" s="481"/>
      <c r="AH270" s="481"/>
      <c r="AI270" s="481"/>
      <c r="AJ270" s="481"/>
      <c r="AK270" s="481"/>
      <c r="AL270" s="481"/>
      <c r="AM270" s="481"/>
      <c r="AN270" s="481"/>
    </row>
    <row r="271" spans="1:40" ht="15.75" customHeight="1">
      <c r="A271" s="490" t="s">
        <v>388</v>
      </c>
      <c r="B271" s="481" t="s">
        <v>99</v>
      </c>
      <c r="C271" s="565" t="s">
        <v>55</v>
      </c>
      <c r="D271" s="552"/>
      <c r="E271" s="571"/>
      <c r="F271" s="493">
        <v>901.65366588888901</v>
      </c>
      <c r="G271" s="553"/>
      <c r="H271" s="571"/>
      <c r="I271" s="493"/>
      <c r="J271" s="491"/>
      <c r="K271" s="571"/>
      <c r="L271" s="501">
        <v>447.02</v>
      </c>
      <c r="M271" s="491"/>
      <c r="N271" s="547">
        <v>-454.63366588888903</v>
      </c>
      <c r="O271" s="491"/>
      <c r="P271" s="571"/>
      <c r="Q271" s="501">
        <v>566.32000000000005</v>
      </c>
      <c r="R271" s="491"/>
      <c r="S271" s="547">
        <v>-119.30000000000007</v>
      </c>
      <c r="T271" s="481"/>
      <c r="U271" s="481"/>
      <c r="V271" s="481"/>
      <c r="W271" s="481"/>
      <c r="X271" s="481"/>
      <c r="Y271" s="481"/>
      <c r="Z271" s="481"/>
      <c r="AA271" s="481"/>
      <c r="AB271" s="481"/>
      <c r="AC271" s="481"/>
      <c r="AD271" s="481"/>
      <c r="AE271" s="481"/>
      <c r="AF271" s="481"/>
      <c r="AG271" s="481"/>
      <c r="AH271" s="481"/>
      <c r="AI271" s="481"/>
      <c r="AJ271" s="481"/>
      <c r="AK271" s="481"/>
      <c r="AL271" s="481"/>
      <c r="AM271" s="481"/>
      <c r="AN271" s="481"/>
    </row>
    <row r="272" spans="1:40" ht="15.75" customHeight="1">
      <c r="A272" s="490" t="s">
        <v>389</v>
      </c>
      <c r="B272" s="481" t="s">
        <v>99</v>
      </c>
      <c r="C272" s="664" t="s">
        <v>98</v>
      </c>
      <c r="D272" s="550"/>
      <c r="E272" s="481"/>
      <c r="F272" s="499"/>
      <c r="G272" s="551"/>
      <c r="H272" s="481"/>
      <c r="I272" s="499"/>
      <c r="J272" s="498"/>
      <c r="K272" s="481"/>
      <c r="L272" s="520">
        <v>0</v>
      </c>
      <c r="M272" s="498"/>
      <c r="N272" s="524">
        <v>0</v>
      </c>
      <c r="O272" s="498"/>
      <c r="P272" s="481"/>
      <c r="Q272" s="501">
        <v>0</v>
      </c>
      <c r="R272" s="498"/>
      <c r="S272" s="524">
        <v>0</v>
      </c>
      <c r="T272" s="481"/>
      <c r="U272" s="481"/>
      <c r="V272" s="481"/>
      <c r="W272" s="481"/>
      <c r="X272" s="481"/>
      <c r="Y272" s="481"/>
      <c r="Z272" s="481"/>
      <c r="AA272" s="481"/>
      <c r="AB272" s="481"/>
      <c r="AC272" s="481"/>
      <c r="AD272" s="481"/>
      <c r="AE272" s="481"/>
      <c r="AF272" s="481"/>
      <c r="AG272" s="481"/>
      <c r="AH272" s="481"/>
      <c r="AI272" s="481"/>
      <c r="AJ272" s="481"/>
      <c r="AK272" s="481"/>
      <c r="AL272" s="481"/>
      <c r="AM272" s="481"/>
      <c r="AN272" s="481"/>
    </row>
    <row r="273" spans="1:40" ht="15.75" customHeight="1">
      <c r="A273" s="490" t="s">
        <v>390</v>
      </c>
      <c r="B273" s="481" t="s">
        <v>99</v>
      </c>
      <c r="C273" s="565" t="s">
        <v>56</v>
      </c>
      <c r="D273" s="550"/>
      <c r="E273" s="481"/>
      <c r="F273" s="499">
        <v>117.13645759980204</v>
      </c>
      <c r="G273" s="551"/>
      <c r="H273" s="481"/>
      <c r="I273" s="499"/>
      <c r="J273" s="498"/>
      <c r="K273" s="481"/>
      <c r="L273" s="501">
        <v>0</v>
      </c>
      <c r="M273" s="498"/>
      <c r="N273" s="524">
        <v>-117.13645759980204</v>
      </c>
      <c r="O273" s="498"/>
      <c r="P273" s="481"/>
      <c r="Q273" s="501">
        <v>0</v>
      </c>
      <c r="R273" s="498"/>
      <c r="S273" s="524">
        <v>0</v>
      </c>
      <c r="T273" s="481"/>
      <c r="U273" s="481"/>
      <c r="V273" s="481"/>
      <c r="W273" s="481"/>
      <c r="X273" s="481"/>
      <c r="Y273" s="481"/>
      <c r="Z273" s="481"/>
      <c r="AA273" s="481"/>
      <c r="AB273" s="481"/>
      <c r="AC273" s="481"/>
      <c r="AD273" s="481"/>
      <c r="AE273" s="481"/>
      <c r="AF273" s="481"/>
      <c r="AG273" s="481"/>
      <c r="AH273" s="481"/>
      <c r="AI273" s="481"/>
      <c r="AJ273" s="481"/>
      <c r="AK273" s="481"/>
      <c r="AL273" s="481"/>
      <c r="AM273" s="481"/>
      <c r="AN273" s="481"/>
    </row>
    <row r="274" spans="1:40" ht="15.75" customHeight="1">
      <c r="A274" s="490" t="s">
        <v>391</v>
      </c>
      <c r="B274" s="481" t="s">
        <v>99</v>
      </c>
      <c r="C274" s="565" t="s">
        <v>57</v>
      </c>
      <c r="D274" s="550"/>
      <c r="E274" s="481"/>
      <c r="F274" s="499">
        <v>60.487931167085833</v>
      </c>
      <c r="G274" s="551"/>
      <c r="H274" s="481"/>
      <c r="I274" s="499"/>
      <c r="J274" s="498"/>
      <c r="K274" s="481"/>
      <c r="L274" s="501">
        <v>0</v>
      </c>
      <c r="M274" s="498"/>
      <c r="N274" s="524">
        <v>-60.487931167085833</v>
      </c>
      <c r="O274" s="498"/>
      <c r="P274" s="481"/>
      <c r="Q274" s="501">
        <v>0</v>
      </c>
      <c r="R274" s="498"/>
      <c r="S274" s="524">
        <v>0</v>
      </c>
      <c r="T274" s="481"/>
      <c r="U274" s="481"/>
      <c r="V274" s="481"/>
      <c r="W274" s="481"/>
      <c r="X274" s="481"/>
      <c r="Y274" s="481"/>
      <c r="Z274" s="481"/>
      <c r="AA274" s="481"/>
      <c r="AB274" s="481"/>
      <c r="AC274" s="481"/>
      <c r="AD274" s="481"/>
      <c r="AE274" s="481"/>
      <c r="AF274" s="481"/>
      <c r="AG274" s="481"/>
      <c r="AH274" s="481"/>
      <c r="AI274" s="481"/>
      <c r="AJ274" s="481"/>
      <c r="AK274" s="481"/>
      <c r="AL274" s="481"/>
      <c r="AM274" s="481"/>
      <c r="AN274" s="481"/>
    </row>
    <row r="275" spans="1:40" ht="15.75" customHeight="1">
      <c r="A275" s="490" t="s">
        <v>392</v>
      </c>
      <c r="B275" s="481" t="s">
        <v>99</v>
      </c>
      <c r="C275" s="565" t="s">
        <v>58</v>
      </c>
      <c r="D275" s="550"/>
      <c r="E275" s="481"/>
      <c r="F275" s="499">
        <v>167.00491394999997</v>
      </c>
      <c r="G275" s="551"/>
      <c r="H275" s="481"/>
      <c r="I275" s="499"/>
      <c r="J275" s="498"/>
      <c r="K275" s="481"/>
      <c r="L275" s="501">
        <v>104.97</v>
      </c>
      <c r="M275" s="498"/>
      <c r="N275" s="524">
        <v>-62.034913949999975</v>
      </c>
      <c r="O275" s="498"/>
      <c r="P275" s="481"/>
      <c r="Q275" s="501">
        <v>215.36</v>
      </c>
      <c r="R275" s="498"/>
      <c r="S275" s="524">
        <v>-110.39000000000001</v>
      </c>
      <c r="T275" s="481"/>
      <c r="U275" s="481"/>
      <c r="V275" s="481"/>
      <c r="W275" s="481"/>
      <c r="X275" s="481"/>
      <c r="Y275" s="481"/>
      <c r="Z275" s="481"/>
      <c r="AA275" s="481"/>
      <c r="AB275" s="481"/>
      <c r="AC275" s="481"/>
      <c r="AD275" s="481"/>
      <c r="AE275" s="481"/>
      <c r="AF275" s="481"/>
      <c r="AG275" s="481"/>
      <c r="AH275" s="481"/>
      <c r="AI275" s="481"/>
      <c r="AJ275" s="481"/>
      <c r="AK275" s="481"/>
      <c r="AL275" s="481"/>
      <c r="AM275" s="481"/>
      <c r="AN275" s="481"/>
    </row>
    <row r="276" spans="1:40" ht="15.75" customHeight="1">
      <c r="A276" s="490" t="s">
        <v>393</v>
      </c>
      <c r="B276" s="481" t="s">
        <v>99</v>
      </c>
      <c r="C276" s="565" t="s">
        <v>59</v>
      </c>
      <c r="D276" s="550"/>
      <c r="E276" s="481"/>
      <c r="F276" s="499">
        <v>56.595054721527781</v>
      </c>
      <c r="G276" s="551"/>
      <c r="H276" s="481"/>
      <c r="I276" s="499"/>
      <c r="J276" s="498"/>
      <c r="K276" s="481"/>
      <c r="L276" s="501">
        <v>21.2</v>
      </c>
      <c r="M276" s="498"/>
      <c r="N276" s="524">
        <v>-35.395054721527785</v>
      </c>
      <c r="O276" s="498"/>
      <c r="P276" s="481"/>
      <c r="Q276" s="501">
        <v>27.16</v>
      </c>
      <c r="R276" s="498"/>
      <c r="S276" s="524">
        <v>-5.9600000000000009</v>
      </c>
      <c r="T276" s="481"/>
      <c r="U276" s="481"/>
      <c r="V276" s="481"/>
      <c r="W276" s="481"/>
      <c r="X276" s="481"/>
      <c r="Y276" s="481"/>
      <c r="Z276" s="481"/>
      <c r="AA276" s="481"/>
      <c r="AB276" s="481"/>
      <c r="AC276" s="481"/>
      <c r="AD276" s="481"/>
      <c r="AE276" s="481"/>
      <c r="AF276" s="481"/>
      <c r="AG276" s="481"/>
      <c r="AH276" s="481"/>
      <c r="AI276" s="481"/>
      <c r="AJ276" s="481"/>
      <c r="AK276" s="481"/>
      <c r="AL276" s="481"/>
      <c r="AM276" s="481"/>
      <c r="AN276" s="481"/>
    </row>
    <row r="277" spans="1:40" ht="15.75" customHeight="1">
      <c r="A277" s="490" t="s">
        <v>394</v>
      </c>
      <c r="B277" s="481" t="s">
        <v>99</v>
      </c>
      <c r="C277" s="565" t="s">
        <v>60</v>
      </c>
      <c r="D277" s="550"/>
      <c r="E277" s="481"/>
      <c r="F277" s="499">
        <v>27.069064278472219</v>
      </c>
      <c r="G277" s="551"/>
      <c r="H277" s="481"/>
      <c r="I277" s="499"/>
      <c r="J277" s="498"/>
      <c r="K277" s="481"/>
      <c r="L277" s="501">
        <v>28.46</v>
      </c>
      <c r="M277" s="498"/>
      <c r="N277" s="524">
        <v>1.3909357215277822</v>
      </c>
      <c r="O277" s="498"/>
      <c r="P277" s="481"/>
      <c r="Q277" s="501">
        <v>43.97</v>
      </c>
      <c r="R277" s="498"/>
      <c r="S277" s="524">
        <v>-15.509999999999998</v>
      </c>
      <c r="T277" s="481"/>
      <c r="U277" s="481"/>
      <c r="V277" s="481"/>
      <c r="W277" s="481"/>
      <c r="X277" s="481"/>
      <c r="Y277" s="481"/>
      <c r="Z277" s="481"/>
      <c r="AA277" s="481"/>
      <c r="AB277" s="481"/>
      <c r="AC277" s="481"/>
      <c r="AD277" s="481"/>
      <c r="AE277" s="481"/>
      <c r="AF277" s="481"/>
      <c r="AG277" s="481"/>
      <c r="AH277" s="481"/>
      <c r="AI277" s="481"/>
      <c r="AJ277" s="481"/>
      <c r="AK277" s="481"/>
      <c r="AL277" s="481"/>
      <c r="AM277" s="481"/>
      <c r="AN277" s="481"/>
    </row>
    <row r="278" spans="1:40" ht="15.75" customHeight="1">
      <c r="A278" s="490" t="s">
        <v>395</v>
      </c>
      <c r="B278" s="481" t="s">
        <v>99</v>
      </c>
      <c r="C278" s="565" t="s">
        <v>61</v>
      </c>
      <c r="D278" s="550"/>
      <c r="E278" s="481"/>
      <c r="F278" s="499">
        <v>102.85239191597223</v>
      </c>
      <c r="G278" s="551"/>
      <c r="H278" s="481"/>
      <c r="I278" s="499"/>
      <c r="J278" s="498"/>
      <c r="K278" s="481"/>
      <c r="L278" s="501">
        <v>16.940000000000001</v>
      </c>
      <c r="M278" s="498"/>
      <c r="N278" s="524">
        <v>-85.912391915972236</v>
      </c>
      <c r="O278" s="498"/>
      <c r="P278" s="481"/>
      <c r="Q278" s="501">
        <v>30.67</v>
      </c>
      <c r="R278" s="498"/>
      <c r="S278" s="524">
        <v>-13.73</v>
      </c>
      <c r="T278" s="481"/>
      <c r="U278" s="481"/>
      <c r="V278" s="481"/>
      <c r="W278" s="481"/>
      <c r="X278" s="481"/>
      <c r="Y278" s="481"/>
      <c r="Z278" s="481"/>
      <c r="AA278" s="481"/>
      <c r="AB278" s="481"/>
      <c r="AC278" s="481"/>
      <c r="AD278" s="481"/>
      <c r="AE278" s="481"/>
      <c r="AF278" s="481"/>
      <c r="AG278" s="481"/>
      <c r="AH278" s="481"/>
      <c r="AI278" s="481"/>
      <c r="AJ278" s="481"/>
      <c r="AK278" s="481"/>
      <c r="AL278" s="481"/>
      <c r="AM278" s="481"/>
      <c r="AN278" s="481"/>
    </row>
    <row r="279" spans="1:40" ht="15.75" customHeight="1">
      <c r="A279" s="490" t="s">
        <v>396</v>
      </c>
      <c r="B279" s="481" t="s">
        <v>99</v>
      </c>
      <c r="C279" s="565" t="s">
        <v>62</v>
      </c>
      <c r="D279" s="550"/>
      <c r="E279" s="481"/>
      <c r="F279" s="499">
        <v>88.272956943963109</v>
      </c>
      <c r="G279" s="551"/>
      <c r="H279" s="481"/>
      <c r="I279" s="499"/>
      <c r="J279" s="498"/>
      <c r="K279" s="481"/>
      <c r="L279" s="501">
        <v>22.33</v>
      </c>
      <c r="M279" s="498"/>
      <c r="N279" s="524">
        <v>-65.942956943963111</v>
      </c>
      <c r="O279" s="498"/>
      <c r="P279" s="481"/>
      <c r="Q279" s="501">
        <v>80.680000000000007</v>
      </c>
      <c r="R279" s="498"/>
      <c r="S279" s="524">
        <v>-58.350000000000009</v>
      </c>
      <c r="T279" s="481"/>
      <c r="X279" s="481"/>
      <c r="Y279" s="481"/>
      <c r="Z279" s="481"/>
      <c r="AA279" s="481"/>
      <c r="AB279" s="481"/>
      <c r="AC279" s="481"/>
      <c r="AD279" s="481"/>
      <c r="AE279" s="481"/>
      <c r="AF279" s="481"/>
      <c r="AG279" s="481"/>
      <c r="AH279" s="481"/>
      <c r="AI279" s="481"/>
      <c r="AJ279" s="481"/>
      <c r="AK279" s="481"/>
      <c r="AL279" s="481"/>
      <c r="AM279" s="481"/>
      <c r="AN279" s="481"/>
    </row>
    <row r="280" spans="1:40" ht="15.75" customHeight="1">
      <c r="A280" s="490" t="s">
        <v>397</v>
      </c>
      <c r="B280" s="481" t="s">
        <v>99</v>
      </c>
      <c r="C280" s="565" t="s">
        <v>63</v>
      </c>
      <c r="D280" s="550"/>
      <c r="E280" s="481"/>
      <c r="F280" s="499">
        <v>162.93844639171095</v>
      </c>
      <c r="G280" s="551"/>
      <c r="H280" s="481"/>
      <c r="I280" s="499"/>
      <c r="J280" s="498"/>
      <c r="K280" s="481"/>
      <c r="L280" s="501">
        <v>189.25</v>
      </c>
      <c r="M280" s="498"/>
      <c r="N280" s="524">
        <v>26.311553608289046</v>
      </c>
      <c r="O280" s="498"/>
      <c r="P280" s="481"/>
      <c r="Q280" s="501">
        <v>207.84400000000025</v>
      </c>
      <c r="R280" s="498"/>
      <c r="S280" s="524">
        <v>-18.59400000000025</v>
      </c>
      <c r="T280" s="481"/>
      <c r="X280" s="481"/>
      <c r="Y280" s="481"/>
      <c r="Z280" s="481"/>
      <c r="AA280" s="481"/>
      <c r="AB280" s="481"/>
      <c r="AC280" s="481"/>
      <c r="AD280" s="481"/>
      <c r="AE280" s="481"/>
      <c r="AF280" s="481"/>
      <c r="AG280" s="481"/>
      <c r="AH280" s="481"/>
      <c r="AI280" s="481"/>
      <c r="AJ280" s="481"/>
      <c r="AK280" s="481"/>
      <c r="AL280" s="481"/>
      <c r="AM280" s="481"/>
      <c r="AN280" s="481"/>
    </row>
    <row r="281" spans="1:40" ht="15.75" hidden="1" customHeight="1">
      <c r="A281" s="490" t="s">
        <v>377</v>
      </c>
      <c r="B281" s="481" t="s">
        <v>99</v>
      </c>
      <c r="C281" s="565" t="s">
        <v>20</v>
      </c>
      <c r="D281" s="550"/>
      <c r="E281" s="481"/>
      <c r="F281" s="499">
        <v>0</v>
      </c>
      <c r="G281" s="551"/>
      <c r="H281" s="481"/>
      <c r="I281" s="499"/>
      <c r="J281" s="498"/>
      <c r="K281" s="481"/>
      <c r="L281" s="501">
        <v>0</v>
      </c>
      <c r="M281" s="498"/>
      <c r="N281" s="524">
        <v>0</v>
      </c>
      <c r="O281" s="498"/>
      <c r="P281" s="481"/>
      <c r="Q281" s="501">
        <v>0</v>
      </c>
      <c r="R281" s="498"/>
      <c r="S281" s="524">
        <v>0</v>
      </c>
      <c r="T281" s="481"/>
      <c r="X281" s="481"/>
      <c r="Y281" s="481"/>
      <c r="Z281" s="481"/>
      <c r="AA281" s="481"/>
      <c r="AB281" s="481"/>
      <c r="AC281" s="481"/>
      <c r="AD281" s="481"/>
      <c r="AE281" s="481"/>
      <c r="AF281" s="481"/>
      <c r="AG281" s="481"/>
      <c r="AH281" s="481"/>
      <c r="AI281" s="481"/>
      <c r="AJ281" s="481"/>
      <c r="AK281" s="481"/>
      <c r="AL281" s="481"/>
      <c r="AM281" s="481"/>
      <c r="AN281" s="481"/>
    </row>
    <row r="282" spans="1:40" ht="15.75" hidden="1" customHeight="1">
      <c r="A282" s="490" t="s">
        <v>377</v>
      </c>
      <c r="B282" s="481" t="s">
        <v>99</v>
      </c>
      <c r="C282" s="565" t="s">
        <v>20</v>
      </c>
      <c r="D282" s="550"/>
      <c r="E282" s="481"/>
      <c r="F282" s="499">
        <v>0</v>
      </c>
      <c r="G282" s="551"/>
      <c r="H282" s="481"/>
      <c r="I282" s="499"/>
      <c r="J282" s="498"/>
      <c r="K282" s="481"/>
      <c r="L282" s="501">
        <v>0</v>
      </c>
      <c r="M282" s="498"/>
      <c r="N282" s="524">
        <v>0</v>
      </c>
      <c r="O282" s="498"/>
      <c r="P282" s="481"/>
      <c r="Q282" s="501">
        <v>0</v>
      </c>
      <c r="R282" s="498"/>
      <c r="S282" s="524">
        <v>0</v>
      </c>
      <c r="T282" s="481"/>
      <c r="X282" s="481"/>
      <c r="Y282" s="481"/>
      <c r="Z282" s="481"/>
      <c r="AA282" s="481"/>
      <c r="AB282" s="481"/>
      <c r="AC282" s="481"/>
      <c r="AD282" s="481"/>
      <c r="AE282" s="481"/>
      <c r="AF282" s="481"/>
      <c r="AG282" s="481"/>
      <c r="AH282" s="481"/>
      <c r="AI282" s="481"/>
      <c r="AJ282" s="481"/>
      <c r="AK282" s="481"/>
      <c r="AL282" s="481"/>
      <c r="AM282" s="481"/>
      <c r="AN282" s="481"/>
    </row>
    <row r="283" spans="1:40" ht="15.75" hidden="1" customHeight="1">
      <c r="A283" s="490" t="s">
        <v>377</v>
      </c>
      <c r="B283" s="481" t="s">
        <v>99</v>
      </c>
      <c r="C283" s="565" t="s">
        <v>20</v>
      </c>
      <c r="D283" s="550"/>
      <c r="E283" s="481"/>
      <c r="F283" s="499">
        <v>0</v>
      </c>
      <c r="G283" s="551"/>
      <c r="H283" s="481"/>
      <c r="I283" s="499"/>
      <c r="J283" s="498"/>
      <c r="K283" s="481"/>
      <c r="L283" s="501">
        <v>0</v>
      </c>
      <c r="M283" s="498"/>
      <c r="N283" s="524">
        <v>0</v>
      </c>
      <c r="O283" s="498"/>
      <c r="P283" s="481"/>
      <c r="Q283" s="501">
        <v>0</v>
      </c>
      <c r="R283" s="498"/>
      <c r="S283" s="524">
        <v>0</v>
      </c>
      <c r="T283" s="481"/>
      <c r="X283" s="481"/>
      <c r="Y283" s="481"/>
      <c r="Z283" s="481"/>
      <c r="AA283" s="481"/>
      <c r="AB283" s="481"/>
      <c r="AC283" s="481"/>
      <c r="AD283" s="481"/>
      <c r="AE283" s="481"/>
      <c r="AF283" s="481"/>
      <c r="AG283" s="481"/>
      <c r="AH283" s="481"/>
      <c r="AI283" s="481"/>
      <c r="AJ283" s="481"/>
      <c r="AK283" s="481"/>
      <c r="AL283" s="481"/>
      <c r="AM283" s="481"/>
      <c r="AN283" s="481"/>
    </row>
    <row r="284" spans="1:40" ht="15.75" customHeight="1">
      <c r="B284" s="481"/>
      <c r="C284" s="557" t="s">
        <v>64</v>
      </c>
      <c r="D284" s="558" t="s">
        <v>39</v>
      </c>
      <c r="E284" s="559">
        <v>0.16623216340801147</v>
      </c>
      <c r="F284" s="560">
        <v>3997.1058111432967</v>
      </c>
      <c r="G284" s="561"/>
      <c r="H284" s="559"/>
      <c r="I284" s="560"/>
      <c r="J284" s="561" t="s">
        <v>39</v>
      </c>
      <c r="K284" s="559">
        <v>0.15765730347272566</v>
      </c>
      <c r="L284" s="560">
        <v>3649.2399999999993</v>
      </c>
      <c r="M284" s="564"/>
      <c r="N284" s="560">
        <v>-347.86581114329709</v>
      </c>
      <c r="O284" s="561" t="s">
        <v>39</v>
      </c>
      <c r="P284" s="559">
        <v>0.17800691945657604</v>
      </c>
      <c r="Q284" s="560">
        <v>3675.1539999999995</v>
      </c>
      <c r="R284" s="564"/>
      <c r="S284" s="560">
        <v>-25.914000000000215</v>
      </c>
      <c r="T284" s="537"/>
      <c r="X284" s="481"/>
      <c r="Y284" s="481"/>
      <c r="Z284" s="481"/>
      <c r="AA284" s="481"/>
      <c r="AB284" s="481"/>
      <c r="AC284" s="481"/>
      <c r="AD284" s="481"/>
      <c r="AE284" s="481"/>
      <c r="AF284" s="481"/>
      <c r="AG284" s="481"/>
      <c r="AH284" s="481"/>
      <c r="AI284" s="481"/>
      <c r="AJ284" s="481"/>
      <c r="AK284" s="481"/>
      <c r="AL284" s="481"/>
      <c r="AM284" s="481"/>
      <c r="AN284" s="481"/>
    </row>
    <row r="285" spans="1:40" ht="15.75" customHeight="1">
      <c r="B285" s="481"/>
      <c r="C285" s="491"/>
      <c r="D285" s="552"/>
      <c r="E285" s="571"/>
      <c r="F285" s="524"/>
      <c r="G285" s="553"/>
      <c r="H285" s="571"/>
      <c r="I285" s="524"/>
      <c r="J285" s="491"/>
      <c r="K285" s="571"/>
      <c r="L285" s="547"/>
      <c r="M285" s="491"/>
      <c r="N285" s="547"/>
      <c r="O285" s="491"/>
      <c r="P285" s="571"/>
      <c r="Q285" s="547"/>
      <c r="R285" s="491"/>
      <c r="S285" s="547"/>
      <c r="T285" s="537"/>
      <c r="U285" s="481"/>
      <c r="V285" s="481"/>
      <c r="W285" s="481"/>
      <c r="X285" s="481"/>
      <c r="Y285" s="481"/>
      <c r="Z285" s="481"/>
      <c r="AA285" s="481"/>
      <c r="AB285" s="481"/>
      <c r="AC285" s="481"/>
      <c r="AD285" s="481"/>
      <c r="AE285" s="481"/>
      <c r="AF285" s="481"/>
      <c r="AG285" s="481"/>
      <c r="AH285" s="481"/>
      <c r="AI285" s="481"/>
      <c r="AJ285" s="481"/>
      <c r="AK285" s="481"/>
      <c r="AL285" s="481"/>
      <c r="AM285" s="481"/>
      <c r="AN285" s="481"/>
    </row>
    <row r="286" spans="1:40" ht="15.75" customHeight="1">
      <c r="B286" s="481"/>
      <c r="C286" s="557" t="s">
        <v>65</v>
      </c>
      <c r="D286" s="558" t="s">
        <v>39</v>
      </c>
      <c r="E286" s="559">
        <v>0.44628244491540198</v>
      </c>
      <c r="F286" s="560">
        <v>10731.004863386264</v>
      </c>
      <c r="G286" s="561"/>
      <c r="H286" s="559"/>
      <c r="I286" s="560"/>
      <c r="J286" s="561" t="s">
        <v>39</v>
      </c>
      <c r="K286" s="559">
        <v>0.46445923515530974</v>
      </c>
      <c r="L286" s="560">
        <v>10750.68</v>
      </c>
      <c r="M286" s="564"/>
      <c r="N286" s="573">
        <v>19.675136613735958</v>
      </c>
      <c r="O286" s="561" t="s">
        <v>39</v>
      </c>
      <c r="P286" s="559">
        <v>0.60465394725306865</v>
      </c>
      <c r="Q286" s="560">
        <v>12483.764000000003</v>
      </c>
      <c r="R286" s="564"/>
      <c r="S286" s="573">
        <v>-1733.0840000000026</v>
      </c>
      <c r="T286" s="537"/>
      <c r="U286" s="481"/>
      <c r="V286" s="481"/>
      <c r="W286" s="481"/>
      <c r="X286" s="481"/>
      <c r="Y286" s="481"/>
      <c r="Z286" s="481"/>
      <c r="AA286" s="481"/>
      <c r="AB286" s="481"/>
      <c r="AC286" s="481"/>
      <c r="AD286" s="481"/>
      <c r="AE286" s="481"/>
      <c r="AF286" s="481"/>
      <c r="AG286" s="481"/>
      <c r="AH286" s="481"/>
      <c r="AI286" s="481"/>
      <c r="AJ286" s="481"/>
      <c r="AK286" s="481"/>
      <c r="AL286" s="481"/>
      <c r="AM286" s="481"/>
      <c r="AN286" s="481"/>
    </row>
    <row r="287" spans="1:40" ht="15.75" customHeight="1">
      <c r="B287" s="481"/>
      <c r="C287" s="498"/>
      <c r="D287" s="550"/>
      <c r="E287" s="481"/>
      <c r="F287" s="524"/>
      <c r="G287" s="551"/>
      <c r="H287" s="481"/>
      <c r="I287" s="524"/>
      <c r="J287" s="498"/>
      <c r="K287" s="481"/>
      <c r="L287" s="524"/>
      <c r="M287" s="498"/>
      <c r="N287" s="524">
        <v>0</v>
      </c>
      <c r="O287" s="498"/>
      <c r="P287" s="481"/>
      <c r="Q287" s="524"/>
      <c r="R287" s="498"/>
      <c r="S287" s="524"/>
      <c r="T287" s="481"/>
      <c r="U287" s="481"/>
      <c r="V287" s="481"/>
      <c r="W287" s="481"/>
      <c r="X287" s="481"/>
      <c r="Y287" s="481"/>
      <c r="Z287" s="481"/>
      <c r="AA287" s="481"/>
      <c r="AB287" s="481"/>
      <c r="AC287" s="481"/>
      <c r="AD287" s="481"/>
      <c r="AE287" s="481"/>
      <c r="AF287" s="481"/>
      <c r="AG287" s="481"/>
      <c r="AH287" s="481"/>
      <c r="AI287" s="481"/>
      <c r="AJ287" s="481"/>
      <c r="AK287" s="481"/>
      <c r="AL287" s="481"/>
      <c r="AM287" s="481"/>
      <c r="AN287" s="481"/>
    </row>
    <row r="288" spans="1:40" ht="29.25" customHeight="1" thickBot="1">
      <c r="B288" s="481"/>
      <c r="C288" s="587" t="s">
        <v>72</v>
      </c>
      <c r="D288" s="615"/>
      <c r="E288" s="588"/>
      <c r="F288" s="590">
        <v>13314.316626730721</v>
      </c>
      <c r="G288" s="616"/>
      <c r="H288" s="588"/>
      <c r="I288" s="590"/>
      <c r="J288" s="587"/>
      <c r="K288" s="589"/>
      <c r="L288" s="590">
        <v>12395.979999999996</v>
      </c>
      <c r="M288" s="587"/>
      <c r="N288" s="590">
        <v>-918.33662673072467</v>
      </c>
      <c r="O288" s="587"/>
      <c r="P288" s="589"/>
      <c r="Q288" s="590">
        <v>8162.3660000000054</v>
      </c>
      <c r="R288" s="587"/>
      <c r="S288" s="590">
        <v>4233.6139999999905</v>
      </c>
      <c r="T288" s="537"/>
      <c r="U288" s="481"/>
      <c r="V288" s="481"/>
      <c r="W288" s="481"/>
      <c r="X288" s="481"/>
      <c r="Y288" s="481"/>
      <c r="Z288" s="481"/>
      <c r="AA288" s="481"/>
      <c r="AB288" s="481"/>
      <c r="AC288" s="481"/>
      <c r="AD288" s="481"/>
      <c r="AE288" s="481"/>
      <c r="AF288" s="481"/>
      <c r="AG288" s="481"/>
      <c r="AH288" s="481"/>
      <c r="AI288" s="481"/>
      <c r="AJ288" s="481"/>
      <c r="AK288" s="481"/>
      <c r="AL288" s="481"/>
      <c r="AM288" s="481"/>
      <c r="AN288" s="481"/>
    </row>
    <row r="289" spans="1:40" ht="15.75" customHeight="1" thickTop="1">
      <c r="B289" s="481"/>
      <c r="C289" s="481"/>
      <c r="D289" s="481"/>
      <c r="E289" s="481"/>
      <c r="F289" s="481"/>
      <c r="G289" s="481"/>
      <c r="H289" s="481"/>
      <c r="I289" s="481"/>
      <c r="J289" s="481"/>
      <c r="K289" s="481"/>
      <c r="L289" s="542"/>
      <c r="M289" s="481"/>
      <c r="N289" s="481"/>
      <c r="O289" s="481"/>
      <c r="P289" s="481"/>
      <c r="Q289" s="481"/>
      <c r="R289" s="481"/>
      <c r="S289" s="481"/>
      <c r="T289" s="481"/>
      <c r="U289" s="481"/>
      <c r="V289" s="481"/>
      <c r="W289" s="481"/>
      <c r="X289" s="481"/>
      <c r="Y289" s="481"/>
      <c r="Z289" s="481"/>
      <c r="AA289" s="481"/>
      <c r="AB289" s="481"/>
      <c r="AC289" s="481"/>
      <c r="AD289" s="481"/>
      <c r="AE289" s="481"/>
      <c r="AF289" s="481"/>
      <c r="AG289" s="481"/>
      <c r="AH289" s="481"/>
      <c r="AI289" s="481"/>
      <c r="AJ289" s="481"/>
      <c r="AK289" s="481"/>
      <c r="AL289" s="481"/>
      <c r="AM289" s="481"/>
      <c r="AN289" s="481"/>
    </row>
    <row r="290" spans="1:40" ht="36" customHeight="1">
      <c r="B290" s="481"/>
      <c r="C290" s="595" t="s">
        <v>223</v>
      </c>
      <c r="D290" s="469"/>
      <c r="E290" s="469"/>
      <c r="F290" s="469"/>
      <c r="G290" s="469"/>
      <c r="H290" s="467"/>
      <c r="I290" s="467"/>
      <c r="J290" s="467"/>
      <c r="K290" s="471" t="s">
        <v>103</v>
      </c>
      <c r="L290" s="469"/>
      <c r="M290" s="469"/>
      <c r="N290" s="467"/>
      <c r="O290" s="467"/>
      <c r="P290" s="469"/>
      <c r="Q290" s="467"/>
      <c r="R290" s="469"/>
      <c r="S290" s="596" t="s">
        <v>482</v>
      </c>
      <c r="T290" s="481"/>
      <c r="U290" s="481"/>
      <c r="V290" s="481"/>
      <c r="W290" s="481"/>
      <c r="X290" s="481"/>
      <c r="Y290" s="481"/>
      <c r="Z290" s="481"/>
      <c r="AA290" s="481"/>
      <c r="AB290" s="481"/>
      <c r="AC290" s="481"/>
      <c r="AD290" s="481"/>
      <c r="AE290" s="481"/>
      <c r="AF290" s="481"/>
      <c r="AG290" s="481"/>
      <c r="AH290" s="481"/>
      <c r="AI290" s="481"/>
      <c r="AJ290" s="481"/>
      <c r="AK290" s="481"/>
      <c r="AL290" s="481"/>
      <c r="AM290" s="481"/>
      <c r="AN290" s="481"/>
    </row>
    <row r="291" spans="1:40" ht="15.75" customHeight="1" thickBot="1">
      <c r="B291" s="481"/>
      <c r="C291" s="476"/>
      <c r="D291" s="478"/>
      <c r="E291" s="478"/>
      <c r="F291" s="478"/>
      <c r="G291" s="478"/>
      <c r="H291" s="478"/>
      <c r="I291" s="478"/>
      <c r="J291" s="478"/>
      <c r="K291" s="478"/>
      <c r="L291" s="478"/>
      <c r="M291" s="478"/>
      <c r="N291" s="478"/>
      <c r="O291" s="478"/>
      <c r="P291" s="478"/>
      <c r="Q291" s="478"/>
      <c r="R291" s="478"/>
      <c r="S291" s="478"/>
      <c r="T291" s="481"/>
      <c r="U291" s="481"/>
      <c r="V291" s="481"/>
      <c r="W291" s="481"/>
      <c r="X291" s="481"/>
      <c r="Y291" s="481"/>
      <c r="Z291" s="481"/>
      <c r="AA291" s="481"/>
      <c r="AB291" s="481"/>
      <c r="AC291" s="481"/>
      <c r="AD291" s="481"/>
      <c r="AE291" s="481"/>
      <c r="AF291" s="481"/>
      <c r="AG291" s="481"/>
      <c r="AH291" s="481"/>
      <c r="AI291" s="481"/>
      <c r="AJ291" s="481"/>
      <c r="AK291" s="481"/>
      <c r="AL291" s="481"/>
      <c r="AM291" s="481"/>
      <c r="AN291" s="481"/>
    </row>
    <row r="292" spans="1:40" ht="15.75" customHeight="1" thickTop="1">
      <c r="B292" s="481"/>
      <c r="C292" s="482"/>
      <c r="D292" s="864" t="s">
        <v>5</v>
      </c>
      <c r="E292" s="865"/>
      <c r="F292" s="866"/>
      <c r="G292" s="867"/>
      <c r="H292" s="865"/>
      <c r="I292" s="866"/>
      <c r="J292" s="867" t="s">
        <v>7</v>
      </c>
      <c r="K292" s="865"/>
      <c r="L292" s="866"/>
      <c r="M292" s="867" t="s">
        <v>472</v>
      </c>
      <c r="N292" s="866"/>
      <c r="O292" s="864" t="s">
        <v>9</v>
      </c>
      <c r="P292" s="865"/>
      <c r="Q292" s="866"/>
      <c r="R292" s="867" t="s">
        <v>473</v>
      </c>
      <c r="S292" s="866"/>
      <c r="T292" s="481"/>
      <c r="U292" s="481"/>
      <c r="V292" s="481"/>
      <c r="W292" s="481"/>
      <c r="X292" s="481"/>
      <c r="Y292" s="481"/>
      <c r="Z292" s="481"/>
      <c r="AA292" s="481"/>
      <c r="AB292" s="481"/>
      <c r="AC292" s="481"/>
      <c r="AD292" s="481"/>
      <c r="AE292" s="481"/>
      <c r="AF292" s="481"/>
      <c r="AG292" s="481"/>
      <c r="AH292" s="481"/>
      <c r="AI292" s="481"/>
      <c r="AJ292" s="481"/>
      <c r="AK292" s="481"/>
      <c r="AL292" s="481"/>
      <c r="AM292" s="481"/>
      <c r="AN292" s="481"/>
    </row>
    <row r="293" spans="1:40" ht="15.75" customHeight="1">
      <c r="A293" s="490" t="s">
        <v>103</v>
      </c>
      <c r="B293" s="481" t="s">
        <v>103</v>
      </c>
      <c r="C293" s="498"/>
      <c r="D293" s="540" t="s">
        <v>84</v>
      </c>
      <c r="E293" s="540" t="s">
        <v>104</v>
      </c>
      <c r="F293" s="618" t="s">
        <v>13</v>
      </c>
      <c r="G293" s="619"/>
      <c r="H293" s="540"/>
      <c r="I293" s="618"/>
      <c r="J293" s="619" t="s">
        <v>84</v>
      </c>
      <c r="K293" s="540" t="s">
        <v>104</v>
      </c>
      <c r="L293" s="618" t="s">
        <v>13</v>
      </c>
      <c r="M293" s="619" t="s">
        <v>40</v>
      </c>
      <c r="N293" s="618" t="s">
        <v>475</v>
      </c>
      <c r="O293" s="540" t="s">
        <v>84</v>
      </c>
      <c r="P293" s="540" t="s">
        <v>104</v>
      </c>
      <c r="Q293" s="618" t="s">
        <v>13</v>
      </c>
      <c r="R293" s="619" t="s">
        <v>85</v>
      </c>
      <c r="S293" s="618" t="s">
        <v>13</v>
      </c>
      <c r="T293" s="481"/>
      <c r="U293" s="481"/>
      <c r="V293" s="481"/>
      <c r="W293" s="481"/>
      <c r="X293" s="481"/>
      <c r="Y293" s="481"/>
      <c r="Z293" s="481"/>
      <c r="AA293" s="481"/>
      <c r="AB293" s="481"/>
      <c r="AC293" s="481"/>
      <c r="AD293" s="481"/>
      <c r="AE293" s="481"/>
      <c r="AF293" s="481"/>
      <c r="AG293" s="481"/>
      <c r="AH293" s="481"/>
      <c r="AI293" s="481"/>
      <c r="AJ293" s="481"/>
      <c r="AK293" s="481"/>
      <c r="AL293" s="481"/>
      <c r="AM293" s="481"/>
      <c r="AN293" s="481"/>
    </row>
    <row r="294" spans="1:40" ht="15.75" customHeight="1">
      <c r="A294" s="490" t="s">
        <v>398</v>
      </c>
      <c r="B294" s="481" t="s">
        <v>103</v>
      </c>
      <c r="C294" s="498" t="s">
        <v>105</v>
      </c>
      <c r="D294" s="542">
        <v>87317.655025456028</v>
      </c>
      <c r="E294" s="608">
        <v>0.36099999999999999</v>
      </c>
      <c r="F294" s="524">
        <v>31521.673464189626</v>
      </c>
      <c r="G294" s="542"/>
      <c r="H294" s="608"/>
      <c r="I294" s="524"/>
      <c r="J294" s="499">
        <v>99369.709999999992</v>
      </c>
      <c r="K294" s="608">
        <v>0.32475731286727111</v>
      </c>
      <c r="L294" s="524">
        <v>32271.039999999997</v>
      </c>
      <c r="M294" s="543">
        <v>0.13802540816093131</v>
      </c>
      <c r="N294" s="524">
        <v>749.36653581037172</v>
      </c>
      <c r="O294" s="499">
        <v>71797.939999999988</v>
      </c>
      <c r="P294" s="608">
        <v>0.3770915990068795</v>
      </c>
      <c r="Q294" s="524">
        <v>27074.399999999991</v>
      </c>
      <c r="R294" s="543">
        <v>0.38401895653273632</v>
      </c>
      <c r="S294" s="524">
        <v>5196.6400000000067</v>
      </c>
      <c r="T294" s="481"/>
      <c r="U294" s="481"/>
      <c r="V294" s="481"/>
      <c r="W294" s="481"/>
      <c r="X294" s="481"/>
      <c r="Y294" s="481"/>
      <c r="Z294" s="481"/>
      <c r="AA294" s="481"/>
      <c r="AB294" s="481"/>
      <c r="AC294" s="481"/>
      <c r="AD294" s="481"/>
      <c r="AE294" s="481"/>
      <c r="AF294" s="481"/>
      <c r="AG294" s="481"/>
      <c r="AH294" s="481"/>
      <c r="AI294" s="481"/>
      <c r="AJ294" s="481"/>
      <c r="AK294" s="481"/>
      <c r="AL294" s="481"/>
      <c r="AM294" s="481"/>
      <c r="AN294" s="481"/>
    </row>
    <row r="295" spans="1:40" ht="15.75" customHeight="1">
      <c r="A295" s="490" t="s">
        <v>399</v>
      </c>
      <c r="B295" s="481" t="s">
        <v>103</v>
      </c>
      <c r="C295" s="498" t="s">
        <v>106</v>
      </c>
      <c r="D295" s="542">
        <v>55923.367985034376</v>
      </c>
      <c r="E295" s="608">
        <v>0.24800000000000003</v>
      </c>
      <c r="F295" s="524">
        <v>13868.995260288526</v>
      </c>
      <c r="G295" s="542"/>
      <c r="H295" s="608"/>
      <c r="I295" s="524"/>
      <c r="J295" s="499">
        <v>50553.47</v>
      </c>
      <c r="K295" s="608">
        <v>0.28681235927029347</v>
      </c>
      <c r="L295" s="524">
        <v>14499.360000000004</v>
      </c>
      <c r="M295" s="543">
        <v>-9.6022435316689275E-2</v>
      </c>
      <c r="N295" s="524">
        <v>630.36473971147825</v>
      </c>
      <c r="O295" s="499">
        <v>43137.599999999999</v>
      </c>
      <c r="P295" s="608">
        <v>0.25002967248989283</v>
      </c>
      <c r="Q295" s="524">
        <v>10785.68</v>
      </c>
      <c r="R295" s="543">
        <v>0.17191197470420244</v>
      </c>
      <c r="S295" s="524">
        <v>3713.6800000000039</v>
      </c>
      <c r="T295" s="481"/>
      <c r="U295" s="481"/>
      <c r="V295" s="481"/>
      <c r="W295" s="481"/>
      <c r="X295" s="481"/>
      <c r="Y295" s="481"/>
      <c r="Z295" s="481"/>
      <c r="AA295" s="481"/>
      <c r="AB295" s="481"/>
      <c r="AC295" s="481"/>
      <c r="AD295" s="481"/>
      <c r="AE295" s="481"/>
      <c r="AF295" s="481"/>
      <c r="AG295" s="481"/>
      <c r="AH295" s="481"/>
      <c r="AI295" s="481"/>
      <c r="AJ295" s="481"/>
      <c r="AK295" s="481"/>
      <c r="AL295" s="481"/>
      <c r="AM295" s="481"/>
      <c r="AN295" s="481"/>
    </row>
    <row r="296" spans="1:40" ht="15.75" customHeight="1">
      <c r="A296" s="490" t="s">
        <v>400</v>
      </c>
      <c r="B296" s="481" t="s">
        <v>103</v>
      </c>
      <c r="C296" s="498" t="s">
        <v>107</v>
      </c>
      <c r="D296" s="542">
        <v>50991.633588193996</v>
      </c>
      <c r="E296" s="608">
        <v>0.24299999999999999</v>
      </c>
      <c r="F296" s="524">
        <v>12390.966961931141</v>
      </c>
      <c r="G296" s="542"/>
      <c r="H296" s="608"/>
      <c r="I296" s="524"/>
      <c r="J296" s="499">
        <v>47223.46</v>
      </c>
      <c r="K296" s="608">
        <v>0.23158447093880882</v>
      </c>
      <c r="L296" s="524">
        <v>10936.220000000001</v>
      </c>
      <c r="M296" s="543">
        <v>-7.3897879378126752E-2</v>
      </c>
      <c r="N296" s="524">
        <v>-1454.7469619311396</v>
      </c>
      <c r="O296" s="499">
        <v>70082.789999999994</v>
      </c>
      <c r="P296" s="608">
        <v>0.23647845640848481</v>
      </c>
      <c r="Q296" s="524">
        <v>16573.069999999992</v>
      </c>
      <c r="R296" s="543">
        <v>-0.32617608402861809</v>
      </c>
      <c r="S296" s="524">
        <v>-5636.8499999999913</v>
      </c>
      <c r="T296" s="481"/>
      <c r="U296" s="481"/>
      <c r="V296" s="481"/>
      <c r="W296" s="481"/>
      <c r="X296" s="481"/>
      <c r="Y296" s="481"/>
      <c r="Z296" s="481"/>
      <c r="AA296" s="481"/>
      <c r="AB296" s="481"/>
      <c r="AC296" s="481"/>
      <c r="AD296" s="481"/>
      <c r="AE296" s="481"/>
      <c r="AF296" s="481"/>
      <c r="AG296" s="481"/>
      <c r="AH296" s="481"/>
      <c r="AI296" s="481"/>
      <c r="AJ296" s="481"/>
      <c r="AK296" s="481"/>
      <c r="AL296" s="481"/>
      <c r="AM296" s="481"/>
      <c r="AN296" s="481"/>
    </row>
    <row r="297" spans="1:40" ht="15.75" customHeight="1">
      <c r="A297" s="490" t="s">
        <v>401</v>
      </c>
      <c r="B297" s="481" t="s">
        <v>103</v>
      </c>
      <c r="C297" s="498" t="s">
        <v>108</v>
      </c>
      <c r="D297" s="542">
        <v>57964.743623668997</v>
      </c>
      <c r="E297" s="608">
        <v>0.31600000000000006</v>
      </c>
      <c r="F297" s="524">
        <v>18316.858985079405</v>
      </c>
      <c r="G297" s="542"/>
      <c r="H297" s="608"/>
      <c r="I297" s="524"/>
      <c r="J297" s="499">
        <v>49052.26</v>
      </c>
      <c r="K297" s="608">
        <v>0.31003097512734379</v>
      </c>
      <c r="L297" s="524">
        <v>15207.720000000001</v>
      </c>
      <c r="M297" s="543">
        <v>-0.15375697478337025</v>
      </c>
      <c r="N297" s="524">
        <v>-3109.1389850794039</v>
      </c>
      <c r="O297" s="499">
        <v>49676.78</v>
      </c>
      <c r="P297" s="608">
        <v>0.31532357773591613</v>
      </c>
      <c r="Q297" s="524">
        <v>15664.260000000002</v>
      </c>
      <c r="R297" s="543">
        <v>-1.2571668292510038E-2</v>
      </c>
      <c r="S297" s="524">
        <v>-456.54000000000087</v>
      </c>
      <c r="T297" s="481"/>
      <c r="U297" s="481"/>
      <c r="V297" s="481"/>
      <c r="W297" s="481"/>
      <c r="X297" s="481"/>
      <c r="Y297" s="481"/>
      <c r="Z297" s="481"/>
      <c r="AA297" s="481"/>
      <c r="AB297" s="481"/>
      <c r="AC297" s="481"/>
      <c r="AD297" s="481"/>
      <c r="AE297" s="481"/>
      <c r="AF297" s="481"/>
      <c r="AG297" s="481"/>
      <c r="AH297" s="481"/>
      <c r="AI297" s="481"/>
      <c r="AJ297" s="481"/>
      <c r="AK297" s="481"/>
      <c r="AL297" s="481"/>
      <c r="AM297" s="481"/>
      <c r="AN297" s="481"/>
    </row>
    <row r="298" spans="1:40" ht="15.75" customHeight="1">
      <c r="A298" s="490" t="s">
        <v>402</v>
      </c>
      <c r="B298" s="481" t="s">
        <v>103</v>
      </c>
      <c r="C298" s="498" t="s">
        <v>109</v>
      </c>
      <c r="D298" s="542">
        <v>19585.622816922783</v>
      </c>
      <c r="E298" s="608">
        <v>0.29799999999999999</v>
      </c>
      <c r="F298" s="524">
        <v>5836.5155994429888</v>
      </c>
      <c r="G298" s="542"/>
      <c r="H298" s="608"/>
      <c r="I298" s="524"/>
      <c r="J298" s="499">
        <v>18843.27</v>
      </c>
      <c r="K298" s="608">
        <v>0.21975909701447782</v>
      </c>
      <c r="L298" s="524">
        <v>4140.9799999999996</v>
      </c>
      <c r="M298" s="543">
        <v>-3.7902946659493494E-2</v>
      </c>
      <c r="N298" s="524">
        <v>-1695.5355994429892</v>
      </c>
      <c r="O298" s="499">
        <v>17580.88</v>
      </c>
      <c r="P298" s="608">
        <v>0.23921043770277714</v>
      </c>
      <c r="Q298" s="524">
        <v>4205.5300000000007</v>
      </c>
      <c r="R298" s="543">
        <v>7.1804710571939476E-2</v>
      </c>
      <c r="S298" s="524">
        <v>-64.550000000001091</v>
      </c>
      <c r="T298" s="481"/>
      <c r="U298" s="481"/>
      <c r="V298" s="481"/>
      <c r="W298" s="481"/>
      <c r="X298" s="481"/>
      <c r="Y298" s="481"/>
      <c r="Z298" s="481"/>
      <c r="AA298" s="481"/>
      <c r="AB298" s="481"/>
      <c r="AC298" s="481"/>
      <c r="AD298" s="481"/>
      <c r="AE298" s="481"/>
      <c r="AF298" s="481"/>
      <c r="AG298" s="481"/>
      <c r="AH298" s="481"/>
      <c r="AI298" s="481"/>
      <c r="AJ298" s="481"/>
      <c r="AK298" s="481"/>
      <c r="AL298" s="481"/>
      <c r="AM298" s="481"/>
      <c r="AN298" s="481"/>
    </row>
    <row r="299" spans="1:40" ht="15.75" customHeight="1">
      <c r="A299" s="490" t="s">
        <v>403</v>
      </c>
      <c r="B299" s="481" t="s">
        <v>103</v>
      </c>
      <c r="C299" s="498" t="s">
        <v>110</v>
      </c>
      <c r="D299" s="542">
        <v>86752.58567373034</v>
      </c>
      <c r="E299" s="608">
        <v>0.17499999999999999</v>
      </c>
      <c r="F299" s="524">
        <v>15181.702492902808</v>
      </c>
      <c r="G299" s="542"/>
      <c r="H299" s="608"/>
      <c r="I299" s="524"/>
      <c r="J299" s="499">
        <v>133684.29999999999</v>
      </c>
      <c r="K299" s="608">
        <v>0.18301662947705891</v>
      </c>
      <c r="L299" s="524">
        <v>24466.449999999983</v>
      </c>
      <c r="M299" s="543">
        <v>0.54098346420216381</v>
      </c>
      <c r="N299" s="524">
        <v>9284.7475070971741</v>
      </c>
      <c r="O299" s="499">
        <v>68251.39</v>
      </c>
      <c r="P299" s="608">
        <v>0.17980630138082168</v>
      </c>
      <c r="Q299" s="524">
        <v>12272.029999999999</v>
      </c>
      <c r="R299" s="543">
        <v>0.95870443078155609</v>
      </c>
      <c r="S299" s="524">
        <v>12194.419999999984</v>
      </c>
      <c r="T299" s="481"/>
      <c r="U299" s="481"/>
      <c r="V299" s="481"/>
      <c r="W299" s="481"/>
      <c r="X299" s="481"/>
      <c r="Y299" s="481"/>
      <c r="Z299" s="481"/>
      <c r="AA299" s="481"/>
      <c r="AB299" s="481"/>
      <c r="AC299" s="481"/>
      <c r="AD299" s="481"/>
      <c r="AE299" s="481"/>
      <c r="AF299" s="481"/>
      <c r="AG299" s="481"/>
      <c r="AH299" s="481"/>
      <c r="AI299" s="481"/>
      <c r="AJ299" s="481"/>
      <c r="AK299" s="481"/>
      <c r="AL299" s="481"/>
      <c r="AM299" s="481"/>
      <c r="AN299" s="481"/>
    </row>
    <row r="300" spans="1:40" ht="15.75" hidden="1" customHeight="1">
      <c r="A300" s="490" t="s">
        <v>404</v>
      </c>
      <c r="B300" s="481" t="s">
        <v>103</v>
      </c>
      <c r="C300" s="498" t="s">
        <v>20</v>
      </c>
      <c r="D300" s="542">
        <v>0</v>
      </c>
      <c r="E300" s="608">
        <v>0</v>
      </c>
      <c r="F300" s="524">
        <v>0</v>
      </c>
      <c r="G300" s="542"/>
      <c r="H300" s="608"/>
      <c r="I300" s="524"/>
      <c r="J300" s="499">
        <v>0</v>
      </c>
      <c r="K300" s="608">
        <v>0</v>
      </c>
      <c r="L300" s="524">
        <v>0</v>
      </c>
      <c r="M300" s="543" t="e">
        <v>#DIV/0!</v>
      </c>
      <c r="N300" s="524">
        <v>0</v>
      </c>
      <c r="O300" s="499">
        <v>0</v>
      </c>
      <c r="P300" s="608">
        <v>0</v>
      </c>
      <c r="Q300" s="524">
        <v>0</v>
      </c>
      <c r="R300" s="543">
        <v>0</v>
      </c>
      <c r="S300" s="524">
        <v>0</v>
      </c>
      <c r="T300" s="481"/>
      <c r="U300" s="481"/>
      <c r="V300" s="481"/>
      <c r="W300" s="481"/>
      <c r="X300" s="481"/>
      <c r="Y300" s="481"/>
      <c r="Z300" s="481"/>
      <c r="AA300" s="481"/>
      <c r="AB300" s="481"/>
      <c r="AC300" s="481"/>
      <c r="AD300" s="481"/>
      <c r="AE300" s="481"/>
      <c r="AF300" s="481"/>
      <c r="AG300" s="481"/>
      <c r="AH300" s="481"/>
      <c r="AI300" s="481"/>
      <c r="AJ300" s="481"/>
      <c r="AK300" s="481"/>
      <c r="AL300" s="481"/>
      <c r="AM300" s="481"/>
      <c r="AN300" s="481"/>
    </row>
    <row r="301" spans="1:40" ht="15.75" customHeight="1">
      <c r="A301" s="490" t="s">
        <v>405</v>
      </c>
      <c r="B301" s="481" t="s">
        <v>103</v>
      </c>
      <c r="C301" s="498" t="s">
        <v>111</v>
      </c>
      <c r="D301" s="542">
        <v>0</v>
      </c>
      <c r="E301" s="608">
        <v>0</v>
      </c>
      <c r="F301" s="524">
        <v>6081.2364548569049</v>
      </c>
      <c r="G301" s="542"/>
      <c r="H301" s="608"/>
      <c r="I301" s="524"/>
      <c r="J301" s="499">
        <v>0</v>
      </c>
      <c r="K301" s="608">
        <v>0</v>
      </c>
      <c r="L301" s="524">
        <v>7131.57</v>
      </c>
      <c r="M301" s="543"/>
      <c r="N301" s="524">
        <v>1050.3335451430949</v>
      </c>
      <c r="O301" s="499">
        <v>0</v>
      </c>
      <c r="P301" s="608">
        <v>0</v>
      </c>
      <c r="Q301" s="524">
        <v>7855.65</v>
      </c>
      <c r="R301" s="543">
        <v>0</v>
      </c>
      <c r="S301" s="524">
        <v>-724.07999999999993</v>
      </c>
      <c r="T301" s="481"/>
      <c r="U301" s="481"/>
      <c r="V301" s="481"/>
      <c r="W301" s="481"/>
      <c r="X301" s="481"/>
      <c r="Y301" s="481"/>
      <c r="Z301" s="481"/>
      <c r="AA301" s="481"/>
      <c r="AB301" s="481"/>
      <c r="AC301" s="481"/>
      <c r="AD301" s="481"/>
      <c r="AE301" s="481"/>
      <c r="AF301" s="481"/>
      <c r="AG301" s="481"/>
      <c r="AH301" s="481"/>
      <c r="AI301" s="481"/>
      <c r="AJ301" s="481"/>
      <c r="AK301" s="481"/>
      <c r="AL301" s="481"/>
      <c r="AM301" s="481"/>
      <c r="AN301" s="481"/>
    </row>
    <row r="302" spans="1:40" ht="15.75" customHeight="1">
      <c r="A302" s="490" t="s">
        <v>406</v>
      </c>
      <c r="B302" s="481" t="s">
        <v>103</v>
      </c>
      <c r="C302" s="491" t="s">
        <v>112</v>
      </c>
      <c r="D302" s="542">
        <v>0</v>
      </c>
      <c r="E302" s="608">
        <v>0</v>
      </c>
      <c r="F302" s="524">
        <v>0</v>
      </c>
      <c r="G302" s="542"/>
      <c r="H302" s="608"/>
      <c r="I302" s="524"/>
      <c r="J302" s="499">
        <v>0</v>
      </c>
      <c r="K302" s="608">
        <v>0</v>
      </c>
      <c r="L302" s="524">
        <v>0</v>
      </c>
      <c r="M302" s="543"/>
      <c r="N302" s="524">
        <v>0</v>
      </c>
      <c r="O302" s="499">
        <v>0</v>
      </c>
      <c r="P302" s="608">
        <v>0</v>
      </c>
      <c r="Q302" s="524">
        <v>0</v>
      </c>
      <c r="R302" s="543">
        <v>0</v>
      </c>
      <c r="S302" s="524">
        <v>0</v>
      </c>
      <c r="T302" s="481"/>
      <c r="U302" s="481"/>
      <c r="V302" s="481"/>
      <c r="W302" s="481"/>
      <c r="X302" s="481"/>
      <c r="Y302" s="481"/>
      <c r="Z302" s="481"/>
      <c r="AA302" s="481"/>
      <c r="AB302" s="481"/>
      <c r="AC302" s="481"/>
      <c r="AD302" s="481"/>
      <c r="AE302" s="481"/>
      <c r="AF302" s="481"/>
      <c r="AG302" s="481"/>
      <c r="AH302" s="481"/>
      <c r="AI302" s="481"/>
      <c r="AJ302" s="481"/>
      <c r="AK302" s="481"/>
      <c r="AL302" s="481"/>
      <c r="AM302" s="481"/>
      <c r="AN302" s="481"/>
    </row>
    <row r="303" spans="1:40" ht="15.75" customHeight="1">
      <c r="A303" s="490" t="s">
        <v>407</v>
      </c>
      <c r="B303" s="481" t="s">
        <v>103</v>
      </c>
      <c r="C303" s="517" t="s">
        <v>113</v>
      </c>
      <c r="D303" s="648">
        <v>358535.60871300654</v>
      </c>
      <c r="E303" s="665">
        <v>0.28783179888081145</v>
      </c>
      <c r="F303" s="650">
        <v>103197.9492186914</v>
      </c>
      <c r="G303" s="648"/>
      <c r="H303" s="665"/>
      <c r="I303" s="650"/>
      <c r="J303" s="648">
        <v>398726.47</v>
      </c>
      <c r="K303" s="665">
        <v>0.27250094532224051</v>
      </c>
      <c r="L303" s="650">
        <v>108653.33999999997</v>
      </c>
      <c r="M303" s="666">
        <v>0.11209726540485582</v>
      </c>
      <c r="N303" s="650">
        <v>5455.390781308568</v>
      </c>
      <c r="O303" s="648">
        <v>320527.37999999995</v>
      </c>
      <c r="P303" s="665">
        <v>0.29461015155709935</v>
      </c>
      <c r="Q303" s="650">
        <v>94430.619999999966</v>
      </c>
      <c r="R303" s="666">
        <v>0.2439700783128107</v>
      </c>
      <c r="S303" s="650">
        <v>14222.720000000001</v>
      </c>
      <c r="T303" s="481"/>
      <c r="U303" s="481"/>
      <c r="V303" s="481"/>
      <c r="W303" s="481"/>
      <c r="X303" s="481"/>
      <c r="Y303" s="481"/>
      <c r="Z303" s="481"/>
      <c r="AA303" s="481"/>
      <c r="AB303" s="481"/>
      <c r="AC303" s="481"/>
      <c r="AD303" s="481"/>
      <c r="AE303" s="481"/>
      <c r="AF303" s="481"/>
      <c r="AG303" s="481"/>
      <c r="AH303" s="481"/>
      <c r="AI303" s="481"/>
      <c r="AJ303" s="481"/>
      <c r="AK303" s="481"/>
      <c r="AL303" s="481"/>
      <c r="AM303" s="481"/>
      <c r="AN303" s="481"/>
    </row>
    <row r="304" spans="1:40" ht="15.75" customHeight="1">
      <c r="A304" s="490" t="s">
        <v>103</v>
      </c>
      <c r="B304" s="481" t="s">
        <v>103</v>
      </c>
      <c r="C304" s="498"/>
      <c r="D304" s="481"/>
      <c r="E304" s="481"/>
      <c r="F304" s="508"/>
      <c r="G304" s="498"/>
      <c r="H304" s="481"/>
      <c r="I304" s="508"/>
      <c r="J304" s="498"/>
      <c r="K304" s="481"/>
      <c r="L304" s="508"/>
      <c r="M304" s="498"/>
      <c r="N304" s="516">
        <v>5.2863364268487589E-2</v>
      </c>
      <c r="O304" s="498"/>
      <c r="P304" s="481"/>
      <c r="Q304" s="508"/>
      <c r="R304" s="498"/>
      <c r="S304" s="516">
        <v>0.15061555245533712</v>
      </c>
      <c r="T304" s="481"/>
      <c r="U304" s="481"/>
      <c r="V304" s="481"/>
      <c r="W304" s="481"/>
      <c r="X304" s="481"/>
      <c r="Y304" s="481"/>
      <c r="Z304" s="481"/>
      <c r="AA304" s="481"/>
      <c r="AB304" s="481"/>
      <c r="AC304" s="481"/>
      <c r="AD304" s="481"/>
      <c r="AE304" s="481"/>
      <c r="AF304" s="481"/>
      <c r="AG304" s="481"/>
      <c r="AH304" s="481"/>
      <c r="AI304" s="481"/>
      <c r="AJ304" s="481"/>
      <c r="AK304" s="481"/>
      <c r="AL304" s="481"/>
      <c r="AM304" s="481"/>
      <c r="AN304" s="481"/>
    </row>
    <row r="305" spans="1:40" ht="15.75" customHeight="1">
      <c r="A305" s="490" t="s">
        <v>103</v>
      </c>
      <c r="B305" s="481" t="s">
        <v>103</v>
      </c>
      <c r="C305" s="491"/>
      <c r="D305" s="571"/>
      <c r="E305" s="571"/>
      <c r="F305" s="667"/>
      <c r="G305" s="491"/>
      <c r="H305" s="571"/>
      <c r="I305" s="667"/>
      <c r="J305" s="491"/>
      <c r="K305" s="571"/>
      <c r="L305" s="667"/>
      <c r="M305" s="491"/>
      <c r="N305" s="628"/>
      <c r="O305" s="491"/>
      <c r="P305" s="571"/>
      <c r="Q305" s="667"/>
      <c r="R305" s="491"/>
      <c r="S305" s="628"/>
      <c r="T305" s="481"/>
      <c r="U305" s="481"/>
      <c r="V305" s="481"/>
      <c r="W305" s="481"/>
      <c r="X305" s="481"/>
      <c r="Y305" s="481"/>
      <c r="Z305" s="481"/>
      <c r="AA305" s="481"/>
      <c r="AB305" s="481"/>
      <c r="AC305" s="481"/>
      <c r="AD305" s="481"/>
      <c r="AE305" s="481"/>
      <c r="AF305" s="481"/>
      <c r="AG305" s="481"/>
      <c r="AH305" s="481"/>
      <c r="AI305" s="481"/>
      <c r="AJ305" s="481"/>
      <c r="AK305" s="481"/>
      <c r="AL305" s="481"/>
      <c r="AM305" s="481"/>
      <c r="AN305" s="481"/>
    </row>
    <row r="306" spans="1:40" ht="15.75" customHeight="1">
      <c r="A306" s="490" t="s">
        <v>408</v>
      </c>
      <c r="B306" s="481" t="s">
        <v>103</v>
      </c>
      <c r="C306" s="498" t="s">
        <v>114</v>
      </c>
      <c r="D306" s="542">
        <v>22593.354387929827</v>
      </c>
      <c r="E306" s="608">
        <v>0.18</v>
      </c>
      <c r="F306" s="570">
        <v>4066.8037898273687</v>
      </c>
      <c r="G306" s="542"/>
      <c r="H306" s="608"/>
      <c r="I306" s="570"/>
      <c r="J306" s="499">
        <v>17144.36</v>
      </c>
      <c r="K306" s="608">
        <v>0.20076806599954741</v>
      </c>
      <c r="L306" s="570">
        <v>3442.0400000000009</v>
      </c>
      <c r="M306" s="543">
        <v>-0.24117686530163368</v>
      </c>
      <c r="N306" s="524">
        <v>-624.76378982736787</v>
      </c>
      <c r="O306" s="499">
        <v>29798.17</v>
      </c>
      <c r="P306" s="608">
        <v>0.19305044571529056</v>
      </c>
      <c r="Q306" s="570">
        <v>5752.5499999999993</v>
      </c>
      <c r="R306" s="543">
        <v>-0.42465057417955526</v>
      </c>
      <c r="S306" s="524">
        <v>-2310.5099999999984</v>
      </c>
      <c r="T306" s="481"/>
      <c r="U306" s="481"/>
      <c r="V306" s="481"/>
      <c r="W306" s="481"/>
      <c r="X306" s="481"/>
      <c r="Y306" s="481"/>
      <c r="Z306" s="481"/>
      <c r="AA306" s="481"/>
      <c r="AB306" s="481"/>
      <c r="AC306" s="481"/>
      <c r="AD306" s="481"/>
      <c r="AE306" s="481"/>
      <c r="AF306" s="481"/>
      <c r="AG306" s="481"/>
      <c r="AH306" s="481"/>
      <c r="AI306" s="481"/>
      <c r="AJ306" s="481"/>
      <c r="AK306" s="481"/>
      <c r="AL306" s="481"/>
      <c r="AM306" s="481"/>
      <c r="AN306" s="481"/>
    </row>
    <row r="307" spans="1:40" ht="15.75" customHeight="1">
      <c r="A307" s="490" t="s">
        <v>409</v>
      </c>
      <c r="B307" s="481" t="s">
        <v>103</v>
      </c>
      <c r="C307" s="491" t="s">
        <v>115</v>
      </c>
      <c r="D307" s="542">
        <v>22380.838878361239</v>
      </c>
      <c r="E307" s="608">
        <v>0.313</v>
      </c>
      <c r="F307" s="547">
        <v>7005.2025689270677</v>
      </c>
      <c r="G307" s="542"/>
      <c r="H307" s="608"/>
      <c r="I307" s="547"/>
      <c r="J307" s="499">
        <v>23063.49</v>
      </c>
      <c r="K307" s="608">
        <v>0.25688479930834401</v>
      </c>
      <c r="L307" s="547">
        <v>5924.66</v>
      </c>
      <c r="M307" s="543">
        <v>3.0501587780017447E-2</v>
      </c>
      <c r="N307" s="524">
        <v>-1080.5425689270678</v>
      </c>
      <c r="O307" s="499">
        <v>24986.639999999999</v>
      </c>
      <c r="P307" s="608">
        <v>0.33051182551955771</v>
      </c>
      <c r="Q307" s="547">
        <v>8258.380000000001</v>
      </c>
      <c r="R307" s="543">
        <v>-7.696713123493186E-2</v>
      </c>
      <c r="S307" s="524">
        <v>-2333.7200000000012</v>
      </c>
      <c r="T307" s="481"/>
      <c r="U307" s="481"/>
      <c r="V307" s="481"/>
      <c r="W307" s="481"/>
      <c r="X307" s="481"/>
      <c r="Y307" s="481"/>
      <c r="Z307" s="481"/>
      <c r="AA307" s="481"/>
      <c r="AB307" s="481"/>
      <c r="AC307" s="481"/>
      <c r="AD307" s="481"/>
      <c r="AE307" s="481"/>
      <c r="AF307" s="481"/>
      <c r="AG307" s="481"/>
      <c r="AH307" s="481"/>
      <c r="AI307" s="481"/>
      <c r="AJ307" s="481"/>
      <c r="AK307" s="481"/>
      <c r="AL307" s="481"/>
      <c r="AM307" s="481"/>
      <c r="AN307" s="481"/>
    </row>
    <row r="308" spans="1:40" ht="15.75" customHeight="1">
      <c r="A308" s="490" t="s">
        <v>410</v>
      </c>
      <c r="B308" s="481" t="s">
        <v>103</v>
      </c>
      <c r="C308" s="517" t="s">
        <v>116</v>
      </c>
      <c r="D308" s="648">
        <v>403509.8019792976</v>
      </c>
      <c r="E308" s="665">
        <v>0.28319003656646874</v>
      </c>
      <c r="F308" s="650">
        <v>114269.95557744584</v>
      </c>
      <c r="G308" s="651"/>
      <c r="H308" s="665"/>
      <c r="I308" s="650"/>
      <c r="J308" s="651">
        <v>438934.31999999995</v>
      </c>
      <c r="K308" s="665">
        <v>0.26887858757547139</v>
      </c>
      <c r="L308" s="650">
        <v>118020.03999999998</v>
      </c>
      <c r="M308" s="666">
        <v>8.7790972727150349E-2</v>
      </c>
      <c r="N308" s="650">
        <v>3750.0844225541368</v>
      </c>
      <c r="O308" s="651">
        <v>375312.18999999994</v>
      </c>
      <c r="P308" s="665">
        <v>0.28893692475056565</v>
      </c>
      <c r="Q308" s="650">
        <v>108441.54999999997</v>
      </c>
      <c r="R308" s="666">
        <v>0.1695178885609871</v>
      </c>
      <c r="S308" s="650">
        <v>9578.4900000000052</v>
      </c>
      <c r="T308" s="481"/>
      <c r="U308" s="481"/>
      <c r="V308" s="481"/>
      <c r="W308" s="481"/>
      <c r="X308" s="481"/>
      <c r="Y308" s="481"/>
      <c r="Z308" s="481"/>
      <c r="AA308" s="481"/>
      <c r="AB308" s="481"/>
      <c r="AC308" s="481"/>
      <c r="AD308" s="481"/>
      <c r="AE308" s="481"/>
      <c r="AF308" s="481"/>
      <c r="AG308" s="481"/>
      <c r="AH308" s="481"/>
      <c r="AI308" s="481"/>
      <c r="AJ308" s="481"/>
      <c r="AK308" s="481"/>
      <c r="AL308" s="481"/>
      <c r="AM308" s="481"/>
      <c r="AN308" s="481"/>
    </row>
    <row r="309" spans="1:40" ht="15.75" customHeight="1">
      <c r="A309" s="490" t="s">
        <v>103</v>
      </c>
      <c r="B309" s="481" t="s">
        <v>103</v>
      </c>
      <c r="C309" s="498"/>
      <c r="D309" s="481"/>
      <c r="E309" s="481"/>
      <c r="F309" s="508"/>
      <c r="G309" s="498"/>
      <c r="H309" s="481"/>
      <c r="I309" s="508"/>
      <c r="J309" s="498"/>
      <c r="K309" s="481"/>
      <c r="L309" s="508"/>
      <c r="M309" s="498"/>
      <c r="N309" s="516">
        <v>3.2817763896062231E-2</v>
      </c>
      <c r="O309" s="498"/>
      <c r="P309" s="481"/>
      <c r="Q309" s="508"/>
      <c r="R309" s="498"/>
      <c r="S309" s="516">
        <v>8.8328597295040584E-2</v>
      </c>
      <c r="T309" s="481"/>
      <c r="U309" s="481"/>
      <c r="V309" s="481"/>
      <c r="W309" s="481"/>
      <c r="X309" s="481"/>
      <c r="Y309" s="481"/>
      <c r="Z309" s="481"/>
      <c r="AA309" s="481"/>
      <c r="AB309" s="481"/>
      <c r="AC309" s="481"/>
      <c r="AD309" s="481"/>
      <c r="AE309" s="481"/>
      <c r="AF309" s="481"/>
      <c r="AG309" s="481"/>
      <c r="AH309" s="481"/>
      <c r="AI309" s="481"/>
      <c r="AJ309" s="481"/>
      <c r="AK309" s="481"/>
      <c r="AL309" s="481"/>
      <c r="AM309" s="481"/>
      <c r="AN309" s="481"/>
    </row>
    <row r="310" spans="1:40" ht="15.75" customHeight="1">
      <c r="A310" s="490" t="s">
        <v>103</v>
      </c>
      <c r="B310" s="481" t="s">
        <v>103</v>
      </c>
      <c r="C310" s="498"/>
      <c r="D310" s="481"/>
      <c r="E310" s="481"/>
      <c r="F310" s="508"/>
      <c r="G310" s="498"/>
      <c r="H310" s="481"/>
      <c r="I310" s="508"/>
      <c r="J310" s="498"/>
      <c r="K310" s="481"/>
      <c r="L310" s="508"/>
      <c r="M310" s="498"/>
      <c r="N310" s="516"/>
      <c r="O310" s="498"/>
      <c r="P310" s="481"/>
      <c r="Q310" s="508"/>
      <c r="R310" s="498"/>
      <c r="S310" s="516"/>
      <c r="T310" s="481"/>
      <c r="U310" s="481"/>
      <c r="V310" s="481"/>
      <c r="W310" s="481"/>
      <c r="X310" s="481"/>
      <c r="Y310" s="481"/>
      <c r="Z310" s="481"/>
      <c r="AA310" s="481"/>
      <c r="AB310" s="481"/>
      <c r="AC310" s="481"/>
      <c r="AD310" s="481"/>
      <c r="AE310" s="481"/>
      <c r="AF310" s="481"/>
      <c r="AG310" s="481"/>
      <c r="AH310" s="481"/>
      <c r="AI310" s="481"/>
      <c r="AJ310" s="481"/>
      <c r="AK310" s="481"/>
      <c r="AL310" s="481"/>
      <c r="AM310" s="481"/>
      <c r="AN310" s="481"/>
    </row>
    <row r="311" spans="1:40" ht="15.75" customHeight="1">
      <c r="A311" s="490" t="s">
        <v>411</v>
      </c>
      <c r="B311" s="481" t="s">
        <v>103</v>
      </c>
      <c r="C311" s="491" t="s">
        <v>117</v>
      </c>
      <c r="D311" s="545">
        <v>0</v>
      </c>
      <c r="E311" s="609">
        <v>0</v>
      </c>
      <c r="F311" s="547">
        <v>0</v>
      </c>
      <c r="G311" s="623"/>
      <c r="H311" s="609"/>
      <c r="I311" s="547"/>
      <c r="J311" s="512">
        <v>0</v>
      </c>
      <c r="K311" s="609">
        <v>0</v>
      </c>
      <c r="L311" s="493">
        <v>0</v>
      </c>
      <c r="M311" s="609">
        <v>0</v>
      </c>
      <c r="N311" s="547">
        <v>0</v>
      </c>
      <c r="O311" s="512">
        <v>0</v>
      </c>
      <c r="P311" s="609">
        <v>0</v>
      </c>
      <c r="Q311" s="493">
        <v>0</v>
      </c>
      <c r="R311" s="609">
        <v>0</v>
      </c>
      <c r="S311" s="547">
        <v>0</v>
      </c>
      <c r="T311" s="481"/>
      <c r="U311" s="481"/>
      <c r="V311" s="481"/>
      <c r="W311" s="481"/>
      <c r="X311" s="481"/>
      <c r="Y311" s="481"/>
      <c r="Z311" s="481"/>
      <c r="AA311" s="481"/>
      <c r="AB311" s="481"/>
      <c r="AC311" s="481"/>
      <c r="AD311" s="481"/>
      <c r="AE311" s="481"/>
      <c r="AF311" s="481"/>
      <c r="AG311" s="481"/>
      <c r="AH311" s="481"/>
      <c r="AI311" s="481"/>
      <c r="AJ311" s="481"/>
      <c r="AK311" s="481"/>
      <c r="AL311" s="481"/>
      <c r="AM311" s="481"/>
      <c r="AN311" s="481"/>
    </row>
    <row r="312" spans="1:40" ht="15.75" customHeight="1" thickBot="1">
      <c r="A312" s="490" t="s">
        <v>103</v>
      </c>
      <c r="B312" s="481" t="s">
        <v>103</v>
      </c>
      <c r="C312" s="498"/>
      <c r="D312" s="542"/>
      <c r="E312" s="608"/>
      <c r="F312" s="524"/>
      <c r="G312" s="525"/>
      <c r="H312" s="608"/>
      <c r="I312" s="524"/>
      <c r="J312" s="525"/>
      <c r="K312" s="608"/>
      <c r="L312" s="524"/>
      <c r="M312" s="543"/>
      <c r="N312" s="524"/>
      <c r="O312" s="525"/>
      <c r="P312" s="608"/>
      <c r="Q312" s="524"/>
      <c r="R312" s="543"/>
      <c r="S312" s="524"/>
      <c r="T312" s="481"/>
      <c r="U312" s="481"/>
      <c r="V312" s="481"/>
      <c r="W312" s="481"/>
      <c r="X312" s="481"/>
      <c r="Y312" s="481"/>
      <c r="Z312" s="481"/>
      <c r="AA312" s="481"/>
      <c r="AB312" s="481"/>
      <c r="AC312" s="481"/>
      <c r="AD312" s="481"/>
      <c r="AE312" s="481"/>
      <c r="AF312" s="481"/>
      <c r="AG312" s="481"/>
      <c r="AH312" s="481"/>
      <c r="AI312" s="481"/>
      <c r="AJ312" s="481"/>
      <c r="AK312" s="481"/>
      <c r="AL312" s="481"/>
      <c r="AM312" s="481"/>
      <c r="AN312" s="481"/>
    </row>
    <row r="313" spans="1:40" ht="15.75" customHeight="1" thickTop="1">
      <c r="A313" s="490" t="s">
        <v>412</v>
      </c>
      <c r="B313" s="481" t="s">
        <v>103</v>
      </c>
      <c r="C313" s="526" t="s">
        <v>118</v>
      </c>
      <c r="D313" s="527">
        <v>403509.8019792976</v>
      </c>
      <c r="E313" s="668">
        <v>0.28319003656646874</v>
      </c>
      <c r="F313" s="529">
        <v>114269.95557744584</v>
      </c>
      <c r="G313" s="530"/>
      <c r="H313" s="668"/>
      <c r="I313" s="529"/>
      <c r="J313" s="530">
        <v>438934.31999999995</v>
      </c>
      <c r="K313" s="668">
        <v>0.26887858757547139</v>
      </c>
      <c r="L313" s="529">
        <v>118020.03999999998</v>
      </c>
      <c r="M313" s="669">
        <v>8.7790972727150349E-2</v>
      </c>
      <c r="N313" s="670">
        <v>3750.0844225541368</v>
      </c>
      <c r="O313" s="530">
        <v>375312.18999999994</v>
      </c>
      <c r="P313" s="668">
        <v>0.28893692475056565</v>
      </c>
      <c r="Q313" s="529">
        <v>108441.54999999997</v>
      </c>
      <c r="R313" s="669">
        <v>0.1695178885609871</v>
      </c>
      <c r="S313" s="670">
        <v>9578.4900000000052</v>
      </c>
      <c r="T313" s="481"/>
      <c r="U313" s="481"/>
      <c r="V313" s="481"/>
      <c r="W313" s="481"/>
      <c r="X313" s="481"/>
      <c r="Y313" s="481"/>
      <c r="Z313" s="481"/>
      <c r="AA313" s="481"/>
      <c r="AB313" s="481"/>
      <c r="AC313" s="481"/>
      <c r="AD313" s="481"/>
      <c r="AE313" s="481"/>
      <c r="AF313" s="481"/>
      <c r="AG313" s="481"/>
      <c r="AH313" s="481"/>
      <c r="AI313" s="481"/>
      <c r="AJ313" s="481"/>
      <c r="AK313" s="481"/>
      <c r="AL313" s="481"/>
      <c r="AM313" s="481"/>
      <c r="AN313" s="481"/>
    </row>
    <row r="314" spans="1:40" ht="15.75" customHeight="1" thickBot="1">
      <c r="A314" s="490" t="s">
        <v>103</v>
      </c>
      <c r="B314" s="481" t="s">
        <v>103</v>
      </c>
      <c r="C314" s="587"/>
      <c r="D314" s="671"/>
      <c r="E314" s="672"/>
      <c r="F314" s="590"/>
      <c r="G314" s="673"/>
      <c r="H314" s="672"/>
      <c r="I314" s="590"/>
      <c r="J314" s="673"/>
      <c r="K314" s="672"/>
      <c r="L314" s="674">
        <v>1.0328177638960623</v>
      </c>
      <c r="M314" s="675"/>
      <c r="N314" s="536">
        <v>3.2817763896062231E-2</v>
      </c>
      <c r="O314" s="673"/>
      <c r="P314" s="672"/>
      <c r="Q314" s="590"/>
      <c r="R314" s="675"/>
      <c r="S314" s="536">
        <v>8.8328597295040584E-2</v>
      </c>
      <c r="T314" s="481"/>
      <c r="U314" s="481"/>
      <c r="V314" s="481"/>
      <c r="W314" s="481"/>
      <c r="X314" s="481"/>
      <c r="Y314" s="481"/>
      <c r="Z314" s="481"/>
      <c r="AA314" s="481"/>
      <c r="AB314" s="481"/>
      <c r="AC314" s="481"/>
      <c r="AD314" s="481"/>
      <c r="AE314" s="481"/>
      <c r="AF314" s="481"/>
      <c r="AG314" s="481"/>
      <c r="AH314" s="481"/>
      <c r="AI314" s="481"/>
      <c r="AJ314" s="481"/>
      <c r="AK314" s="481"/>
      <c r="AL314" s="481"/>
      <c r="AM314" s="481"/>
      <c r="AN314" s="481"/>
    </row>
    <row r="315" spans="1:40" ht="15.75" customHeight="1" thickTop="1">
      <c r="A315" s="490" t="s">
        <v>103</v>
      </c>
      <c r="B315" s="481" t="s">
        <v>103</v>
      </c>
      <c r="C315" s="517"/>
      <c r="D315" s="572"/>
      <c r="E315" s="630"/>
      <c r="F315" s="632"/>
      <c r="G315" s="631"/>
      <c r="H315" s="630"/>
      <c r="I315" s="632"/>
      <c r="J315" s="631"/>
      <c r="K315" s="630"/>
      <c r="L315" s="632"/>
      <c r="M315" s="498"/>
      <c r="N315" s="516"/>
      <c r="O315" s="631"/>
      <c r="P315" s="630"/>
      <c r="Q315" s="632"/>
      <c r="R315" s="498"/>
      <c r="S315" s="516"/>
      <c r="T315" s="481"/>
      <c r="U315" s="481"/>
      <c r="V315" s="481"/>
      <c r="W315" s="481"/>
      <c r="X315" s="481"/>
      <c r="Y315" s="481"/>
      <c r="Z315" s="481"/>
      <c r="AA315" s="481"/>
      <c r="AB315" s="481"/>
      <c r="AC315" s="481"/>
      <c r="AD315" s="481"/>
      <c r="AE315" s="481"/>
      <c r="AF315" s="481"/>
      <c r="AG315" s="481"/>
      <c r="AH315" s="481"/>
      <c r="AI315" s="481"/>
      <c r="AJ315" s="481"/>
      <c r="AK315" s="481"/>
      <c r="AL315" s="481"/>
      <c r="AM315" s="481"/>
      <c r="AN315" s="481"/>
    </row>
    <row r="316" spans="1:40" ht="15.75" customHeight="1">
      <c r="A316" s="490" t="s">
        <v>413</v>
      </c>
      <c r="B316" s="481" t="s">
        <v>103</v>
      </c>
      <c r="C316" s="539" t="s">
        <v>30</v>
      </c>
      <c r="D316" s="481"/>
      <c r="E316" s="481"/>
      <c r="F316" s="524"/>
      <c r="G316" s="498"/>
      <c r="H316" s="481"/>
      <c r="I316" s="524"/>
      <c r="J316" s="498"/>
      <c r="K316" s="481"/>
      <c r="L316" s="508"/>
      <c r="M316" s="498"/>
      <c r="N316" s="508"/>
      <c r="O316" s="498"/>
      <c r="P316" s="481"/>
      <c r="Q316" s="508"/>
      <c r="R316" s="498"/>
      <c r="S316" s="508"/>
      <c r="T316" s="481"/>
      <c r="U316" s="481"/>
      <c r="V316" s="481"/>
      <c r="W316" s="481"/>
      <c r="X316" s="481"/>
      <c r="Y316" s="481"/>
      <c r="Z316" s="481"/>
      <c r="AA316" s="481"/>
      <c r="AB316" s="481"/>
      <c r="AC316" s="481"/>
      <c r="AD316" s="481"/>
      <c r="AE316" s="481"/>
      <c r="AF316" s="481"/>
      <c r="AG316" s="481"/>
      <c r="AH316" s="481"/>
      <c r="AI316" s="481"/>
      <c r="AJ316" s="481"/>
      <c r="AK316" s="481"/>
      <c r="AL316" s="481"/>
      <c r="AM316" s="481"/>
      <c r="AN316" s="481"/>
    </row>
    <row r="317" spans="1:40" ht="15.75" customHeight="1">
      <c r="A317" s="490" t="s">
        <v>414</v>
      </c>
      <c r="B317" s="481" t="s">
        <v>103</v>
      </c>
      <c r="C317" s="565" t="s">
        <v>41</v>
      </c>
      <c r="D317" s="481"/>
      <c r="E317" s="481"/>
      <c r="F317" s="499">
        <v>2606.4352490421456</v>
      </c>
      <c r="G317" s="498"/>
      <c r="H317" s="481"/>
      <c r="I317" s="499"/>
      <c r="J317" s="498"/>
      <c r="K317" s="481"/>
      <c r="L317" s="501">
        <v>7410.88</v>
      </c>
      <c r="M317" s="498"/>
      <c r="N317" s="524">
        <v>4804.4447509578549</v>
      </c>
      <c r="O317" s="498"/>
      <c r="P317" s="481"/>
      <c r="Q317" s="501">
        <v>15959.67</v>
      </c>
      <c r="R317" s="498"/>
      <c r="S317" s="501">
        <v>-8548.7900000000009</v>
      </c>
      <c r="T317" s="481"/>
      <c r="U317" s="481"/>
      <c r="V317" s="481"/>
      <c r="W317" s="481"/>
      <c r="X317" s="481"/>
      <c r="Y317" s="481"/>
      <c r="Z317" s="481"/>
      <c r="AA317" s="481"/>
      <c r="AB317" s="481"/>
      <c r="AC317" s="481"/>
      <c r="AD317" s="481"/>
      <c r="AE317" s="481"/>
      <c r="AF317" s="481"/>
      <c r="AG317" s="481"/>
      <c r="AH317" s="481"/>
      <c r="AI317" s="481"/>
      <c r="AJ317" s="481"/>
      <c r="AK317" s="481"/>
      <c r="AL317" s="481"/>
      <c r="AM317" s="481"/>
      <c r="AN317" s="481"/>
    </row>
    <row r="318" spans="1:40" ht="15.75" customHeight="1">
      <c r="A318" s="490" t="s">
        <v>415</v>
      </c>
      <c r="B318" s="481" t="s">
        <v>103</v>
      </c>
      <c r="C318" s="566" t="s">
        <v>42</v>
      </c>
      <c r="D318" s="550"/>
      <c r="E318" s="481"/>
      <c r="F318" s="493">
        <v>28935.964137931038</v>
      </c>
      <c r="G318" s="551"/>
      <c r="H318" s="481"/>
      <c r="I318" s="493"/>
      <c r="J318" s="498"/>
      <c r="K318" s="481"/>
      <c r="L318" s="501">
        <v>21961.89</v>
      </c>
      <c r="M318" s="498"/>
      <c r="N318" s="524">
        <v>-6974.0741379310384</v>
      </c>
      <c r="O318" s="498"/>
      <c r="P318" s="481"/>
      <c r="Q318" s="501">
        <v>3170.08</v>
      </c>
      <c r="R318" s="498"/>
      <c r="S318" s="524">
        <v>18791.809999999998</v>
      </c>
      <c r="T318" s="481"/>
      <c r="U318" s="481"/>
      <c r="V318" s="481"/>
      <c r="W318" s="481"/>
      <c r="X318" s="481"/>
      <c r="Y318" s="481"/>
      <c r="Z318" s="481"/>
      <c r="AA318" s="481"/>
      <c r="AB318" s="481"/>
      <c r="AC318" s="481"/>
      <c r="AD318" s="481"/>
      <c r="AE318" s="481"/>
      <c r="AF318" s="481"/>
      <c r="AG318" s="481"/>
      <c r="AH318" s="481"/>
      <c r="AI318" s="481"/>
      <c r="AJ318" s="481"/>
      <c r="AK318" s="481"/>
      <c r="AL318" s="481"/>
      <c r="AM318" s="481"/>
      <c r="AN318" s="481"/>
    </row>
    <row r="319" spans="1:40" ht="15.75" customHeight="1">
      <c r="A319" s="490" t="s">
        <v>416</v>
      </c>
      <c r="B319" s="481" t="s">
        <v>103</v>
      </c>
      <c r="C319" s="565" t="s">
        <v>43</v>
      </c>
      <c r="D319" s="567"/>
      <c r="E319" s="568"/>
      <c r="F319" s="499">
        <v>2296.0919540229879</v>
      </c>
      <c r="G319" s="569"/>
      <c r="H319" s="568"/>
      <c r="I319" s="499"/>
      <c r="J319" s="485"/>
      <c r="K319" s="568"/>
      <c r="L319" s="520">
        <v>248.16</v>
      </c>
      <c r="M319" s="485"/>
      <c r="N319" s="570">
        <v>-2047.9319540229878</v>
      </c>
      <c r="O319" s="485"/>
      <c r="P319" s="568"/>
      <c r="Q319" s="520">
        <v>24289.83</v>
      </c>
      <c r="R319" s="485"/>
      <c r="S319" s="570">
        <v>-24041.670000000002</v>
      </c>
      <c r="T319" s="481"/>
      <c r="U319" s="676"/>
      <c r="V319" s="676"/>
      <c r="W319" s="481"/>
      <c r="X319" s="481"/>
      <c r="Y319" s="481"/>
      <c r="Z319" s="481"/>
      <c r="AA319" s="481"/>
      <c r="AB319" s="481"/>
      <c r="AC319" s="481"/>
      <c r="AD319" s="481"/>
      <c r="AE319" s="481"/>
      <c r="AF319" s="481"/>
      <c r="AG319" s="481"/>
      <c r="AH319" s="481"/>
      <c r="AI319" s="481"/>
      <c r="AJ319" s="481"/>
      <c r="AK319" s="481"/>
      <c r="AL319" s="481"/>
      <c r="AM319" s="481"/>
      <c r="AN319" s="481"/>
    </row>
    <row r="320" spans="1:40" ht="15.75" customHeight="1">
      <c r="A320" s="490" t="s">
        <v>417</v>
      </c>
      <c r="B320" s="481" t="s">
        <v>103</v>
      </c>
      <c r="C320" s="565" t="s">
        <v>44</v>
      </c>
      <c r="D320" s="550"/>
      <c r="E320" s="481"/>
      <c r="F320" s="499">
        <v>0</v>
      </c>
      <c r="G320" s="551"/>
      <c r="H320" s="481"/>
      <c r="I320" s="499"/>
      <c r="J320" s="498"/>
      <c r="K320" s="481"/>
      <c r="L320" s="501">
        <v>0</v>
      </c>
      <c r="M320" s="498"/>
      <c r="N320" s="524">
        <v>0</v>
      </c>
      <c r="O320" s="498"/>
      <c r="P320" s="481"/>
      <c r="Q320" s="501">
        <v>0</v>
      </c>
      <c r="R320" s="498"/>
      <c r="S320" s="524">
        <v>0</v>
      </c>
      <c r="T320" s="481"/>
      <c r="U320" s="481"/>
      <c r="V320" s="481"/>
      <c r="W320" s="481"/>
      <c r="X320" s="481"/>
      <c r="Y320" s="481"/>
      <c r="Z320" s="481"/>
      <c r="AA320" s="481"/>
      <c r="AB320" s="481"/>
      <c r="AC320" s="481"/>
      <c r="AD320" s="481"/>
      <c r="AE320" s="481"/>
      <c r="AF320" s="481"/>
      <c r="AG320" s="481"/>
      <c r="AH320" s="481"/>
      <c r="AI320" s="481"/>
      <c r="AJ320" s="481"/>
      <c r="AK320" s="481"/>
      <c r="AL320" s="481"/>
      <c r="AM320" s="481"/>
      <c r="AN320" s="481"/>
    </row>
    <row r="321" spans="1:40" ht="15.75" hidden="1" customHeight="1">
      <c r="A321" s="490" t="s">
        <v>404</v>
      </c>
      <c r="B321" s="481" t="s">
        <v>103</v>
      </c>
      <c r="C321" s="498" t="s">
        <v>20</v>
      </c>
      <c r="D321" s="550"/>
      <c r="E321" s="481"/>
      <c r="F321" s="499">
        <v>0</v>
      </c>
      <c r="G321" s="551"/>
      <c r="H321" s="481"/>
      <c r="I321" s="499"/>
      <c r="J321" s="498"/>
      <c r="K321" s="481"/>
      <c r="L321" s="501">
        <v>0</v>
      </c>
      <c r="M321" s="498"/>
      <c r="N321" s="524">
        <v>0</v>
      </c>
      <c r="O321" s="498"/>
      <c r="P321" s="481"/>
      <c r="Q321" s="501">
        <v>0</v>
      </c>
      <c r="R321" s="498"/>
      <c r="S321" s="524">
        <v>0</v>
      </c>
      <c r="T321" s="481"/>
      <c r="U321" s="481"/>
      <c r="V321" s="481"/>
      <c r="W321" s="481"/>
      <c r="X321" s="481"/>
      <c r="Y321" s="481"/>
      <c r="Z321" s="481"/>
      <c r="AA321" s="481"/>
      <c r="AB321" s="481"/>
      <c r="AC321" s="481"/>
      <c r="AD321" s="481"/>
      <c r="AE321" s="481"/>
      <c r="AF321" s="481"/>
      <c r="AG321" s="481"/>
      <c r="AH321" s="481"/>
      <c r="AI321" s="481"/>
      <c r="AJ321" s="481"/>
      <c r="AK321" s="481"/>
      <c r="AL321" s="481"/>
      <c r="AM321" s="481"/>
      <c r="AN321" s="481"/>
    </row>
    <row r="322" spans="1:40" ht="15.75" hidden="1" customHeight="1">
      <c r="A322" s="490" t="s">
        <v>404</v>
      </c>
      <c r="B322" s="481" t="s">
        <v>103</v>
      </c>
      <c r="C322" s="498" t="s">
        <v>20</v>
      </c>
      <c r="D322" s="550"/>
      <c r="E322" s="481"/>
      <c r="F322" s="499">
        <v>0</v>
      </c>
      <c r="G322" s="551"/>
      <c r="H322" s="481"/>
      <c r="I322" s="499"/>
      <c r="J322" s="498"/>
      <c r="K322" s="481"/>
      <c r="L322" s="501">
        <v>0</v>
      </c>
      <c r="M322" s="498"/>
      <c r="N322" s="524">
        <v>0</v>
      </c>
      <c r="O322" s="498"/>
      <c r="P322" s="481"/>
      <c r="Q322" s="501">
        <v>0</v>
      </c>
      <c r="R322" s="498"/>
      <c r="S322" s="524">
        <v>0</v>
      </c>
      <c r="T322" s="481"/>
      <c r="U322" s="481"/>
      <c r="V322" s="481"/>
      <c r="W322" s="481"/>
      <c r="X322" s="481"/>
      <c r="Y322" s="481"/>
      <c r="Z322" s="481"/>
      <c r="AA322" s="481"/>
      <c r="AB322" s="481"/>
      <c r="AC322" s="481"/>
      <c r="AD322" s="481"/>
      <c r="AE322" s="481"/>
      <c r="AF322" s="481"/>
      <c r="AG322" s="481"/>
      <c r="AH322" s="481"/>
      <c r="AI322" s="481"/>
      <c r="AJ322" s="481"/>
      <c r="AK322" s="481"/>
      <c r="AL322" s="481"/>
      <c r="AM322" s="481"/>
      <c r="AN322" s="481"/>
    </row>
    <row r="323" spans="1:40" ht="15.75" hidden="1" customHeight="1">
      <c r="A323" s="490" t="s">
        <v>404</v>
      </c>
      <c r="B323" s="481" t="s">
        <v>103</v>
      </c>
      <c r="C323" s="498" t="s">
        <v>20</v>
      </c>
      <c r="D323" s="550"/>
      <c r="E323" s="481"/>
      <c r="F323" s="499">
        <v>0</v>
      </c>
      <c r="G323" s="551"/>
      <c r="H323" s="481"/>
      <c r="I323" s="499"/>
      <c r="J323" s="498"/>
      <c r="K323" s="481"/>
      <c r="L323" s="501">
        <v>0</v>
      </c>
      <c r="M323" s="498"/>
      <c r="N323" s="524">
        <v>0</v>
      </c>
      <c r="O323" s="498"/>
      <c r="P323" s="481"/>
      <c r="Q323" s="501">
        <v>0</v>
      </c>
      <c r="R323" s="498"/>
      <c r="S323" s="524">
        <v>0</v>
      </c>
      <c r="T323" s="481"/>
      <c r="U323" s="481"/>
      <c r="V323" s="481"/>
      <c r="W323" s="481"/>
      <c r="X323" s="481"/>
      <c r="Y323" s="481"/>
      <c r="Z323" s="481"/>
      <c r="AA323" s="481"/>
      <c r="AB323" s="481"/>
      <c r="AC323" s="481"/>
      <c r="AD323" s="481"/>
      <c r="AE323" s="481"/>
      <c r="AF323" s="481"/>
      <c r="AG323" s="481"/>
      <c r="AH323" s="481"/>
      <c r="AI323" s="481"/>
      <c r="AJ323" s="481"/>
      <c r="AK323" s="481"/>
      <c r="AL323" s="481"/>
      <c r="AM323" s="481"/>
      <c r="AN323" s="481"/>
    </row>
    <row r="324" spans="1:40" ht="15.75" customHeight="1">
      <c r="A324" s="490" t="s">
        <v>418</v>
      </c>
      <c r="B324" s="481" t="s">
        <v>103</v>
      </c>
      <c r="C324" s="566" t="s">
        <v>45</v>
      </c>
      <c r="D324" s="550"/>
      <c r="E324" s="481"/>
      <c r="F324" s="493">
        <v>4173.8952256538423</v>
      </c>
      <c r="G324" s="551"/>
      <c r="H324" s="481"/>
      <c r="I324" s="493"/>
      <c r="J324" s="498"/>
      <c r="K324" s="481"/>
      <c r="L324" s="501">
        <v>2525.11</v>
      </c>
      <c r="M324" s="498"/>
      <c r="N324" s="524">
        <v>-1648.7852256538422</v>
      </c>
      <c r="O324" s="498"/>
      <c r="P324" s="481"/>
      <c r="Q324" s="501">
        <v>4682.1899999999996</v>
      </c>
      <c r="R324" s="498"/>
      <c r="S324" s="524">
        <v>-2157.0799999999995</v>
      </c>
      <c r="T324" s="481"/>
      <c r="U324" s="481"/>
      <c r="V324" s="481"/>
      <c r="W324" s="481"/>
      <c r="X324" s="481"/>
      <c r="Y324" s="481"/>
      <c r="Z324" s="481"/>
      <c r="AA324" s="481"/>
      <c r="AB324" s="481"/>
      <c r="AC324" s="481"/>
      <c r="AD324" s="481"/>
      <c r="AE324" s="481"/>
      <c r="AF324" s="481"/>
      <c r="AG324" s="481"/>
      <c r="AH324" s="481"/>
      <c r="AI324" s="481"/>
      <c r="AJ324" s="481"/>
      <c r="AK324" s="481"/>
      <c r="AL324" s="481"/>
      <c r="AM324" s="481"/>
      <c r="AN324" s="481"/>
    </row>
    <row r="325" spans="1:40" ht="15.75" customHeight="1">
      <c r="A325" s="490" t="s">
        <v>419</v>
      </c>
      <c r="B325" s="481" t="s">
        <v>103</v>
      </c>
      <c r="C325" s="565" t="s">
        <v>46</v>
      </c>
      <c r="D325" s="567"/>
      <c r="E325" s="568"/>
      <c r="F325" s="499">
        <v>4149.2628047292937</v>
      </c>
      <c r="G325" s="569"/>
      <c r="H325" s="568"/>
      <c r="I325" s="499"/>
      <c r="J325" s="485"/>
      <c r="K325" s="568"/>
      <c r="L325" s="520">
        <v>7136</v>
      </c>
      <c r="M325" s="485"/>
      <c r="N325" s="570">
        <v>2986.7371952707063</v>
      </c>
      <c r="O325" s="485"/>
      <c r="P325" s="568"/>
      <c r="Q325" s="520">
        <v>6079.8899999999994</v>
      </c>
      <c r="R325" s="485"/>
      <c r="S325" s="570">
        <v>1056.1100000000006</v>
      </c>
      <c r="T325" s="481"/>
      <c r="U325" s="481"/>
      <c r="V325" s="481"/>
      <c r="W325" s="481"/>
      <c r="X325" s="481"/>
      <c r="Y325" s="481"/>
      <c r="Z325" s="481"/>
      <c r="AA325" s="481"/>
      <c r="AB325" s="481"/>
      <c r="AC325" s="481"/>
      <c r="AD325" s="481"/>
      <c r="AE325" s="481"/>
      <c r="AF325" s="481"/>
      <c r="AG325" s="481"/>
      <c r="AH325" s="481"/>
      <c r="AI325" s="481"/>
      <c r="AJ325" s="481"/>
      <c r="AK325" s="481"/>
      <c r="AL325" s="481"/>
      <c r="AM325" s="481"/>
      <c r="AN325" s="481"/>
    </row>
    <row r="326" spans="1:40" ht="15.75" customHeight="1">
      <c r="A326" s="490" t="s">
        <v>420</v>
      </c>
      <c r="B326" s="481" t="s">
        <v>103</v>
      </c>
      <c r="C326" s="565" t="s">
        <v>47</v>
      </c>
      <c r="D326" s="550"/>
      <c r="E326" s="481"/>
      <c r="F326" s="499">
        <v>2905.5546138901727</v>
      </c>
      <c r="G326" s="551"/>
      <c r="H326" s="481"/>
      <c r="I326" s="499"/>
      <c r="J326" s="498"/>
      <c r="K326" s="481"/>
      <c r="L326" s="501">
        <v>1124.96</v>
      </c>
      <c r="M326" s="498"/>
      <c r="N326" s="524">
        <v>-1780.5946138901727</v>
      </c>
      <c r="O326" s="498"/>
      <c r="P326" s="481"/>
      <c r="Q326" s="501">
        <v>5738.85</v>
      </c>
      <c r="R326" s="498"/>
      <c r="S326" s="524">
        <v>-4613.8900000000003</v>
      </c>
      <c r="T326" s="481"/>
      <c r="U326" s="481"/>
      <c r="V326" s="481"/>
      <c r="W326" s="481"/>
      <c r="X326" s="481"/>
      <c r="Y326" s="481"/>
      <c r="Z326" s="481"/>
      <c r="AA326" s="481"/>
      <c r="AB326" s="481"/>
      <c r="AC326" s="481"/>
      <c r="AD326" s="481"/>
      <c r="AE326" s="481"/>
      <c r="AF326" s="481"/>
      <c r="AG326" s="481"/>
      <c r="AH326" s="481"/>
      <c r="AI326" s="481"/>
      <c r="AJ326" s="481"/>
      <c r="AK326" s="481"/>
      <c r="AL326" s="481"/>
      <c r="AM326" s="481"/>
      <c r="AN326" s="481"/>
    </row>
    <row r="327" spans="1:40" ht="15.75" customHeight="1">
      <c r="A327" s="490" t="s">
        <v>421</v>
      </c>
      <c r="B327" s="481" t="s">
        <v>103</v>
      </c>
      <c r="C327" s="565" t="s">
        <v>48</v>
      </c>
      <c r="D327" s="550"/>
      <c r="E327" s="481"/>
      <c r="F327" s="499">
        <v>1388.0671873915119</v>
      </c>
      <c r="G327" s="551"/>
      <c r="H327" s="481"/>
      <c r="I327" s="499"/>
      <c r="J327" s="498"/>
      <c r="K327" s="481"/>
      <c r="L327" s="501">
        <v>916.61</v>
      </c>
      <c r="M327" s="498"/>
      <c r="N327" s="524">
        <v>-471.45718739151187</v>
      </c>
      <c r="O327" s="498"/>
      <c r="P327" s="481"/>
      <c r="Q327" s="501">
        <v>1740.92</v>
      </c>
      <c r="R327" s="498"/>
      <c r="S327" s="524">
        <v>-824.31000000000006</v>
      </c>
      <c r="T327" s="481"/>
      <c r="U327" s="481"/>
      <c r="V327" s="481"/>
      <c r="W327" s="481"/>
      <c r="X327" s="481"/>
      <c r="Y327" s="481"/>
      <c r="Z327" s="481"/>
      <c r="AA327" s="481"/>
      <c r="AB327" s="481"/>
      <c r="AC327" s="481"/>
      <c r="AD327" s="481"/>
      <c r="AE327" s="481"/>
      <c r="AF327" s="481"/>
      <c r="AG327" s="481"/>
      <c r="AH327" s="481"/>
      <c r="AI327" s="481"/>
      <c r="AJ327" s="481"/>
      <c r="AK327" s="481"/>
      <c r="AL327" s="481"/>
      <c r="AM327" s="481"/>
      <c r="AN327" s="481"/>
    </row>
    <row r="328" spans="1:40" ht="15.75" hidden="1" customHeight="1">
      <c r="A328" s="490" t="s">
        <v>404</v>
      </c>
      <c r="B328" s="481" t="s">
        <v>103</v>
      </c>
      <c r="C328" s="498" t="s">
        <v>20</v>
      </c>
      <c r="D328" s="552"/>
      <c r="E328" s="571"/>
      <c r="F328" s="499">
        <v>0</v>
      </c>
      <c r="G328" s="553"/>
      <c r="H328" s="571"/>
      <c r="I328" s="499"/>
      <c r="J328" s="491"/>
      <c r="K328" s="571"/>
      <c r="L328" s="501">
        <v>0</v>
      </c>
      <c r="M328" s="491"/>
      <c r="N328" s="547">
        <v>0</v>
      </c>
      <c r="O328" s="491"/>
      <c r="P328" s="571"/>
      <c r="Q328" s="501">
        <v>0</v>
      </c>
      <c r="R328" s="491"/>
      <c r="S328" s="547">
        <v>0</v>
      </c>
      <c r="T328" s="481"/>
      <c r="U328" s="481"/>
      <c r="V328" s="481"/>
      <c r="W328" s="481"/>
      <c r="X328" s="481"/>
      <c r="Y328" s="481"/>
      <c r="Z328" s="481"/>
      <c r="AA328" s="481"/>
      <c r="AB328" s="481"/>
      <c r="AC328" s="481"/>
      <c r="AD328" s="481"/>
      <c r="AE328" s="481"/>
      <c r="AF328" s="481"/>
      <c r="AG328" s="481"/>
      <c r="AH328" s="481"/>
      <c r="AI328" s="481"/>
      <c r="AJ328" s="481"/>
      <c r="AK328" s="481"/>
      <c r="AL328" s="481"/>
      <c r="AM328" s="481"/>
      <c r="AN328" s="481"/>
    </row>
    <row r="329" spans="1:40" ht="15.75" customHeight="1">
      <c r="A329" s="490" t="s">
        <v>422</v>
      </c>
      <c r="B329" s="481" t="s">
        <v>103</v>
      </c>
      <c r="C329" s="557" t="s">
        <v>49</v>
      </c>
      <c r="D329" s="558" t="s">
        <v>39</v>
      </c>
      <c r="E329" s="559">
        <v>0.40653967998767782</v>
      </c>
      <c r="F329" s="560">
        <v>46455.271172660992</v>
      </c>
      <c r="G329" s="561"/>
      <c r="H329" s="559"/>
      <c r="I329" s="560"/>
      <c r="J329" s="561" t="s">
        <v>39</v>
      </c>
      <c r="K329" s="559">
        <v>0.35014062018619896</v>
      </c>
      <c r="L329" s="560">
        <v>41323.61</v>
      </c>
      <c r="M329" s="610"/>
      <c r="N329" s="573">
        <v>-5131.6611726609917</v>
      </c>
      <c r="O329" s="561" t="s">
        <v>39</v>
      </c>
      <c r="P329" s="559">
        <v>0.56861442869453649</v>
      </c>
      <c r="Q329" s="560">
        <v>61661.43</v>
      </c>
      <c r="R329" s="610"/>
      <c r="S329" s="573">
        <v>-20337.82</v>
      </c>
      <c r="T329" s="481"/>
      <c r="U329" s="481"/>
      <c r="V329" s="481"/>
      <c r="W329" s="481"/>
      <c r="X329" s="481"/>
      <c r="Y329" s="481"/>
      <c r="Z329" s="481"/>
      <c r="AA329" s="481"/>
      <c r="AB329" s="481"/>
      <c r="AC329" s="481"/>
      <c r="AD329" s="481"/>
      <c r="AE329" s="481"/>
      <c r="AF329" s="481"/>
      <c r="AG329" s="481"/>
      <c r="AH329" s="481"/>
      <c r="AI329" s="481"/>
      <c r="AJ329" s="481"/>
      <c r="AK329" s="481"/>
      <c r="AL329" s="481"/>
      <c r="AM329" s="481"/>
      <c r="AN329" s="481"/>
    </row>
    <row r="330" spans="1:40" ht="15.75" customHeight="1">
      <c r="A330" s="490" t="s">
        <v>423</v>
      </c>
      <c r="B330" s="481" t="s">
        <v>103</v>
      </c>
      <c r="C330" s="664" t="s">
        <v>50</v>
      </c>
      <c r="D330" s="550"/>
      <c r="E330" s="481"/>
      <c r="F330" s="499">
        <v>4539.0119395833326</v>
      </c>
      <c r="G330" s="551"/>
      <c r="H330" s="481"/>
      <c r="I330" s="499"/>
      <c r="J330" s="498"/>
      <c r="K330" s="481"/>
      <c r="L330" s="501">
        <v>5963.31</v>
      </c>
      <c r="M330" s="498"/>
      <c r="N330" s="524">
        <v>1424.2980604166678</v>
      </c>
      <c r="O330" s="498"/>
      <c r="P330" s="481"/>
      <c r="Q330" s="501">
        <v>1697.44</v>
      </c>
      <c r="R330" s="498"/>
      <c r="S330" s="524">
        <v>4265.8700000000008</v>
      </c>
      <c r="T330" s="481"/>
      <c r="U330" s="481"/>
      <c r="V330" s="481"/>
      <c r="W330" s="542"/>
      <c r="X330" s="481"/>
      <c r="Y330" s="481"/>
      <c r="Z330" s="481"/>
      <c r="AA330" s="481"/>
      <c r="AB330" s="481"/>
      <c r="AC330" s="481"/>
      <c r="AD330" s="481"/>
      <c r="AE330" s="481"/>
      <c r="AF330" s="481"/>
      <c r="AG330" s="481"/>
      <c r="AH330" s="481"/>
      <c r="AI330" s="481"/>
      <c r="AJ330" s="481"/>
      <c r="AK330" s="481"/>
      <c r="AL330" s="481"/>
      <c r="AM330" s="481"/>
      <c r="AN330" s="481"/>
    </row>
    <row r="331" spans="1:40" ht="15.75" customHeight="1">
      <c r="A331" s="490" t="s">
        <v>424</v>
      </c>
      <c r="B331" s="481" t="s">
        <v>103</v>
      </c>
      <c r="C331" s="565" t="s">
        <v>51</v>
      </c>
      <c r="D331" s="550"/>
      <c r="E331" s="481"/>
      <c r="F331" s="499">
        <v>1028.4528497157335</v>
      </c>
      <c r="G331" s="551"/>
      <c r="H331" s="481"/>
      <c r="I331" s="499"/>
      <c r="J331" s="498"/>
      <c r="K331" s="481"/>
      <c r="L331" s="501">
        <v>184.1</v>
      </c>
      <c r="M331" s="498"/>
      <c r="N331" s="524">
        <v>-844.35284971573344</v>
      </c>
      <c r="O331" s="498"/>
      <c r="P331" s="481"/>
      <c r="Q331" s="501">
        <v>1163.6400000000001</v>
      </c>
      <c r="R331" s="498"/>
      <c r="S331" s="524">
        <v>-979.54000000000008</v>
      </c>
      <c r="T331" s="481"/>
      <c r="U331" s="481"/>
      <c r="V331" s="481"/>
      <c r="W331" s="481"/>
      <c r="X331" s="481"/>
      <c r="Y331" s="481"/>
      <c r="Z331" s="481"/>
      <c r="AA331" s="481"/>
      <c r="AB331" s="481"/>
      <c r="AC331" s="481"/>
      <c r="AD331" s="481"/>
      <c r="AE331" s="481"/>
      <c r="AF331" s="481"/>
      <c r="AG331" s="481"/>
      <c r="AH331" s="481"/>
      <c r="AI331" s="481"/>
      <c r="AJ331" s="481"/>
      <c r="AK331" s="481"/>
      <c r="AL331" s="481"/>
      <c r="AM331" s="481"/>
      <c r="AN331" s="481"/>
    </row>
    <row r="332" spans="1:40" ht="15.75" customHeight="1">
      <c r="A332" s="490" t="s">
        <v>425</v>
      </c>
      <c r="B332" s="481" t="s">
        <v>103</v>
      </c>
      <c r="C332" s="566" t="s">
        <v>52</v>
      </c>
      <c r="D332" s="552"/>
      <c r="E332" s="571"/>
      <c r="F332" s="493">
        <v>475.83333333333331</v>
      </c>
      <c r="G332" s="553"/>
      <c r="H332" s="571"/>
      <c r="I332" s="493"/>
      <c r="J332" s="491"/>
      <c r="K332" s="571"/>
      <c r="L332" s="501">
        <v>959.29</v>
      </c>
      <c r="M332" s="491"/>
      <c r="N332" s="547">
        <v>483.45666666666665</v>
      </c>
      <c r="O332" s="491"/>
      <c r="P332" s="571"/>
      <c r="Q332" s="501">
        <v>275.75</v>
      </c>
      <c r="R332" s="491"/>
      <c r="S332" s="547">
        <v>683.54</v>
      </c>
      <c r="T332" s="481"/>
      <c r="U332" s="481"/>
      <c r="V332" s="481"/>
      <c r="W332" s="481"/>
      <c r="X332" s="481"/>
      <c r="Y332" s="481"/>
      <c r="Z332" s="481"/>
      <c r="AA332" s="481"/>
      <c r="AB332" s="481"/>
      <c r="AC332" s="481"/>
      <c r="AD332" s="481"/>
      <c r="AE332" s="481"/>
      <c r="AF332" s="481"/>
      <c r="AG332" s="481"/>
      <c r="AH332" s="481"/>
      <c r="AI332" s="481"/>
      <c r="AJ332" s="481"/>
      <c r="AK332" s="481"/>
      <c r="AL332" s="481"/>
      <c r="AM332" s="481"/>
      <c r="AN332" s="481"/>
    </row>
    <row r="333" spans="1:40" ht="15.75" customHeight="1">
      <c r="A333" s="490" t="s">
        <v>426</v>
      </c>
      <c r="B333" s="481" t="s">
        <v>103</v>
      </c>
      <c r="C333" s="565" t="s">
        <v>53</v>
      </c>
      <c r="D333" s="550"/>
      <c r="E333" s="481"/>
      <c r="F333" s="499">
        <v>3511.6571083333338</v>
      </c>
      <c r="G333" s="551"/>
      <c r="H333" s="481"/>
      <c r="I333" s="499"/>
      <c r="J333" s="498"/>
      <c r="K333" s="481"/>
      <c r="L333" s="520">
        <v>4034.99</v>
      </c>
      <c r="M333" s="498"/>
      <c r="N333" s="524">
        <v>523.332891666666</v>
      </c>
      <c r="O333" s="498"/>
      <c r="P333" s="481"/>
      <c r="Q333" s="520">
        <v>4009.01</v>
      </c>
      <c r="R333" s="498"/>
      <c r="S333" s="524">
        <v>25.979999999999563</v>
      </c>
      <c r="T333" s="481"/>
      <c r="U333" s="481"/>
      <c r="V333" s="481"/>
      <c r="W333" s="481"/>
      <c r="X333" s="481"/>
      <c r="Y333" s="481"/>
      <c r="Z333" s="481"/>
      <c r="AA333" s="481"/>
      <c r="AB333" s="481"/>
      <c r="AC333" s="481"/>
      <c r="AD333" s="481"/>
      <c r="AE333" s="481"/>
      <c r="AF333" s="481"/>
      <c r="AG333" s="481"/>
      <c r="AH333" s="481"/>
      <c r="AI333" s="481"/>
      <c r="AJ333" s="481"/>
      <c r="AK333" s="481"/>
      <c r="AL333" s="481"/>
      <c r="AM333" s="481"/>
      <c r="AN333" s="481"/>
    </row>
    <row r="334" spans="1:40" ht="15.75" customHeight="1">
      <c r="A334" s="490" t="s">
        <v>427</v>
      </c>
      <c r="B334" s="481" t="s">
        <v>103</v>
      </c>
      <c r="C334" s="565" t="s">
        <v>54</v>
      </c>
      <c r="D334" s="550"/>
      <c r="E334" s="481"/>
      <c r="F334" s="499">
        <v>781.31878489583323</v>
      </c>
      <c r="G334" s="551"/>
      <c r="H334" s="481"/>
      <c r="I334" s="499"/>
      <c r="J334" s="498"/>
      <c r="K334" s="481"/>
      <c r="L334" s="501">
        <v>605.16999999999996</v>
      </c>
      <c r="M334" s="498"/>
      <c r="N334" s="524">
        <v>-176.14878489583327</v>
      </c>
      <c r="O334" s="498"/>
      <c r="P334" s="481"/>
      <c r="Q334" s="501">
        <v>396.96</v>
      </c>
      <c r="R334" s="498"/>
      <c r="S334" s="524">
        <v>208.20999999999998</v>
      </c>
      <c r="T334" s="481"/>
      <c r="U334" s="481"/>
      <c r="V334" s="481"/>
      <c r="W334" s="481"/>
      <c r="X334" s="481"/>
      <c r="Y334" s="481"/>
      <c r="Z334" s="481"/>
      <c r="AA334" s="481"/>
      <c r="AB334" s="481"/>
      <c r="AC334" s="481"/>
      <c r="AD334" s="481"/>
      <c r="AE334" s="481"/>
      <c r="AF334" s="481"/>
      <c r="AG334" s="481"/>
      <c r="AH334" s="481"/>
      <c r="AI334" s="481"/>
      <c r="AJ334" s="481"/>
      <c r="AK334" s="481"/>
      <c r="AL334" s="481"/>
      <c r="AM334" s="481"/>
      <c r="AN334" s="481"/>
    </row>
    <row r="335" spans="1:40" ht="15.75" customHeight="1">
      <c r="A335" s="490" t="s">
        <v>428</v>
      </c>
      <c r="B335" s="481" t="s">
        <v>103</v>
      </c>
      <c r="C335" s="566" t="s">
        <v>55</v>
      </c>
      <c r="D335" s="552"/>
      <c r="E335" s="571"/>
      <c r="F335" s="493">
        <v>8189.0261638888878</v>
      </c>
      <c r="G335" s="553"/>
      <c r="H335" s="571"/>
      <c r="I335" s="493"/>
      <c r="J335" s="491"/>
      <c r="K335" s="571"/>
      <c r="L335" s="493">
        <v>18820.55</v>
      </c>
      <c r="M335" s="491"/>
      <c r="N335" s="547">
        <v>10631.523836111111</v>
      </c>
      <c r="O335" s="491"/>
      <c r="P335" s="571"/>
      <c r="Q335" s="493">
        <v>9872.31</v>
      </c>
      <c r="R335" s="491"/>
      <c r="S335" s="547">
        <v>8948.24</v>
      </c>
      <c r="T335" s="481"/>
      <c r="U335" s="481"/>
      <c r="V335" s="481"/>
      <c r="W335" s="481"/>
      <c r="X335" s="481"/>
      <c r="Y335" s="481"/>
      <c r="Z335" s="481"/>
      <c r="AA335" s="481"/>
      <c r="AB335" s="481"/>
      <c r="AC335" s="481"/>
      <c r="AD335" s="481"/>
      <c r="AE335" s="481"/>
      <c r="AF335" s="481"/>
      <c r="AG335" s="481"/>
      <c r="AH335" s="481"/>
      <c r="AI335" s="481"/>
      <c r="AJ335" s="481"/>
      <c r="AK335" s="481"/>
      <c r="AL335" s="481"/>
      <c r="AM335" s="481"/>
      <c r="AN335" s="481"/>
    </row>
    <row r="336" spans="1:40" ht="15.75" customHeight="1">
      <c r="A336" s="490" t="s">
        <v>429</v>
      </c>
      <c r="B336" s="481" t="s">
        <v>103</v>
      </c>
      <c r="C336" s="565" t="s">
        <v>98</v>
      </c>
      <c r="D336" s="550"/>
      <c r="E336" s="481"/>
      <c r="F336" s="499"/>
      <c r="G336" s="551"/>
      <c r="H336" s="481"/>
      <c r="I336" s="499"/>
      <c r="J336" s="498"/>
      <c r="K336" s="481"/>
      <c r="L336" s="501">
        <v>0</v>
      </c>
      <c r="M336" s="498"/>
      <c r="N336" s="524">
        <v>0</v>
      </c>
      <c r="O336" s="498"/>
      <c r="P336" s="481"/>
      <c r="Q336" s="501">
        <v>0</v>
      </c>
      <c r="R336" s="498"/>
      <c r="S336" s="524">
        <v>0</v>
      </c>
      <c r="T336" s="481"/>
      <c r="U336" s="481"/>
      <c r="V336" s="481"/>
      <c r="W336" s="481"/>
      <c r="X336" s="481"/>
      <c r="Y336" s="481"/>
      <c r="Z336" s="481"/>
      <c r="AA336" s="481"/>
      <c r="AB336" s="481"/>
      <c r="AC336" s="481"/>
      <c r="AD336" s="481"/>
      <c r="AE336" s="481"/>
      <c r="AF336" s="481"/>
      <c r="AG336" s="481"/>
      <c r="AH336" s="481"/>
      <c r="AI336" s="481"/>
      <c r="AJ336" s="481"/>
      <c r="AK336" s="481"/>
      <c r="AL336" s="481"/>
      <c r="AM336" s="481"/>
      <c r="AN336" s="481"/>
    </row>
    <row r="337" spans="1:40" ht="15.75" customHeight="1">
      <c r="A337" s="490" t="s">
        <v>430</v>
      </c>
      <c r="B337" s="481" t="s">
        <v>103</v>
      </c>
      <c r="C337" s="565" t="s">
        <v>56</v>
      </c>
      <c r="D337" s="550"/>
      <c r="E337" s="481"/>
      <c r="F337" s="499">
        <v>117.13645759980204</v>
      </c>
      <c r="G337" s="551"/>
      <c r="H337" s="481"/>
      <c r="I337" s="499"/>
      <c r="J337" s="498"/>
      <c r="K337" s="481"/>
      <c r="L337" s="501">
        <v>428.39</v>
      </c>
      <c r="M337" s="498"/>
      <c r="N337" s="524">
        <v>311.25354240019794</v>
      </c>
      <c r="O337" s="498"/>
      <c r="P337" s="481"/>
      <c r="Q337" s="501">
        <v>0</v>
      </c>
      <c r="R337" s="498"/>
      <c r="S337" s="524">
        <v>428.39</v>
      </c>
      <c r="T337" s="481"/>
      <c r="U337" s="481"/>
      <c r="V337" s="481"/>
      <c r="W337" s="481"/>
      <c r="X337" s="481"/>
      <c r="Y337" s="481"/>
      <c r="Z337" s="481"/>
      <c r="AA337" s="481"/>
      <c r="AB337" s="481"/>
      <c r="AC337" s="481"/>
      <c r="AD337" s="481"/>
      <c r="AE337" s="481"/>
      <c r="AF337" s="481"/>
      <c r="AG337" s="481"/>
      <c r="AH337" s="481"/>
      <c r="AI337" s="481"/>
      <c r="AJ337" s="481"/>
      <c r="AK337" s="481"/>
      <c r="AL337" s="481"/>
      <c r="AM337" s="481"/>
      <c r="AN337" s="481"/>
    </row>
    <row r="338" spans="1:40" ht="15.75" customHeight="1">
      <c r="A338" s="490" t="s">
        <v>431</v>
      </c>
      <c r="B338" s="481" t="s">
        <v>103</v>
      </c>
      <c r="C338" s="565" t="s">
        <v>57</v>
      </c>
      <c r="D338" s="550"/>
      <c r="E338" s="481"/>
      <c r="F338" s="499">
        <v>60.487931167085833</v>
      </c>
      <c r="G338" s="551"/>
      <c r="H338" s="481"/>
      <c r="I338" s="499"/>
      <c r="J338" s="498"/>
      <c r="K338" s="481"/>
      <c r="L338" s="501">
        <v>0</v>
      </c>
      <c r="M338" s="498"/>
      <c r="N338" s="524">
        <v>-60.487931167085833</v>
      </c>
      <c r="O338" s="498"/>
      <c r="P338" s="481"/>
      <c r="Q338" s="501">
        <v>0</v>
      </c>
      <c r="R338" s="498"/>
      <c r="S338" s="524">
        <v>0</v>
      </c>
      <c r="T338" s="481"/>
      <c r="U338" s="481"/>
      <c r="V338" s="481"/>
      <c r="W338" s="481"/>
      <c r="X338" s="481"/>
      <c r="Y338" s="481"/>
      <c r="Z338" s="481"/>
      <c r="AA338" s="481"/>
      <c r="AB338" s="481"/>
      <c r="AC338" s="481"/>
      <c r="AD338" s="481"/>
      <c r="AE338" s="481"/>
      <c r="AF338" s="481"/>
      <c r="AG338" s="481"/>
      <c r="AH338" s="481"/>
      <c r="AI338" s="481"/>
      <c r="AJ338" s="481"/>
      <c r="AK338" s="481"/>
      <c r="AL338" s="481"/>
      <c r="AM338" s="481"/>
      <c r="AN338" s="481"/>
    </row>
    <row r="339" spans="1:40" ht="15.75" customHeight="1">
      <c r="A339" s="490" t="s">
        <v>432</v>
      </c>
      <c r="B339" s="481" t="s">
        <v>103</v>
      </c>
      <c r="C339" s="565" t="s">
        <v>58</v>
      </c>
      <c r="D339" s="550"/>
      <c r="E339" s="481"/>
      <c r="F339" s="499">
        <v>596.44612124999981</v>
      </c>
      <c r="G339" s="551"/>
      <c r="H339" s="481"/>
      <c r="I339" s="499"/>
      <c r="J339" s="498"/>
      <c r="K339" s="481"/>
      <c r="L339" s="501">
        <v>374.87</v>
      </c>
      <c r="M339" s="498"/>
      <c r="N339" s="524">
        <v>-221.5761212499998</v>
      </c>
      <c r="O339" s="498"/>
      <c r="P339" s="481"/>
      <c r="Q339" s="501">
        <v>769.1</v>
      </c>
      <c r="R339" s="498"/>
      <c r="S339" s="524">
        <v>-394.23</v>
      </c>
      <c r="T339" s="481"/>
      <c r="U339" s="481"/>
      <c r="V339" s="481"/>
      <c r="W339" s="481"/>
      <c r="X339" s="481"/>
      <c r="Y339" s="481"/>
      <c r="Z339" s="481"/>
      <c r="AA339" s="481"/>
      <c r="AB339" s="481"/>
      <c r="AC339" s="481"/>
      <c r="AD339" s="481"/>
      <c r="AE339" s="481"/>
      <c r="AF339" s="481"/>
      <c r="AG339" s="481"/>
      <c r="AH339" s="481"/>
      <c r="AI339" s="481"/>
      <c r="AJ339" s="481"/>
      <c r="AK339" s="481"/>
      <c r="AL339" s="481"/>
      <c r="AM339" s="481"/>
      <c r="AN339" s="481"/>
    </row>
    <row r="340" spans="1:40" ht="15.75" customHeight="1">
      <c r="A340" s="490" t="s">
        <v>433</v>
      </c>
      <c r="B340" s="481" t="s">
        <v>103</v>
      </c>
      <c r="C340" s="565" t="s">
        <v>59</v>
      </c>
      <c r="D340" s="550"/>
      <c r="E340" s="481"/>
      <c r="F340" s="499">
        <v>202.12519543402777</v>
      </c>
      <c r="G340" s="551"/>
      <c r="H340" s="481"/>
      <c r="I340" s="499"/>
      <c r="J340" s="498"/>
      <c r="K340" s="481"/>
      <c r="L340" s="501">
        <v>75.7</v>
      </c>
      <c r="M340" s="498"/>
      <c r="N340" s="524">
        <v>-126.42519543402777</v>
      </c>
      <c r="O340" s="498"/>
      <c r="P340" s="481"/>
      <c r="Q340" s="501">
        <v>96.95</v>
      </c>
      <c r="R340" s="498"/>
      <c r="S340" s="524">
        <v>-21.25</v>
      </c>
      <c r="T340" s="481"/>
      <c r="U340" s="481"/>
      <c r="V340" s="481"/>
      <c r="W340" s="481"/>
      <c r="X340" s="481"/>
      <c r="Y340" s="481"/>
      <c r="Z340" s="481"/>
      <c r="AA340" s="481"/>
      <c r="AB340" s="481"/>
      <c r="AC340" s="481"/>
      <c r="AD340" s="481"/>
      <c r="AE340" s="481"/>
      <c r="AF340" s="481"/>
      <c r="AG340" s="481"/>
      <c r="AH340" s="481"/>
      <c r="AI340" s="481"/>
      <c r="AJ340" s="481"/>
      <c r="AK340" s="481"/>
      <c r="AL340" s="481"/>
      <c r="AM340" s="481"/>
      <c r="AN340" s="481"/>
    </row>
    <row r="341" spans="1:40" ht="15.75" customHeight="1">
      <c r="A341" s="490" t="s">
        <v>434</v>
      </c>
      <c r="B341" s="481" t="s">
        <v>103</v>
      </c>
      <c r="C341" s="565" t="s">
        <v>60</v>
      </c>
      <c r="D341" s="550"/>
      <c r="E341" s="481"/>
      <c r="F341" s="499">
        <v>96.675229565972202</v>
      </c>
      <c r="G341" s="551"/>
      <c r="H341" s="481"/>
      <c r="I341" s="499"/>
      <c r="J341" s="498"/>
      <c r="K341" s="481"/>
      <c r="L341" s="501">
        <v>1025.6199999999999</v>
      </c>
      <c r="M341" s="498"/>
      <c r="N341" s="524">
        <v>928.94477043402765</v>
      </c>
      <c r="O341" s="498"/>
      <c r="P341" s="481"/>
      <c r="Q341" s="501">
        <v>95.92</v>
      </c>
      <c r="R341" s="498"/>
      <c r="S341" s="524">
        <v>929.69999999999993</v>
      </c>
      <c r="T341" s="481"/>
      <c r="U341" s="481"/>
      <c r="V341" s="481"/>
      <c r="W341" s="481"/>
      <c r="X341" s="481"/>
      <c r="Y341" s="481"/>
      <c r="Z341" s="481"/>
      <c r="AA341" s="481"/>
      <c r="AB341" s="481"/>
      <c r="AC341" s="481"/>
      <c r="AD341" s="481"/>
      <c r="AE341" s="481"/>
      <c r="AF341" s="481"/>
      <c r="AG341" s="481"/>
      <c r="AH341" s="481"/>
      <c r="AI341" s="481"/>
      <c r="AJ341" s="481"/>
      <c r="AK341" s="481"/>
      <c r="AL341" s="481"/>
      <c r="AM341" s="481"/>
      <c r="AN341" s="481"/>
    </row>
    <row r="342" spans="1:40" ht="15.75" customHeight="1">
      <c r="A342" s="490" t="s">
        <v>435</v>
      </c>
      <c r="B342" s="481" t="s">
        <v>103</v>
      </c>
      <c r="C342" s="565" t="s">
        <v>61</v>
      </c>
      <c r="D342" s="550"/>
      <c r="E342" s="481"/>
      <c r="F342" s="499">
        <v>367.32997112847221</v>
      </c>
      <c r="G342" s="551"/>
      <c r="H342" s="481"/>
      <c r="I342" s="499"/>
      <c r="J342" s="498"/>
      <c r="K342" s="481"/>
      <c r="L342" s="501">
        <v>60.49</v>
      </c>
      <c r="M342" s="498"/>
      <c r="N342" s="524">
        <v>-306.8399711284722</v>
      </c>
      <c r="O342" s="498"/>
      <c r="P342" s="481"/>
      <c r="Q342" s="501">
        <v>109.54</v>
      </c>
      <c r="R342" s="498"/>
      <c r="S342" s="524">
        <v>-49.050000000000004</v>
      </c>
      <c r="T342" s="481"/>
      <c r="U342" s="481"/>
      <c r="V342" s="481"/>
      <c r="W342" s="481"/>
      <c r="X342" s="481"/>
      <c r="Y342" s="481"/>
      <c r="Z342" s="481"/>
      <c r="AA342" s="481"/>
      <c r="AB342" s="481"/>
      <c r="AC342" s="481"/>
      <c r="AD342" s="481"/>
      <c r="AE342" s="481"/>
      <c r="AF342" s="481"/>
      <c r="AG342" s="481"/>
      <c r="AH342" s="481"/>
      <c r="AI342" s="481"/>
      <c r="AJ342" s="481"/>
      <c r="AK342" s="481"/>
      <c r="AL342" s="481"/>
      <c r="AM342" s="481"/>
      <c r="AN342" s="481"/>
    </row>
    <row r="343" spans="1:40" ht="15.75" customHeight="1">
      <c r="A343" s="490" t="s">
        <v>436</v>
      </c>
      <c r="B343" s="481" t="s">
        <v>103</v>
      </c>
      <c r="C343" s="565" t="s">
        <v>62</v>
      </c>
      <c r="D343" s="550"/>
      <c r="E343" s="481"/>
      <c r="F343" s="499">
        <v>528.75209894982299</v>
      </c>
      <c r="G343" s="551"/>
      <c r="H343" s="481"/>
      <c r="I343" s="499"/>
      <c r="J343" s="498"/>
      <c r="K343" s="481"/>
      <c r="L343" s="501">
        <v>79.75</v>
      </c>
      <c r="M343" s="498"/>
      <c r="N343" s="524">
        <v>-449.00209894982299</v>
      </c>
      <c r="O343" s="498"/>
      <c r="P343" s="481"/>
      <c r="Q343" s="501">
        <v>288.13</v>
      </c>
      <c r="R343" s="498"/>
      <c r="S343" s="524">
        <v>-208.38</v>
      </c>
      <c r="T343" s="481"/>
      <c r="X343" s="481"/>
      <c r="Y343" s="481"/>
      <c r="Z343" s="481"/>
      <c r="AA343" s="481"/>
      <c r="AB343" s="481"/>
      <c r="AC343" s="481"/>
      <c r="AD343" s="481"/>
      <c r="AE343" s="481"/>
      <c r="AF343" s="481"/>
      <c r="AG343" s="481"/>
      <c r="AH343" s="481"/>
      <c r="AI343" s="481"/>
      <c r="AJ343" s="481"/>
      <c r="AK343" s="481"/>
      <c r="AL343" s="481"/>
      <c r="AM343" s="481"/>
      <c r="AN343" s="481"/>
    </row>
    <row r="344" spans="1:40" ht="15.75" customHeight="1">
      <c r="A344" s="490" t="s">
        <v>437</v>
      </c>
      <c r="B344" s="481" t="s">
        <v>103</v>
      </c>
      <c r="C344" s="565" t="s">
        <v>63</v>
      </c>
      <c r="D344" s="550"/>
      <c r="E344" s="481"/>
      <c r="F344" s="499">
        <v>975.99591666485287</v>
      </c>
      <c r="G344" s="551"/>
      <c r="H344" s="481"/>
      <c r="I344" s="499"/>
      <c r="J344" s="498"/>
      <c r="K344" s="481"/>
      <c r="L344" s="501">
        <v>1513.96</v>
      </c>
      <c r="M344" s="498"/>
      <c r="N344" s="524">
        <v>537.96408333514717</v>
      </c>
      <c r="O344" s="498"/>
      <c r="P344" s="481"/>
      <c r="Q344" s="501">
        <v>1662.752000000002</v>
      </c>
      <c r="R344" s="498"/>
      <c r="S344" s="524">
        <v>-148.79200000000196</v>
      </c>
      <c r="T344" s="481"/>
      <c r="X344" s="481"/>
      <c r="Y344" s="481"/>
      <c r="Z344" s="481"/>
      <c r="AA344" s="481"/>
      <c r="AB344" s="481"/>
      <c r="AC344" s="481"/>
      <c r="AD344" s="481"/>
      <c r="AE344" s="481"/>
      <c r="AF344" s="481"/>
      <c r="AG344" s="481"/>
      <c r="AH344" s="481"/>
      <c r="AI344" s="481"/>
      <c r="AJ344" s="481"/>
      <c r="AK344" s="481"/>
      <c r="AL344" s="481"/>
      <c r="AM344" s="481"/>
      <c r="AN344" s="481"/>
    </row>
    <row r="345" spans="1:40" ht="15.75" hidden="1" customHeight="1">
      <c r="A345" s="490" t="s">
        <v>404</v>
      </c>
      <c r="B345" s="481" t="s">
        <v>103</v>
      </c>
      <c r="C345" s="565" t="s">
        <v>20</v>
      </c>
      <c r="D345" s="550"/>
      <c r="E345" s="481"/>
      <c r="F345" s="499">
        <v>0</v>
      </c>
      <c r="G345" s="551"/>
      <c r="H345" s="481"/>
      <c r="I345" s="499"/>
      <c r="J345" s="498"/>
      <c r="K345" s="481"/>
      <c r="L345" s="501">
        <v>0</v>
      </c>
      <c r="M345" s="498"/>
      <c r="N345" s="524">
        <v>0</v>
      </c>
      <c r="O345" s="498"/>
      <c r="P345" s="481"/>
      <c r="Q345" s="501">
        <v>0</v>
      </c>
      <c r="R345" s="498"/>
      <c r="S345" s="524">
        <v>0</v>
      </c>
      <c r="T345" s="481"/>
      <c r="X345" s="481"/>
      <c r="Y345" s="481"/>
      <c r="Z345" s="481"/>
      <c r="AA345" s="481"/>
      <c r="AB345" s="481"/>
      <c r="AC345" s="481"/>
      <c r="AD345" s="481"/>
      <c r="AE345" s="481"/>
      <c r="AF345" s="481"/>
      <c r="AG345" s="481"/>
      <c r="AH345" s="481"/>
      <c r="AI345" s="481"/>
      <c r="AJ345" s="481"/>
      <c r="AK345" s="481"/>
      <c r="AL345" s="481"/>
      <c r="AM345" s="481"/>
      <c r="AN345" s="481"/>
    </row>
    <row r="346" spans="1:40" ht="15.75" hidden="1" customHeight="1">
      <c r="A346" s="490" t="s">
        <v>404</v>
      </c>
      <c r="B346" s="481" t="s">
        <v>103</v>
      </c>
      <c r="C346" s="565" t="s">
        <v>20</v>
      </c>
      <c r="D346" s="550"/>
      <c r="E346" s="481"/>
      <c r="F346" s="499">
        <v>0</v>
      </c>
      <c r="G346" s="551"/>
      <c r="H346" s="481"/>
      <c r="I346" s="499"/>
      <c r="J346" s="498"/>
      <c r="K346" s="481"/>
      <c r="L346" s="501">
        <v>0</v>
      </c>
      <c r="M346" s="498"/>
      <c r="N346" s="524">
        <v>0</v>
      </c>
      <c r="O346" s="498"/>
      <c r="P346" s="481"/>
      <c r="Q346" s="501">
        <v>0</v>
      </c>
      <c r="R346" s="498"/>
      <c r="S346" s="524">
        <v>0</v>
      </c>
      <c r="T346" s="481"/>
      <c r="X346" s="481"/>
      <c r="Y346" s="481"/>
      <c r="Z346" s="481"/>
      <c r="AA346" s="481"/>
      <c r="AB346" s="481"/>
      <c r="AC346" s="481"/>
      <c r="AD346" s="481"/>
      <c r="AE346" s="481"/>
      <c r="AF346" s="481"/>
      <c r="AG346" s="481"/>
      <c r="AH346" s="481"/>
      <c r="AI346" s="481"/>
      <c r="AJ346" s="481"/>
      <c r="AK346" s="481"/>
      <c r="AL346" s="481"/>
      <c r="AM346" s="481"/>
      <c r="AN346" s="481"/>
    </row>
    <row r="347" spans="1:40" ht="15.75" hidden="1" customHeight="1">
      <c r="A347" s="490" t="s">
        <v>404</v>
      </c>
      <c r="B347" s="481" t="s">
        <v>103</v>
      </c>
      <c r="C347" s="565" t="s">
        <v>20</v>
      </c>
      <c r="D347" s="550"/>
      <c r="E347" s="481"/>
      <c r="F347" s="499">
        <v>0</v>
      </c>
      <c r="G347" s="551"/>
      <c r="H347" s="481"/>
      <c r="I347" s="499"/>
      <c r="J347" s="498"/>
      <c r="K347" s="481"/>
      <c r="L347" s="501">
        <v>0</v>
      </c>
      <c r="M347" s="498"/>
      <c r="N347" s="524">
        <v>0</v>
      </c>
      <c r="O347" s="498"/>
      <c r="P347" s="481"/>
      <c r="Q347" s="501">
        <v>0</v>
      </c>
      <c r="R347" s="498"/>
      <c r="S347" s="524">
        <v>0</v>
      </c>
      <c r="T347" s="481"/>
      <c r="X347" s="481"/>
      <c r="Y347" s="481"/>
      <c r="Z347" s="481"/>
      <c r="AA347" s="481"/>
      <c r="AB347" s="481"/>
      <c r="AC347" s="481"/>
      <c r="AD347" s="481"/>
      <c r="AE347" s="481"/>
      <c r="AF347" s="481"/>
      <c r="AG347" s="481"/>
      <c r="AH347" s="481"/>
      <c r="AI347" s="481"/>
      <c r="AJ347" s="481"/>
      <c r="AK347" s="481"/>
      <c r="AL347" s="481"/>
      <c r="AM347" s="481"/>
      <c r="AN347" s="481"/>
    </row>
    <row r="348" spans="1:40" ht="15.75" customHeight="1">
      <c r="B348" s="475"/>
      <c r="C348" s="557" t="s">
        <v>64</v>
      </c>
      <c r="D348" s="558" t="s">
        <v>39</v>
      </c>
      <c r="E348" s="559">
        <v>0.18789058762658867</v>
      </c>
      <c r="F348" s="560">
        <v>21470.249101510482</v>
      </c>
      <c r="G348" s="561"/>
      <c r="H348" s="559"/>
      <c r="I348" s="560"/>
      <c r="J348" s="561" t="s">
        <v>39</v>
      </c>
      <c r="K348" s="559">
        <v>0.28915589250774704</v>
      </c>
      <c r="L348" s="560">
        <v>34126.19</v>
      </c>
      <c r="M348" s="564"/>
      <c r="N348" s="560">
        <v>12655.940898489509</v>
      </c>
      <c r="O348" s="561" t="s">
        <v>39</v>
      </c>
      <c r="P348" s="559">
        <v>0.18846560197636428</v>
      </c>
      <c r="Q348" s="560">
        <v>20437.502</v>
      </c>
      <c r="R348" s="564"/>
      <c r="S348" s="560">
        <v>13688.688</v>
      </c>
      <c r="T348" s="481"/>
      <c r="X348" s="481"/>
      <c r="Y348" s="481"/>
      <c r="Z348" s="481"/>
      <c r="AA348" s="481"/>
      <c r="AB348" s="481"/>
      <c r="AC348" s="481"/>
      <c r="AD348" s="481"/>
      <c r="AE348" s="481"/>
      <c r="AF348" s="481"/>
      <c r="AG348" s="481"/>
      <c r="AH348" s="481"/>
      <c r="AI348" s="481"/>
      <c r="AJ348" s="481"/>
      <c r="AK348" s="481"/>
      <c r="AL348" s="481"/>
      <c r="AM348" s="481"/>
      <c r="AN348" s="481"/>
    </row>
    <row r="349" spans="1:40" ht="15.75" customHeight="1">
      <c r="B349" s="475"/>
      <c r="C349" s="491"/>
      <c r="D349" s="552"/>
      <c r="E349" s="571"/>
      <c r="F349" s="524"/>
      <c r="G349" s="553"/>
      <c r="H349" s="571"/>
      <c r="I349" s="524"/>
      <c r="J349" s="491"/>
      <c r="K349" s="571"/>
      <c r="L349" s="547"/>
      <c r="M349" s="491"/>
      <c r="N349" s="547"/>
      <c r="O349" s="491"/>
      <c r="P349" s="571"/>
      <c r="Q349" s="547"/>
      <c r="R349" s="491"/>
      <c r="S349" s="547"/>
      <c r="T349" s="481"/>
      <c r="U349" s="481"/>
      <c r="V349" s="481"/>
      <c r="W349" s="481"/>
      <c r="X349" s="481"/>
      <c r="Y349" s="481"/>
      <c r="Z349" s="481"/>
      <c r="AA349" s="481"/>
      <c r="AB349" s="481"/>
      <c r="AC349" s="481"/>
      <c r="AD349" s="481"/>
      <c r="AE349" s="481"/>
      <c r="AF349" s="481"/>
      <c r="AG349" s="481"/>
      <c r="AH349" s="481"/>
      <c r="AI349" s="481"/>
      <c r="AJ349" s="481"/>
      <c r="AK349" s="481"/>
      <c r="AL349" s="481"/>
      <c r="AM349" s="481"/>
      <c r="AN349" s="481"/>
    </row>
    <row r="350" spans="1:40" ht="15.75" customHeight="1">
      <c r="B350" s="475"/>
      <c r="C350" s="557" t="s">
        <v>65</v>
      </c>
      <c r="D350" s="558" t="s">
        <v>39</v>
      </c>
      <c r="E350" s="559">
        <v>0.59443026761426643</v>
      </c>
      <c r="F350" s="560">
        <v>67925.520274171475</v>
      </c>
      <c r="G350" s="561"/>
      <c r="H350" s="559"/>
      <c r="I350" s="560"/>
      <c r="J350" s="561" t="s">
        <v>39</v>
      </c>
      <c r="K350" s="559">
        <v>0.63929651269394605</v>
      </c>
      <c r="L350" s="560">
        <v>75449.8</v>
      </c>
      <c r="M350" s="564"/>
      <c r="N350" s="573">
        <v>7524.2797258285282</v>
      </c>
      <c r="O350" s="561" t="s">
        <v>39</v>
      </c>
      <c r="P350" s="559">
        <v>0.75708003067090079</v>
      </c>
      <c r="Q350" s="560">
        <v>82098.932000000001</v>
      </c>
      <c r="R350" s="564"/>
      <c r="S350" s="573">
        <v>-6649.1319999999978</v>
      </c>
      <c r="T350" s="481"/>
      <c r="U350" s="481"/>
      <c r="V350" s="481"/>
      <c r="W350" s="481"/>
      <c r="X350" s="481"/>
      <c r="Y350" s="481"/>
      <c r="Z350" s="481"/>
      <c r="AA350" s="481"/>
      <c r="AB350" s="481"/>
      <c r="AC350" s="481"/>
      <c r="AD350" s="481"/>
      <c r="AE350" s="481"/>
      <c r="AF350" s="481"/>
      <c r="AG350" s="481"/>
      <c r="AH350" s="481"/>
      <c r="AI350" s="481"/>
      <c r="AJ350" s="481"/>
      <c r="AK350" s="481"/>
      <c r="AL350" s="481"/>
      <c r="AM350" s="481"/>
      <c r="AN350" s="481"/>
    </row>
    <row r="351" spans="1:40" ht="15.75" customHeight="1">
      <c r="B351" s="475"/>
      <c r="C351" s="498"/>
      <c r="D351" s="550"/>
      <c r="E351" s="481"/>
      <c r="F351" s="524"/>
      <c r="G351" s="551"/>
      <c r="H351" s="481"/>
      <c r="I351" s="524"/>
      <c r="J351" s="498"/>
      <c r="K351" s="481"/>
      <c r="L351" s="524"/>
      <c r="M351" s="498"/>
      <c r="N351" s="524">
        <v>0</v>
      </c>
      <c r="O351" s="498"/>
      <c r="P351" s="481"/>
      <c r="Q351" s="524"/>
      <c r="R351" s="498"/>
      <c r="S351" s="524"/>
      <c r="T351" s="481"/>
      <c r="U351" s="481"/>
      <c r="V351" s="481"/>
      <c r="W351" s="481"/>
      <c r="X351" s="481"/>
      <c r="Y351" s="481"/>
      <c r="Z351" s="481"/>
      <c r="AA351" s="481"/>
      <c r="AB351" s="481"/>
      <c r="AC351" s="481"/>
      <c r="AD351" s="481"/>
      <c r="AE351" s="481"/>
      <c r="AF351" s="481"/>
      <c r="AG351" s="481"/>
      <c r="AH351" s="481"/>
      <c r="AI351" s="481"/>
      <c r="AJ351" s="481"/>
      <c r="AK351" s="481"/>
      <c r="AL351" s="481"/>
      <c r="AM351" s="481"/>
      <c r="AN351" s="481"/>
    </row>
    <row r="352" spans="1:40" ht="24" customHeight="1" thickBot="1">
      <c r="B352" s="475"/>
      <c r="C352" s="587" t="s">
        <v>72</v>
      </c>
      <c r="D352" s="615"/>
      <c r="E352" s="588"/>
      <c r="F352" s="590">
        <v>46344.435303274367</v>
      </c>
      <c r="G352" s="616"/>
      <c r="H352" s="588"/>
      <c r="I352" s="590"/>
      <c r="J352" s="587"/>
      <c r="K352" s="589"/>
      <c r="L352" s="590">
        <v>42570.239999999976</v>
      </c>
      <c r="M352" s="587"/>
      <c r="N352" s="590">
        <v>-3774.1953032743913</v>
      </c>
      <c r="O352" s="587"/>
      <c r="P352" s="589"/>
      <c r="Q352" s="590">
        <v>26342.617999999973</v>
      </c>
      <c r="R352" s="587"/>
      <c r="S352" s="590">
        <v>16227.622000000003</v>
      </c>
      <c r="T352" s="481"/>
      <c r="U352" s="481"/>
      <c r="V352" s="481"/>
      <c r="W352" s="481"/>
      <c r="X352" s="481"/>
      <c r="Y352" s="481"/>
      <c r="Z352" s="481"/>
      <c r="AA352" s="481"/>
      <c r="AB352" s="481"/>
      <c r="AC352" s="481"/>
      <c r="AD352" s="481"/>
      <c r="AE352" s="481"/>
      <c r="AF352" s="481"/>
      <c r="AG352" s="481"/>
      <c r="AH352" s="481"/>
      <c r="AI352" s="481"/>
      <c r="AJ352" s="481"/>
      <c r="AK352" s="481"/>
      <c r="AL352" s="481"/>
      <c r="AM352" s="481"/>
      <c r="AN352" s="481"/>
    </row>
    <row r="353" spans="1:40" ht="15.75" customHeight="1" thickTop="1">
      <c r="B353" s="475"/>
      <c r="C353" s="537"/>
      <c r="D353" s="550"/>
      <c r="E353" s="481"/>
      <c r="F353" s="572"/>
      <c r="G353" s="550"/>
      <c r="H353" s="481"/>
      <c r="I353" s="572"/>
      <c r="J353" s="537"/>
      <c r="K353" s="537"/>
      <c r="L353" s="572"/>
      <c r="M353" s="537"/>
      <c r="N353" s="572"/>
      <c r="O353" s="537"/>
      <c r="P353" s="537"/>
      <c r="Q353" s="572"/>
      <c r="R353" s="537"/>
      <c r="S353" s="572"/>
      <c r="T353" s="481"/>
      <c r="U353" s="481"/>
      <c r="V353" s="481"/>
      <c r="W353" s="481"/>
      <c r="X353" s="481"/>
      <c r="Y353" s="481"/>
      <c r="Z353" s="481"/>
      <c r="AA353" s="481"/>
      <c r="AB353" s="481"/>
      <c r="AC353" s="481"/>
      <c r="AD353" s="481"/>
      <c r="AE353" s="481"/>
      <c r="AF353" s="481"/>
      <c r="AG353" s="481"/>
      <c r="AH353" s="481"/>
      <c r="AI353" s="481"/>
      <c r="AJ353" s="481"/>
      <c r="AK353" s="481"/>
      <c r="AL353" s="481"/>
      <c r="AM353" s="481"/>
      <c r="AN353" s="481"/>
    </row>
    <row r="354" spans="1:40" ht="15.75" hidden="1" customHeight="1">
      <c r="B354" s="475"/>
      <c r="C354" s="537"/>
      <c r="D354" s="550"/>
      <c r="E354" s="481"/>
      <c r="F354" s="572"/>
      <c r="G354" s="550"/>
      <c r="H354" s="481"/>
      <c r="I354" s="572"/>
      <c r="J354" s="537"/>
      <c r="K354" s="537"/>
      <c r="L354" s="572"/>
      <c r="M354" s="537"/>
      <c r="N354" s="572"/>
      <c r="O354" s="537"/>
      <c r="P354" s="537"/>
      <c r="Q354" s="572"/>
      <c r="R354" s="537"/>
      <c r="S354" s="572"/>
      <c r="T354" s="481"/>
      <c r="U354" s="481"/>
      <c r="V354" s="481"/>
      <c r="W354" s="481"/>
      <c r="X354" s="481"/>
      <c r="Y354" s="481"/>
      <c r="Z354" s="481"/>
      <c r="AA354" s="481"/>
      <c r="AB354" s="481"/>
      <c r="AC354" s="481"/>
      <c r="AD354" s="481"/>
      <c r="AE354" s="481"/>
      <c r="AF354" s="481"/>
      <c r="AG354" s="481"/>
      <c r="AH354" s="481"/>
      <c r="AI354" s="481"/>
      <c r="AJ354" s="481"/>
      <c r="AK354" s="481"/>
      <c r="AL354" s="481"/>
      <c r="AM354" s="481"/>
      <c r="AN354" s="481"/>
    </row>
    <row r="355" spans="1:40" ht="34.5" hidden="1" customHeight="1">
      <c r="B355" s="475"/>
      <c r="C355" s="595" t="s">
        <v>223</v>
      </c>
      <c r="D355" s="469"/>
      <c r="E355" s="469"/>
      <c r="F355" s="469"/>
      <c r="G355" s="469"/>
      <c r="H355" s="467"/>
      <c r="I355" s="467"/>
      <c r="J355" s="467"/>
      <c r="K355" s="471" t="s">
        <v>119</v>
      </c>
      <c r="L355" s="469"/>
      <c r="M355" s="469"/>
      <c r="N355" s="467"/>
      <c r="O355" s="467"/>
      <c r="P355" s="469"/>
      <c r="Q355" s="467"/>
      <c r="R355" s="469"/>
      <c r="S355" s="596" t="s">
        <v>482</v>
      </c>
      <c r="T355" s="478"/>
      <c r="U355" s="478"/>
      <c r="V355" s="481"/>
      <c r="W355" s="478"/>
      <c r="X355" s="478"/>
      <c r="Y355" s="478"/>
      <c r="Z355" s="478"/>
      <c r="AA355" s="478"/>
      <c r="AB355" s="478"/>
      <c r="AC355" s="478"/>
      <c r="AD355" s="478"/>
      <c r="AE355" s="478"/>
      <c r="AF355" s="478"/>
      <c r="AG355" s="478"/>
      <c r="AH355" s="478"/>
      <c r="AI355" s="478"/>
      <c r="AJ355" s="478"/>
      <c r="AK355" s="478"/>
      <c r="AL355" s="478"/>
      <c r="AM355" s="478"/>
      <c r="AN355" s="478"/>
    </row>
    <row r="356" spans="1:40" ht="15.75" hidden="1" customHeight="1">
      <c r="B356" s="475"/>
      <c r="C356" s="476"/>
      <c r="D356" s="478"/>
      <c r="E356" s="478"/>
      <c r="F356" s="478"/>
      <c r="G356" s="478"/>
      <c r="H356" s="478"/>
      <c r="I356" s="478"/>
      <c r="J356" s="478"/>
      <c r="K356" s="478"/>
      <c r="L356" s="478"/>
      <c r="M356" s="478"/>
      <c r="N356" s="478"/>
      <c r="O356" s="478"/>
      <c r="P356" s="478"/>
      <c r="Q356" s="478"/>
      <c r="R356" s="478"/>
      <c r="S356" s="478"/>
      <c r="T356" s="478"/>
      <c r="U356" s="478"/>
      <c r="V356" s="481"/>
      <c r="W356" s="478"/>
      <c r="X356" s="478"/>
      <c r="Y356" s="478"/>
      <c r="Z356" s="478"/>
      <c r="AA356" s="478"/>
      <c r="AB356" s="478"/>
      <c r="AC356" s="478"/>
      <c r="AD356" s="478"/>
      <c r="AE356" s="478"/>
      <c r="AF356" s="478"/>
      <c r="AG356" s="478"/>
      <c r="AH356" s="478"/>
      <c r="AI356" s="478"/>
      <c r="AJ356" s="478"/>
      <c r="AK356" s="478"/>
      <c r="AL356" s="478"/>
      <c r="AM356" s="478"/>
      <c r="AN356" s="478"/>
    </row>
    <row r="357" spans="1:40" ht="15.75" hidden="1" customHeight="1">
      <c r="B357" s="475"/>
      <c r="C357" s="482"/>
      <c r="D357" s="864" t="s">
        <v>5</v>
      </c>
      <c r="E357" s="865"/>
      <c r="F357" s="866"/>
      <c r="G357" s="867"/>
      <c r="H357" s="865"/>
      <c r="I357" s="866"/>
      <c r="J357" s="867" t="s">
        <v>7</v>
      </c>
      <c r="K357" s="865"/>
      <c r="L357" s="866"/>
      <c r="M357" s="867"/>
      <c r="N357" s="866"/>
      <c r="O357" s="864" t="s">
        <v>9</v>
      </c>
      <c r="P357" s="865"/>
      <c r="Q357" s="866"/>
      <c r="R357" s="867" t="s">
        <v>10</v>
      </c>
      <c r="S357" s="866"/>
      <c r="T357" s="478"/>
      <c r="U357" s="478"/>
      <c r="V357" s="481"/>
      <c r="W357" s="478"/>
      <c r="X357" s="478"/>
      <c r="Y357" s="478"/>
      <c r="Z357" s="478"/>
      <c r="AA357" s="478"/>
      <c r="AB357" s="478"/>
      <c r="AC357" s="478"/>
      <c r="AD357" s="478"/>
      <c r="AE357" s="478"/>
      <c r="AF357" s="478"/>
      <c r="AG357" s="478"/>
      <c r="AH357" s="478"/>
      <c r="AI357" s="478"/>
      <c r="AJ357" s="478"/>
      <c r="AK357" s="478"/>
      <c r="AL357" s="478"/>
      <c r="AM357" s="478"/>
      <c r="AN357" s="478"/>
    </row>
    <row r="358" spans="1:40" ht="15.75" hidden="1" customHeight="1">
      <c r="A358" s="490" t="s">
        <v>119</v>
      </c>
      <c r="B358" s="481" t="s">
        <v>119</v>
      </c>
      <c r="C358" s="498"/>
      <c r="D358" s="677" t="s">
        <v>84</v>
      </c>
      <c r="E358" s="677" t="s">
        <v>104</v>
      </c>
      <c r="F358" s="678" t="s">
        <v>13</v>
      </c>
      <c r="G358" s="679"/>
      <c r="H358" s="677"/>
      <c r="I358" s="678"/>
      <c r="J358" s="619" t="s">
        <v>84</v>
      </c>
      <c r="K358" s="540" t="s">
        <v>104</v>
      </c>
      <c r="L358" s="618" t="s">
        <v>13</v>
      </c>
      <c r="M358" s="619"/>
      <c r="N358" s="618"/>
      <c r="O358" s="619" t="s">
        <v>84</v>
      </c>
      <c r="P358" s="540" t="s">
        <v>104</v>
      </c>
      <c r="Q358" s="618" t="s">
        <v>13</v>
      </c>
      <c r="R358" s="619" t="s">
        <v>85</v>
      </c>
      <c r="S358" s="618" t="s">
        <v>13</v>
      </c>
      <c r="T358" s="478"/>
      <c r="U358" s="478"/>
      <c r="V358" s="481"/>
      <c r="W358" s="478"/>
      <c r="X358" s="478"/>
      <c r="Y358" s="478"/>
      <c r="Z358" s="478"/>
      <c r="AA358" s="478"/>
      <c r="AB358" s="478"/>
      <c r="AC358" s="478"/>
      <c r="AD358" s="478"/>
      <c r="AE358" s="478"/>
      <c r="AF358" s="478"/>
      <c r="AG358" s="478"/>
      <c r="AH358" s="478"/>
      <c r="AI358" s="478"/>
      <c r="AJ358" s="478"/>
      <c r="AK358" s="478"/>
      <c r="AL358" s="478"/>
      <c r="AM358" s="478"/>
      <c r="AN358" s="478"/>
    </row>
    <row r="359" spans="1:40" ht="15.75" hidden="1" customHeight="1">
      <c r="A359" s="490" t="s">
        <v>438</v>
      </c>
      <c r="B359" s="481" t="s">
        <v>119</v>
      </c>
      <c r="C359" s="526" t="s">
        <v>119</v>
      </c>
      <c r="D359" s="680">
        <v>0</v>
      </c>
      <c r="E359" s="681">
        <v>0</v>
      </c>
      <c r="F359" s="682">
        <v>0</v>
      </c>
      <c r="G359" s="680"/>
      <c r="H359" s="681"/>
      <c r="I359" s="680"/>
      <c r="J359" s="683">
        <v>0</v>
      </c>
      <c r="K359" s="668">
        <v>0</v>
      </c>
      <c r="L359" s="684">
        <v>0</v>
      </c>
      <c r="M359" s="669"/>
      <c r="N359" s="670"/>
      <c r="O359" s="683">
        <v>0</v>
      </c>
      <c r="P359" s="668">
        <v>0</v>
      </c>
      <c r="Q359" s="684">
        <v>0</v>
      </c>
      <c r="R359" s="669">
        <v>0</v>
      </c>
      <c r="S359" s="670">
        <v>0</v>
      </c>
      <c r="T359" s="478"/>
      <c r="U359" s="478"/>
      <c r="V359" s="685"/>
      <c r="W359" s="478"/>
      <c r="X359" s="478"/>
      <c r="Y359" s="478"/>
      <c r="Z359" s="478"/>
      <c r="AA359" s="478"/>
      <c r="AB359" s="478"/>
      <c r="AC359" s="478"/>
      <c r="AD359" s="478"/>
      <c r="AE359" s="478"/>
      <c r="AF359" s="478"/>
      <c r="AG359" s="478"/>
      <c r="AH359" s="478"/>
      <c r="AI359" s="478"/>
      <c r="AJ359" s="478"/>
      <c r="AK359" s="478"/>
      <c r="AL359" s="478"/>
      <c r="AM359" s="478"/>
      <c r="AN359" s="478"/>
    </row>
    <row r="360" spans="1:40" ht="15.75" hidden="1" customHeight="1">
      <c r="A360" s="490" t="s">
        <v>119</v>
      </c>
      <c r="B360" s="481" t="s">
        <v>119</v>
      </c>
      <c r="C360" s="587"/>
      <c r="D360" s="671"/>
      <c r="E360" s="672"/>
      <c r="F360" s="590"/>
      <c r="G360" s="673"/>
      <c r="H360" s="672"/>
      <c r="I360" s="590"/>
      <c r="J360" s="673"/>
      <c r="K360" s="672"/>
      <c r="L360" s="590"/>
      <c r="M360" s="675"/>
      <c r="N360" s="536"/>
      <c r="O360" s="673"/>
      <c r="P360" s="672"/>
      <c r="Q360" s="590"/>
      <c r="R360" s="675"/>
      <c r="S360" s="536"/>
      <c r="T360" s="478"/>
      <c r="U360" s="478"/>
      <c r="V360" s="481"/>
      <c r="W360" s="478"/>
      <c r="X360" s="478"/>
      <c r="Y360" s="478"/>
      <c r="Z360" s="478"/>
      <c r="AA360" s="478"/>
      <c r="AB360" s="478"/>
      <c r="AC360" s="478"/>
      <c r="AD360" s="478"/>
      <c r="AE360" s="478"/>
      <c r="AF360" s="478"/>
      <c r="AG360" s="478"/>
      <c r="AH360" s="478"/>
      <c r="AI360" s="478"/>
      <c r="AJ360" s="478"/>
      <c r="AK360" s="478"/>
      <c r="AL360" s="478"/>
      <c r="AM360" s="478"/>
      <c r="AN360" s="478"/>
    </row>
    <row r="361" spans="1:40" ht="15.75" hidden="1" customHeight="1">
      <c r="A361" s="490" t="s">
        <v>439</v>
      </c>
      <c r="B361" s="481" t="s">
        <v>119</v>
      </c>
      <c r="C361" s="517" t="s">
        <v>120</v>
      </c>
      <c r="D361" s="572">
        <v>0</v>
      </c>
      <c r="E361" s="630">
        <v>0</v>
      </c>
      <c r="F361" s="632">
        <v>0</v>
      </c>
      <c r="G361" s="631"/>
      <c r="H361" s="630"/>
      <c r="I361" s="632"/>
      <c r="J361" s="631">
        <v>0</v>
      </c>
      <c r="K361" s="630">
        <v>0</v>
      </c>
      <c r="L361" s="632">
        <v>0</v>
      </c>
      <c r="M361" s="608"/>
      <c r="N361" s="686"/>
      <c r="O361" s="631">
        <v>0</v>
      </c>
      <c r="P361" s="630">
        <v>0</v>
      </c>
      <c r="Q361" s="632">
        <v>0</v>
      </c>
      <c r="R361" s="498">
        <v>0</v>
      </c>
      <c r="S361" s="516">
        <v>0</v>
      </c>
      <c r="T361" s="478"/>
      <c r="U361" s="478"/>
      <c r="V361" s="481"/>
      <c r="W361" s="478"/>
      <c r="X361" s="478"/>
      <c r="Y361" s="478"/>
      <c r="Z361" s="478"/>
      <c r="AA361" s="478"/>
      <c r="AB361" s="478"/>
      <c r="AC361" s="478"/>
      <c r="AD361" s="478"/>
      <c r="AE361" s="478"/>
      <c r="AF361" s="478"/>
      <c r="AG361" s="478"/>
      <c r="AH361" s="478"/>
      <c r="AI361" s="478"/>
      <c r="AJ361" s="478"/>
      <c r="AK361" s="478"/>
      <c r="AL361" s="478"/>
      <c r="AM361" s="478"/>
      <c r="AN361" s="478"/>
    </row>
    <row r="362" spans="1:40" ht="15.75" hidden="1" customHeight="1">
      <c r="A362" s="490" t="s">
        <v>119</v>
      </c>
      <c r="B362" s="481" t="s">
        <v>119</v>
      </c>
      <c r="C362" s="539"/>
      <c r="D362" s="481"/>
      <c r="E362" s="481"/>
      <c r="F362" s="524"/>
      <c r="G362" s="498"/>
      <c r="H362" s="481"/>
      <c r="I362" s="524"/>
      <c r="J362" s="498"/>
      <c r="K362" s="481"/>
      <c r="L362" s="508"/>
      <c r="M362" s="498"/>
      <c r="N362" s="620"/>
      <c r="O362" s="498"/>
      <c r="P362" s="481"/>
      <c r="Q362" s="508"/>
      <c r="R362" s="498"/>
      <c r="S362" s="508">
        <v>0</v>
      </c>
      <c r="T362" s="478"/>
      <c r="U362" s="478"/>
      <c r="V362" s="481"/>
      <c r="W362" s="478"/>
      <c r="X362" s="478"/>
      <c r="Y362" s="478"/>
      <c r="Z362" s="478"/>
      <c r="AA362" s="478"/>
      <c r="AB362" s="478"/>
      <c r="AC362" s="478"/>
      <c r="AD362" s="478"/>
      <c r="AE362" s="478"/>
      <c r="AF362" s="478"/>
      <c r="AG362" s="478"/>
      <c r="AH362" s="478"/>
      <c r="AI362" s="478"/>
      <c r="AJ362" s="478"/>
      <c r="AK362" s="478"/>
      <c r="AL362" s="478"/>
      <c r="AM362" s="478"/>
      <c r="AN362" s="478"/>
    </row>
    <row r="363" spans="1:40" ht="15.75" hidden="1" customHeight="1">
      <c r="A363" s="490" t="s">
        <v>440</v>
      </c>
      <c r="B363" s="481" t="s">
        <v>119</v>
      </c>
      <c r="C363" s="539" t="s">
        <v>30</v>
      </c>
      <c r="D363" s="481"/>
      <c r="E363" s="481"/>
      <c r="F363" s="524"/>
      <c r="G363" s="498"/>
      <c r="H363" s="481"/>
      <c r="I363" s="524"/>
      <c r="J363" s="498"/>
      <c r="K363" s="481"/>
      <c r="L363" s="508"/>
      <c r="M363" s="498"/>
      <c r="N363" s="508"/>
      <c r="O363" s="498"/>
      <c r="P363" s="481"/>
      <c r="Q363" s="508"/>
      <c r="R363" s="498"/>
      <c r="S363" s="508"/>
      <c r="T363" s="478"/>
      <c r="U363" s="478"/>
      <c r="V363" s="481"/>
      <c r="W363" s="478"/>
      <c r="X363" s="478"/>
      <c r="Y363" s="478"/>
      <c r="Z363" s="478"/>
      <c r="AA363" s="478"/>
      <c r="AB363" s="478"/>
      <c r="AC363" s="478"/>
      <c r="AD363" s="478"/>
      <c r="AE363" s="478"/>
      <c r="AF363" s="478"/>
      <c r="AG363" s="478"/>
      <c r="AH363" s="478"/>
      <c r="AI363" s="478"/>
      <c r="AJ363" s="478"/>
      <c r="AK363" s="478"/>
      <c r="AL363" s="478"/>
      <c r="AM363" s="478"/>
      <c r="AN363" s="478"/>
    </row>
    <row r="364" spans="1:40" ht="15.75" hidden="1" customHeight="1">
      <c r="A364" s="490" t="s">
        <v>441</v>
      </c>
      <c r="B364" s="481" t="s">
        <v>119</v>
      </c>
      <c r="C364" s="565" t="s">
        <v>41</v>
      </c>
      <c r="D364" s="481"/>
      <c r="E364" s="481"/>
      <c r="F364" s="499">
        <v>0</v>
      </c>
      <c r="G364" s="498"/>
      <c r="H364" s="481"/>
      <c r="I364" s="499"/>
      <c r="J364" s="498"/>
      <c r="K364" s="481"/>
      <c r="L364" s="501">
        <v>0</v>
      </c>
      <c r="M364" s="498"/>
      <c r="N364" s="508"/>
      <c r="O364" s="498"/>
      <c r="P364" s="481"/>
      <c r="Q364" s="501">
        <v>0</v>
      </c>
      <c r="R364" s="498"/>
      <c r="S364" s="501">
        <v>0</v>
      </c>
      <c r="T364" s="478"/>
      <c r="U364" s="478"/>
      <c r="V364" s="481"/>
      <c r="W364" s="478"/>
      <c r="X364" s="478"/>
      <c r="Y364" s="478"/>
      <c r="Z364" s="478"/>
      <c r="AA364" s="478"/>
      <c r="AB364" s="478"/>
      <c r="AC364" s="478"/>
      <c r="AD364" s="478"/>
      <c r="AE364" s="478"/>
      <c r="AF364" s="478"/>
      <c r="AG364" s="478"/>
      <c r="AH364" s="478"/>
      <c r="AI364" s="478"/>
      <c r="AJ364" s="478"/>
      <c r="AK364" s="478"/>
      <c r="AL364" s="478"/>
      <c r="AM364" s="478"/>
      <c r="AN364" s="478"/>
    </row>
    <row r="365" spans="1:40" ht="15.75" hidden="1" customHeight="1">
      <c r="A365" s="490" t="s">
        <v>442</v>
      </c>
      <c r="B365" s="481" t="s">
        <v>119</v>
      </c>
      <c r="C365" s="566" t="s">
        <v>42</v>
      </c>
      <c r="D365" s="550"/>
      <c r="E365" s="481"/>
      <c r="F365" s="493">
        <v>0</v>
      </c>
      <c r="G365" s="551"/>
      <c r="H365" s="481"/>
      <c r="I365" s="493"/>
      <c r="J365" s="498"/>
      <c r="K365" s="481"/>
      <c r="L365" s="493">
        <v>0</v>
      </c>
      <c r="M365" s="498"/>
      <c r="N365" s="524"/>
      <c r="O365" s="498"/>
      <c r="P365" s="481"/>
      <c r="Q365" s="493">
        <v>0</v>
      </c>
      <c r="R365" s="498"/>
      <c r="S365" s="524">
        <v>0</v>
      </c>
      <c r="T365" s="478"/>
      <c r="U365" s="478"/>
      <c r="V365" s="481"/>
      <c r="W365" s="478"/>
      <c r="X365" s="478"/>
      <c r="Y365" s="478"/>
      <c r="Z365" s="478"/>
      <c r="AA365" s="478"/>
      <c r="AB365" s="478"/>
      <c r="AC365" s="478"/>
      <c r="AD365" s="478"/>
      <c r="AE365" s="478"/>
      <c r="AF365" s="478"/>
      <c r="AG365" s="478"/>
      <c r="AH365" s="478"/>
      <c r="AI365" s="478"/>
      <c r="AJ365" s="478"/>
      <c r="AK365" s="478"/>
      <c r="AL365" s="478"/>
      <c r="AM365" s="478"/>
      <c r="AN365" s="478"/>
    </row>
    <row r="366" spans="1:40" ht="15.75" hidden="1" customHeight="1">
      <c r="A366" s="490" t="s">
        <v>443</v>
      </c>
      <c r="B366" s="481" t="s">
        <v>119</v>
      </c>
      <c r="C366" s="565" t="s">
        <v>43</v>
      </c>
      <c r="D366" s="567"/>
      <c r="E366" s="568"/>
      <c r="F366" s="499">
        <v>0</v>
      </c>
      <c r="G366" s="569"/>
      <c r="H366" s="568"/>
      <c r="I366" s="499"/>
      <c r="J366" s="485"/>
      <c r="K366" s="568"/>
      <c r="L366" s="501">
        <v>0</v>
      </c>
      <c r="M366" s="485"/>
      <c r="N366" s="570"/>
      <c r="O366" s="485"/>
      <c r="P366" s="568"/>
      <c r="Q366" s="501">
        <v>0</v>
      </c>
      <c r="R366" s="485"/>
      <c r="S366" s="570">
        <v>0</v>
      </c>
      <c r="T366" s="478"/>
      <c r="U366" s="478"/>
      <c r="V366" s="481"/>
      <c r="W366" s="478"/>
      <c r="X366" s="478"/>
      <c r="Y366" s="478"/>
      <c r="Z366" s="478"/>
      <c r="AA366" s="478"/>
      <c r="AB366" s="478"/>
      <c r="AC366" s="478"/>
      <c r="AD366" s="478"/>
      <c r="AE366" s="478"/>
      <c r="AF366" s="478"/>
      <c r="AG366" s="478"/>
      <c r="AH366" s="478"/>
      <c r="AI366" s="478"/>
      <c r="AJ366" s="478"/>
      <c r="AK366" s="478"/>
      <c r="AL366" s="478"/>
      <c r="AM366" s="478"/>
      <c r="AN366" s="478"/>
    </row>
    <row r="367" spans="1:40" ht="15.75" hidden="1" customHeight="1">
      <c r="A367" s="490" t="s">
        <v>444</v>
      </c>
      <c r="B367" s="481" t="s">
        <v>119</v>
      </c>
      <c r="C367" s="565" t="s">
        <v>44</v>
      </c>
      <c r="D367" s="550"/>
      <c r="E367" s="481"/>
      <c r="F367" s="499">
        <v>0</v>
      </c>
      <c r="G367" s="551"/>
      <c r="H367" s="481"/>
      <c r="I367" s="499"/>
      <c r="J367" s="498"/>
      <c r="K367" s="481"/>
      <c r="L367" s="501">
        <v>0</v>
      </c>
      <c r="M367" s="498"/>
      <c r="N367" s="524"/>
      <c r="O367" s="498"/>
      <c r="P367" s="481"/>
      <c r="Q367" s="501">
        <v>0</v>
      </c>
      <c r="R367" s="498"/>
      <c r="S367" s="524">
        <v>0</v>
      </c>
      <c r="T367" s="478"/>
      <c r="U367" s="478"/>
      <c r="V367" s="481"/>
      <c r="W367" s="478"/>
      <c r="X367" s="478"/>
      <c r="Y367" s="478"/>
      <c r="Z367" s="478"/>
      <c r="AA367" s="478"/>
      <c r="AB367" s="478"/>
      <c r="AC367" s="478"/>
      <c r="AD367" s="478"/>
      <c r="AE367" s="478"/>
      <c r="AF367" s="478"/>
      <c r="AG367" s="478"/>
      <c r="AH367" s="478"/>
      <c r="AI367" s="478"/>
      <c r="AJ367" s="478"/>
      <c r="AK367" s="478"/>
      <c r="AL367" s="478"/>
      <c r="AM367" s="478"/>
      <c r="AN367" s="478"/>
    </row>
    <row r="368" spans="1:40" ht="15.75" hidden="1" customHeight="1">
      <c r="A368" s="490" t="s">
        <v>445</v>
      </c>
      <c r="B368" s="481" t="s">
        <v>119</v>
      </c>
      <c r="C368" s="498" t="s">
        <v>20</v>
      </c>
      <c r="D368" s="550"/>
      <c r="E368" s="481"/>
      <c r="F368" s="499">
        <v>0</v>
      </c>
      <c r="G368" s="551"/>
      <c r="H368" s="481"/>
      <c r="I368" s="499"/>
      <c r="J368" s="498"/>
      <c r="K368" s="481"/>
      <c r="L368" s="501">
        <v>0</v>
      </c>
      <c r="M368" s="498"/>
      <c r="N368" s="524"/>
      <c r="O368" s="498"/>
      <c r="P368" s="481"/>
      <c r="Q368" s="501">
        <v>0</v>
      </c>
      <c r="R368" s="498"/>
      <c r="S368" s="524">
        <v>0</v>
      </c>
      <c r="T368" s="478"/>
      <c r="U368" s="478"/>
      <c r="V368" s="481"/>
      <c r="W368" s="478"/>
      <c r="X368" s="478"/>
      <c r="Y368" s="478"/>
      <c r="Z368" s="478"/>
      <c r="AA368" s="478"/>
      <c r="AB368" s="478"/>
      <c r="AC368" s="478"/>
      <c r="AD368" s="478"/>
      <c r="AE368" s="478"/>
      <c r="AF368" s="478"/>
      <c r="AG368" s="478"/>
      <c r="AH368" s="478"/>
      <c r="AI368" s="478"/>
      <c r="AJ368" s="478"/>
      <c r="AK368" s="478"/>
      <c r="AL368" s="478"/>
      <c r="AM368" s="478"/>
      <c r="AN368" s="478"/>
    </row>
    <row r="369" spans="1:40" ht="15.75" hidden="1" customHeight="1">
      <c r="A369" s="490" t="s">
        <v>445</v>
      </c>
      <c r="B369" s="481" t="s">
        <v>119</v>
      </c>
      <c r="C369" s="498" t="s">
        <v>20</v>
      </c>
      <c r="D369" s="550"/>
      <c r="E369" s="481"/>
      <c r="F369" s="499">
        <v>0</v>
      </c>
      <c r="G369" s="551"/>
      <c r="H369" s="481"/>
      <c r="I369" s="499"/>
      <c r="J369" s="498"/>
      <c r="K369" s="481"/>
      <c r="L369" s="501">
        <v>0</v>
      </c>
      <c r="M369" s="498"/>
      <c r="N369" s="524"/>
      <c r="O369" s="498"/>
      <c r="P369" s="481"/>
      <c r="Q369" s="501">
        <v>0</v>
      </c>
      <c r="R369" s="498"/>
      <c r="S369" s="524">
        <v>0</v>
      </c>
      <c r="T369" s="478"/>
      <c r="U369" s="478"/>
      <c r="V369" s="481"/>
      <c r="W369" s="478"/>
      <c r="X369" s="478"/>
      <c r="Y369" s="478"/>
      <c r="Z369" s="478"/>
      <c r="AA369" s="478"/>
      <c r="AB369" s="478"/>
      <c r="AC369" s="478"/>
      <c r="AD369" s="478"/>
      <c r="AE369" s="478"/>
      <c r="AF369" s="478"/>
      <c r="AG369" s="478"/>
      <c r="AH369" s="478"/>
      <c r="AI369" s="478"/>
      <c r="AJ369" s="478"/>
      <c r="AK369" s="478"/>
      <c r="AL369" s="478"/>
      <c r="AM369" s="478"/>
      <c r="AN369" s="478"/>
    </row>
    <row r="370" spans="1:40" ht="15.75" hidden="1" customHeight="1">
      <c r="A370" s="490" t="s">
        <v>445</v>
      </c>
      <c r="B370" s="481" t="s">
        <v>119</v>
      </c>
      <c r="C370" s="498" t="s">
        <v>20</v>
      </c>
      <c r="D370" s="550"/>
      <c r="E370" s="481"/>
      <c r="F370" s="499">
        <v>0</v>
      </c>
      <c r="G370" s="551"/>
      <c r="H370" s="481"/>
      <c r="I370" s="499"/>
      <c r="J370" s="498"/>
      <c r="K370" s="481"/>
      <c r="L370" s="501">
        <v>0</v>
      </c>
      <c r="M370" s="498"/>
      <c r="N370" s="524"/>
      <c r="O370" s="498"/>
      <c r="P370" s="481"/>
      <c r="Q370" s="501">
        <v>0</v>
      </c>
      <c r="R370" s="498"/>
      <c r="S370" s="524">
        <v>0</v>
      </c>
      <c r="T370" s="478"/>
      <c r="U370" s="478"/>
      <c r="V370" s="481"/>
      <c r="W370" s="478"/>
      <c r="X370" s="478"/>
      <c r="Y370" s="478"/>
      <c r="Z370" s="478"/>
      <c r="AA370" s="478"/>
      <c r="AB370" s="478"/>
      <c r="AC370" s="478"/>
      <c r="AD370" s="478"/>
      <c r="AE370" s="478"/>
      <c r="AF370" s="478"/>
      <c r="AG370" s="478"/>
      <c r="AH370" s="478"/>
      <c r="AI370" s="478"/>
      <c r="AJ370" s="478"/>
      <c r="AK370" s="478"/>
      <c r="AL370" s="478"/>
      <c r="AM370" s="478"/>
      <c r="AN370" s="478"/>
    </row>
    <row r="371" spans="1:40" ht="15.75" hidden="1" customHeight="1">
      <c r="A371" s="490" t="s">
        <v>446</v>
      </c>
      <c r="B371" s="481" t="s">
        <v>119</v>
      </c>
      <c r="C371" s="566" t="s">
        <v>45</v>
      </c>
      <c r="D371" s="550"/>
      <c r="E371" s="481"/>
      <c r="F371" s="493">
        <v>0</v>
      </c>
      <c r="G371" s="551"/>
      <c r="H371" s="481"/>
      <c r="I371" s="493"/>
      <c r="J371" s="498"/>
      <c r="K371" s="481"/>
      <c r="L371" s="493">
        <v>0</v>
      </c>
      <c r="M371" s="498"/>
      <c r="N371" s="524"/>
      <c r="O371" s="498"/>
      <c r="P371" s="481"/>
      <c r="Q371" s="493">
        <v>0</v>
      </c>
      <c r="R371" s="498"/>
      <c r="S371" s="524">
        <v>0</v>
      </c>
      <c r="T371" s="478"/>
      <c r="U371" s="478"/>
      <c r="V371" s="481"/>
      <c r="W371" s="478"/>
      <c r="X371" s="478"/>
      <c r="Y371" s="478"/>
      <c r="Z371" s="478"/>
      <c r="AA371" s="478"/>
      <c r="AB371" s="478"/>
      <c r="AC371" s="478"/>
      <c r="AD371" s="478"/>
      <c r="AE371" s="478"/>
      <c r="AF371" s="478"/>
      <c r="AG371" s="478"/>
      <c r="AH371" s="478"/>
      <c r="AI371" s="478"/>
      <c r="AJ371" s="478"/>
      <c r="AK371" s="478"/>
      <c r="AL371" s="478"/>
      <c r="AM371" s="478"/>
      <c r="AN371" s="478"/>
    </row>
    <row r="372" spans="1:40" ht="15.75" hidden="1" customHeight="1">
      <c r="A372" s="490" t="s">
        <v>447</v>
      </c>
      <c r="B372" s="481" t="s">
        <v>119</v>
      </c>
      <c r="C372" s="565" t="s">
        <v>46</v>
      </c>
      <c r="D372" s="567"/>
      <c r="E372" s="568"/>
      <c r="F372" s="499">
        <v>0</v>
      </c>
      <c r="G372" s="569"/>
      <c r="H372" s="568"/>
      <c r="I372" s="499"/>
      <c r="J372" s="485"/>
      <c r="K372" s="568"/>
      <c r="L372" s="501">
        <v>0</v>
      </c>
      <c r="M372" s="485"/>
      <c r="N372" s="570"/>
      <c r="O372" s="485"/>
      <c r="P372" s="568"/>
      <c r="Q372" s="501">
        <v>0</v>
      </c>
      <c r="R372" s="485"/>
      <c r="S372" s="570">
        <v>0</v>
      </c>
      <c r="T372" s="478"/>
      <c r="U372" s="478"/>
      <c r="V372" s="481"/>
      <c r="W372" s="478"/>
      <c r="X372" s="478"/>
      <c r="Y372" s="478"/>
      <c r="Z372" s="478"/>
      <c r="AA372" s="478"/>
      <c r="AB372" s="478"/>
      <c r="AC372" s="478"/>
      <c r="AD372" s="478"/>
      <c r="AE372" s="478"/>
      <c r="AF372" s="478"/>
      <c r="AG372" s="478"/>
      <c r="AH372" s="478"/>
      <c r="AI372" s="478"/>
      <c r="AJ372" s="478"/>
      <c r="AK372" s="478"/>
      <c r="AL372" s="478"/>
      <c r="AM372" s="478"/>
      <c r="AN372" s="478"/>
    </row>
    <row r="373" spans="1:40" ht="15.75" hidden="1" customHeight="1">
      <c r="A373" s="490" t="s">
        <v>448</v>
      </c>
      <c r="B373" s="481" t="s">
        <v>119</v>
      </c>
      <c r="C373" s="565" t="s">
        <v>47</v>
      </c>
      <c r="D373" s="550"/>
      <c r="E373" s="481"/>
      <c r="F373" s="499">
        <v>0</v>
      </c>
      <c r="G373" s="551"/>
      <c r="H373" s="481"/>
      <c r="I373" s="499"/>
      <c r="J373" s="498"/>
      <c r="K373" s="481"/>
      <c r="L373" s="501">
        <v>0</v>
      </c>
      <c r="M373" s="498"/>
      <c r="N373" s="524"/>
      <c r="O373" s="498"/>
      <c r="P373" s="481"/>
      <c r="Q373" s="501">
        <v>0</v>
      </c>
      <c r="R373" s="498"/>
      <c r="S373" s="524">
        <v>0</v>
      </c>
      <c r="T373" s="478"/>
      <c r="U373" s="478"/>
      <c r="V373" s="481"/>
      <c r="W373" s="478"/>
      <c r="X373" s="478"/>
      <c r="Y373" s="478"/>
      <c r="Z373" s="478"/>
      <c r="AA373" s="478"/>
      <c r="AB373" s="478"/>
      <c r="AC373" s="478"/>
      <c r="AD373" s="478"/>
      <c r="AE373" s="478"/>
      <c r="AF373" s="478"/>
      <c r="AG373" s="478"/>
      <c r="AH373" s="478"/>
      <c r="AI373" s="478"/>
      <c r="AJ373" s="478"/>
      <c r="AK373" s="478"/>
      <c r="AL373" s="478"/>
      <c r="AM373" s="478"/>
      <c r="AN373" s="478"/>
    </row>
    <row r="374" spans="1:40" ht="15.75" hidden="1" customHeight="1">
      <c r="A374" s="490" t="s">
        <v>449</v>
      </c>
      <c r="B374" s="481" t="s">
        <v>119</v>
      </c>
      <c r="C374" s="565" t="s">
        <v>48</v>
      </c>
      <c r="D374" s="550"/>
      <c r="E374" s="481"/>
      <c r="F374" s="499">
        <v>0</v>
      </c>
      <c r="G374" s="551"/>
      <c r="H374" s="481"/>
      <c r="I374" s="499"/>
      <c r="J374" s="498"/>
      <c r="K374" s="481"/>
      <c r="L374" s="501">
        <v>0</v>
      </c>
      <c r="M374" s="498"/>
      <c r="N374" s="524"/>
      <c r="O374" s="498"/>
      <c r="P374" s="481"/>
      <c r="Q374" s="501">
        <v>0</v>
      </c>
      <c r="R374" s="498"/>
      <c r="S374" s="524">
        <v>0</v>
      </c>
      <c r="T374" s="478"/>
      <c r="U374" s="478"/>
      <c r="V374" s="481"/>
      <c r="W374" s="478"/>
      <c r="X374" s="478"/>
      <c r="Y374" s="478"/>
      <c r="Z374" s="478"/>
      <c r="AA374" s="478"/>
      <c r="AB374" s="478"/>
      <c r="AC374" s="478"/>
      <c r="AD374" s="478"/>
      <c r="AE374" s="478"/>
      <c r="AF374" s="478"/>
      <c r="AG374" s="478"/>
      <c r="AH374" s="478"/>
      <c r="AI374" s="478"/>
      <c r="AJ374" s="478"/>
      <c r="AK374" s="478"/>
      <c r="AL374" s="478"/>
      <c r="AM374" s="478"/>
      <c r="AN374" s="478"/>
    </row>
    <row r="375" spans="1:40" ht="15.75" hidden="1" customHeight="1">
      <c r="A375" s="490" t="s">
        <v>445</v>
      </c>
      <c r="B375" s="481" t="s">
        <v>119</v>
      </c>
      <c r="C375" s="498" t="s">
        <v>20</v>
      </c>
      <c r="D375" s="552"/>
      <c r="E375" s="571"/>
      <c r="F375" s="499">
        <v>0</v>
      </c>
      <c r="G375" s="553"/>
      <c r="H375" s="571"/>
      <c r="I375" s="499"/>
      <c r="J375" s="491"/>
      <c r="K375" s="571"/>
      <c r="L375" s="501">
        <v>0</v>
      </c>
      <c r="M375" s="491"/>
      <c r="N375" s="547"/>
      <c r="O375" s="491"/>
      <c r="P375" s="571"/>
      <c r="Q375" s="501">
        <v>0</v>
      </c>
      <c r="R375" s="491"/>
      <c r="S375" s="547">
        <v>0</v>
      </c>
      <c r="T375" s="478"/>
      <c r="U375" s="478"/>
      <c r="V375" s="481"/>
      <c r="W375" s="478"/>
      <c r="X375" s="478"/>
      <c r="Y375" s="478"/>
      <c r="Z375" s="478"/>
      <c r="AA375" s="478"/>
      <c r="AB375" s="478"/>
      <c r="AC375" s="478"/>
      <c r="AD375" s="478"/>
      <c r="AE375" s="478"/>
      <c r="AF375" s="478"/>
      <c r="AG375" s="478"/>
      <c r="AH375" s="478"/>
      <c r="AI375" s="478"/>
      <c r="AJ375" s="478"/>
      <c r="AK375" s="478"/>
      <c r="AL375" s="478"/>
      <c r="AM375" s="478"/>
      <c r="AN375" s="478"/>
    </row>
    <row r="376" spans="1:40" ht="15.75" hidden="1" customHeight="1">
      <c r="A376" s="490" t="s">
        <v>450</v>
      </c>
      <c r="B376" s="481" t="s">
        <v>119</v>
      </c>
      <c r="C376" s="557" t="s">
        <v>49</v>
      </c>
      <c r="D376" s="558" t="s">
        <v>39</v>
      </c>
      <c r="E376" s="559">
        <v>0</v>
      </c>
      <c r="F376" s="560">
        <v>0</v>
      </c>
      <c r="G376" s="561"/>
      <c r="H376" s="559"/>
      <c r="I376" s="560"/>
      <c r="J376" s="561" t="s">
        <v>39</v>
      </c>
      <c r="K376" s="559">
        <v>0</v>
      </c>
      <c r="L376" s="560">
        <v>0</v>
      </c>
      <c r="M376" s="610"/>
      <c r="N376" s="573"/>
      <c r="O376" s="561" t="s">
        <v>39</v>
      </c>
      <c r="P376" s="559">
        <v>0</v>
      </c>
      <c r="Q376" s="560">
        <v>0</v>
      </c>
      <c r="R376" s="610"/>
      <c r="S376" s="573">
        <v>0</v>
      </c>
      <c r="T376" s="478"/>
      <c r="U376" s="478"/>
      <c r="V376" s="481"/>
      <c r="W376" s="478"/>
      <c r="X376" s="478"/>
      <c r="Y376" s="478"/>
      <c r="Z376" s="478"/>
      <c r="AA376" s="478"/>
      <c r="AB376" s="478"/>
      <c r="AC376" s="478"/>
      <c r="AD376" s="478"/>
      <c r="AE376" s="478"/>
      <c r="AF376" s="478"/>
      <c r="AG376" s="478"/>
      <c r="AH376" s="478"/>
      <c r="AI376" s="478"/>
      <c r="AJ376" s="478"/>
      <c r="AK376" s="478"/>
      <c r="AL376" s="478"/>
      <c r="AM376" s="478"/>
      <c r="AN376" s="478"/>
    </row>
    <row r="377" spans="1:40" ht="15.75" hidden="1" customHeight="1">
      <c r="A377" s="490" t="s">
        <v>451</v>
      </c>
      <c r="B377" s="481" t="s">
        <v>119</v>
      </c>
      <c r="C377" s="664" t="s">
        <v>50</v>
      </c>
      <c r="D377" s="550"/>
      <c r="E377" s="481"/>
      <c r="F377" s="499">
        <v>0</v>
      </c>
      <c r="G377" s="551"/>
      <c r="H377" s="481"/>
      <c r="I377" s="499"/>
      <c r="J377" s="498"/>
      <c r="K377" s="481"/>
      <c r="L377" s="501">
        <v>0</v>
      </c>
      <c r="M377" s="498"/>
      <c r="N377" s="524"/>
      <c r="O377" s="498"/>
      <c r="P377" s="481"/>
      <c r="Q377" s="501">
        <v>0</v>
      </c>
      <c r="R377" s="498"/>
      <c r="S377" s="524">
        <v>0</v>
      </c>
      <c r="T377" s="478"/>
      <c r="U377" s="478"/>
      <c r="V377" s="481"/>
      <c r="W377" s="478"/>
      <c r="X377" s="478"/>
      <c r="Y377" s="478"/>
      <c r="Z377" s="478"/>
      <c r="AA377" s="478"/>
      <c r="AB377" s="478"/>
      <c r="AC377" s="478"/>
      <c r="AD377" s="478"/>
      <c r="AE377" s="478"/>
      <c r="AF377" s="478"/>
      <c r="AG377" s="478"/>
      <c r="AH377" s="478"/>
      <c r="AI377" s="478"/>
      <c r="AJ377" s="478"/>
      <c r="AK377" s="478"/>
      <c r="AL377" s="478"/>
      <c r="AM377" s="478"/>
      <c r="AN377" s="478"/>
    </row>
    <row r="378" spans="1:40" ht="15.75" hidden="1" customHeight="1">
      <c r="A378" s="490" t="s">
        <v>452</v>
      </c>
      <c r="B378" s="481" t="s">
        <v>119</v>
      </c>
      <c r="C378" s="565" t="s">
        <v>51</v>
      </c>
      <c r="D378" s="550"/>
      <c r="E378" s="481"/>
      <c r="F378" s="499">
        <v>0</v>
      </c>
      <c r="G378" s="551"/>
      <c r="H378" s="481"/>
      <c r="I378" s="499"/>
      <c r="J378" s="498"/>
      <c r="K378" s="481"/>
      <c r="L378" s="501">
        <v>0</v>
      </c>
      <c r="M378" s="498"/>
      <c r="N378" s="524"/>
      <c r="O378" s="498"/>
      <c r="P378" s="481"/>
      <c r="Q378" s="501">
        <v>0</v>
      </c>
      <c r="R378" s="498"/>
      <c r="S378" s="524">
        <v>0</v>
      </c>
      <c r="T378" s="478"/>
      <c r="U378" s="478"/>
      <c r="V378" s="481"/>
      <c r="W378" s="478"/>
      <c r="X378" s="478"/>
      <c r="Y378" s="478"/>
      <c r="Z378" s="478"/>
      <c r="AA378" s="478"/>
      <c r="AB378" s="478"/>
      <c r="AC378" s="478"/>
      <c r="AD378" s="478"/>
      <c r="AE378" s="478"/>
      <c r="AF378" s="478"/>
      <c r="AG378" s="478"/>
      <c r="AH378" s="478"/>
      <c r="AI378" s="478"/>
      <c r="AJ378" s="478"/>
      <c r="AK378" s="478"/>
      <c r="AL378" s="478"/>
      <c r="AM378" s="478"/>
      <c r="AN378" s="478"/>
    </row>
    <row r="379" spans="1:40" ht="15.75" hidden="1" customHeight="1">
      <c r="A379" s="490" t="s">
        <v>453</v>
      </c>
      <c r="B379" s="481" t="s">
        <v>119</v>
      </c>
      <c r="C379" s="566" t="s">
        <v>52</v>
      </c>
      <c r="D379" s="552"/>
      <c r="E379" s="571"/>
      <c r="F379" s="493">
        <v>0</v>
      </c>
      <c r="G379" s="553"/>
      <c r="H379" s="571"/>
      <c r="I379" s="493"/>
      <c r="J379" s="491"/>
      <c r="K379" s="571"/>
      <c r="L379" s="493">
        <v>0</v>
      </c>
      <c r="M379" s="491"/>
      <c r="N379" s="547"/>
      <c r="O379" s="491"/>
      <c r="P379" s="571"/>
      <c r="Q379" s="493">
        <v>0</v>
      </c>
      <c r="R379" s="491"/>
      <c r="S379" s="547">
        <v>0</v>
      </c>
      <c r="T379" s="478"/>
      <c r="U379" s="478"/>
      <c r="V379" s="481"/>
      <c r="W379" s="478"/>
      <c r="X379" s="478"/>
      <c r="Y379" s="478"/>
      <c r="Z379" s="478"/>
      <c r="AA379" s="478"/>
      <c r="AB379" s="478"/>
      <c r="AC379" s="478"/>
      <c r="AD379" s="478"/>
      <c r="AE379" s="478"/>
      <c r="AF379" s="478"/>
      <c r="AG379" s="478"/>
      <c r="AH379" s="478"/>
      <c r="AI379" s="478"/>
      <c r="AJ379" s="478"/>
      <c r="AK379" s="478"/>
      <c r="AL379" s="478"/>
      <c r="AM379" s="478"/>
      <c r="AN379" s="478"/>
    </row>
    <row r="380" spans="1:40" ht="15.75" hidden="1" customHeight="1">
      <c r="A380" s="490" t="s">
        <v>454</v>
      </c>
      <c r="B380" s="481" t="s">
        <v>119</v>
      </c>
      <c r="C380" s="565" t="s">
        <v>53</v>
      </c>
      <c r="D380" s="550"/>
      <c r="E380" s="481"/>
      <c r="F380" s="499">
        <v>0</v>
      </c>
      <c r="G380" s="551"/>
      <c r="H380" s="481"/>
      <c r="I380" s="499"/>
      <c r="J380" s="498"/>
      <c r="K380" s="481"/>
      <c r="L380" s="501">
        <v>0</v>
      </c>
      <c r="M380" s="498"/>
      <c r="N380" s="524"/>
      <c r="O380" s="498"/>
      <c r="P380" s="481"/>
      <c r="Q380" s="501">
        <v>0</v>
      </c>
      <c r="R380" s="498"/>
      <c r="S380" s="524">
        <v>0</v>
      </c>
      <c r="T380" s="478"/>
      <c r="U380" s="478"/>
      <c r="V380" s="481"/>
      <c r="W380" s="478"/>
      <c r="X380" s="478"/>
      <c r="Y380" s="478"/>
      <c r="Z380" s="478"/>
      <c r="AA380" s="478"/>
      <c r="AB380" s="478"/>
      <c r="AC380" s="478"/>
      <c r="AD380" s="478"/>
      <c r="AE380" s="478"/>
      <c r="AF380" s="478"/>
      <c r="AG380" s="478"/>
      <c r="AH380" s="478"/>
      <c r="AI380" s="478"/>
      <c r="AJ380" s="478"/>
      <c r="AK380" s="478"/>
      <c r="AL380" s="478"/>
      <c r="AM380" s="478"/>
      <c r="AN380" s="478"/>
    </row>
    <row r="381" spans="1:40" ht="15.75" hidden="1" customHeight="1">
      <c r="A381" s="490" t="s">
        <v>455</v>
      </c>
      <c r="B381" s="481" t="s">
        <v>119</v>
      </c>
      <c r="C381" s="565" t="s">
        <v>54</v>
      </c>
      <c r="D381" s="550"/>
      <c r="E381" s="481"/>
      <c r="F381" s="499">
        <v>0</v>
      </c>
      <c r="G381" s="551"/>
      <c r="H381" s="481"/>
      <c r="I381" s="499"/>
      <c r="J381" s="498"/>
      <c r="K381" s="481"/>
      <c r="L381" s="501">
        <v>0</v>
      </c>
      <c r="M381" s="498"/>
      <c r="N381" s="524"/>
      <c r="O381" s="498"/>
      <c r="P381" s="481"/>
      <c r="Q381" s="501">
        <v>0</v>
      </c>
      <c r="R381" s="498"/>
      <c r="S381" s="524">
        <v>0</v>
      </c>
      <c r="T381" s="478"/>
      <c r="U381" s="478"/>
      <c r="V381" s="481"/>
      <c r="W381" s="478"/>
      <c r="X381" s="478"/>
      <c r="Y381" s="478"/>
      <c r="Z381" s="478"/>
      <c r="AA381" s="478"/>
      <c r="AB381" s="478"/>
      <c r="AC381" s="478"/>
      <c r="AD381" s="478"/>
      <c r="AE381" s="478"/>
      <c r="AF381" s="478"/>
      <c r="AG381" s="478"/>
      <c r="AH381" s="478"/>
      <c r="AI381" s="478"/>
      <c r="AJ381" s="478"/>
      <c r="AK381" s="478"/>
      <c r="AL381" s="478"/>
      <c r="AM381" s="478"/>
      <c r="AN381" s="478"/>
    </row>
    <row r="382" spans="1:40" ht="15.75" hidden="1" customHeight="1">
      <c r="A382" s="490" t="s">
        <v>456</v>
      </c>
      <c r="B382" s="481" t="s">
        <v>119</v>
      </c>
      <c r="C382" s="565" t="s">
        <v>55</v>
      </c>
      <c r="D382" s="552"/>
      <c r="E382" s="571"/>
      <c r="F382" s="493">
        <v>0</v>
      </c>
      <c r="G382" s="553"/>
      <c r="H382" s="571"/>
      <c r="I382" s="493"/>
      <c r="J382" s="491"/>
      <c r="K382" s="571"/>
      <c r="L382" s="493">
        <v>0</v>
      </c>
      <c r="M382" s="491"/>
      <c r="N382" s="547"/>
      <c r="O382" s="491"/>
      <c r="P382" s="571"/>
      <c r="Q382" s="493">
        <v>0</v>
      </c>
      <c r="R382" s="491"/>
      <c r="S382" s="547">
        <v>0</v>
      </c>
      <c r="T382" s="478"/>
      <c r="U382" s="478"/>
      <c r="V382" s="481"/>
      <c r="W382" s="478"/>
      <c r="X382" s="478"/>
      <c r="Y382" s="478"/>
      <c r="Z382" s="478"/>
      <c r="AA382" s="478"/>
      <c r="AB382" s="478"/>
      <c r="AC382" s="478"/>
      <c r="AD382" s="478"/>
      <c r="AE382" s="478"/>
      <c r="AF382" s="478"/>
      <c r="AG382" s="478"/>
      <c r="AH382" s="478"/>
      <c r="AI382" s="478"/>
      <c r="AJ382" s="478"/>
      <c r="AK382" s="478"/>
      <c r="AL382" s="478"/>
      <c r="AM382" s="478"/>
      <c r="AN382" s="478"/>
    </row>
    <row r="383" spans="1:40" ht="20.25" hidden="1" customHeight="1">
      <c r="A383" s="490" t="s">
        <v>457</v>
      </c>
      <c r="B383" s="481" t="s">
        <v>119</v>
      </c>
      <c r="C383" s="664" t="s">
        <v>56</v>
      </c>
      <c r="D383" s="550"/>
      <c r="E383" s="481"/>
      <c r="F383" s="499">
        <v>0</v>
      </c>
      <c r="G383" s="551"/>
      <c r="H383" s="481"/>
      <c r="I383" s="499"/>
      <c r="J383" s="498"/>
      <c r="K383" s="481"/>
      <c r="L383" s="501">
        <v>0</v>
      </c>
      <c r="M383" s="498"/>
      <c r="N383" s="524"/>
      <c r="O383" s="498"/>
      <c r="P383" s="481"/>
      <c r="Q383" s="501">
        <v>0</v>
      </c>
      <c r="R383" s="498"/>
      <c r="S383" s="524">
        <v>0</v>
      </c>
      <c r="T383" s="478"/>
      <c r="U383" s="478"/>
      <c r="V383" s="481"/>
      <c r="W383" s="478"/>
      <c r="X383" s="478"/>
      <c r="Y383" s="478"/>
      <c r="Z383" s="478"/>
      <c r="AA383" s="478"/>
      <c r="AB383" s="478"/>
      <c r="AC383" s="478"/>
      <c r="AD383" s="478"/>
      <c r="AE383" s="478"/>
      <c r="AF383" s="478"/>
      <c r="AG383" s="478"/>
      <c r="AH383" s="478"/>
      <c r="AI383" s="478"/>
      <c r="AJ383" s="478"/>
      <c r="AK383" s="478"/>
      <c r="AL383" s="478"/>
      <c r="AM383" s="478"/>
      <c r="AN383" s="478"/>
    </row>
    <row r="384" spans="1:40" ht="20.25" hidden="1" customHeight="1">
      <c r="A384" s="490" t="s">
        <v>458</v>
      </c>
      <c r="B384" s="481" t="s">
        <v>119</v>
      </c>
      <c r="C384" s="565" t="s">
        <v>57</v>
      </c>
      <c r="D384" s="550"/>
      <c r="E384" s="481"/>
      <c r="F384" s="499">
        <v>0</v>
      </c>
      <c r="G384" s="551"/>
      <c r="H384" s="481"/>
      <c r="I384" s="499"/>
      <c r="J384" s="498"/>
      <c r="K384" s="481"/>
      <c r="L384" s="501">
        <v>0</v>
      </c>
      <c r="M384" s="498"/>
      <c r="N384" s="524"/>
      <c r="O384" s="498"/>
      <c r="P384" s="481"/>
      <c r="Q384" s="501">
        <v>0</v>
      </c>
      <c r="R384" s="498"/>
      <c r="S384" s="524">
        <v>0</v>
      </c>
      <c r="T384" s="478"/>
      <c r="U384" s="478"/>
      <c r="V384" s="481"/>
      <c r="W384" s="478"/>
      <c r="X384" s="478"/>
      <c r="Y384" s="478"/>
      <c r="Z384" s="478"/>
      <c r="AA384" s="478"/>
      <c r="AB384" s="478"/>
      <c r="AC384" s="478"/>
      <c r="AD384" s="478"/>
      <c r="AE384" s="478"/>
      <c r="AF384" s="478"/>
      <c r="AG384" s="478"/>
      <c r="AH384" s="478"/>
      <c r="AI384" s="478"/>
      <c r="AJ384" s="478"/>
      <c r="AK384" s="478"/>
      <c r="AL384" s="478"/>
      <c r="AM384" s="478"/>
      <c r="AN384" s="478"/>
    </row>
    <row r="385" spans="1:40" ht="20.25" hidden="1" customHeight="1">
      <c r="A385" s="490" t="s">
        <v>459</v>
      </c>
      <c r="B385" s="481" t="s">
        <v>119</v>
      </c>
      <c r="C385" s="565" t="s">
        <v>58</v>
      </c>
      <c r="D385" s="550"/>
      <c r="E385" s="481"/>
      <c r="F385" s="499">
        <v>0</v>
      </c>
      <c r="G385" s="551"/>
      <c r="H385" s="481"/>
      <c r="I385" s="499"/>
      <c r="J385" s="498"/>
      <c r="K385" s="481"/>
      <c r="L385" s="501">
        <v>0</v>
      </c>
      <c r="M385" s="498"/>
      <c r="N385" s="524"/>
      <c r="O385" s="498"/>
      <c r="P385" s="481"/>
      <c r="Q385" s="501">
        <v>0</v>
      </c>
      <c r="R385" s="498"/>
      <c r="S385" s="524">
        <v>0</v>
      </c>
      <c r="T385" s="478"/>
      <c r="U385" s="478"/>
      <c r="V385" s="481"/>
      <c r="W385" s="478"/>
      <c r="X385" s="478"/>
      <c r="Y385" s="478"/>
      <c r="Z385" s="478"/>
      <c r="AA385" s="478"/>
      <c r="AB385" s="478"/>
      <c r="AC385" s="478"/>
      <c r="AD385" s="478"/>
      <c r="AE385" s="478"/>
      <c r="AF385" s="478"/>
      <c r="AG385" s="478"/>
      <c r="AH385" s="478"/>
      <c r="AI385" s="478"/>
      <c r="AJ385" s="478"/>
      <c r="AK385" s="478"/>
      <c r="AL385" s="478"/>
      <c r="AM385" s="478"/>
      <c r="AN385" s="478"/>
    </row>
    <row r="386" spans="1:40" ht="20.25" hidden="1" customHeight="1">
      <c r="A386" s="490" t="s">
        <v>460</v>
      </c>
      <c r="B386" s="481" t="s">
        <v>119</v>
      </c>
      <c r="C386" s="565" t="s">
        <v>59</v>
      </c>
      <c r="D386" s="550"/>
      <c r="E386" s="481"/>
      <c r="F386" s="499">
        <v>0</v>
      </c>
      <c r="G386" s="551"/>
      <c r="H386" s="481"/>
      <c r="I386" s="499"/>
      <c r="J386" s="498"/>
      <c r="K386" s="481"/>
      <c r="L386" s="501">
        <v>0</v>
      </c>
      <c r="M386" s="498"/>
      <c r="N386" s="524"/>
      <c r="O386" s="498"/>
      <c r="P386" s="481"/>
      <c r="Q386" s="501">
        <v>0</v>
      </c>
      <c r="R386" s="498"/>
      <c r="S386" s="524">
        <v>0</v>
      </c>
      <c r="T386" s="478"/>
      <c r="U386" s="478"/>
      <c r="V386" s="481"/>
      <c r="W386" s="478"/>
      <c r="X386" s="478"/>
      <c r="Y386" s="478"/>
      <c r="Z386" s="478"/>
      <c r="AA386" s="478"/>
      <c r="AB386" s="478"/>
      <c r="AC386" s="478"/>
      <c r="AD386" s="478"/>
      <c r="AE386" s="478"/>
      <c r="AF386" s="478"/>
      <c r="AG386" s="478"/>
      <c r="AH386" s="478"/>
      <c r="AI386" s="478"/>
      <c r="AJ386" s="478"/>
      <c r="AK386" s="478"/>
      <c r="AL386" s="478"/>
      <c r="AM386" s="478"/>
      <c r="AN386" s="478"/>
    </row>
    <row r="387" spans="1:40" ht="20.25" hidden="1" customHeight="1">
      <c r="A387" s="490" t="s">
        <v>461</v>
      </c>
      <c r="B387" s="481" t="s">
        <v>119</v>
      </c>
      <c r="C387" s="565" t="s">
        <v>60</v>
      </c>
      <c r="D387" s="550"/>
      <c r="E387" s="481"/>
      <c r="F387" s="499">
        <v>0</v>
      </c>
      <c r="G387" s="551"/>
      <c r="H387" s="481"/>
      <c r="I387" s="499"/>
      <c r="J387" s="498"/>
      <c r="K387" s="481"/>
      <c r="L387" s="501">
        <v>0</v>
      </c>
      <c r="M387" s="498"/>
      <c r="N387" s="524"/>
      <c r="O387" s="498"/>
      <c r="P387" s="481"/>
      <c r="Q387" s="501">
        <v>0</v>
      </c>
      <c r="R387" s="498"/>
      <c r="S387" s="524">
        <v>0</v>
      </c>
      <c r="T387" s="478"/>
      <c r="U387" s="478"/>
      <c r="V387" s="481"/>
      <c r="W387" s="478"/>
      <c r="X387" s="478"/>
      <c r="Y387" s="478"/>
      <c r="Z387" s="478"/>
      <c r="AA387" s="478"/>
      <c r="AB387" s="478"/>
      <c r="AC387" s="478"/>
      <c r="AD387" s="478"/>
      <c r="AE387" s="478"/>
      <c r="AF387" s="478"/>
      <c r="AG387" s="478"/>
      <c r="AH387" s="478"/>
      <c r="AI387" s="478"/>
      <c r="AJ387" s="478"/>
      <c r="AK387" s="478"/>
      <c r="AL387" s="478"/>
      <c r="AM387" s="478"/>
      <c r="AN387" s="478"/>
    </row>
    <row r="388" spans="1:40" ht="20.25" hidden="1" customHeight="1">
      <c r="A388" s="490" t="s">
        <v>462</v>
      </c>
      <c r="B388" s="481" t="s">
        <v>119</v>
      </c>
      <c r="C388" s="565" t="s">
        <v>61</v>
      </c>
      <c r="D388" s="550"/>
      <c r="E388" s="481"/>
      <c r="F388" s="499">
        <v>0</v>
      </c>
      <c r="G388" s="551"/>
      <c r="H388" s="481"/>
      <c r="I388" s="499"/>
      <c r="J388" s="498"/>
      <c r="K388" s="481"/>
      <c r="L388" s="501">
        <v>0</v>
      </c>
      <c r="M388" s="498"/>
      <c r="N388" s="524"/>
      <c r="O388" s="498"/>
      <c r="P388" s="481"/>
      <c r="Q388" s="501">
        <v>0</v>
      </c>
      <c r="R388" s="498"/>
      <c r="S388" s="524">
        <v>0</v>
      </c>
      <c r="T388" s="478"/>
      <c r="U388" s="478"/>
      <c r="V388" s="481"/>
      <c r="W388" s="478"/>
      <c r="X388" s="478"/>
      <c r="Y388" s="478"/>
      <c r="Z388" s="478"/>
      <c r="AA388" s="478"/>
      <c r="AB388" s="478"/>
      <c r="AC388" s="478"/>
      <c r="AD388" s="478"/>
      <c r="AE388" s="478"/>
      <c r="AF388" s="478"/>
      <c r="AG388" s="478"/>
      <c r="AH388" s="478"/>
      <c r="AI388" s="478"/>
      <c r="AJ388" s="478"/>
      <c r="AK388" s="478"/>
      <c r="AL388" s="478"/>
      <c r="AM388" s="478"/>
      <c r="AN388" s="478"/>
    </row>
    <row r="389" spans="1:40" ht="20.25" hidden="1" customHeight="1">
      <c r="A389" s="490" t="s">
        <v>463</v>
      </c>
      <c r="B389" s="481" t="s">
        <v>119</v>
      </c>
      <c r="C389" s="565" t="s">
        <v>62</v>
      </c>
      <c r="D389" s="550"/>
      <c r="E389" s="481"/>
      <c r="F389" s="499">
        <v>0</v>
      </c>
      <c r="G389" s="551"/>
      <c r="H389" s="481"/>
      <c r="I389" s="499"/>
      <c r="J389" s="498"/>
      <c r="K389" s="481"/>
      <c r="L389" s="501">
        <v>0</v>
      </c>
      <c r="M389" s="498"/>
      <c r="N389" s="524"/>
      <c r="O389" s="498"/>
      <c r="P389" s="481"/>
      <c r="Q389" s="501">
        <v>0</v>
      </c>
      <c r="R389" s="498"/>
      <c r="S389" s="524">
        <v>0</v>
      </c>
      <c r="T389" s="478"/>
      <c r="U389" s="478"/>
      <c r="V389" s="481"/>
      <c r="W389" s="478"/>
      <c r="X389" s="478"/>
      <c r="Y389" s="478"/>
      <c r="Z389" s="478"/>
      <c r="AA389" s="478"/>
      <c r="AB389" s="478"/>
      <c r="AC389" s="478"/>
      <c r="AD389" s="478"/>
      <c r="AE389" s="478"/>
      <c r="AF389" s="478"/>
      <c r="AG389" s="478"/>
      <c r="AH389" s="478"/>
      <c r="AI389" s="478"/>
      <c r="AJ389" s="478"/>
      <c r="AK389" s="478"/>
      <c r="AL389" s="478"/>
      <c r="AM389" s="478"/>
      <c r="AN389" s="478"/>
    </row>
    <row r="390" spans="1:40" ht="20.25" hidden="1" customHeight="1">
      <c r="A390" s="490" t="s">
        <v>464</v>
      </c>
      <c r="B390" s="481" t="s">
        <v>119</v>
      </c>
      <c r="C390" s="565" t="s">
        <v>63</v>
      </c>
      <c r="D390" s="550"/>
      <c r="E390" s="481"/>
      <c r="F390" s="499">
        <v>0</v>
      </c>
      <c r="G390" s="551"/>
      <c r="H390" s="481"/>
      <c r="I390" s="499"/>
      <c r="J390" s="498"/>
      <c r="K390" s="481"/>
      <c r="L390" s="501">
        <v>0</v>
      </c>
      <c r="M390" s="498"/>
      <c r="N390" s="524"/>
      <c r="O390" s="498"/>
      <c r="P390" s="481"/>
      <c r="Q390" s="501">
        <v>0</v>
      </c>
      <c r="R390" s="498"/>
      <c r="S390" s="524">
        <v>0</v>
      </c>
      <c r="T390" s="478"/>
      <c r="U390" s="478"/>
      <c r="V390" s="481"/>
      <c r="W390" s="478"/>
      <c r="X390" s="478"/>
      <c r="Y390" s="478"/>
      <c r="Z390" s="478"/>
      <c r="AA390" s="478"/>
      <c r="AB390" s="478"/>
      <c r="AC390" s="478"/>
      <c r="AD390" s="478"/>
      <c r="AE390" s="478"/>
      <c r="AF390" s="478"/>
      <c r="AG390" s="478"/>
      <c r="AH390" s="478"/>
      <c r="AI390" s="478"/>
      <c r="AJ390" s="478"/>
      <c r="AK390" s="478"/>
      <c r="AL390" s="478"/>
      <c r="AM390" s="478"/>
      <c r="AN390" s="478"/>
    </row>
    <row r="391" spans="1:40" ht="15.75" hidden="1" customHeight="1">
      <c r="A391" s="490" t="s">
        <v>445</v>
      </c>
      <c r="B391" s="481" t="s">
        <v>119</v>
      </c>
      <c r="C391" s="565" t="s">
        <v>20</v>
      </c>
      <c r="D391" s="550"/>
      <c r="E391" s="481"/>
      <c r="F391" s="499">
        <v>0</v>
      </c>
      <c r="G391" s="551"/>
      <c r="H391" s="481"/>
      <c r="I391" s="499"/>
      <c r="J391" s="498"/>
      <c r="K391" s="481"/>
      <c r="L391" s="501">
        <v>0</v>
      </c>
      <c r="M391" s="498"/>
      <c r="N391" s="524"/>
      <c r="O391" s="498"/>
      <c r="P391" s="481"/>
      <c r="Q391" s="501">
        <v>0</v>
      </c>
      <c r="R391" s="498"/>
      <c r="S391" s="524">
        <v>0</v>
      </c>
      <c r="T391" s="478"/>
      <c r="U391" s="478"/>
      <c r="V391" s="481"/>
      <c r="W391" s="478"/>
      <c r="X391" s="478"/>
      <c r="Y391" s="478"/>
      <c r="Z391" s="478"/>
      <c r="AA391" s="478"/>
      <c r="AB391" s="478"/>
      <c r="AC391" s="478"/>
      <c r="AD391" s="478"/>
      <c r="AE391" s="478"/>
      <c r="AF391" s="478"/>
      <c r="AG391" s="478"/>
      <c r="AH391" s="478"/>
      <c r="AI391" s="478"/>
      <c r="AJ391" s="478"/>
      <c r="AK391" s="478"/>
      <c r="AL391" s="478"/>
      <c r="AM391" s="478"/>
      <c r="AN391" s="478"/>
    </row>
    <row r="392" spans="1:40" ht="15.75" hidden="1" customHeight="1">
      <c r="A392" s="490" t="s">
        <v>445</v>
      </c>
      <c r="B392" s="481" t="s">
        <v>119</v>
      </c>
      <c r="C392" s="565" t="s">
        <v>20</v>
      </c>
      <c r="D392" s="550"/>
      <c r="E392" s="481"/>
      <c r="F392" s="499">
        <v>0</v>
      </c>
      <c r="G392" s="551"/>
      <c r="H392" s="481"/>
      <c r="I392" s="499"/>
      <c r="J392" s="498"/>
      <c r="K392" s="481"/>
      <c r="L392" s="501">
        <v>0</v>
      </c>
      <c r="M392" s="498"/>
      <c r="N392" s="524"/>
      <c r="O392" s="498"/>
      <c r="P392" s="481"/>
      <c r="Q392" s="501">
        <v>0</v>
      </c>
      <c r="R392" s="498"/>
      <c r="S392" s="524">
        <v>0</v>
      </c>
      <c r="T392" s="478"/>
      <c r="U392" s="478"/>
      <c r="V392" s="481"/>
      <c r="W392" s="478"/>
      <c r="X392" s="478"/>
      <c r="Y392" s="478"/>
      <c r="Z392" s="478"/>
      <c r="AA392" s="478"/>
      <c r="AB392" s="478"/>
      <c r="AC392" s="478"/>
      <c r="AD392" s="478"/>
      <c r="AE392" s="478"/>
      <c r="AF392" s="478"/>
      <c r="AG392" s="478"/>
      <c r="AH392" s="478"/>
      <c r="AI392" s="478"/>
      <c r="AJ392" s="478"/>
      <c r="AK392" s="478"/>
      <c r="AL392" s="478"/>
      <c r="AM392" s="478"/>
      <c r="AN392" s="478"/>
    </row>
    <row r="393" spans="1:40" ht="15.75" hidden="1" customHeight="1">
      <c r="A393" s="490" t="s">
        <v>445</v>
      </c>
      <c r="B393" s="481" t="s">
        <v>119</v>
      </c>
      <c r="C393" s="565" t="s">
        <v>20</v>
      </c>
      <c r="D393" s="552"/>
      <c r="E393" s="571"/>
      <c r="F393" s="499">
        <v>0</v>
      </c>
      <c r="G393" s="553"/>
      <c r="H393" s="571"/>
      <c r="I393" s="499"/>
      <c r="J393" s="491"/>
      <c r="K393" s="571"/>
      <c r="L393" s="501">
        <v>0</v>
      </c>
      <c r="M393" s="491"/>
      <c r="N393" s="547"/>
      <c r="O393" s="491"/>
      <c r="P393" s="571"/>
      <c r="Q393" s="501">
        <v>0</v>
      </c>
      <c r="R393" s="491"/>
      <c r="S393" s="547">
        <v>0</v>
      </c>
      <c r="T393" s="478"/>
      <c r="U393" s="478"/>
      <c r="V393" s="481"/>
      <c r="W393" s="478"/>
      <c r="X393" s="478"/>
      <c r="Y393" s="478"/>
      <c r="Z393" s="478"/>
      <c r="AA393" s="478"/>
      <c r="AB393" s="478"/>
      <c r="AC393" s="478"/>
      <c r="AD393" s="478"/>
      <c r="AE393" s="478"/>
      <c r="AF393" s="478"/>
      <c r="AG393" s="478"/>
      <c r="AH393" s="478"/>
      <c r="AI393" s="478"/>
      <c r="AJ393" s="478"/>
      <c r="AK393" s="478"/>
      <c r="AL393" s="478"/>
      <c r="AM393" s="478"/>
      <c r="AN393" s="478"/>
    </row>
    <row r="394" spans="1:40" ht="15.75" hidden="1" customHeight="1">
      <c r="B394" s="475"/>
      <c r="C394" s="557" t="s">
        <v>64</v>
      </c>
      <c r="D394" s="558" t="s">
        <v>39</v>
      </c>
      <c r="E394" s="559">
        <v>0</v>
      </c>
      <c r="F394" s="560">
        <v>0</v>
      </c>
      <c r="G394" s="561"/>
      <c r="H394" s="559"/>
      <c r="I394" s="560"/>
      <c r="J394" s="561" t="s">
        <v>39</v>
      </c>
      <c r="K394" s="559">
        <v>0</v>
      </c>
      <c r="L394" s="560">
        <v>0</v>
      </c>
      <c r="M394" s="610"/>
      <c r="N394" s="560"/>
      <c r="O394" s="561" t="s">
        <v>39</v>
      </c>
      <c r="P394" s="559">
        <v>0</v>
      </c>
      <c r="Q394" s="560">
        <v>0</v>
      </c>
      <c r="R394" s="610"/>
      <c r="S394" s="573">
        <v>0</v>
      </c>
      <c r="T394" s="478"/>
      <c r="U394" s="478"/>
      <c r="V394" s="481"/>
      <c r="W394" s="478"/>
      <c r="X394" s="478"/>
      <c r="Y394" s="478"/>
      <c r="Z394" s="478"/>
      <c r="AA394" s="478"/>
      <c r="AB394" s="478"/>
      <c r="AC394" s="478"/>
      <c r="AD394" s="478"/>
      <c r="AE394" s="478"/>
      <c r="AF394" s="478"/>
      <c r="AG394" s="478"/>
      <c r="AH394" s="478"/>
      <c r="AI394" s="478"/>
      <c r="AJ394" s="478"/>
      <c r="AK394" s="478"/>
      <c r="AL394" s="478"/>
      <c r="AM394" s="478"/>
      <c r="AN394" s="478"/>
    </row>
    <row r="395" spans="1:40" ht="15.75" hidden="1" customHeight="1">
      <c r="B395" s="475"/>
      <c r="C395" s="498"/>
      <c r="D395" s="481"/>
      <c r="E395" s="481"/>
      <c r="F395" s="508"/>
      <c r="G395" s="498"/>
      <c r="H395" s="481"/>
      <c r="I395" s="508"/>
      <c r="J395" s="498"/>
      <c r="K395" s="481"/>
      <c r="L395" s="508"/>
      <c r="M395" s="517"/>
      <c r="N395" s="538"/>
      <c r="O395" s="498"/>
      <c r="P395" s="481"/>
      <c r="Q395" s="508"/>
      <c r="R395" s="498"/>
      <c r="S395" s="538"/>
      <c r="T395" s="478"/>
      <c r="U395" s="478"/>
      <c r="V395" s="481"/>
      <c r="W395" s="478"/>
      <c r="X395" s="478"/>
      <c r="Y395" s="478"/>
      <c r="Z395" s="478"/>
      <c r="AA395" s="478"/>
      <c r="AB395" s="478"/>
      <c r="AC395" s="478"/>
      <c r="AD395" s="478"/>
      <c r="AE395" s="478"/>
      <c r="AF395" s="478"/>
      <c r="AG395" s="478"/>
      <c r="AH395" s="478"/>
      <c r="AI395" s="478"/>
      <c r="AJ395" s="478"/>
      <c r="AK395" s="478"/>
      <c r="AL395" s="478"/>
      <c r="AM395" s="478"/>
      <c r="AN395" s="478"/>
    </row>
    <row r="396" spans="1:40" ht="15.75" hidden="1" customHeight="1">
      <c r="B396" s="475"/>
      <c r="C396" s="557" t="s">
        <v>65</v>
      </c>
      <c r="D396" s="558" t="s">
        <v>39</v>
      </c>
      <c r="E396" s="559">
        <v>0</v>
      </c>
      <c r="F396" s="560">
        <v>0</v>
      </c>
      <c r="G396" s="561"/>
      <c r="H396" s="559"/>
      <c r="I396" s="560"/>
      <c r="J396" s="561" t="s">
        <v>39</v>
      </c>
      <c r="K396" s="559">
        <v>0</v>
      </c>
      <c r="L396" s="560">
        <v>0</v>
      </c>
      <c r="M396" s="557"/>
      <c r="N396" s="560"/>
      <c r="O396" s="561" t="s">
        <v>39</v>
      </c>
      <c r="P396" s="559">
        <v>0</v>
      </c>
      <c r="Q396" s="560">
        <v>0</v>
      </c>
      <c r="R396" s="564"/>
      <c r="S396" s="560">
        <v>0</v>
      </c>
      <c r="T396" s="478"/>
      <c r="U396" s="478"/>
      <c r="V396" s="481"/>
      <c r="W396" s="478"/>
      <c r="X396" s="478"/>
      <c r="Y396" s="478"/>
      <c r="Z396" s="478"/>
      <c r="AA396" s="478"/>
      <c r="AB396" s="478"/>
      <c r="AC396" s="478"/>
      <c r="AD396" s="478"/>
      <c r="AE396" s="478"/>
      <c r="AF396" s="478"/>
      <c r="AG396" s="478"/>
      <c r="AH396" s="478"/>
      <c r="AI396" s="478"/>
      <c r="AJ396" s="478"/>
      <c r="AK396" s="478"/>
      <c r="AL396" s="478"/>
      <c r="AM396" s="478"/>
      <c r="AN396" s="478"/>
    </row>
    <row r="397" spans="1:40" ht="15.75" hidden="1" customHeight="1">
      <c r="B397" s="475"/>
      <c r="C397" s="498"/>
      <c r="D397" s="481"/>
      <c r="E397" s="481"/>
      <c r="F397" s="524"/>
      <c r="G397" s="498"/>
      <c r="H397" s="481"/>
      <c r="I397" s="524"/>
      <c r="J397" s="498"/>
      <c r="K397" s="481"/>
      <c r="L397" s="524"/>
      <c r="M397" s="517"/>
      <c r="N397" s="538"/>
      <c r="O397" s="498"/>
      <c r="P397" s="481"/>
      <c r="Q397" s="524"/>
      <c r="R397" s="498"/>
      <c r="S397" s="538"/>
      <c r="T397" s="478"/>
      <c r="U397" s="478"/>
      <c r="V397" s="481"/>
      <c r="W397" s="478"/>
      <c r="X397" s="478"/>
      <c r="Y397" s="478"/>
      <c r="Z397" s="478"/>
      <c r="AA397" s="478"/>
      <c r="AB397" s="478"/>
      <c r="AC397" s="478"/>
      <c r="AD397" s="478"/>
      <c r="AE397" s="478"/>
      <c r="AF397" s="478"/>
      <c r="AG397" s="478"/>
      <c r="AH397" s="478"/>
      <c r="AI397" s="478"/>
      <c r="AJ397" s="478"/>
      <c r="AK397" s="478"/>
      <c r="AL397" s="478"/>
      <c r="AM397" s="478"/>
      <c r="AN397" s="478"/>
    </row>
    <row r="398" spans="1:40" ht="15.75" hidden="1" customHeight="1">
      <c r="B398" s="475"/>
      <c r="C398" s="687" t="s">
        <v>72</v>
      </c>
      <c r="D398" s="688"/>
      <c r="E398" s="688"/>
      <c r="F398" s="689">
        <v>0</v>
      </c>
      <c r="G398" s="687"/>
      <c r="H398" s="688"/>
      <c r="I398" s="689"/>
      <c r="J398" s="690"/>
      <c r="K398" s="691"/>
      <c r="L398" s="689">
        <v>0</v>
      </c>
      <c r="M398" s="687"/>
      <c r="N398" s="689"/>
      <c r="O398" s="690"/>
      <c r="P398" s="691"/>
      <c r="Q398" s="689">
        <v>0</v>
      </c>
      <c r="R398" s="690"/>
      <c r="S398" s="689">
        <v>0</v>
      </c>
      <c r="T398" s="478"/>
      <c r="U398" s="478"/>
      <c r="V398" s="481"/>
      <c r="W398" s="478"/>
      <c r="X398" s="478"/>
      <c r="Y398" s="478"/>
      <c r="Z398" s="478"/>
      <c r="AA398" s="478"/>
      <c r="AB398" s="478"/>
      <c r="AC398" s="478"/>
      <c r="AD398" s="478"/>
      <c r="AE398" s="478"/>
      <c r="AF398" s="478"/>
      <c r="AG398" s="478"/>
      <c r="AH398" s="478"/>
      <c r="AI398" s="478"/>
      <c r="AJ398" s="478"/>
      <c r="AK398" s="478"/>
      <c r="AL398" s="478"/>
      <c r="AM398" s="478"/>
      <c r="AN398" s="478"/>
    </row>
    <row r="399" spans="1:40" ht="15.75" customHeight="1">
      <c r="B399" s="475"/>
      <c r="C399" s="537"/>
      <c r="D399" s="692"/>
      <c r="E399" s="481"/>
      <c r="F399" s="572"/>
      <c r="G399" s="550"/>
      <c r="H399" s="481"/>
      <c r="I399" s="572"/>
      <c r="J399" s="692"/>
      <c r="K399" s="537"/>
      <c r="L399" s="572"/>
      <c r="M399" s="537"/>
      <c r="N399" s="572"/>
      <c r="O399" s="537"/>
      <c r="P399" s="537"/>
      <c r="Q399" s="572"/>
      <c r="R399" s="537"/>
      <c r="S399" s="572"/>
      <c r="T399" s="481"/>
      <c r="U399" s="481"/>
      <c r="V399" s="481"/>
      <c r="W399" s="481"/>
      <c r="X399" s="481"/>
      <c r="Y399" s="481"/>
      <c r="Z399" s="481"/>
      <c r="AA399" s="481"/>
      <c r="AB399" s="481"/>
      <c r="AC399" s="481"/>
      <c r="AD399" s="481"/>
      <c r="AE399" s="481"/>
      <c r="AF399" s="481"/>
      <c r="AG399" s="481"/>
      <c r="AH399" s="481"/>
      <c r="AI399" s="481"/>
      <c r="AJ399" s="481"/>
      <c r="AK399" s="481"/>
      <c r="AL399" s="481"/>
      <c r="AM399" s="481"/>
      <c r="AN399" s="481"/>
    </row>
    <row r="400" spans="1:40" ht="15.75" customHeight="1">
      <c r="B400" s="475"/>
      <c r="F400" s="693"/>
      <c r="L400" s="693"/>
      <c r="V400" s="481"/>
      <c r="W400" s="478"/>
      <c r="X400" s="478"/>
      <c r="Y400" s="478"/>
      <c r="Z400" s="478"/>
      <c r="AA400" s="478"/>
      <c r="AB400" s="478"/>
      <c r="AC400" s="478"/>
      <c r="AD400" s="478"/>
      <c r="AE400" s="478"/>
      <c r="AF400" s="478"/>
      <c r="AG400" s="478"/>
      <c r="AH400" s="478"/>
      <c r="AI400" s="478"/>
      <c r="AJ400" s="478"/>
      <c r="AK400" s="478"/>
      <c r="AL400" s="478"/>
      <c r="AM400" s="478"/>
      <c r="AN400" s="478"/>
    </row>
    <row r="401" spans="1:61" ht="35.4">
      <c r="B401" s="475"/>
      <c r="C401" s="694" t="s">
        <v>465</v>
      </c>
      <c r="F401" s="693"/>
      <c r="L401" s="693"/>
      <c r="V401" s="695" t="s">
        <v>223</v>
      </c>
      <c r="W401" s="467"/>
      <c r="X401" s="467"/>
      <c r="Y401" s="467"/>
      <c r="Z401" s="467"/>
      <c r="AA401" s="467"/>
      <c r="AB401" s="467"/>
      <c r="AC401" s="467"/>
      <c r="AD401" s="467"/>
      <c r="AE401" s="469" t="s">
        <v>476</v>
      </c>
      <c r="AF401" s="467"/>
      <c r="AG401" s="467"/>
      <c r="AH401" s="467"/>
      <c r="AI401" s="467"/>
      <c r="AJ401" s="696"/>
      <c r="AK401" s="469"/>
      <c r="AL401" s="467"/>
      <c r="AM401" s="467"/>
      <c r="AN401" s="467"/>
      <c r="AO401" s="696" t="s">
        <v>482</v>
      </c>
      <c r="AP401" s="478"/>
      <c r="AQ401" s="478"/>
      <c r="AR401" s="478"/>
      <c r="AS401" s="478"/>
      <c r="AT401" s="478"/>
      <c r="AU401" s="478"/>
      <c r="AV401" s="478"/>
      <c r="AW401" s="478"/>
      <c r="AX401" s="478"/>
      <c r="AY401" s="478"/>
      <c r="AZ401" s="478"/>
      <c r="BA401" s="478"/>
      <c r="BB401" s="478"/>
      <c r="BC401" s="478"/>
      <c r="BD401" s="478"/>
      <c r="BE401" s="478"/>
      <c r="BF401" s="478"/>
      <c r="BG401" s="478"/>
      <c r="BH401" s="478"/>
      <c r="BI401" s="478"/>
    </row>
    <row r="402" spans="1:61" ht="15.75" customHeight="1" thickBot="1">
      <c r="B402" s="475"/>
      <c r="C402" s="694" t="s">
        <v>465</v>
      </c>
      <c r="V402" s="697"/>
      <c r="W402" s="477"/>
      <c r="X402" s="477"/>
      <c r="Y402" s="477"/>
      <c r="Z402" s="477"/>
      <c r="AA402" s="477"/>
      <c r="AB402" s="477"/>
      <c r="AC402" s="477"/>
      <c r="AD402" s="477"/>
      <c r="AE402" s="477"/>
      <c r="AF402" s="477"/>
      <c r="AG402" s="477"/>
      <c r="AH402" s="477"/>
      <c r="AI402" s="477"/>
      <c r="AJ402" s="477"/>
      <c r="AK402" s="477"/>
      <c r="AL402" s="478"/>
      <c r="AM402" s="478"/>
      <c r="AN402" s="478"/>
      <c r="AO402" s="478"/>
      <c r="AP402" s="478"/>
      <c r="AQ402" s="478"/>
      <c r="AR402" s="478"/>
      <c r="AS402" s="478"/>
      <c r="AT402" s="478"/>
      <c r="AU402" s="478"/>
      <c r="AV402" s="478"/>
      <c r="AW402" s="478"/>
      <c r="AX402" s="478"/>
      <c r="AY402" s="478"/>
      <c r="AZ402" s="478"/>
      <c r="BA402" s="478"/>
      <c r="BB402" s="478"/>
      <c r="BC402" s="478"/>
      <c r="BD402" s="478"/>
      <c r="BE402" s="478"/>
      <c r="BF402" s="478"/>
      <c r="BG402" s="478"/>
      <c r="BH402" s="478"/>
      <c r="BI402" s="478"/>
    </row>
    <row r="403" spans="1:61" ht="15.75" customHeight="1" thickTop="1" thickBot="1">
      <c r="A403" s="490" t="s">
        <v>466</v>
      </c>
      <c r="B403" s="475"/>
      <c r="C403" s="694" t="s">
        <v>465</v>
      </c>
      <c r="V403" s="698"/>
      <c r="W403" s="699"/>
      <c r="X403" s="859" t="s">
        <v>122</v>
      </c>
      <c r="Y403" s="860"/>
      <c r="Z403" s="861"/>
      <c r="AA403" s="862"/>
      <c r="AB403" s="860"/>
      <c r="AC403" s="861"/>
      <c r="AD403" s="862" t="s">
        <v>7</v>
      </c>
      <c r="AE403" s="860"/>
      <c r="AF403" s="861"/>
      <c r="AG403" s="862" t="s">
        <v>472</v>
      </c>
      <c r="AH403" s="860"/>
      <c r="AI403" s="861"/>
      <c r="AJ403" s="862" t="s">
        <v>123</v>
      </c>
      <c r="AK403" s="860"/>
      <c r="AL403" s="860"/>
      <c r="AM403" s="862" t="s">
        <v>124</v>
      </c>
      <c r="AN403" s="860"/>
      <c r="AO403" s="863"/>
      <c r="AP403" s="478"/>
      <c r="AQ403" s="478"/>
      <c r="AR403" s="478"/>
      <c r="AS403" s="478"/>
      <c r="AT403" s="478"/>
      <c r="AU403" s="478"/>
      <c r="AV403" s="478"/>
      <c r="AW403" s="478"/>
      <c r="AX403" s="478"/>
      <c r="AY403" s="478"/>
      <c r="AZ403" s="478"/>
      <c r="BA403" s="478"/>
      <c r="BB403" s="478"/>
      <c r="BC403" s="478"/>
      <c r="BD403" s="478"/>
      <c r="BE403" s="478"/>
      <c r="BF403" s="478"/>
      <c r="BG403" s="478"/>
      <c r="BH403" s="478"/>
      <c r="BI403" s="478"/>
    </row>
    <row r="404" spans="1:61" ht="15.75" customHeight="1">
      <c r="A404" s="490" t="s">
        <v>466</v>
      </c>
      <c r="B404" s="475"/>
      <c r="C404" s="694" t="s">
        <v>465</v>
      </c>
      <c r="V404" s="491"/>
      <c r="W404" s="659" t="s">
        <v>125</v>
      </c>
      <c r="X404" s="659" t="s">
        <v>126</v>
      </c>
      <c r="Y404" s="659" t="s">
        <v>127</v>
      </c>
      <c r="Z404" s="700" t="s">
        <v>128</v>
      </c>
      <c r="AA404" s="659"/>
      <c r="AB404" s="659"/>
      <c r="AC404" s="700"/>
      <c r="AD404" s="701" t="s">
        <v>126</v>
      </c>
      <c r="AE404" s="659" t="s">
        <v>127</v>
      </c>
      <c r="AF404" s="659" t="s">
        <v>128</v>
      </c>
      <c r="AG404" s="701" t="s">
        <v>129</v>
      </c>
      <c r="AH404" s="659" t="s">
        <v>130</v>
      </c>
      <c r="AI404" s="659" t="s">
        <v>131</v>
      </c>
      <c r="AJ404" s="701" t="s">
        <v>126</v>
      </c>
      <c r="AK404" s="659" t="s">
        <v>127</v>
      </c>
      <c r="AL404" s="659" t="s">
        <v>128</v>
      </c>
      <c r="AM404" s="702" t="s">
        <v>129</v>
      </c>
      <c r="AN404" s="659" t="s">
        <v>130</v>
      </c>
      <c r="AO404" s="598" t="s">
        <v>131</v>
      </c>
      <c r="AP404" s="478"/>
      <c r="AQ404" s="478"/>
      <c r="AR404" s="478"/>
      <c r="AS404" s="478"/>
      <c r="AT404" s="478"/>
      <c r="AU404" s="478"/>
      <c r="AV404" s="478"/>
      <c r="AW404" s="478"/>
      <c r="AX404" s="478"/>
      <c r="AY404" s="478"/>
      <c r="AZ404" s="478"/>
      <c r="BA404" s="478"/>
      <c r="BB404" s="478"/>
      <c r="BC404" s="478"/>
      <c r="BD404" s="478"/>
      <c r="BE404" s="478"/>
      <c r="BF404" s="478"/>
      <c r="BG404" s="478"/>
      <c r="BH404" s="478"/>
      <c r="BI404" s="478"/>
    </row>
    <row r="405" spans="1:61" ht="15.75" customHeight="1">
      <c r="A405" s="490" t="s">
        <v>15</v>
      </c>
      <c r="B405" s="475"/>
      <c r="C405" s="694" t="s">
        <v>465</v>
      </c>
      <c r="V405" s="566" t="s">
        <v>15</v>
      </c>
      <c r="W405" s="703"/>
      <c r="X405" s="703"/>
      <c r="Y405" s="703"/>
      <c r="Z405" s="704">
        <v>4594029.1892951308</v>
      </c>
      <c r="AA405" s="703"/>
      <c r="AB405" s="703"/>
      <c r="AC405" s="704"/>
      <c r="AD405" s="705"/>
      <c r="AE405" s="706"/>
      <c r="AF405" s="706">
        <v>4651900.0100000007</v>
      </c>
      <c r="AG405" s="705"/>
      <c r="AH405" s="706"/>
      <c r="AI405" s="707"/>
      <c r="AJ405" s="705"/>
      <c r="AK405" s="706"/>
      <c r="AL405" s="706">
        <v>5074158.8599999994</v>
      </c>
      <c r="AM405" s="708"/>
      <c r="AN405" s="706"/>
      <c r="AO405" s="709"/>
      <c r="AP405" s="478"/>
      <c r="AQ405" s="478"/>
      <c r="AR405" s="478"/>
      <c r="AS405" s="478"/>
      <c r="AT405" s="478"/>
      <c r="AU405" s="478"/>
      <c r="AV405" s="478"/>
      <c r="AW405" s="478"/>
      <c r="AX405" s="478"/>
      <c r="AY405" s="478"/>
      <c r="AZ405" s="478"/>
      <c r="BA405" s="478"/>
      <c r="BB405" s="478"/>
      <c r="BC405" s="478"/>
      <c r="BD405" s="478"/>
      <c r="BE405" s="478"/>
      <c r="BF405" s="478"/>
      <c r="BG405" s="478"/>
      <c r="BH405" s="478"/>
      <c r="BI405" s="478"/>
    </row>
    <row r="406" spans="1:61" ht="15.75" customHeight="1">
      <c r="A406" s="490" t="s">
        <v>132</v>
      </c>
      <c r="B406" s="475"/>
      <c r="C406" s="694" t="s">
        <v>465</v>
      </c>
      <c r="V406" s="710" t="s">
        <v>132</v>
      </c>
      <c r="W406" s="711"/>
      <c r="X406" s="711"/>
      <c r="Y406" s="711"/>
      <c r="Z406" s="712">
        <v>648344.10682652763</v>
      </c>
      <c r="AA406" s="711"/>
      <c r="AB406" s="711"/>
      <c r="AC406" s="712"/>
      <c r="AD406" s="713"/>
      <c r="AE406" s="714"/>
      <c r="AF406" s="712">
        <v>612383</v>
      </c>
      <c r="AG406" s="713"/>
      <c r="AH406" s="714">
        <v>-35961.106826527626</v>
      </c>
      <c r="AI406" s="715">
        <v>-5.5466081125573427E-2</v>
      </c>
      <c r="AJ406" s="713"/>
      <c r="AK406" s="714"/>
      <c r="AL406" s="714">
        <v>699288.35999999987</v>
      </c>
      <c r="AM406" s="716"/>
      <c r="AN406" s="714">
        <v>-86905.35999999987</v>
      </c>
      <c r="AO406" s="717">
        <v>-0.12427685769000915</v>
      </c>
      <c r="AP406" s="478"/>
      <c r="AQ406" s="478"/>
      <c r="AR406" s="478"/>
      <c r="AS406" s="478"/>
      <c r="AT406" s="478"/>
      <c r="AU406" s="478"/>
      <c r="AV406" s="478"/>
      <c r="AW406" s="478"/>
      <c r="AX406" s="478"/>
      <c r="AY406" s="478"/>
      <c r="AZ406" s="478"/>
      <c r="BA406" s="478"/>
      <c r="BB406" s="478"/>
      <c r="BC406" s="478"/>
      <c r="BD406" s="478"/>
      <c r="BE406" s="478"/>
      <c r="BF406" s="478"/>
      <c r="BG406" s="478"/>
      <c r="BH406" s="478"/>
      <c r="BI406" s="478"/>
    </row>
    <row r="407" spans="1:61" ht="15.75" customHeight="1">
      <c r="A407" s="490" t="s">
        <v>133</v>
      </c>
      <c r="B407" s="475"/>
      <c r="C407" s="694" t="s">
        <v>465</v>
      </c>
      <c r="V407" s="718" t="s">
        <v>133</v>
      </c>
      <c r="W407" s="719"/>
      <c r="X407" s="719"/>
      <c r="Y407" s="719"/>
      <c r="Z407" s="720"/>
      <c r="AA407" s="719"/>
      <c r="AB407" s="719"/>
      <c r="AC407" s="720"/>
      <c r="AD407" s="721"/>
      <c r="AE407" s="719"/>
      <c r="AF407" s="722"/>
      <c r="AG407" s="721"/>
      <c r="AH407" s="722"/>
      <c r="AI407" s="723"/>
      <c r="AJ407" s="721"/>
      <c r="AK407" s="719"/>
      <c r="AL407" s="722"/>
      <c r="AM407" s="724"/>
      <c r="AN407" s="722"/>
      <c r="AO407" s="725"/>
      <c r="AP407" s="478"/>
      <c r="AQ407" s="478"/>
      <c r="AR407" s="478"/>
      <c r="AS407" s="478"/>
      <c r="AT407" s="478"/>
      <c r="AU407" s="478"/>
      <c r="AV407" s="478"/>
      <c r="AW407" s="478"/>
      <c r="AX407" s="478"/>
      <c r="AY407" s="478"/>
      <c r="AZ407" s="478"/>
      <c r="BA407" s="478"/>
      <c r="BB407" s="478"/>
      <c r="BC407" s="478"/>
      <c r="BD407" s="478"/>
      <c r="BE407" s="478"/>
      <c r="BF407" s="478"/>
      <c r="BG407" s="478"/>
      <c r="BH407" s="478"/>
      <c r="BI407" s="478"/>
    </row>
    <row r="408" spans="1:61" ht="15.75" customHeight="1">
      <c r="A408" s="490" t="s">
        <v>31</v>
      </c>
      <c r="B408" s="475"/>
      <c r="C408" s="694" t="s">
        <v>465</v>
      </c>
      <c r="V408" s="565" t="s">
        <v>31</v>
      </c>
      <c r="W408" s="726" t="s">
        <v>134</v>
      </c>
      <c r="X408" s="719"/>
      <c r="Y408" s="727">
        <v>720.1838727437538</v>
      </c>
      <c r="Z408" s="720">
        <v>62105.762622400005</v>
      </c>
      <c r="AA408" s="719"/>
      <c r="AB408" s="727"/>
      <c r="AC408" s="720"/>
      <c r="AD408" s="728"/>
      <c r="AE408" s="727">
        <v>930.65569444444429</v>
      </c>
      <c r="AF408" s="720">
        <v>67007.209999999992</v>
      </c>
      <c r="AG408" s="721">
        <v>210.4718217006905</v>
      </c>
      <c r="AH408" s="722">
        <v>4901.4473775999868</v>
      </c>
      <c r="AI408" s="723">
        <v>7.8920975617038092E-2</v>
      </c>
      <c r="AJ408" s="728"/>
      <c r="AK408" s="722">
        <v>963.63539325842703</v>
      </c>
      <c r="AL408" s="720">
        <v>85763.55</v>
      </c>
      <c r="AM408" s="724">
        <v>210.4718217006905</v>
      </c>
      <c r="AN408" s="722">
        <v>-18756.340000000011</v>
      </c>
      <c r="AO408" s="729">
        <v>-0.21869826983607851</v>
      </c>
      <c r="AP408" s="478"/>
      <c r="AQ408" s="478"/>
      <c r="AR408" s="475"/>
      <c r="AS408" s="478"/>
      <c r="AT408" s="478"/>
      <c r="AU408" s="478"/>
      <c r="AV408" s="478"/>
      <c r="AW408" s="478"/>
      <c r="AX408" s="478"/>
      <c r="AY408" s="478"/>
      <c r="AZ408" s="478"/>
      <c r="BA408" s="478"/>
      <c r="BB408" s="478"/>
      <c r="BC408" s="478"/>
      <c r="BD408" s="478"/>
      <c r="BE408" s="478"/>
      <c r="BF408" s="478"/>
      <c r="BG408" s="478"/>
      <c r="BH408" s="478"/>
      <c r="BI408" s="478"/>
    </row>
    <row r="409" spans="1:61" ht="15.75" customHeight="1">
      <c r="A409" s="490" t="s">
        <v>32</v>
      </c>
      <c r="B409" s="475"/>
      <c r="C409" s="694" t="s">
        <v>465</v>
      </c>
      <c r="V409" s="566" t="s">
        <v>32</v>
      </c>
      <c r="W409" s="730" t="s">
        <v>135</v>
      </c>
      <c r="X409" s="703"/>
      <c r="Y409" s="731">
        <v>473.0280865928296</v>
      </c>
      <c r="Z409" s="704">
        <v>40792.040993279996</v>
      </c>
      <c r="AA409" s="703"/>
      <c r="AB409" s="731"/>
      <c r="AC409" s="704"/>
      <c r="AD409" s="732"/>
      <c r="AE409" s="731">
        <v>439.10263888888886</v>
      </c>
      <c r="AF409" s="704">
        <v>31615.39</v>
      </c>
      <c r="AG409" s="705">
        <v>-33.925447703940733</v>
      </c>
      <c r="AH409" s="706">
        <v>-9176.6509932799963</v>
      </c>
      <c r="AI409" s="733">
        <v>-0.22496180063144525</v>
      </c>
      <c r="AJ409" s="732"/>
      <c r="AK409" s="706">
        <v>443.50662921348311</v>
      </c>
      <c r="AL409" s="704">
        <v>39472.089999999997</v>
      </c>
      <c r="AM409" s="708">
        <v>-33.925447703940733</v>
      </c>
      <c r="AN409" s="706">
        <v>-7856.6999999999971</v>
      </c>
      <c r="AO409" s="709">
        <v>-0.19904443874139924</v>
      </c>
      <c r="AP409" s="478"/>
      <c r="AQ409" s="478"/>
      <c r="AR409" s="481"/>
      <c r="AS409" s="478"/>
      <c r="AT409" s="478"/>
      <c r="AU409" s="478"/>
      <c r="AV409" s="478"/>
      <c r="AW409" s="478"/>
      <c r="AX409" s="478"/>
      <c r="AY409" s="478"/>
      <c r="AZ409" s="478"/>
      <c r="BA409" s="478"/>
      <c r="BB409" s="478"/>
      <c r="BC409" s="478"/>
      <c r="BD409" s="478"/>
      <c r="BE409" s="478"/>
      <c r="BF409" s="478"/>
      <c r="BG409" s="478"/>
      <c r="BH409" s="478"/>
      <c r="BI409" s="478"/>
    </row>
    <row r="410" spans="1:61" ht="15.75" customHeight="1">
      <c r="A410" s="490" t="s">
        <v>33</v>
      </c>
      <c r="B410" s="475"/>
      <c r="C410" s="694" t="s">
        <v>465</v>
      </c>
      <c r="V410" s="565" t="s">
        <v>33</v>
      </c>
      <c r="W410" s="726" t="s">
        <v>136</v>
      </c>
      <c r="X410" s="719"/>
      <c r="Y410" s="727">
        <v>87.347220274982519</v>
      </c>
      <c r="Z410" s="720">
        <v>7532.4732105667636</v>
      </c>
      <c r="AA410" s="719"/>
      <c r="AB410" s="727"/>
      <c r="AC410" s="720"/>
      <c r="AD410" s="728"/>
      <c r="AE410" s="727">
        <v>67.379166666666663</v>
      </c>
      <c r="AF410" s="720">
        <v>4851.3</v>
      </c>
      <c r="AG410" s="721">
        <v>-19.968053608315856</v>
      </c>
      <c r="AH410" s="722">
        <v>-2681.1732105667634</v>
      </c>
      <c r="AI410" s="723">
        <v>-0.35594858894493497</v>
      </c>
      <c r="AJ410" s="728"/>
      <c r="AK410" s="722">
        <v>102.10292134831461</v>
      </c>
      <c r="AL410" s="720">
        <v>9087.16</v>
      </c>
      <c r="AM410" s="724">
        <v>-19.968053608315856</v>
      </c>
      <c r="AN410" s="722">
        <v>-4235.8599999999997</v>
      </c>
      <c r="AO410" s="729">
        <v>-0.46613683483068413</v>
      </c>
      <c r="AP410" s="478"/>
      <c r="AQ410" s="478"/>
      <c r="AR410" s="481"/>
      <c r="AS410" s="478"/>
      <c r="AT410" s="478"/>
      <c r="AU410" s="478"/>
      <c r="AV410" s="478"/>
      <c r="AW410" s="478"/>
      <c r="AX410" s="478"/>
      <c r="AY410" s="478"/>
      <c r="AZ410" s="478"/>
      <c r="BA410" s="478"/>
      <c r="BB410" s="478"/>
      <c r="BC410" s="478"/>
      <c r="BD410" s="478"/>
      <c r="BE410" s="478"/>
      <c r="BF410" s="478"/>
      <c r="BG410" s="478"/>
      <c r="BH410" s="478"/>
      <c r="BI410" s="478"/>
    </row>
    <row r="411" spans="1:61" ht="15.75" customHeight="1">
      <c r="A411" s="490" t="s">
        <v>34</v>
      </c>
      <c r="B411" s="475"/>
      <c r="C411" s="694" t="s">
        <v>465</v>
      </c>
      <c r="V411" s="565" t="s">
        <v>34</v>
      </c>
      <c r="W411" s="726" t="s">
        <v>137</v>
      </c>
      <c r="X411" s="719"/>
      <c r="Y411" s="727">
        <v>9.6910366626244908</v>
      </c>
      <c r="Z411" s="720">
        <v>835.71605157018166</v>
      </c>
      <c r="AA411" s="719"/>
      <c r="AB411" s="727"/>
      <c r="AC411" s="720"/>
      <c r="AD411" s="728"/>
      <c r="AE411" s="727">
        <v>9.1704166666666662</v>
      </c>
      <c r="AF411" s="720">
        <v>660.27</v>
      </c>
      <c r="AG411" s="721">
        <v>-0.5206199959578246</v>
      </c>
      <c r="AH411" s="722">
        <v>-175.44605157018168</v>
      </c>
      <c r="AI411" s="723">
        <v>-0.2099350027327411</v>
      </c>
      <c r="AJ411" s="728"/>
      <c r="AK411" s="722">
        <v>2.1392134831460674</v>
      </c>
      <c r="AL411" s="720">
        <v>190.39</v>
      </c>
      <c r="AM411" s="724">
        <v>-0.5206199959578246</v>
      </c>
      <c r="AN411" s="722">
        <v>469.88</v>
      </c>
      <c r="AO411" s="729">
        <v>2.4679867640107149</v>
      </c>
      <c r="AP411" s="478"/>
      <c r="AQ411" s="478"/>
      <c r="AR411" s="481"/>
      <c r="AS411" s="478"/>
      <c r="AT411" s="478"/>
      <c r="AU411" s="478"/>
      <c r="AV411" s="478"/>
      <c r="AW411" s="478"/>
      <c r="AX411" s="478"/>
      <c r="AY411" s="478"/>
      <c r="AZ411" s="478"/>
      <c r="BA411" s="478"/>
      <c r="BB411" s="478"/>
      <c r="BC411" s="478"/>
      <c r="BD411" s="478"/>
      <c r="BE411" s="478"/>
      <c r="BF411" s="478"/>
      <c r="BG411" s="478"/>
      <c r="BH411" s="478"/>
      <c r="BI411" s="478"/>
    </row>
    <row r="412" spans="1:61" ht="15.75" customHeight="1">
      <c r="A412" s="490" t="s">
        <v>35</v>
      </c>
      <c r="B412" s="475"/>
      <c r="C412" s="694" t="s">
        <v>465</v>
      </c>
      <c r="V412" s="566" t="s">
        <v>35</v>
      </c>
      <c r="W412" s="730"/>
      <c r="X412" s="703"/>
      <c r="Y412" s="731">
        <v>116.45501100491464</v>
      </c>
      <c r="Z412" s="704">
        <v>10042.612093083608</v>
      </c>
      <c r="AA412" s="703"/>
      <c r="AB412" s="731"/>
      <c r="AC412" s="704"/>
      <c r="AD412" s="732"/>
      <c r="AE412" s="731">
        <v>123.27194444444444</v>
      </c>
      <c r="AF412" s="704">
        <v>8875.58</v>
      </c>
      <c r="AG412" s="705">
        <v>6.8169334395298051</v>
      </c>
      <c r="AH412" s="706">
        <v>-1167.0320930836078</v>
      </c>
      <c r="AI412" s="733">
        <v>-0.11620802260074828</v>
      </c>
      <c r="AJ412" s="732"/>
      <c r="AK412" s="706">
        <v>158.19157303370787</v>
      </c>
      <c r="AL412" s="704">
        <v>14079.050000000001</v>
      </c>
      <c r="AM412" s="708">
        <v>6.8169334395298051</v>
      </c>
      <c r="AN412" s="706">
        <v>-5203.4700000000012</v>
      </c>
      <c r="AO412" s="709">
        <v>-0.36958956747791938</v>
      </c>
      <c r="AP412" s="478"/>
      <c r="AQ412" s="478"/>
      <c r="AR412" s="481"/>
      <c r="AS412" s="478"/>
      <c r="AT412" s="478"/>
      <c r="AU412" s="478"/>
      <c r="AV412" s="478"/>
      <c r="AW412" s="478"/>
      <c r="AX412" s="478"/>
      <c r="AY412" s="478"/>
      <c r="AZ412" s="478"/>
      <c r="BA412" s="478"/>
      <c r="BB412" s="478"/>
      <c r="BC412" s="478"/>
      <c r="BD412" s="478"/>
      <c r="BE412" s="478"/>
      <c r="BF412" s="478"/>
      <c r="BG412" s="478"/>
      <c r="BH412" s="478"/>
      <c r="BI412" s="478"/>
    </row>
    <row r="413" spans="1:61" ht="15.75" customHeight="1">
      <c r="A413" s="490" t="s">
        <v>36</v>
      </c>
      <c r="B413" s="475"/>
      <c r="C413" s="694" t="s">
        <v>465</v>
      </c>
      <c r="V413" s="565" t="s">
        <v>36</v>
      </c>
      <c r="W413" s="726" t="s">
        <v>138</v>
      </c>
      <c r="X413" s="723"/>
      <c r="Y413" s="727">
        <v>212.37994302757167</v>
      </c>
      <c r="Z413" s="720">
        <v>18314.792689230766</v>
      </c>
      <c r="AA413" s="723"/>
      <c r="AB413" s="727"/>
      <c r="AC413" s="720"/>
      <c r="AD413" s="728"/>
      <c r="AE413" s="727">
        <v>262.21513888888887</v>
      </c>
      <c r="AF413" s="720">
        <v>18879.489999999998</v>
      </c>
      <c r="AG413" s="721">
        <v>49.835195861317203</v>
      </c>
      <c r="AH413" s="722">
        <v>564.69731076923199</v>
      </c>
      <c r="AI413" s="723">
        <v>3.0832853003096138E-2</v>
      </c>
      <c r="AJ413" s="728"/>
      <c r="AK413" s="722">
        <v>180.4808988764045</v>
      </c>
      <c r="AL413" s="720">
        <v>16062.8</v>
      </c>
      <c r="AM413" s="724">
        <v>49.835195861317203</v>
      </c>
      <c r="AN413" s="722">
        <v>2816.6899999999987</v>
      </c>
      <c r="AO413" s="729">
        <v>0.17535485718554666</v>
      </c>
      <c r="AP413" s="478"/>
      <c r="AQ413" s="478"/>
      <c r="AR413" s="481"/>
      <c r="AS413" s="478"/>
      <c r="AT413" s="478"/>
      <c r="AU413" s="478"/>
      <c r="AV413" s="478"/>
      <c r="AW413" s="478"/>
      <c r="AX413" s="478"/>
      <c r="AY413" s="478"/>
      <c r="AZ413" s="478"/>
      <c r="BA413" s="478"/>
      <c r="BB413" s="478"/>
      <c r="BC413" s="478"/>
      <c r="BD413" s="478"/>
      <c r="BE413" s="478"/>
      <c r="BF413" s="478"/>
      <c r="BG413" s="478"/>
      <c r="BH413" s="478"/>
      <c r="BI413" s="478"/>
    </row>
    <row r="414" spans="1:61" ht="15.75" customHeight="1">
      <c r="A414" s="490" t="s">
        <v>37</v>
      </c>
      <c r="B414" s="475"/>
      <c r="C414" s="694" t="s">
        <v>465</v>
      </c>
      <c r="V414" s="565" t="s">
        <v>37</v>
      </c>
      <c r="W414" s="726" t="s">
        <v>139</v>
      </c>
      <c r="X414" s="719"/>
      <c r="Y414" s="727">
        <v>109.06285358727204</v>
      </c>
      <c r="Z414" s="720">
        <v>9405.1421479452038</v>
      </c>
      <c r="AA414" s="719"/>
      <c r="AB414" s="727"/>
      <c r="AC414" s="720"/>
      <c r="AD414" s="728"/>
      <c r="AE414" s="727">
        <v>81.453888888888898</v>
      </c>
      <c r="AF414" s="720">
        <v>5864.68</v>
      </c>
      <c r="AG414" s="721">
        <v>-27.608964698383147</v>
      </c>
      <c r="AH414" s="722">
        <v>-3540.4621479452035</v>
      </c>
      <c r="AI414" s="723">
        <v>-0.37643898329795139</v>
      </c>
      <c r="AJ414" s="728"/>
      <c r="AK414" s="722">
        <v>67.688764044943824</v>
      </c>
      <c r="AL414" s="720">
        <v>6024.3</v>
      </c>
      <c r="AM414" s="724">
        <v>-27.608964698383147</v>
      </c>
      <c r="AN414" s="722">
        <v>-159.61999999999989</v>
      </c>
      <c r="AO414" s="729">
        <v>-2.6496024434374099E-2</v>
      </c>
      <c r="AP414" s="478"/>
      <c r="AQ414" s="478"/>
      <c r="AR414" s="481"/>
      <c r="AS414" s="478"/>
      <c r="AT414" s="478"/>
      <c r="AU414" s="478"/>
      <c r="AV414" s="478"/>
      <c r="AW414" s="478"/>
      <c r="AX414" s="478"/>
      <c r="AY414" s="478"/>
      <c r="AZ414" s="478"/>
      <c r="BA414" s="478"/>
      <c r="BB414" s="478"/>
      <c r="BC414" s="478"/>
      <c r="BD414" s="478"/>
      <c r="BE414" s="478"/>
      <c r="BF414" s="478"/>
      <c r="BG414" s="478"/>
      <c r="BH414" s="478"/>
      <c r="BI414" s="478"/>
    </row>
    <row r="415" spans="1:61" ht="15.75" hidden="1" customHeight="1">
      <c r="A415" s="490" t="s">
        <v>20</v>
      </c>
      <c r="B415" s="475"/>
      <c r="C415" s="694" t="s">
        <v>465</v>
      </c>
      <c r="V415" s="565" t="s">
        <v>20</v>
      </c>
      <c r="W415" s="726"/>
      <c r="X415" s="723"/>
      <c r="Y415" s="727">
        <v>0</v>
      </c>
      <c r="Z415" s="720">
        <v>0</v>
      </c>
      <c r="AA415" s="719"/>
      <c r="AB415" s="727"/>
      <c r="AC415" s="720"/>
      <c r="AD415" s="728"/>
      <c r="AE415" s="727">
        <v>0</v>
      </c>
      <c r="AF415" s="720">
        <v>0</v>
      </c>
      <c r="AG415" s="721">
        <v>0</v>
      </c>
      <c r="AH415" s="722">
        <v>0</v>
      </c>
      <c r="AI415" s="723">
        <v>0</v>
      </c>
      <c r="AJ415" s="728"/>
      <c r="AK415" s="722">
        <v>0</v>
      </c>
      <c r="AL415" s="720">
        <v>0</v>
      </c>
      <c r="AM415" s="724">
        <v>0</v>
      </c>
      <c r="AN415" s="722">
        <v>0</v>
      </c>
      <c r="AO415" s="729">
        <v>0</v>
      </c>
      <c r="AP415" s="478"/>
      <c r="AQ415" s="478"/>
      <c r="AR415" s="481"/>
      <c r="AS415" s="478"/>
      <c r="AT415" s="478"/>
      <c r="AU415" s="478"/>
      <c r="AV415" s="478"/>
      <c r="AW415" s="478"/>
      <c r="AX415" s="478"/>
      <c r="AY415" s="478"/>
      <c r="AZ415" s="478"/>
      <c r="BA415" s="478"/>
      <c r="BB415" s="478"/>
      <c r="BC415" s="478"/>
      <c r="BD415" s="478"/>
      <c r="BE415" s="478"/>
      <c r="BF415" s="478"/>
      <c r="BG415" s="478"/>
      <c r="BH415" s="478"/>
      <c r="BI415" s="478"/>
    </row>
    <row r="416" spans="1:61" ht="15.75" hidden="1" customHeight="1">
      <c r="A416" s="490" t="s">
        <v>20</v>
      </c>
      <c r="B416" s="475"/>
      <c r="C416" s="694" t="s">
        <v>465</v>
      </c>
      <c r="V416" s="565" t="s">
        <v>20</v>
      </c>
      <c r="W416" s="726"/>
      <c r="X416" s="723"/>
      <c r="Y416" s="727">
        <v>0</v>
      </c>
      <c r="Z416" s="720">
        <v>0</v>
      </c>
      <c r="AA416" s="719"/>
      <c r="AB416" s="727"/>
      <c r="AC416" s="720"/>
      <c r="AD416" s="728"/>
      <c r="AE416" s="727">
        <v>0</v>
      </c>
      <c r="AF416" s="720">
        <v>0</v>
      </c>
      <c r="AG416" s="721">
        <v>0</v>
      </c>
      <c r="AH416" s="722">
        <v>0</v>
      </c>
      <c r="AI416" s="723">
        <v>0</v>
      </c>
      <c r="AJ416" s="728"/>
      <c r="AK416" s="722">
        <v>0</v>
      </c>
      <c r="AL416" s="720">
        <v>0</v>
      </c>
      <c r="AM416" s="724">
        <v>0</v>
      </c>
      <c r="AN416" s="722">
        <v>0</v>
      </c>
      <c r="AO416" s="729">
        <v>0</v>
      </c>
      <c r="AP416" s="478"/>
      <c r="AQ416" s="478"/>
      <c r="AR416" s="481"/>
      <c r="AS416" s="478"/>
      <c r="AT416" s="478"/>
      <c r="AU416" s="478"/>
      <c r="AV416" s="478"/>
      <c r="AW416" s="478"/>
      <c r="AX416" s="478"/>
      <c r="AY416" s="478"/>
      <c r="AZ416" s="478"/>
      <c r="BA416" s="478"/>
      <c r="BB416" s="478"/>
      <c r="BC416" s="478"/>
      <c r="BD416" s="478"/>
      <c r="BE416" s="478"/>
      <c r="BF416" s="478"/>
      <c r="BG416" s="478"/>
      <c r="BH416" s="478"/>
      <c r="BI416" s="478"/>
    </row>
    <row r="417" spans="1:61" ht="15.75" hidden="1" customHeight="1">
      <c r="A417" s="490" t="s">
        <v>20</v>
      </c>
      <c r="B417" s="475"/>
      <c r="C417" s="694" t="s">
        <v>465</v>
      </c>
      <c r="V417" s="565" t="s">
        <v>20</v>
      </c>
      <c r="W417" s="726" t="s">
        <v>139</v>
      </c>
      <c r="X417" s="719"/>
      <c r="Y417" s="727">
        <v>0</v>
      </c>
      <c r="Z417" s="720">
        <v>0</v>
      </c>
      <c r="AA417" s="719"/>
      <c r="AB417" s="727"/>
      <c r="AC417" s="720"/>
      <c r="AD417" s="728"/>
      <c r="AE417" s="727">
        <v>0</v>
      </c>
      <c r="AF417" s="720">
        <v>0</v>
      </c>
      <c r="AG417" s="721">
        <v>0</v>
      </c>
      <c r="AH417" s="722">
        <v>0</v>
      </c>
      <c r="AI417" s="723">
        <v>0</v>
      </c>
      <c r="AJ417" s="728"/>
      <c r="AK417" s="722">
        <v>0</v>
      </c>
      <c r="AL417" s="720">
        <v>0</v>
      </c>
      <c r="AM417" s="724">
        <v>0</v>
      </c>
      <c r="AN417" s="722">
        <v>0</v>
      </c>
      <c r="AO417" s="729">
        <v>0</v>
      </c>
      <c r="AP417" s="478"/>
      <c r="AQ417" s="478"/>
      <c r="AR417" s="481"/>
      <c r="AS417" s="478"/>
      <c r="AT417" s="478"/>
      <c r="AU417" s="478"/>
      <c r="AV417" s="478"/>
      <c r="AW417" s="478"/>
      <c r="AX417" s="478"/>
      <c r="AY417" s="478"/>
      <c r="AZ417" s="478"/>
      <c r="BA417" s="478"/>
      <c r="BB417" s="478"/>
      <c r="BC417" s="478"/>
      <c r="BD417" s="478"/>
      <c r="BE417" s="478"/>
      <c r="BF417" s="478"/>
      <c r="BG417" s="478"/>
      <c r="BH417" s="478"/>
      <c r="BI417" s="478"/>
    </row>
    <row r="418" spans="1:61" ht="15.75" customHeight="1">
      <c r="A418" s="490" t="s">
        <v>38</v>
      </c>
      <c r="B418" s="475"/>
      <c r="C418" s="694" t="s">
        <v>465</v>
      </c>
      <c r="V418" s="734" t="s">
        <v>38</v>
      </c>
      <c r="W418" s="735"/>
      <c r="X418" s="736">
        <v>0.22986025204660482</v>
      </c>
      <c r="Y418" s="735"/>
      <c r="Z418" s="737">
        <v>149028.53980807652</v>
      </c>
      <c r="AA418" s="736"/>
      <c r="AB418" s="735"/>
      <c r="AC418" s="737"/>
      <c r="AD418" s="738">
        <v>0.22494732871421966</v>
      </c>
      <c r="AE418" s="735"/>
      <c r="AF418" s="737">
        <v>137753.91999999998</v>
      </c>
      <c r="AG418" s="739"/>
      <c r="AH418" s="740">
        <v>-11274.619808076532</v>
      </c>
      <c r="AI418" s="736">
        <v>-7.5654098353216973E-2</v>
      </c>
      <c r="AJ418" s="738">
        <v>0.24407576296565267</v>
      </c>
      <c r="AK418" s="735"/>
      <c r="AL418" s="737">
        <v>170679.33999999997</v>
      </c>
      <c r="AM418" s="741"/>
      <c r="AN418" s="740">
        <v>-32925.419999999984</v>
      </c>
      <c r="AO418" s="717">
        <v>-0.19290805788210799</v>
      </c>
      <c r="AP418" s="478"/>
      <c r="AQ418" s="478"/>
      <c r="AR418" s="481"/>
      <c r="AS418" s="478"/>
      <c r="AT418" s="478"/>
      <c r="AU418" s="478"/>
      <c r="AV418" s="478"/>
      <c r="AW418" s="478"/>
      <c r="AX418" s="478"/>
      <c r="AY418" s="478"/>
      <c r="AZ418" s="478"/>
      <c r="BA418" s="478"/>
      <c r="BB418" s="478"/>
      <c r="BC418" s="478"/>
      <c r="BD418" s="478"/>
      <c r="BE418" s="478"/>
      <c r="BF418" s="478"/>
      <c r="BG418" s="478"/>
      <c r="BH418" s="478"/>
      <c r="BI418" s="478"/>
    </row>
    <row r="419" spans="1:61" ht="15.75" customHeight="1">
      <c r="A419" s="490" t="s">
        <v>140</v>
      </c>
      <c r="B419" s="475"/>
      <c r="C419" s="694" t="s">
        <v>465</v>
      </c>
      <c r="V419" s="565" t="s">
        <v>140</v>
      </c>
      <c r="W419" s="726" t="s">
        <v>141</v>
      </c>
      <c r="X419" s="719"/>
      <c r="Y419" s="719"/>
      <c r="Z419" s="720">
        <v>15725.739386973182</v>
      </c>
      <c r="AA419" s="719"/>
      <c r="AB419" s="719"/>
      <c r="AC419" s="720"/>
      <c r="AD419" s="728"/>
      <c r="AE419" s="727"/>
      <c r="AF419" s="720">
        <v>13077</v>
      </c>
      <c r="AG419" s="721"/>
      <c r="AH419" s="722">
        <v>-2648.7393869731823</v>
      </c>
      <c r="AI419" s="723">
        <v>-0.16843337675857284</v>
      </c>
      <c r="AJ419" s="728"/>
      <c r="AK419" s="719"/>
      <c r="AL419" s="720">
        <v>14834.24</v>
      </c>
      <c r="AM419" s="724"/>
      <c r="AN419" s="722">
        <v>-1757.2399999999998</v>
      </c>
      <c r="AO419" s="729">
        <v>-0.11845837737558512</v>
      </c>
      <c r="AP419" s="478"/>
      <c r="AQ419" s="478"/>
      <c r="AR419" s="478"/>
      <c r="AS419" s="478"/>
      <c r="AT419" s="478"/>
      <c r="AU419" s="478"/>
      <c r="AV419" s="478"/>
      <c r="AW419" s="478"/>
      <c r="AX419" s="478"/>
      <c r="AY419" s="478"/>
      <c r="AZ419" s="478"/>
      <c r="BA419" s="478"/>
      <c r="BB419" s="478"/>
      <c r="BC419" s="478"/>
      <c r="BD419" s="478"/>
      <c r="BE419" s="478"/>
      <c r="BF419" s="478"/>
      <c r="BG419" s="478"/>
      <c r="BH419" s="478"/>
      <c r="BI419" s="478"/>
    </row>
    <row r="420" spans="1:61" ht="15.75" customHeight="1">
      <c r="A420" s="490" t="s">
        <v>41</v>
      </c>
      <c r="B420" s="475"/>
      <c r="C420" s="694" t="s">
        <v>465</v>
      </c>
      <c r="V420" s="565" t="s">
        <v>41</v>
      </c>
      <c r="W420" s="726" t="s">
        <v>142</v>
      </c>
      <c r="X420" s="719"/>
      <c r="Y420" s="719"/>
      <c r="Z420" s="720">
        <v>43004.043103448275</v>
      </c>
      <c r="AA420" s="719"/>
      <c r="AB420" s="719"/>
      <c r="AC420" s="720"/>
      <c r="AD420" s="728"/>
      <c r="AE420" s="727"/>
      <c r="AF420" s="720">
        <v>45656.84</v>
      </c>
      <c r="AG420" s="721"/>
      <c r="AH420" s="722">
        <v>2652.7968965517211</v>
      </c>
      <c r="AI420" s="723">
        <v>6.1687150907422626E-2</v>
      </c>
      <c r="AJ420" s="728"/>
      <c r="AK420" s="719"/>
      <c r="AL420" s="720">
        <v>51465.24</v>
      </c>
      <c r="AM420" s="724"/>
      <c r="AN420" s="722">
        <v>-5808.4000000000015</v>
      </c>
      <c r="AO420" s="729">
        <v>-0.11286064147374036</v>
      </c>
      <c r="AP420" s="478"/>
      <c r="AQ420" s="478"/>
      <c r="AR420" s="478"/>
      <c r="AS420" s="478"/>
      <c r="AT420" s="478"/>
      <c r="AU420" s="478"/>
      <c r="AV420" s="478"/>
      <c r="AW420" s="478"/>
      <c r="AX420" s="478"/>
      <c r="AY420" s="478"/>
      <c r="AZ420" s="478"/>
      <c r="BA420" s="478"/>
      <c r="BB420" s="478"/>
      <c r="BC420" s="478"/>
      <c r="BD420" s="478"/>
      <c r="BE420" s="478"/>
      <c r="BF420" s="478"/>
      <c r="BG420" s="478"/>
      <c r="BH420" s="478"/>
      <c r="BI420" s="478"/>
    </row>
    <row r="421" spans="1:61" ht="15.75" customHeight="1">
      <c r="A421" s="490" t="s">
        <v>42</v>
      </c>
      <c r="B421" s="475"/>
      <c r="C421" s="694" t="s">
        <v>465</v>
      </c>
      <c r="V421" s="566" t="s">
        <v>42</v>
      </c>
      <c r="W421" s="730" t="s">
        <v>143</v>
      </c>
      <c r="X421" s="703"/>
      <c r="Y421" s="703"/>
      <c r="Z421" s="704">
        <v>52087.070344827589</v>
      </c>
      <c r="AA421" s="703"/>
      <c r="AB421" s="703"/>
      <c r="AC421" s="704"/>
      <c r="AD421" s="732"/>
      <c r="AE421" s="731"/>
      <c r="AF421" s="704">
        <v>42545.5</v>
      </c>
      <c r="AG421" s="705"/>
      <c r="AH421" s="706">
        <v>-9541.570344827589</v>
      </c>
      <c r="AI421" s="733">
        <v>-0.18318500698273765</v>
      </c>
      <c r="AJ421" s="732"/>
      <c r="AK421" s="703"/>
      <c r="AL421" s="704">
        <v>17448.669999999998</v>
      </c>
      <c r="AM421" s="708"/>
      <c r="AN421" s="706">
        <v>25096.83</v>
      </c>
      <c r="AO421" s="709">
        <v>1.4383233793750472</v>
      </c>
      <c r="AP421" s="478"/>
      <c r="AQ421" s="478"/>
      <c r="AR421" s="478"/>
      <c r="AS421" s="478"/>
      <c r="AT421" s="478"/>
      <c r="AU421" s="478"/>
      <c r="AV421" s="478"/>
      <c r="AW421" s="478"/>
      <c r="AX421" s="478"/>
      <c r="AY421" s="478"/>
      <c r="AZ421" s="478"/>
      <c r="BA421" s="478"/>
      <c r="BB421" s="478"/>
      <c r="BC421" s="478"/>
      <c r="BD421" s="478"/>
      <c r="BE421" s="478"/>
      <c r="BF421" s="478"/>
      <c r="BG421" s="478"/>
      <c r="BH421" s="478"/>
      <c r="BI421" s="478"/>
    </row>
    <row r="422" spans="1:61" ht="15.75" customHeight="1">
      <c r="A422" s="490" t="s">
        <v>43</v>
      </c>
      <c r="B422" s="475"/>
      <c r="C422" s="694" t="s">
        <v>465</v>
      </c>
      <c r="V422" s="565" t="s">
        <v>43</v>
      </c>
      <c r="W422" s="726" t="s">
        <v>144</v>
      </c>
      <c r="X422" s="719"/>
      <c r="Y422" s="719"/>
      <c r="Z422" s="720">
        <v>31637.251340996168</v>
      </c>
      <c r="AA422" s="719"/>
      <c r="AB422" s="719"/>
      <c r="AC422" s="720"/>
      <c r="AD422" s="728"/>
      <c r="AE422" s="727"/>
      <c r="AF422" s="720">
        <v>31114.379999999997</v>
      </c>
      <c r="AG422" s="721"/>
      <c r="AH422" s="722">
        <v>-522.87134099617106</v>
      </c>
      <c r="AI422" s="723">
        <v>-1.6527078644111671E-2</v>
      </c>
      <c r="AJ422" s="728"/>
      <c r="AK422" s="719"/>
      <c r="AL422" s="720">
        <v>52418.960000000006</v>
      </c>
      <c r="AM422" s="724"/>
      <c r="AN422" s="722">
        <v>-21304.580000000009</v>
      </c>
      <c r="AO422" s="729">
        <v>-0.40642889519364761</v>
      </c>
      <c r="AP422" s="478"/>
      <c r="AQ422" s="478"/>
      <c r="AR422" s="478"/>
      <c r="AS422" s="478"/>
      <c r="AT422" s="478"/>
      <c r="AU422" s="478"/>
      <c r="AV422" s="478"/>
      <c r="AW422" s="478"/>
      <c r="AX422" s="478"/>
      <c r="AY422" s="478"/>
      <c r="AZ422" s="478"/>
      <c r="BA422" s="478"/>
      <c r="BB422" s="478"/>
      <c r="BC422" s="478"/>
      <c r="BD422" s="478"/>
      <c r="BE422" s="478"/>
      <c r="BF422" s="478"/>
      <c r="BG422" s="478"/>
      <c r="BH422" s="478"/>
      <c r="BI422" s="478"/>
    </row>
    <row r="423" spans="1:61" ht="15.75" customHeight="1">
      <c r="A423" s="490" t="s">
        <v>44</v>
      </c>
      <c r="B423" s="475"/>
      <c r="C423" s="694" t="s">
        <v>465</v>
      </c>
      <c r="V423" s="565" t="s">
        <v>44</v>
      </c>
      <c r="W423" s="726" t="s">
        <v>145</v>
      </c>
      <c r="X423" s="719"/>
      <c r="Y423" s="719"/>
      <c r="Z423" s="720">
        <v>34278.959102282926</v>
      </c>
      <c r="AA423" s="719"/>
      <c r="AB423" s="719"/>
      <c r="AC423" s="720"/>
      <c r="AD423" s="728"/>
      <c r="AE423" s="727"/>
      <c r="AF423" s="720">
        <v>28533.96</v>
      </c>
      <c r="AG423" s="721"/>
      <c r="AH423" s="722">
        <v>-5744.9991022829272</v>
      </c>
      <c r="AI423" s="723">
        <v>-0.16759549451722761</v>
      </c>
      <c r="AJ423" s="728"/>
      <c r="AK423" s="719"/>
      <c r="AL423" s="720">
        <v>27942.18</v>
      </c>
      <c r="AM423" s="724"/>
      <c r="AN423" s="722">
        <v>591.77999999999884</v>
      </c>
      <c r="AO423" s="729">
        <v>2.1178734085887316E-2</v>
      </c>
      <c r="AP423" s="478"/>
      <c r="AQ423" s="478"/>
      <c r="AR423" s="478"/>
      <c r="AS423" s="478"/>
      <c r="AT423" s="478"/>
      <c r="AU423" s="478"/>
      <c r="AV423" s="478"/>
      <c r="AW423" s="478"/>
      <c r="AX423" s="478"/>
      <c r="AY423" s="478"/>
      <c r="AZ423" s="478"/>
      <c r="BA423" s="478"/>
      <c r="BB423" s="478"/>
      <c r="BC423" s="478"/>
      <c r="BD423" s="478"/>
      <c r="BE423" s="478"/>
      <c r="BF423" s="478"/>
      <c r="BG423" s="478"/>
      <c r="BH423" s="478"/>
      <c r="BI423" s="478"/>
    </row>
    <row r="424" spans="1:61" ht="15.75" hidden="1" customHeight="1">
      <c r="A424" s="490" t="s">
        <v>20</v>
      </c>
      <c r="B424" s="475"/>
      <c r="C424" s="694" t="s">
        <v>465</v>
      </c>
      <c r="V424" s="565" t="s">
        <v>20</v>
      </c>
      <c r="W424" s="726"/>
      <c r="X424" s="719"/>
      <c r="Y424" s="719"/>
      <c r="Z424" s="720">
        <v>0</v>
      </c>
      <c r="AA424" s="719"/>
      <c r="AB424" s="719"/>
      <c r="AC424" s="720"/>
      <c r="AD424" s="728"/>
      <c r="AE424" s="727"/>
      <c r="AF424" s="720">
        <v>0</v>
      </c>
      <c r="AG424" s="721"/>
      <c r="AH424" s="722">
        <v>0</v>
      </c>
      <c r="AI424" s="723">
        <v>0</v>
      </c>
      <c r="AJ424" s="728"/>
      <c r="AK424" s="719"/>
      <c r="AL424" s="720">
        <v>0</v>
      </c>
      <c r="AM424" s="724"/>
      <c r="AN424" s="722">
        <v>0</v>
      </c>
      <c r="AO424" s="729">
        <v>0</v>
      </c>
      <c r="AP424" s="478"/>
      <c r="AQ424" s="478"/>
      <c r="AR424" s="478"/>
      <c r="AS424" s="478"/>
      <c r="AT424" s="478"/>
      <c r="AU424" s="478"/>
      <c r="AV424" s="478"/>
      <c r="AW424" s="478"/>
      <c r="AX424" s="478"/>
      <c r="AY424" s="478"/>
      <c r="AZ424" s="478"/>
      <c r="BA424" s="478"/>
      <c r="BB424" s="478"/>
      <c r="BC424" s="478"/>
      <c r="BD424" s="478"/>
      <c r="BE424" s="478"/>
      <c r="BF424" s="478"/>
      <c r="BG424" s="478"/>
      <c r="BH424" s="478"/>
      <c r="BI424" s="478"/>
    </row>
    <row r="425" spans="1:61" ht="15.75" hidden="1" customHeight="1">
      <c r="A425" s="490" t="s">
        <v>20</v>
      </c>
      <c r="B425" s="475"/>
      <c r="C425" s="694" t="s">
        <v>465</v>
      </c>
      <c r="V425" s="565" t="s">
        <v>20</v>
      </c>
      <c r="W425" s="726"/>
      <c r="X425" s="719"/>
      <c r="Y425" s="719"/>
      <c r="Z425" s="720">
        <v>0</v>
      </c>
      <c r="AA425" s="719"/>
      <c r="AB425" s="719"/>
      <c r="AC425" s="720"/>
      <c r="AD425" s="728"/>
      <c r="AE425" s="727"/>
      <c r="AF425" s="720">
        <v>0</v>
      </c>
      <c r="AG425" s="721"/>
      <c r="AH425" s="722">
        <v>0</v>
      </c>
      <c r="AI425" s="723">
        <v>0</v>
      </c>
      <c r="AJ425" s="728"/>
      <c r="AK425" s="719"/>
      <c r="AL425" s="720">
        <v>0</v>
      </c>
      <c r="AM425" s="724"/>
      <c r="AN425" s="722">
        <v>0</v>
      </c>
      <c r="AO425" s="729">
        <v>0</v>
      </c>
      <c r="AP425" s="478"/>
      <c r="AQ425" s="478"/>
      <c r="AR425" s="478"/>
      <c r="AS425" s="478"/>
      <c r="AT425" s="478"/>
      <c r="AU425" s="478"/>
      <c r="AV425" s="478"/>
      <c r="AW425" s="478"/>
      <c r="AX425" s="478"/>
      <c r="AY425" s="478"/>
      <c r="AZ425" s="478"/>
      <c r="BA425" s="478"/>
      <c r="BB425" s="478"/>
      <c r="BC425" s="478"/>
      <c r="BD425" s="478"/>
      <c r="BE425" s="478"/>
      <c r="BF425" s="478"/>
      <c r="BG425" s="478"/>
      <c r="BH425" s="478"/>
      <c r="BI425" s="478"/>
    </row>
    <row r="426" spans="1:61" ht="15.75" hidden="1" customHeight="1">
      <c r="A426" s="490" t="s">
        <v>20</v>
      </c>
      <c r="B426" s="475"/>
      <c r="C426" s="694" t="s">
        <v>465</v>
      </c>
      <c r="V426" s="565" t="s">
        <v>20</v>
      </c>
      <c r="W426" s="726"/>
      <c r="X426" s="719"/>
      <c r="Y426" s="719"/>
      <c r="Z426" s="720">
        <v>0</v>
      </c>
      <c r="AA426" s="719"/>
      <c r="AB426" s="719"/>
      <c r="AC426" s="720"/>
      <c r="AD426" s="728"/>
      <c r="AE426" s="727"/>
      <c r="AF426" s="720">
        <v>0</v>
      </c>
      <c r="AG426" s="721"/>
      <c r="AH426" s="722">
        <v>0</v>
      </c>
      <c r="AI426" s="723">
        <v>0</v>
      </c>
      <c r="AJ426" s="728"/>
      <c r="AK426" s="719"/>
      <c r="AL426" s="720">
        <v>0</v>
      </c>
      <c r="AM426" s="724"/>
      <c r="AN426" s="722">
        <v>0</v>
      </c>
      <c r="AO426" s="729">
        <v>0</v>
      </c>
      <c r="AP426" s="478"/>
      <c r="AQ426" s="478"/>
      <c r="AR426" s="478"/>
      <c r="AS426" s="478"/>
      <c r="AT426" s="478"/>
      <c r="AU426" s="478"/>
      <c r="AV426" s="478"/>
      <c r="AW426" s="478"/>
      <c r="AX426" s="478"/>
      <c r="AY426" s="478"/>
      <c r="AZ426" s="478"/>
      <c r="BA426" s="478"/>
      <c r="BB426" s="478"/>
      <c r="BC426" s="478"/>
      <c r="BD426" s="478"/>
      <c r="BE426" s="478"/>
      <c r="BF426" s="478"/>
      <c r="BG426" s="478"/>
      <c r="BH426" s="478"/>
      <c r="BI426" s="478"/>
    </row>
    <row r="427" spans="1:61" ht="15.75" customHeight="1">
      <c r="A427" s="490" t="s">
        <v>45</v>
      </c>
      <c r="B427" s="475"/>
      <c r="C427" s="694" t="s">
        <v>465</v>
      </c>
      <c r="V427" s="566" t="s">
        <v>45</v>
      </c>
      <c r="W427" s="730" t="s">
        <v>146</v>
      </c>
      <c r="X427" s="703"/>
      <c r="Y427" s="703"/>
      <c r="Z427" s="704">
        <v>37809.546157980709</v>
      </c>
      <c r="AA427" s="703"/>
      <c r="AB427" s="703"/>
      <c r="AC427" s="704"/>
      <c r="AD427" s="732"/>
      <c r="AE427" s="731"/>
      <c r="AF427" s="704">
        <v>33642.36</v>
      </c>
      <c r="AG427" s="705"/>
      <c r="AH427" s="706">
        <v>-4167.1861579807082</v>
      </c>
      <c r="AI427" s="733">
        <v>-0.110215185883714</v>
      </c>
      <c r="AJ427" s="732"/>
      <c r="AK427" s="703"/>
      <c r="AL427" s="704">
        <v>52184.160000000003</v>
      </c>
      <c r="AM427" s="708"/>
      <c r="AN427" s="706">
        <v>-18541.800000000003</v>
      </c>
      <c r="AO427" s="709">
        <v>-0.35531471618974036</v>
      </c>
      <c r="AP427" s="478"/>
      <c r="AQ427" s="478"/>
      <c r="AR427" s="478"/>
      <c r="AS427" s="478"/>
      <c r="AT427" s="478"/>
      <c r="AU427" s="478"/>
      <c r="AV427" s="478"/>
      <c r="AW427" s="478"/>
      <c r="AX427" s="478"/>
      <c r="AY427" s="478"/>
      <c r="AZ427" s="478"/>
      <c r="BA427" s="478"/>
      <c r="BB427" s="478"/>
      <c r="BC427" s="478"/>
      <c r="BD427" s="478"/>
      <c r="BE427" s="478"/>
      <c r="BF427" s="478"/>
      <c r="BG427" s="478"/>
      <c r="BH427" s="478"/>
      <c r="BI427" s="478"/>
    </row>
    <row r="428" spans="1:61" ht="15.75" customHeight="1">
      <c r="A428" s="490" t="s">
        <v>46</v>
      </c>
      <c r="B428" s="475"/>
      <c r="C428" s="694" t="s">
        <v>465</v>
      </c>
      <c r="V428" s="565" t="s">
        <v>46</v>
      </c>
      <c r="W428" s="726" t="s">
        <v>147</v>
      </c>
      <c r="X428" s="719"/>
      <c r="Y428" s="719"/>
      <c r="Z428" s="720">
        <v>37586.411506635064</v>
      </c>
      <c r="AA428" s="719"/>
      <c r="AB428" s="719"/>
      <c r="AC428" s="720"/>
      <c r="AD428" s="728"/>
      <c r="AE428" s="727"/>
      <c r="AF428" s="720">
        <v>49599.26</v>
      </c>
      <c r="AG428" s="721"/>
      <c r="AH428" s="722">
        <v>12012.848493364938</v>
      </c>
      <c r="AI428" s="723">
        <v>0.3196061558375779</v>
      </c>
      <c r="AJ428" s="728"/>
      <c r="AK428" s="719"/>
      <c r="AL428" s="720">
        <v>45909.109999999993</v>
      </c>
      <c r="AM428" s="724"/>
      <c r="AN428" s="722">
        <v>3690.1500000000087</v>
      </c>
      <c r="AO428" s="729">
        <v>8.0379471525368479E-2</v>
      </c>
      <c r="AP428" s="478"/>
      <c r="AQ428" s="478"/>
      <c r="AR428" s="478"/>
      <c r="AS428" s="478"/>
      <c r="AT428" s="478"/>
      <c r="AU428" s="478"/>
      <c r="AV428" s="478"/>
      <c r="AW428" s="478"/>
      <c r="AX428" s="478"/>
      <c r="AY428" s="478"/>
      <c r="AZ428" s="478"/>
      <c r="BA428" s="478"/>
      <c r="BB428" s="478"/>
      <c r="BC428" s="478"/>
      <c r="BD428" s="478"/>
      <c r="BE428" s="478"/>
      <c r="BF428" s="478"/>
      <c r="BG428" s="478"/>
      <c r="BH428" s="478"/>
      <c r="BI428" s="478"/>
    </row>
    <row r="429" spans="1:61" ht="15.75" customHeight="1">
      <c r="A429" s="490" t="s">
        <v>47</v>
      </c>
      <c r="B429" s="475"/>
      <c r="C429" s="694" t="s">
        <v>465</v>
      </c>
      <c r="V429" s="565" t="s">
        <v>47</v>
      </c>
      <c r="W429" s="726" t="s">
        <v>148</v>
      </c>
      <c r="X429" s="719"/>
      <c r="Y429" s="719"/>
      <c r="Z429" s="720">
        <v>26320.186624043745</v>
      </c>
      <c r="AA429" s="719"/>
      <c r="AB429" s="719"/>
      <c r="AC429" s="720"/>
      <c r="AD429" s="728"/>
      <c r="AE429" s="727"/>
      <c r="AF429" s="720">
        <v>20548.22</v>
      </c>
      <c r="AG429" s="721"/>
      <c r="AH429" s="722">
        <v>-5771.9666240437436</v>
      </c>
      <c r="AI429" s="723">
        <v>-0.21929808882019841</v>
      </c>
      <c r="AJ429" s="728"/>
      <c r="AK429" s="719"/>
      <c r="AL429" s="720">
        <v>23286.379999999997</v>
      </c>
      <c r="AM429" s="724"/>
      <c r="AN429" s="722">
        <v>-2738.1599999999962</v>
      </c>
      <c r="AO429" s="729">
        <v>-0.11758633158094975</v>
      </c>
      <c r="AP429" s="478"/>
      <c r="AQ429" s="478"/>
      <c r="AR429" s="478"/>
      <c r="AS429" s="478"/>
      <c r="AT429" s="478"/>
      <c r="AU429" s="478"/>
      <c r="AV429" s="478"/>
      <c r="AW429" s="478"/>
      <c r="AX429" s="478"/>
      <c r="AY429" s="478"/>
      <c r="AZ429" s="478"/>
      <c r="BA429" s="478"/>
      <c r="BB429" s="478"/>
      <c r="BC429" s="478"/>
      <c r="BD429" s="478"/>
      <c r="BE429" s="478"/>
      <c r="BF429" s="478"/>
      <c r="BG429" s="478"/>
      <c r="BH429" s="478"/>
      <c r="BI429" s="478"/>
    </row>
    <row r="430" spans="1:61" ht="15.75" customHeight="1">
      <c r="A430" s="490" t="s">
        <v>48</v>
      </c>
      <c r="B430" s="475"/>
      <c r="C430" s="694" t="s">
        <v>465</v>
      </c>
      <c r="V430" s="565" t="s">
        <v>48</v>
      </c>
      <c r="W430" s="726"/>
      <c r="X430" s="719"/>
      <c r="Y430" s="719"/>
      <c r="Z430" s="720">
        <v>12573.911790954568</v>
      </c>
      <c r="AA430" s="719"/>
      <c r="AB430" s="719"/>
      <c r="AC430" s="720"/>
      <c r="AD430" s="728"/>
      <c r="AE430" s="727"/>
      <c r="AF430" s="720">
        <v>8555.8900000000012</v>
      </c>
      <c r="AG430" s="721"/>
      <c r="AH430" s="722">
        <v>-4018.0217909545663</v>
      </c>
      <c r="AI430" s="742">
        <v>-0.31955224895446255</v>
      </c>
      <c r="AJ430" s="728"/>
      <c r="AK430" s="719"/>
      <c r="AL430" s="720">
        <v>16728.600000000002</v>
      </c>
      <c r="AM430" s="724"/>
      <c r="AN430" s="722">
        <v>-8172.7100000000009</v>
      </c>
      <c r="AO430" s="729">
        <v>-0.48854715875805504</v>
      </c>
      <c r="AP430" s="478"/>
      <c r="AQ430" s="478"/>
      <c r="AR430" s="478"/>
      <c r="AS430" s="478"/>
      <c r="AT430" s="478"/>
      <c r="AU430" s="478"/>
      <c r="AV430" s="478"/>
      <c r="AW430" s="478"/>
      <c r="AX430" s="478"/>
      <c r="AY430" s="478"/>
      <c r="AZ430" s="478"/>
      <c r="BA430" s="478"/>
      <c r="BB430" s="478"/>
      <c r="BC430" s="478"/>
      <c r="BD430" s="478"/>
      <c r="BE430" s="478"/>
      <c r="BF430" s="478"/>
      <c r="BG430" s="478"/>
      <c r="BH430" s="478"/>
      <c r="BI430" s="478"/>
    </row>
    <row r="431" spans="1:61" ht="15.75" hidden="1" customHeight="1">
      <c r="A431" s="490" t="s">
        <v>20</v>
      </c>
      <c r="B431" s="475"/>
      <c r="C431" s="694" t="s">
        <v>465</v>
      </c>
      <c r="V431" s="498" t="s">
        <v>20</v>
      </c>
      <c r="W431" s="726"/>
      <c r="X431" s="719"/>
      <c r="Y431" s="727"/>
      <c r="Z431" s="720">
        <v>0</v>
      </c>
      <c r="AA431" s="719"/>
      <c r="AB431" s="719"/>
      <c r="AC431" s="720"/>
      <c r="AD431" s="728"/>
      <c r="AE431" s="727"/>
      <c r="AF431" s="720">
        <v>0</v>
      </c>
      <c r="AG431" s="721"/>
      <c r="AH431" s="722">
        <v>0</v>
      </c>
      <c r="AI431" s="723">
        <v>0</v>
      </c>
      <c r="AJ431" s="728"/>
      <c r="AK431" s="719"/>
      <c r="AL431" s="720">
        <v>0</v>
      </c>
      <c r="AM431" s="724"/>
      <c r="AN431" s="722"/>
      <c r="AO431" s="709"/>
      <c r="AP431" s="478"/>
      <c r="AQ431" s="478"/>
      <c r="AR431" s="478"/>
      <c r="AS431" s="478"/>
      <c r="AT431" s="478"/>
      <c r="AU431" s="478"/>
      <c r="AV431" s="478"/>
      <c r="AW431" s="478"/>
      <c r="AX431" s="478"/>
      <c r="AY431" s="478"/>
      <c r="AZ431" s="478"/>
      <c r="BA431" s="478"/>
      <c r="BB431" s="478"/>
      <c r="BC431" s="478"/>
      <c r="BD431" s="478"/>
      <c r="BE431" s="478"/>
      <c r="BF431" s="478"/>
      <c r="BG431" s="478"/>
      <c r="BH431" s="478"/>
      <c r="BI431" s="478"/>
    </row>
    <row r="432" spans="1:61" ht="15.75" customHeight="1">
      <c r="A432" s="490" t="s">
        <v>49</v>
      </c>
      <c r="B432" s="475"/>
      <c r="C432" s="694" t="s">
        <v>465</v>
      </c>
      <c r="V432" s="734" t="s">
        <v>49</v>
      </c>
      <c r="W432" s="735"/>
      <c r="X432" s="736">
        <v>0.4488713883474984</v>
      </c>
      <c r="Y432" s="735"/>
      <c r="Z432" s="737">
        <v>291023.11935814226</v>
      </c>
      <c r="AA432" s="736"/>
      <c r="AB432" s="735"/>
      <c r="AC432" s="737"/>
      <c r="AD432" s="738">
        <v>0.44624591146390419</v>
      </c>
      <c r="AE432" s="743"/>
      <c r="AF432" s="737">
        <v>273273.41000000003</v>
      </c>
      <c r="AG432" s="744"/>
      <c r="AH432" s="740">
        <v>-17749.709358142223</v>
      </c>
      <c r="AI432" s="736">
        <v>-6.0990719216018265E-2</v>
      </c>
      <c r="AJ432" s="738">
        <v>0.43217870807973985</v>
      </c>
      <c r="AK432" s="735"/>
      <c r="AL432" s="737">
        <v>302217.53999999998</v>
      </c>
      <c r="AM432" s="745"/>
      <c r="AN432" s="740">
        <v>-28944.129999999946</v>
      </c>
      <c r="AO432" s="717">
        <v>-9.577250215192655E-2</v>
      </c>
      <c r="AP432" s="478"/>
      <c r="AQ432" s="478"/>
      <c r="AR432" s="478"/>
      <c r="AS432" s="478"/>
      <c r="AT432" s="478"/>
      <c r="AU432" s="478"/>
      <c r="AV432" s="478"/>
      <c r="AW432" s="478"/>
      <c r="AX432" s="478"/>
      <c r="AY432" s="478"/>
      <c r="AZ432" s="478"/>
      <c r="BA432" s="478"/>
      <c r="BB432" s="478"/>
      <c r="BC432" s="478"/>
      <c r="BD432" s="478"/>
      <c r="BE432" s="478"/>
      <c r="BF432" s="478"/>
      <c r="BG432" s="478"/>
      <c r="BH432" s="478"/>
      <c r="BI432" s="478"/>
    </row>
    <row r="433" spans="1:62" ht="15.75" customHeight="1">
      <c r="A433" s="490" t="s">
        <v>50</v>
      </c>
      <c r="B433" s="475"/>
      <c r="C433" s="694" t="s">
        <v>465</v>
      </c>
      <c r="V433" s="664" t="s">
        <v>50</v>
      </c>
      <c r="W433" s="746" t="s">
        <v>138</v>
      </c>
      <c r="X433" s="747"/>
      <c r="Y433" s="747"/>
      <c r="Z433" s="748">
        <v>12968.605541666668</v>
      </c>
      <c r="AA433" s="747"/>
      <c r="AB433" s="747"/>
      <c r="AC433" s="748"/>
      <c r="AD433" s="749"/>
      <c r="AE433" s="750"/>
      <c r="AF433" s="748">
        <v>18581.48</v>
      </c>
      <c r="AG433" s="749"/>
      <c r="AH433" s="751">
        <v>5612.8744583333319</v>
      </c>
      <c r="AI433" s="752">
        <v>0.43280477922624749</v>
      </c>
      <c r="AJ433" s="749"/>
      <c r="AK433" s="747"/>
      <c r="AL433" s="748">
        <v>11421.04</v>
      </c>
      <c r="AM433" s="753"/>
      <c r="AN433" s="751">
        <v>7160.4399999999987</v>
      </c>
      <c r="AO433" s="725">
        <v>0.62695166114469414</v>
      </c>
      <c r="AP433" s="478"/>
      <c r="AQ433" s="478"/>
      <c r="AR433" s="478"/>
      <c r="AS433" s="478"/>
      <c r="AT433" s="478"/>
      <c r="AU433" s="478"/>
      <c r="AV433" s="478"/>
      <c r="AW433" s="478"/>
      <c r="AX433" s="478"/>
      <c r="AY433" s="478"/>
      <c r="AZ433" s="478"/>
      <c r="BA433" s="478"/>
      <c r="BB433" s="478"/>
      <c r="BC433" s="478"/>
      <c r="BD433" s="478"/>
      <c r="BE433" s="478"/>
      <c r="BF433" s="478"/>
      <c r="BG433" s="478"/>
      <c r="BH433" s="478"/>
      <c r="BI433" s="478"/>
    </row>
    <row r="434" spans="1:62" ht="15.75" customHeight="1">
      <c r="A434" s="490" t="s">
        <v>51</v>
      </c>
      <c r="B434" s="475"/>
      <c r="C434" s="694" t="s">
        <v>465</v>
      </c>
      <c r="V434" s="565" t="s">
        <v>51</v>
      </c>
      <c r="W434" s="726" t="s">
        <v>149</v>
      </c>
      <c r="X434" s="719"/>
      <c r="Y434" s="719"/>
      <c r="Z434" s="720">
        <v>3635.1763674977196</v>
      </c>
      <c r="AA434" s="719"/>
      <c r="AB434" s="719"/>
      <c r="AC434" s="720"/>
      <c r="AD434" s="728"/>
      <c r="AE434" s="727"/>
      <c r="AF434" s="720">
        <v>6040.7000000000007</v>
      </c>
      <c r="AG434" s="721"/>
      <c r="AH434" s="722">
        <v>2405.5236325022811</v>
      </c>
      <c r="AI434" s="723">
        <v>0.6617350547308184</v>
      </c>
      <c r="AJ434" s="728"/>
      <c r="AK434" s="719"/>
      <c r="AL434" s="720">
        <v>3321.1100000000006</v>
      </c>
      <c r="AM434" s="724"/>
      <c r="AN434" s="722">
        <v>2719.59</v>
      </c>
      <c r="AO434" s="729">
        <v>0.81887983234520978</v>
      </c>
      <c r="AP434" s="478"/>
      <c r="AQ434" s="478"/>
      <c r="AR434" s="478"/>
      <c r="AS434" s="478"/>
      <c r="AT434" s="478"/>
      <c r="AU434" s="478"/>
      <c r="AV434" s="478"/>
      <c r="AW434" s="478"/>
      <c r="AX434" s="478"/>
      <c r="AY434" s="478"/>
      <c r="AZ434" s="478"/>
      <c r="BA434" s="478"/>
      <c r="BB434" s="478"/>
      <c r="BC434" s="478"/>
      <c r="BD434" s="478"/>
      <c r="BE434" s="478"/>
      <c r="BF434" s="478"/>
      <c r="BG434" s="478"/>
      <c r="BH434" s="478"/>
      <c r="BI434" s="478"/>
    </row>
    <row r="435" spans="1:62" ht="15.75" customHeight="1">
      <c r="A435" s="490" t="s">
        <v>52</v>
      </c>
      <c r="B435" s="475"/>
      <c r="C435" s="694" t="s">
        <v>465</v>
      </c>
      <c r="U435" s="754"/>
      <c r="V435" s="566" t="s">
        <v>52</v>
      </c>
      <c r="W435" s="730" t="s">
        <v>150</v>
      </c>
      <c r="X435" s="703"/>
      <c r="Y435" s="703"/>
      <c r="Z435" s="704">
        <v>22291.666666666664</v>
      </c>
      <c r="AA435" s="703"/>
      <c r="AB435" s="703"/>
      <c r="AC435" s="704"/>
      <c r="AD435" s="732"/>
      <c r="AE435" s="731"/>
      <c r="AF435" s="704">
        <v>24599.020000000004</v>
      </c>
      <c r="AG435" s="705"/>
      <c r="AH435" s="706">
        <v>2307.3533333333398</v>
      </c>
      <c r="AI435" s="733">
        <v>0.10350743925233676</v>
      </c>
      <c r="AJ435" s="732"/>
      <c r="AK435" s="703"/>
      <c r="AL435" s="704">
        <v>23259.33</v>
      </c>
      <c r="AM435" s="708"/>
      <c r="AN435" s="706">
        <v>1339.6900000000023</v>
      </c>
      <c r="AO435" s="709">
        <v>5.7597961764160974E-2</v>
      </c>
      <c r="AP435" s="478"/>
      <c r="AQ435" s="478"/>
      <c r="AR435" s="478"/>
      <c r="AS435" s="478"/>
      <c r="AT435" s="478"/>
      <c r="AU435" s="478"/>
      <c r="AV435" s="478"/>
      <c r="AW435" s="478"/>
      <c r="AX435" s="478"/>
      <c r="AY435" s="478"/>
      <c r="AZ435" s="478"/>
      <c r="BA435" s="478"/>
      <c r="BB435" s="478"/>
      <c r="BC435" s="478"/>
      <c r="BD435" s="478"/>
      <c r="BE435" s="478"/>
      <c r="BF435" s="478"/>
      <c r="BG435" s="478"/>
      <c r="BH435" s="478"/>
      <c r="BI435" s="478"/>
    </row>
    <row r="436" spans="1:62" ht="15.75" customHeight="1">
      <c r="A436" s="490" t="s">
        <v>53</v>
      </c>
      <c r="B436" s="475"/>
      <c r="C436" s="694" t="s">
        <v>465</v>
      </c>
      <c r="U436" s="754"/>
      <c r="V436" s="565" t="s">
        <v>53</v>
      </c>
      <c r="W436" s="726" t="s">
        <v>151</v>
      </c>
      <c r="X436" s="719"/>
      <c r="Y436" s="719"/>
      <c r="Z436" s="720">
        <v>19854.870533333335</v>
      </c>
      <c r="AA436" s="719"/>
      <c r="AB436" s="719"/>
      <c r="AC436" s="720"/>
      <c r="AD436" s="728"/>
      <c r="AE436" s="727"/>
      <c r="AF436" s="720">
        <v>21285.919999999998</v>
      </c>
      <c r="AG436" s="721"/>
      <c r="AH436" s="722">
        <v>1431.0494666666636</v>
      </c>
      <c r="AI436" s="723">
        <v>7.2075487184071405E-2</v>
      </c>
      <c r="AJ436" s="728"/>
      <c r="AK436" s="719"/>
      <c r="AL436" s="720">
        <v>19669.370000000003</v>
      </c>
      <c r="AM436" s="724"/>
      <c r="AN436" s="722">
        <v>1616.5499999999956</v>
      </c>
      <c r="AO436" s="729">
        <v>8.2186160512512374E-2</v>
      </c>
      <c r="AP436" s="478"/>
      <c r="AQ436" s="478"/>
      <c r="AR436" s="478"/>
      <c r="AS436" s="478"/>
      <c r="AT436" s="478"/>
      <c r="AU436" s="478"/>
      <c r="AV436" s="478"/>
      <c r="AW436" s="478"/>
      <c r="AX436" s="478"/>
      <c r="AY436" s="478"/>
      <c r="AZ436" s="478"/>
      <c r="BA436" s="478"/>
      <c r="BB436" s="478"/>
      <c r="BC436" s="478"/>
      <c r="BD436" s="478"/>
      <c r="BE436" s="478"/>
      <c r="BF436" s="478"/>
      <c r="BG436" s="478"/>
      <c r="BH436" s="478"/>
      <c r="BI436" s="478"/>
    </row>
    <row r="437" spans="1:62" ht="15.75" customHeight="1">
      <c r="A437" s="490" t="s">
        <v>54</v>
      </c>
      <c r="B437" s="475"/>
      <c r="C437" s="694" t="s">
        <v>465</v>
      </c>
      <c r="U437" s="754"/>
      <c r="V437" s="565" t="s">
        <v>54</v>
      </c>
      <c r="W437" s="726" t="s">
        <v>152</v>
      </c>
      <c r="X437" s="719"/>
      <c r="Y437" s="719"/>
      <c r="Z437" s="720">
        <v>3125.2751395833329</v>
      </c>
      <c r="AA437" s="719"/>
      <c r="AB437" s="719"/>
      <c r="AC437" s="720"/>
      <c r="AD437" s="728"/>
      <c r="AE437" s="727"/>
      <c r="AF437" s="720">
        <v>3781.2</v>
      </c>
      <c r="AG437" s="721"/>
      <c r="AH437" s="722">
        <v>655.92486041666689</v>
      </c>
      <c r="AI437" s="723">
        <v>0.20987747674085294</v>
      </c>
      <c r="AJ437" s="728"/>
      <c r="AK437" s="719"/>
      <c r="AL437" s="720">
        <v>2496.81</v>
      </c>
      <c r="AM437" s="724"/>
      <c r="AN437" s="722">
        <v>1284.3899999999999</v>
      </c>
      <c r="AO437" s="729">
        <v>0.51441239020990781</v>
      </c>
      <c r="AP437" s="478"/>
      <c r="AQ437" s="478"/>
      <c r="AR437" s="478"/>
      <c r="AS437" s="478"/>
      <c r="AT437" s="478"/>
      <c r="AU437" s="478"/>
      <c r="AV437" s="478"/>
      <c r="AW437" s="478"/>
      <c r="AX437" s="478"/>
      <c r="AY437" s="478"/>
      <c r="AZ437" s="478"/>
      <c r="BA437" s="478"/>
      <c r="BB437" s="478"/>
      <c r="BC437" s="478"/>
      <c r="BD437" s="478"/>
      <c r="BE437" s="478"/>
      <c r="BF437" s="478"/>
      <c r="BG437" s="478"/>
      <c r="BH437" s="478"/>
      <c r="BI437" s="478"/>
    </row>
    <row r="438" spans="1:62" ht="15.75" customHeight="1">
      <c r="A438" s="490" t="s">
        <v>55</v>
      </c>
      <c r="B438" s="475"/>
      <c r="C438" s="694" t="s">
        <v>465</v>
      </c>
      <c r="V438" s="565" t="s">
        <v>55</v>
      </c>
      <c r="W438" s="726" t="s">
        <v>153</v>
      </c>
      <c r="X438" s="719"/>
      <c r="Y438" s="719"/>
      <c r="Z438" s="720">
        <v>20524.601155555552</v>
      </c>
      <c r="AA438" s="719"/>
      <c r="AB438" s="719"/>
      <c r="AC438" s="720"/>
      <c r="AD438" s="728"/>
      <c r="AE438" s="727"/>
      <c r="AF438" s="720">
        <v>29314.46</v>
      </c>
      <c r="AG438" s="721"/>
      <c r="AH438" s="722">
        <v>8789.8588444444467</v>
      </c>
      <c r="AI438" s="723">
        <v>0.42825966642792607</v>
      </c>
      <c r="AJ438" s="728"/>
      <c r="AK438" s="719"/>
      <c r="AL438" s="720">
        <v>20259.09</v>
      </c>
      <c r="AM438" s="724"/>
      <c r="AN438" s="722">
        <v>9055.369999999999</v>
      </c>
      <c r="AO438" s="729">
        <v>0.44697812191959257</v>
      </c>
      <c r="AP438" s="755"/>
      <c r="AQ438" s="755" t="s">
        <v>477</v>
      </c>
      <c r="AR438" s="478"/>
      <c r="AS438" s="478"/>
      <c r="AT438" s="478"/>
      <c r="AU438" s="478"/>
      <c r="AV438" s="478"/>
      <c r="AW438" s="478"/>
      <c r="AX438" s="478"/>
      <c r="AY438" s="478"/>
      <c r="AZ438" s="478"/>
      <c r="BA438" s="478"/>
      <c r="BB438" s="478"/>
      <c r="BC438" s="478"/>
      <c r="BD438" s="478"/>
      <c r="BE438" s="478"/>
      <c r="BF438" s="478"/>
      <c r="BG438" s="478"/>
      <c r="BH438" s="478"/>
      <c r="BI438" s="478"/>
    </row>
    <row r="439" spans="1:62" ht="15.75" customHeight="1">
      <c r="B439" s="475"/>
      <c r="C439" s="694" t="s">
        <v>465</v>
      </c>
      <c r="V439" s="664" t="s">
        <v>98</v>
      </c>
      <c r="W439" s="746"/>
      <c r="X439" s="747"/>
      <c r="Y439" s="747"/>
      <c r="Z439" s="748">
        <v>0</v>
      </c>
      <c r="AA439" s="747"/>
      <c r="AB439" s="747"/>
      <c r="AC439" s="748"/>
      <c r="AD439" s="749"/>
      <c r="AE439" s="750"/>
      <c r="AF439" s="748">
        <v>0</v>
      </c>
      <c r="AG439" s="756"/>
      <c r="AH439" s="751">
        <v>0</v>
      </c>
      <c r="AI439" s="752">
        <v>0</v>
      </c>
      <c r="AJ439" s="749"/>
      <c r="AK439" s="747"/>
      <c r="AL439" s="748">
        <v>0</v>
      </c>
      <c r="AM439" s="753"/>
      <c r="AN439" s="751">
        <v>0</v>
      </c>
      <c r="AO439" s="725">
        <v>0</v>
      </c>
      <c r="AP439" s="478"/>
      <c r="AQ439" s="478"/>
      <c r="AR439" s="478"/>
      <c r="AS439" s="478"/>
      <c r="AT439" s="478"/>
      <c r="AU439" s="478"/>
      <c r="AV439" s="478"/>
      <c r="AW439" s="478"/>
      <c r="AX439" s="478"/>
      <c r="AY439" s="478"/>
      <c r="AZ439" s="478"/>
      <c r="BA439" s="478"/>
      <c r="BB439" s="478"/>
      <c r="BC439" s="478"/>
      <c r="BD439" s="478"/>
      <c r="BE439" s="478"/>
      <c r="BF439" s="478"/>
      <c r="BG439" s="478"/>
      <c r="BH439" s="478"/>
      <c r="BI439" s="478"/>
    </row>
    <row r="440" spans="1:62" ht="15.75" customHeight="1">
      <c r="A440" s="490" t="s">
        <v>56</v>
      </c>
      <c r="B440" s="475"/>
      <c r="C440" s="694" t="s">
        <v>465</v>
      </c>
      <c r="V440" s="565" t="s">
        <v>56</v>
      </c>
      <c r="W440" s="726" t="s">
        <v>154</v>
      </c>
      <c r="X440" s="719"/>
      <c r="Y440" s="727"/>
      <c r="Z440" s="720">
        <v>2037.1557843443836</v>
      </c>
      <c r="AA440" s="719"/>
      <c r="AB440" s="727"/>
      <c r="AC440" s="720"/>
      <c r="AD440" s="728"/>
      <c r="AE440" s="727"/>
      <c r="AF440" s="720">
        <v>9357.83</v>
      </c>
      <c r="AG440" s="721"/>
      <c r="AH440" s="722">
        <v>7320.6742156556165</v>
      </c>
      <c r="AI440" s="723">
        <v>3.5935760396506073</v>
      </c>
      <c r="AJ440" s="728"/>
      <c r="AK440" s="719"/>
      <c r="AL440" s="720">
        <v>1280.56</v>
      </c>
      <c r="AM440" s="724"/>
      <c r="AN440" s="722">
        <v>8077.27</v>
      </c>
      <c r="AO440" s="729">
        <v>6.3076076091709883</v>
      </c>
      <c r="AP440" s="478"/>
      <c r="AQ440" s="478"/>
      <c r="AR440" s="478"/>
      <c r="AS440" s="478"/>
      <c r="AT440" s="478"/>
      <c r="AU440" s="478"/>
      <c r="AV440" s="478"/>
      <c r="AW440" s="478"/>
      <c r="AX440" s="478"/>
      <c r="AY440" s="478"/>
      <c r="AZ440" s="478"/>
      <c r="BA440" s="478"/>
      <c r="BB440" s="478"/>
      <c r="BC440" s="478"/>
      <c r="BD440" s="478"/>
      <c r="BE440" s="478"/>
      <c r="BF440" s="478"/>
      <c r="BG440" s="478"/>
      <c r="BH440" s="478"/>
      <c r="BI440" s="478"/>
      <c r="BJ440" s="478"/>
    </row>
    <row r="441" spans="1:62" ht="15.75" customHeight="1">
      <c r="A441" s="490" t="s">
        <v>57</v>
      </c>
      <c r="B441" s="475"/>
      <c r="C441" s="694" t="s">
        <v>465</v>
      </c>
      <c r="U441" s="478"/>
      <c r="V441" s="565" t="s">
        <v>57</v>
      </c>
      <c r="W441" s="726" t="s">
        <v>155</v>
      </c>
      <c r="X441" s="719"/>
      <c r="Y441" s="719"/>
      <c r="Z441" s="720">
        <v>1051.964020297145</v>
      </c>
      <c r="AA441" s="719"/>
      <c r="AB441" s="719"/>
      <c r="AC441" s="720"/>
      <c r="AD441" s="728"/>
      <c r="AE441" s="727"/>
      <c r="AF441" s="720">
        <v>1535.27</v>
      </c>
      <c r="AG441" s="721"/>
      <c r="AH441" s="722">
        <v>483.30597970285498</v>
      </c>
      <c r="AI441" s="742">
        <v>0.45943204366090112</v>
      </c>
      <c r="AJ441" s="728"/>
      <c r="AK441" s="719"/>
      <c r="AL441" s="720">
        <v>325.68</v>
      </c>
      <c r="AM441" s="724"/>
      <c r="AN441" s="722">
        <v>1209.5899999999999</v>
      </c>
      <c r="AO441" s="729">
        <v>3.7140444608204368</v>
      </c>
      <c r="AP441" s="478"/>
      <c r="AQ441" s="478"/>
      <c r="AR441" s="478"/>
      <c r="AS441" s="478"/>
      <c r="AT441" s="478"/>
      <c r="AU441" s="478"/>
      <c r="AV441" s="478"/>
      <c r="AW441" s="478"/>
      <c r="AX441" s="478"/>
      <c r="AY441" s="478"/>
      <c r="AZ441" s="478"/>
      <c r="BA441" s="478"/>
      <c r="BB441" s="478"/>
      <c r="BC441" s="478"/>
      <c r="BD441" s="478"/>
      <c r="BE441" s="478"/>
      <c r="BF441" s="478"/>
      <c r="BG441" s="478"/>
      <c r="BH441" s="478"/>
      <c r="BI441" s="478"/>
      <c r="BJ441" s="478"/>
    </row>
    <row r="442" spans="1:62" ht="15.75" customHeight="1">
      <c r="A442" s="490" t="s">
        <v>58</v>
      </c>
      <c r="B442" s="475"/>
      <c r="C442" s="694" t="s">
        <v>465</v>
      </c>
      <c r="T442" s="478"/>
      <c r="U442" s="478"/>
      <c r="V442" s="565" t="s">
        <v>58</v>
      </c>
      <c r="W442" s="726" t="s">
        <v>156</v>
      </c>
      <c r="X442" s="719"/>
      <c r="Y442" s="719"/>
      <c r="Z442" s="720">
        <v>2385.7844849999992</v>
      </c>
      <c r="AA442" s="719"/>
      <c r="AB442" s="719"/>
      <c r="AC442" s="720"/>
      <c r="AD442" s="728"/>
      <c r="AE442" s="727"/>
      <c r="AF442" s="720">
        <v>1499.48</v>
      </c>
      <c r="AG442" s="721"/>
      <c r="AH442" s="722">
        <v>-886.3044849999992</v>
      </c>
      <c r="AI442" s="723">
        <v>-0.37149394279844161</v>
      </c>
      <c r="AJ442" s="728"/>
      <c r="AK442" s="719"/>
      <c r="AL442" s="720">
        <v>3076.4100000000003</v>
      </c>
      <c r="AM442" s="724"/>
      <c r="AN442" s="722">
        <v>-1576.9300000000003</v>
      </c>
      <c r="AO442" s="729">
        <v>-0.51258772400297758</v>
      </c>
      <c r="AP442" s="478"/>
      <c r="AQ442" s="478"/>
      <c r="AR442" s="478"/>
      <c r="AS442" s="478"/>
      <c r="AT442" s="478"/>
      <c r="AU442" s="478"/>
      <c r="AV442" s="478"/>
      <c r="AW442" s="478"/>
      <c r="AX442" s="478"/>
      <c r="AY442" s="478"/>
      <c r="AZ442" s="478"/>
      <c r="BA442" s="478"/>
      <c r="BB442" s="478"/>
      <c r="BC442" s="478"/>
      <c r="BD442" s="478"/>
      <c r="BE442" s="478"/>
      <c r="BF442" s="478"/>
      <c r="BG442" s="478"/>
      <c r="BH442" s="478"/>
      <c r="BI442" s="478"/>
      <c r="BJ442" s="478"/>
    </row>
    <row r="443" spans="1:62" ht="15.75" customHeight="1">
      <c r="A443" s="490" t="s">
        <v>59</v>
      </c>
      <c r="B443" s="475"/>
      <c r="C443" s="694" t="s">
        <v>465</v>
      </c>
      <c r="T443" s="478"/>
      <c r="U443" s="478"/>
      <c r="V443" s="565" t="s">
        <v>59</v>
      </c>
      <c r="W443" s="726" t="s">
        <v>157</v>
      </c>
      <c r="X443" s="719"/>
      <c r="Y443" s="719"/>
      <c r="Z443" s="720">
        <v>808.50078173611109</v>
      </c>
      <c r="AA443" s="719"/>
      <c r="AB443" s="719"/>
      <c r="AC443" s="720"/>
      <c r="AD443" s="728"/>
      <c r="AE443" s="727"/>
      <c r="AF443" s="720">
        <v>615.7700000000001</v>
      </c>
      <c r="AG443" s="721"/>
      <c r="AH443" s="722">
        <v>-192.730781736111</v>
      </c>
      <c r="AI443" s="742">
        <v>-0.23838045193012189</v>
      </c>
      <c r="AJ443" s="728"/>
      <c r="AK443" s="719"/>
      <c r="AL443" s="720">
        <v>630.45000000000005</v>
      </c>
      <c r="AM443" s="724"/>
      <c r="AN443" s="722">
        <v>-14.67999999999995</v>
      </c>
      <c r="AO443" s="729">
        <v>-2.3284955190736693E-2</v>
      </c>
      <c r="AP443" s="478"/>
      <c r="AQ443" s="478"/>
      <c r="AR443" s="478"/>
      <c r="AS443" s="478"/>
      <c r="AT443" s="478"/>
      <c r="AU443" s="478"/>
      <c r="AV443" s="478"/>
      <c r="AW443" s="478"/>
      <c r="AX443" s="478"/>
      <c r="AY443" s="478"/>
      <c r="AZ443" s="478"/>
      <c r="BA443" s="478"/>
      <c r="BB443" s="478"/>
      <c r="BC443" s="478"/>
      <c r="BD443" s="478"/>
      <c r="BE443" s="478"/>
      <c r="BF443" s="478"/>
      <c r="BG443" s="478"/>
      <c r="BH443" s="478"/>
      <c r="BI443" s="478"/>
      <c r="BJ443" s="478"/>
    </row>
    <row r="444" spans="1:62" ht="15.75" customHeight="1">
      <c r="A444" s="490" t="s">
        <v>60</v>
      </c>
      <c r="B444" s="475"/>
      <c r="C444" s="694" t="s">
        <v>465</v>
      </c>
      <c r="T444" s="478"/>
      <c r="U444" s="478"/>
      <c r="V444" s="565" t="s">
        <v>60</v>
      </c>
      <c r="W444" s="726" t="s">
        <v>158</v>
      </c>
      <c r="X444" s="719"/>
      <c r="Y444" s="719"/>
      <c r="Z444" s="720">
        <v>386.70091826388881</v>
      </c>
      <c r="AA444" s="719"/>
      <c r="AB444" s="719"/>
      <c r="AC444" s="720"/>
      <c r="AD444" s="728"/>
      <c r="AE444" s="727"/>
      <c r="AF444" s="720">
        <v>1374.07</v>
      </c>
      <c r="AG444" s="721"/>
      <c r="AH444" s="722">
        <v>987.36908173611118</v>
      </c>
      <c r="AI444" s="723">
        <v>2.5533145516409661</v>
      </c>
      <c r="AJ444" s="728"/>
      <c r="AK444" s="719"/>
      <c r="AL444" s="720">
        <v>592.42999999999995</v>
      </c>
      <c r="AM444" s="724"/>
      <c r="AN444" s="722">
        <v>781.64</v>
      </c>
      <c r="AO444" s="729">
        <v>1.3193795047516164</v>
      </c>
      <c r="AP444" s="478"/>
      <c r="AQ444" s="478"/>
      <c r="AR444" s="478"/>
      <c r="AS444" s="478"/>
      <c r="AT444" s="478"/>
      <c r="AU444" s="478"/>
      <c r="AV444" s="478"/>
      <c r="AW444" s="478"/>
      <c r="AX444" s="478"/>
      <c r="AY444" s="478"/>
      <c r="AZ444" s="478"/>
      <c r="BA444" s="478"/>
      <c r="BB444" s="478"/>
      <c r="BC444" s="478"/>
      <c r="BD444" s="478"/>
      <c r="BE444" s="478"/>
      <c r="BF444" s="478"/>
      <c r="BG444" s="478"/>
      <c r="BH444" s="478"/>
      <c r="BI444" s="478"/>
      <c r="BJ444" s="478"/>
    </row>
    <row r="445" spans="1:62" ht="15.75" customHeight="1">
      <c r="A445" s="490" t="s">
        <v>61</v>
      </c>
      <c r="B445" s="475"/>
      <c r="C445" s="694" t="s">
        <v>465</v>
      </c>
      <c r="T445" s="478"/>
      <c r="U445" s="478"/>
      <c r="V445" s="565" t="s">
        <v>61</v>
      </c>
      <c r="W445" s="726" t="s">
        <v>159</v>
      </c>
      <c r="X445" s="719"/>
      <c r="Y445" s="727"/>
      <c r="Z445" s="720">
        <v>1469.3198845138888</v>
      </c>
      <c r="AA445" s="719"/>
      <c r="AB445" s="727"/>
      <c r="AC445" s="720"/>
      <c r="AD445" s="728"/>
      <c r="AE445" s="727"/>
      <c r="AF445" s="720">
        <v>270.76</v>
      </c>
      <c r="AG445" s="721"/>
      <c r="AH445" s="722">
        <v>-1198.5598845138888</v>
      </c>
      <c r="AI445" s="742">
        <v>-0.81572426613583982</v>
      </c>
      <c r="AJ445" s="728"/>
      <c r="AK445" s="719"/>
      <c r="AL445" s="720">
        <v>438.15000000000009</v>
      </c>
      <c r="AM445" s="724"/>
      <c r="AN445" s="722">
        <v>-167.3900000000001</v>
      </c>
      <c r="AO445" s="729">
        <v>-0.38203811480086741</v>
      </c>
      <c r="AP445" s="478"/>
      <c r="AQ445" s="478"/>
      <c r="AR445" s="478"/>
      <c r="AS445" s="478"/>
      <c r="AT445" s="478"/>
      <c r="AU445" s="478"/>
      <c r="AV445" s="478"/>
      <c r="AW445" s="478"/>
      <c r="AX445" s="478"/>
      <c r="AY445" s="478"/>
      <c r="AZ445" s="478"/>
      <c r="BA445" s="478"/>
      <c r="BB445" s="478"/>
      <c r="BC445" s="478"/>
      <c r="BD445" s="478"/>
      <c r="BE445" s="478"/>
      <c r="BF445" s="478"/>
      <c r="BG445" s="478"/>
      <c r="BH445" s="478"/>
      <c r="BI445" s="478"/>
      <c r="BJ445" s="478"/>
    </row>
    <row r="446" spans="1:62" ht="15.75" customHeight="1">
      <c r="A446" s="490" t="s">
        <v>62</v>
      </c>
      <c r="B446" s="475"/>
      <c r="C446" s="694" t="s">
        <v>465</v>
      </c>
      <c r="T446" s="478"/>
      <c r="U446" s="478"/>
      <c r="V446" s="565" t="s">
        <v>62</v>
      </c>
      <c r="W446" s="726" t="s">
        <v>160</v>
      </c>
      <c r="X446" s="719"/>
      <c r="Y446" s="727"/>
      <c r="Z446" s="720">
        <v>3513.3333333333339</v>
      </c>
      <c r="AA446" s="719"/>
      <c r="AB446" s="727"/>
      <c r="AC446" s="720"/>
      <c r="AD446" s="728"/>
      <c r="AE446" s="727"/>
      <c r="AF446" s="720">
        <v>5842.54</v>
      </c>
      <c r="AG446" s="721"/>
      <c r="AH446" s="757">
        <v>2329.206666666666</v>
      </c>
      <c r="AI446" s="723">
        <v>0.66296204933586311</v>
      </c>
      <c r="AJ446" s="728"/>
      <c r="AK446" s="719"/>
      <c r="AL446" s="720">
        <v>4459.38</v>
      </c>
      <c r="AM446" s="724"/>
      <c r="AN446" s="722">
        <v>1383.1599999999999</v>
      </c>
      <c r="AO446" s="729">
        <v>0.31016867815705318</v>
      </c>
      <c r="AQ446" s="478"/>
      <c r="AR446" s="478"/>
      <c r="AS446" s="478"/>
      <c r="AT446" s="478"/>
      <c r="AU446" s="478"/>
      <c r="AV446" s="478"/>
      <c r="AW446" s="478"/>
      <c r="AX446" s="478"/>
      <c r="AY446" s="478"/>
      <c r="AZ446" s="478"/>
      <c r="BA446" s="478"/>
      <c r="BB446" s="478"/>
      <c r="BC446" s="478"/>
      <c r="BD446" s="478"/>
      <c r="BE446" s="478"/>
      <c r="BF446" s="478"/>
      <c r="BG446" s="478"/>
      <c r="BH446" s="478"/>
      <c r="BI446" s="478"/>
      <c r="BJ446" s="478"/>
    </row>
    <row r="447" spans="1:62" ht="15.75" customHeight="1">
      <c r="A447" s="490" t="s">
        <v>63</v>
      </c>
      <c r="B447" s="475"/>
      <c r="C447" s="694" t="s">
        <v>465</v>
      </c>
      <c r="T447" s="478"/>
      <c r="U447" s="478"/>
      <c r="V447" s="565" t="s">
        <v>63</v>
      </c>
      <c r="W447" s="726" t="s">
        <v>161</v>
      </c>
      <c r="X447" s="719"/>
      <c r="Y447" s="727"/>
      <c r="Z447" s="720">
        <v>6485.0787240870186</v>
      </c>
      <c r="AA447" s="719"/>
      <c r="AB447" s="727"/>
      <c r="AC447" s="720"/>
      <c r="AD447" s="728"/>
      <c r="AE447" s="727"/>
      <c r="AF447" s="720">
        <v>7569.85</v>
      </c>
      <c r="AG447" s="721"/>
      <c r="AH447" s="722">
        <v>1084.7712759129818</v>
      </c>
      <c r="AI447" s="723">
        <v>0.16727187472434235</v>
      </c>
      <c r="AJ447" s="728"/>
      <c r="AK447" s="719"/>
      <c r="AL447" s="720">
        <v>8313.7600000000093</v>
      </c>
      <c r="AM447" s="724"/>
      <c r="AN447" s="722">
        <v>-743.91000000000895</v>
      </c>
      <c r="AO447" s="729">
        <v>-8.9479369142242277E-2</v>
      </c>
      <c r="AQ447" s="478"/>
      <c r="AR447" s="478"/>
      <c r="AS447" s="478"/>
      <c r="AT447" s="478"/>
      <c r="AU447" s="478"/>
      <c r="AV447" s="478"/>
      <c r="AW447" s="478"/>
      <c r="AX447" s="478"/>
      <c r="AY447" s="478"/>
      <c r="AZ447" s="478"/>
      <c r="BA447" s="478"/>
      <c r="BB447" s="478"/>
      <c r="BC447" s="478"/>
      <c r="BD447" s="478"/>
      <c r="BE447" s="478"/>
      <c r="BF447" s="478"/>
      <c r="BG447" s="478"/>
      <c r="BH447" s="478"/>
      <c r="BI447" s="478"/>
      <c r="BJ447" s="478"/>
    </row>
    <row r="448" spans="1:62" ht="15.75" hidden="1" customHeight="1">
      <c r="A448" s="490" t="s">
        <v>20</v>
      </c>
      <c r="B448" s="475"/>
      <c r="C448" s="694" t="s">
        <v>465</v>
      </c>
      <c r="T448" s="478"/>
      <c r="U448" s="478"/>
      <c r="V448" s="565" t="s">
        <v>20</v>
      </c>
      <c r="W448" s="726"/>
      <c r="X448" s="719"/>
      <c r="Y448" s="727"/>
      <c r="Z448" s="720">
        <v>0</v>
      </c>
      <c r="AA448" s="719"/>
      <c r="AB448" s="719"/>
      <c r="AC448" s="720"/>
      <c r="AD448" s="728"/>
      <c r="AE448" s="727"/>
      <c r="AF448" s="720">
        <v>0</v>
      </c>
      <c r="AG448" s="721"/>
      <c r="AH448" s="722">
        <v>0</v>
      </c>
      <c r="AI448" s="723">
        <v>0</v>
      </c>
      <c r="AJ448" s="728"/>
      <c r="AK448" s="719"/>
      <c r="AL448" s="720">
        <v>0</v>
      </c>
      <c r="AM448" s="724"/>
      <c r="AN448" s="722">
        <v>0</v>
      </c>
      <c r="AO448" s="729">
        <v>0</v>
      </c>
      <c r="AP448" s="478"/>
      <c r="AQ448" s="478"/>
      <c r="AR448" s="478"/>
      <c r="AS448" s="478"/>
      <c r="AT448" s="478"/>
      <c r="AU448" s="478"/>
      <c r="AV448" s="478"/>
      <c r="AW448" s="478"/>
      <c r="AX448" s="478"/>
      <c r="AY448" s="478"/>
      <c r="AZ448" s="478"/>
      <c r="BA448" s="478"/>
      <c r="BB448" s="478"/>
      <c r="BC448" s="478"/>
      <c r="BD448" s="478"/>
      <c r="BE448" s="478"/>
      <c r="BF448" s="478"/>
      <c r="BG448" s="478"/>
      <c r="BH448" s="478"/>
      <c r="BI448" s="478"/>
      <c r="BJ448" s="478"/>
    </row>
    <row r="449" spans="1:62" ht="15.75" hidden="1" customHeight="1">
      <c r="A449" s="490" t="s">
        <v>20</v>
      </c>
      <c r="B449" s="475"/>
      <c r="C449" s="694" t="s">
        <v>465</v>
      </c>
      <c r="T449" s="478"/>
      <c r="U449" s="478"/>
      <c r="V449" s="565" t="s">
        <v>20</v>
      </c>
      <c r="W449" s="726"/>
      <c r="X449" s="719"/>
      <c r="Y449" s="727"/>
      <c r="Z449" s="720">
        <v>0</v>
      </c>
      <c r="AA449" s="719"/>
      <c r="AB449" s="719"/>
      <c r="AC449" s="720"/>
      <c r="AD449" s="728"/>
      <c r="AE449" s="727"/>
      <c r="AF449" s="720">
        <v>0</v>
      </c>
      <c r="AG449" s="721"/>
      <c r="AH449" s="722">
        <v>0</v>
      </c>
      <c r="AI449" s="723">
        <v>0</v>
      </c>
      <c r="AJ449" s="728"/>
      <c r="AK449" s="719"/>
      <c r="AL449" s="720">
        <v>0</v>
      </c>
      <c r="AM449" s="724"/>
      <c r="AN449" s="722">
        <v>0</v>
      </c>
      <c r="AO449" s="729">
        <v>0</v>
      </c>
      <c r="AP449" s="478"/>
      <c r="AQ449" s="478"/>
      <c r="AR449" s="478"/>
      <c r="AS449" s="478"/>
      <c r="AT449" s="478"/>
      <c r="AU449" s="478"/>
      <c r="AV449" s="478"/>
      <c r="AW449" s="478"/>
      <c r="AX449" s="478"/>
      <c r="AY449" s="478"/>
      <c r="AZ449" s="478"/>
      <c r="BA449" s="478"/>
      <c r="BB449" s="478"/>
      <c r="BC449" s="478"/>
      <c r="BD449" s="478"/>
      <c r="BE449" s="478"/>
      <c r="BF449" s="478"/>
      <c r="BG449" s="478"/>
      <c r="BH449" s="478"/>
      <c r="BI449" s="478"/>
      <c r="BJ449" s="478"/>
    </row>
    <row r="450" spans="1:62" ht="15.75" hidden="1" customHeight="1">
      <c r="A450" s="490" t="s">
        <v>20</v>
      </c>
      <c r="B450" s="475"/>
      <c r="C450" s="694" t="s">
        <v>465</v>
      </c>
      <c r="T450" s="478"/>
      <c r="U450" s="478"/>
      <c r="V450" s="565" t="s">
        <v>20</v>
      </c>
      <c r="W450" s="726"/>
      <c r="X450" s="719"/>
      <c r="Y450" s="727"/>
      <c r="Z450" s="720">
        <v>0</v>
      </c>
      <c r="AA450" s="719"/>
      <c r="AB450" s="719"/>
      <c r="AC450" s="720"/>
      <c r="AD450" s="728"/>
      <c r="AE450" s="727"/>
      <c r="AF450" s="720">
        <v>0</v>
      </c>
      <c r="AG450" s="721"/>
      <c r="AH450" s="722">
        <v>0</v>
      </c>
      <c r="AI450" s="723">
        <v>0</v>
      </c>
      <c r="AJ450" s="728"/>
      <c r="AK450" s="719"/>
      <c r="AL450" s="720">
        <v>0</v>
      </c>
      <c r="AM450" s="724"/>
      <c r="AN450" s="722">
        <v>0</v>
      </c>
      <c r="AO450" s="729">
        <v>0</v>
      </c>
      <c r="AP450" s="478"/>
      <c r="AQ450" s="478"/>
      <c r="AR450" s="478"/>
      <c r="AS450" s="478"/>
      <c r="AT450" s="478"/>
      <c r="AU450" s="478"/>
      <c r="AV450" s="478"/>
      <c r="AW450" s="478"/>
      <c r="AX450" s="478"/>
      <c r="AY450" s="478"/>
      <c r="AZ450" s="478"/>
      <c r="BA450" s="478"/>
      <c r="BB450" s="478"/>
      <c r="BC450" s="478"/>
      <c r="BD450" s="478"/>
      <c r="BE450" s="478"/>
      <c r="BF450" s="478"/>
      <c r="BG450" s="478"/>
      <c r="BH450" s="478"/>
      <c r="BI450" s="478"/>
      <c r="BJ450" s="478"/>
    </row>
    <row r="451" spans="1:62" ht="15.75" customHeight="1">
      <c r="A451" s="490" t="s">
        <v>64</v>
      </c>
      <c r="B451" s="475"/>
      <c r="C451" s="694" t="s">
        <v>465</v>
      </c>
      <c r="T451" s="478"/>
      <c r="U451" s="478"/>
      <c r="V451" s="734" t="s">
        <v>64</v>
      </c>
      <c r="W451" s="758"/>
      <c r="X451" s="736">
        <v>0.1550689398998103</v>
      </c>
      <c r="Y451" s="735"/>
      <c r="Z451" s="737">
        <v>100538.03333587901</v>
      </c>
      <c r="AA451" s="736"/>
      <c r="AB451" s="735"/>
      <c r="AC451" s="737"/>
      <c r="AD451" s="738">
        <v>0.21500980595477015</v>
      </c>
      <c r="AE451" s="735"/>
      <c r="AF451" s="737">
        <v>131668.35</v>
      </c>
      <c r="AG451" s="744"/>
      <c r="AH451" s="759">
        <v>31130.316664120965</v>
      </c>
      <c r="AI451" s="736">
        <v>0.30963721520312937</v>
      </c>
      <c r="AJ451" s="738">
        <v>0.14234981689098902</v>
      </c>
      <c r="AK451" s="736"/>
      <c r="AL451" s="737">
        <v>99543.569999999992</v>
      </c>
      <c r="AM451" s="745"/>
      <c r="AN451" s="740">
        <v>32124.779999999984</v>
      </c>
      <c r="AO451" s="760">
        <v>0.32272079452243863</v>
      </c>
      <c r="AP451" s="478"/>
      <c r="AQ451" s="478"/>
      <c r="AR451" s="478"/>
      <c r="AS451" s="478"/>
      <c r="AT451" s="478"/>
      <c r="AU451" s="478"/>
      <c r="AV451" s="478"/>
      <c r="AW451" s="478"/>
      <c r="AX451" s="478"/>
      <c r="AY451" s="478"/>
      <c r="AZ451" s="478"/>
      <c r="BA451" s="478"/>
      <c r="BB451" s="478"/>
      <c r="BC451" s="478"/>
      <c r="BD451" s="478"/>
      <c r="BE451" s="478"/>
      <c r="BF451" s="478"/>
      <c r="BG451" s="478"/>
      <c r="BH451" s="478"/>
      <c r="BI451" s="478"/>
      <c r="BJ451" s="478"/>
    </row>
    <row r="452" spans="1:62" ht="15.75" customHeight="1">
      <c r="A452" s="490" t="s">
        <v>162</v>
      </c>
      <c r="B452" s="475"/>
      <c r="C452" s="694" t="s">
        <v>465</v>
      </c>
      <c r="D452" s="478"/>
      <c r="E452" s="478"/>
      <c r="F452" s="478"/>
      <c r="G452" s="478"/>
      <c r="H452" s="478"/>
      <c r="I452" s="478"/>
      <c r="J452" s="478"/>
      <c r="K452" s="478"/>
      <c r="L452" s="478"/>
      <c r="M452" s="478"/>
      <c r="N452" s="478"/>
      <c r="O452" s="478"/>
      <c r="P452" s="478"/>
      <c r="Q452" s="478"/>
      <c r="R452" s="478"/>
      <c r="S452" s="478"/>
      <c r="T452" s="478"/>
      <c r="U452" s="478"/>
      <c r="V452" s="565" t="s">
        <v>162</v>
      </c>
      <c r="W452" s="726" t="s">
        <v>163</v>
      </c>
      <c r="X452" s="719"/>
      <c r="Y452" s="727"/>
      <c r="Z452" s="720">
        <v>26000.000000000004</v>
      </c>
      <c r="AA452" s="719"/>
      <c r="AB452" s="727"/>
      <c r="AC452" s="720"/>
      <c r="AD452" s="728"/>
      <c r="AE452" s="727"/>
      <c r="AF452" s="720">
        <v>26000</v>
      </c>
      <c r="AG452" s="721"/>
      <c r="AH452" s="722">
        <v>0</v>
      </c>
      <c r="AI452" s="723">
        <v>0</v>
      </c>
      <c r="AJ452" s="728"/>
      <c r="AK452" s="719"/>
      <c r="AL452" s="720">
        <v>26000</v>
      </c>
      <c r="AM452" s="724"/>
      <c r="AN452" s="722">
        <v>0</v>
      </c>
      <c r="AO452" s="729">
        <v>0</v>
      </c>
      <c r="AP452" s="478"/>
      <c r="AQ452" s="478"/>
      <c r="AR452" s="478"/>
      <c r="AS452" s="478"/>
      <c r="AT452" s="478"/>
      <c r="AU452" s="478"/>
      <c r="AV452" s="478"/>
      <c r="AW452" s="478"/>
      <c r="AX452" s="478"/>
      <c r="AY452" s="478"/>
      <c r="AZ452" s="478"/>
      <c r="BA452" s="478"/>
      <c r="BB452" s="478"/>
      <c r="BC452" s="478"/>
      <c r="BD452" s="478"/>
      <c r="BE452" s="478"/>
      <c r="BF452" s="478"/>
      <c r="BG452" s="478"/>
      <c r="BH452" s="478"/>
      <c r="BI452" s="478"/>
      <c r="BJ452" s="478"/>
    </row>
    <row r="453" spans="1:62" ht="15.75" customHeight="1">
      <c r="A453" s="490" t="s">
        <v>164</v>
      </c>
      <c r="B453" s="475"/>
      <c r="C453" s="694" t="s">
        <v>465</v>
      </c>
      <c r="D453" s="478"/>
      <c r="E453" s="478"/>
      <c r="F453" s="478"/>
      <c r="G453" s="478"/>
      <c r="H453" s="478"/>
      <c r="I453" s="478"/>
      <c r="J453" s="478"/>
      <c r="K453" s="478"/>
      <c r="L453" s="478"/>
      <c r="M453" s="478"/>
      <c r="N453" s="478"/>
      <c r="O453" s="478"/>
      <c r="P453" s="478"/>
      <c r="Q453" s="478"/>
      <c r="R453" s="478"/>
      <c r="S453" s="478"/>
      <c r="T453" s="478"/>
      <c r="U453" s="478"/>
      <c r="V453" s="565" t="s">
        <v>164</v>
      </c>
      <c r="W453" s="726" t="s">
        <v>165</v>
      </c>
      <c r="X453" s="719"/>
      <c r="Y453" s="727"/>
      <c r="Z453" s="720">
        <v>5281.6050000000005</v>
      </c>
      <c r="AA453" s="719"/>
      <c r="AB453" s="727"/>
      <c r="AC453" s="720"/>
      <c r="AD453" s="728"/>
      <c r="AE453" s="727"/>
      <c r="AF453" s="720">
        <v>4930</v>
      </c>
      <c r="AG453" s="721"/>
      <c r="AH453" s="722">
        <v>-351.60500000000047</v>
      </c>
      <c r="AI453" s="723">
        <v>-6.6571619801177942E-2</v>
      </c>
      <c r="AJ453" s="728"/>
      <c r="AK453" s="719"/>
      <c r="AL453" s="720">
        <v>4930</v>
      </c>
      <c r="AM453" s="724"/>
      <c r="AN453" s="722">
        <v>0</v>
      </c>
      <c r="AO453" s="729">
        <v>0</v>
      </c>
      <c r="AP453" s="478"/>
      <c r="AQ453" s="478"/>
      <c r="AR453" s="478"/>
      <c r="AS453" s="478"/>
      <c r="AT453" s="478"/>
      <c r="AU453" s="478"/>
      <c r="AV453" s="478"/>
      <c r="AW453" s="478"/>
      <c r="AX453" s="478"/>
      <c r="AY453" s="478"/>
      <c r="AZ453" s="478"/>
      <c r="BA453" s="478"/>
      <c r="BB453" s="478"/>
      <c r="BC453" s="478"/>
      <c r="BD453" s="478"/>
      <c r="BE453" s="478"/>
      <c r="BF453" s="478"/>
      <c r="BG453" s="478"/>
      <c r="BH453" s="478"/>
      <c r="BI453" s="478"/>
      <c r="BJ453" s="478"/>
    </row>
    <row r="454" spans="1:62" ht="15.75" customHeight="1">
      <c r="A454" s="490" t="s">
        <v>166</v>
      </c>
      <c r="B454" s="475"/>
      <c r="C454" s="694" t="s">
        <v>465</v>
      </c>
      <c r="D454" s="478"/>
      <c r="E454" s="478"/>
      <c r="F454" s="478"/>
      <c r="G454" s="478"/>
      <c r="H454" s="478"/>
      <c r="I454" s="478"/>
      <c r="J454" s="478"/>
      <c r="K454" s="478"/>
      <c r="L454" s="478"/>
      <c r="M454" s="478"/>
      <c r="N454" s="478"/>
      <c r="O454" s="478"/>
      <c r="P454" s="478"/>
      <c r="Q454" s="478"/>
      <c r="R454" s="478"/>
      <c r="S454" s="478"/>
      <c r="T454" s="478"/>
      <c r="U454" s="478"/>
      <c r="V454" s="566" t="s">
        <v>166</v>
      </c>
      <c r="W454" s="730" t="s">
        <v>167</v>
      </c>
      <c r="X454" s="703"/>
      <c r="Y454" s="731"/>
      <c r="Z454" s="704">
        <v>3513.8249999999998</v>
      </c>
      <c r="AA454" s="703"/>
      <c r="AB454" s="731"/>
      <c r="AC454" s="704"/>
      <c r="AD454" s="732"/>
      <c r="AE454" s="731"/>
      <c r="AF454" s="704">
        <v>3279.9999999999995</v>
      </c>
      <c r="AG454" s="705"/>
      <c r="AH454" s="706">
        <v>-233.82500000000027</v>
      </c>
      <c r="AI454" s="733">
        <v>-6.6544292900187194E-2</v>
      </c>
      <c r="AJ454" s="732"/>
      <c r="AK454" s="703"/>
      <c r="AL454" s="704">
        <v>3279.9999999999995</v>
      </c>
      <c r="AM454" s="708"/>
      <c r="AN454" s="706">
        <v>0</v>
      </c>
      <c r="AO454" s="709">
        <v>0</v>
      </c>
      <c r="AP454" s="478"/>
      <c r="AQ454" s="478"/>
      <c r="AR454" s="478"/>
      <c r="AS454" s="478"/>
      <c r="AT454" s="478"/>
      <c r="AU454" s="478"/>
      <c r="AV454" s="478"/>
      <c r="AW454" s="478"/>
      <c r="AX454" s="478"/>
      <c r="AY454" s="478"/>
      <c r="AZ454" s="478"/>
      <c r="BA454" s="478"/>
      <c r="BB454" s="478"/>
      <c r="BC454" s="478"/>
      <c r="BD454" s="478"/>
      <c r="BE454" s="478"/>
      <c r="BF454" s="478"/>
      <c r="BG454" s="478"/>
      <c r="BH454" s="478"/>
      <c r="BI454" s="478"/>
      <c r="BJ454" s="478"/>
    </row>
    <row r="455" spans="1:62" ht="15.75" customHeight="1">
      <c r="A455" s="490" t="s">
        <v>168</v>
      </c>
      <c r="B455" s="475"/>
      <c r="C455" s="694" t="s">
        <v>465</v>
      </c>
      <c r="D455" s="478"/>
      <c r="E455" s="478"/>
      <c r="F455" s="478"/>
      <c r="G455" s="478"/>
      <c r="H455" s="478"/>
      <c r="I455" s="478"/>
      <c r="J455" s="478"/>
      <c r="K455" s="478"/>
      <c r="L455" s="478"/>
      <c r="M455" s="478"/>
      <c r="N455" s="478"/>
      <c r="O455" s="478"/>
      <c r="P455" s="478"/>
      <c r="Q455" s="478"/>
      <c r="R455" s="478"/>
      <c r="S455" s="478"/>
      <c r="T455" s="478"/>
      <c r="U455" s="478"/>
      <c r="V455" s="565" t="s">
        <v>168</v>
      </c>
      <c r="W455" s="726"/>
      <c r="X455" s="719"/>
      <c r="Y455" s="727"/>
      <c r="Z455" s="720">
        <v>0</v>
      </c>
      <c r="AA455" s="719"/>
      <c r="AB455" s="727"/>
      <c r="AC455" s="720"/>
      <c r="AD455" s="728"/>
      <c r="AE455" s="727"/>
      <c r="AF455" s="720">
        <v>0</v>
      </c>
      <c r="AG455" s="721"/>
      <c r="AH455" s="722">
        <v>0</v>
      </c>
      <c r="AI455" s="723">
        <v>0</v>
      </c>
      <c r="AJ455" s="728"/>
      <c r="AK455" s="719"/>
      <c r="AL455" s="720">
        <v>0</v>
      </c>
      <c r="AM455" s="724"/>
      <c r="AN455" s="722">
        <v>0</v>
      </c>
      <c r="AO455" s="729">
        <v>0</v>
      </c>
      <c r="AP455" s="478"/>
      <c r="AQ455" s="478"/>
      <c r="AR455" s="478"/>
      <c r="AS455" s="478"/>
      <c r="AT455" s="478"/>
      <c r="AU455" s="478"/>
      <c r="AV455" s="478"/>
      <c r="AW455" s="478"/>
      <c r="AX455" s="478"/>
      <c r="AY455" s="478"/>
      <c r="AZ455" s="478"/>
      <c r="BA455" s="478"/>
      <c r="BB455" s="478"/>
      <c r="BC455" s="478"/>
      <c r="BD455" s="478"/>
      <c r="BE455" s="478"/>
      <c r="BF455" s="478"/>
      <c r="BG455" s="478"/>
      <c r="BH455" s="478"/>
      <c r="BI455" s="478"/>
      <c r="BJ455" s="478"/>
    </row>
    <row r="456" spans="1:62" ht="15.75" customHeight="1">
      <c r="A456" s="490" t="s">
        <v>169</v>
      </c>
      <c r="B456" s="475"/>
      <c r="C456" s="694" t="s">
        <v>465</v>
      </c>
      <c r="D456" s="478"/>
      <c r="E456" s="478"/>
      <c r="F456" s="478"/>
      <c r="G456" s="478"/>
      <c r="H456" s="478"/>
      <c r="I456" s="478"/>
      <c r="J456" s="478"/>
      <c r="K456" s="478"/>
      <c r="L456" s="478"/>
      <c r="M456" s="478"/>
      <c r="N456" s="478"/>
      <c r="O456" s="478"/>
      <c r="P456" s="478"/>
      <c r="Q456" s="478"/>
      <c r="R456" s="478"/>
      <c r="S456" s="478"/>
      <c r="T456" s="478"/>
      <c r="U456" s="478"/>
      <c r="V456" s="566" t="s">
        <v>169</v>
      </c>
      <c r="W456" s="730" t="s">
        <v>170</v>
      </c>
      <c r="X456" s="703"/>
      <c r="Y456" s="731"/>
      <c r="Z456" s="704">
        <v>4356.2783333333327</v>
      </c>
      <c r="AA456" s="703"/>
      <c r="AB456" s="731"/>
      <c r="AC456" s="704"/>
      <c r="AD456" s="732"/>
      <c r="AE456" s="731"/>
      <c r="AF456" s="704">
        <v>4271</v>
      </c>
      <c r="AG456" s="705"/>
      <c r="AH456" s="706">
        <v>-85.278333333332739</v>
      </c>
      <c r="AI456" s="733">
        <v>-1.9575960672852496E-2</v>
      </c>
      <c r="AJ456" s="732"/>
      <c r="AK456" s="703"/>
      <c r="AL456" s="704">
        <v>4271</v>
      </c>
      <c r="AM456" s="708"/>
      <c r="AN456" s="706">
        <v>0</v>
      </c>
      <c r="AO456" s="709">
        <v>0</v>
      </c>
      <c r="AP456" s="478"/>
      <c r="AQ456" s="478"/>
      <c r="AR456" s="478"/>
      <c r="AS456" s="478"/>
      <c r="AT456" s="478"/>
      <c r="AU456" s="478"/>
      <c r="AV456" s="478"/>
      <c r="AW456" s="478"/>
      <c r="AX456" s="478"/>
      <c r="AY456" s="478"/>
      <c r="AZ456" s="478"/>
      <c r="BA456" s="478"/>
      <c r="BB456" s="478"/>
      <c r="BC456" s="478"/>
      <c r="BD456" s="478"/>
      <c r="BE456" s="478"/>
      <c r="BF456" s="478"/>
      <c r="BG456" s="478"/>
      <c r="BH456" s="478"/>
      <c r="BI456" s="478"/>
      <c r="BJ456" s="478"/>
    </row>
    <row r="457" spans="1:62" ht="15.75" customHeight="1">
      <c r="A457" s="490" t="s">
        <v>171</v>
      </c>
      <c r="B457" s="475"/>
      <c r="C457" s="694" t="s">
        <v>465</v>
      </c>
      <c r="D457" s="478"/>
      <c r="E457" s="478"/>
      <c r="F457" s="478"/>
      <c r="G457" s="478"/>
      <c r="H457" s="478"/>
      <c r="I457" s="478"/>
      <c r="J457" s="478"/>
      <c r="K457" s="478"/>
      <c r="L457" s="478"/>
      <c r="M457" s="478"/>
      <c r="N457" s="478"/>
      <c r="O457" s="478"/>
      <c r="P457" s="478"/>
      <c r="Q457" s="478"/>
      <c r="R457" s="478"/>
      <c r="S457" s="478"/>
      <c r="T457" s="478"/>
      <c r="U457" s="478"/>
      <c r="V457" s="565" t="s">
        <v>171</v>
      </c>
      <c r="W457" s="726" t="s">
        <v>172</v>
      </c>
      <c r="X457" s="761"/>
      <c r="Y457" s="762"/>
      <c r="Z457" s="720">
        <v>2510.948249791667</v>
      </c>
      <c r="AA457" s="761"/>
      <c r="AB457" s="762"/>
      <c r="AC457" s="720"/>
      <c r="AD457" s="728"/>
      <c r="AE457" s="727"/>
      <c r="AF457" s="763">
        <v>3629.42</v>
      </c>
      <c r="AG457" s="721"/>
      <c r="AH457" s="722">
        <v>1118.4717502083331</v>
      </c>
      <c r="AI457" s="723">
        <v>0.44543799351545083</v>
      </c>
      <c r="AJ457" s="728"/>
      <c r="AK457" s="719"/>
      <c r="AL457" s="720">
        <v>1932.27</v>
      </c>
      <c r="AM457" s="724"/>
      <c r="AN457" s="722">
        <v>1697.15</v>
      </c>
      <c r="AO457" s="729">
        <v>0.87831928250192781</v>
      </c>
      <c r="AP457" s="478"/>
      <c r="AQ457" s="478"/>
      <c r="AR457" s="478"/>
      <c r="AS457" s="478"/>
      <c r="AT457" s="478"/>
      <c r="AU457" s="478"/>
      <c r="AV457" s="478"/>
      <c r="AW457" s="478"/>
      <c r="AX457" s="478"/>
      <c r="AY457" s="478"/>
      <c r="AZ457" s="478"/>
      <c r="BA457" s="478"/>
      <c r="BB457" s="478"/>
      <c r="BC457" s="478"/>
      <c r="BD457" s="478"/>
      <c r="BE457" s="478"/>
      <c r="BF457" s="478"/>
      <c r="BG457" s="478"/>
      <c r="BH457" s="478"/>
      <c r="BI457" s="478"/>
      <c r="BJ457" s="478"/>
    </row>
    <row r="458" spans="1:62" ht="15.75" customHeight="1">
      <c r="A458" s="490" t="s">
        <v>173</v>
      </c>
      <c r="B458" s="475"/>
      <c r="C458" s="694" t="s">
        <v>465</v>
      </c>
      <c r="D458" s="478"/>
      <c r="E458" s="478"/>
      <c r="F458" s="478"/>
      <c r="G458" s="478"/>
      <c r="H458" s="478"/>
      <c r="I458" s="478"/>
      <c r="J458" s="478"/>
      <c r="K458" s="478"/>
      <c r="L458" s="478"/>
      <c r="M458" s="478"/>
      <c r="N458" s="478"/>
      <c r="O458" s="478"/>
      <c r="P458" s="478"/>
      <c r="Q458" s="478"/>
      <c r="R458" s="478"/>
      <c r="S458" s="478"/>
      <c r="T458" s="478"/>
      <c r="U458" s="478"/>
      <c r="V458" s="565" t="s">
        <v>173</v>
      </c>
      <c r="W458" s="726" t="s">
        <v>174</v>
      </c>
      <c r="X458" s="719"/>
      <c r="Y458" s="727"/>
      <c r="Z458" s="720">
        <v>6306.8593777777805</v>
      </c>
      <c r="AA458" s="719"/>
      <c r="AB458" s="727"/>
      <c r="AC458" s="720"/>
      <c r="AD458" s="728"/>
      <c r="AE458" s="727"/>
      <c r="AF458" s="720">
        <v>6550.12</v>
      </c>
      <c r="AG458" s="721"/>
      <c r="AH458" s="722">
        <v>243.26062222221935</v>
      </c>
      <c r="AI458" s="723">
        <v>3.8570801670217696E-2</v>
      </c>
      <c r="AJ458" s="728"/>
      <c r="AK458" s="719"/>
      <c r="AL458" s="720">
        <v>6123.33</v>
      </c>
      <c r="AM458" s="724"/>
      <c r="AN458" s="722">
        <v>426.78999999999996</v>
      </c>
      <c r="AO458" s="729">
        <v>6.9699003646708571E-2</v>
      </c>
      <c r="AP458" s="478"/>
      <c r="AQ458" s="478"/>
      <c r="AR458" s="478"/>
      <c r="AS458" s="478"/>
      <c r="AT458" s="478"/>
      <c r="AU458" s="478"/>
      <c r="AV458" s="478"/>
      <c r="AW458" s="478"/>
      <c r="AX458" s="478"/>
      <c r="AY458" s="478"/>
      <c r="AZ458" s="478"/>
      <c r="BA458" s="478"/>
      <c r="BB458" s="478"/>
      <c r="BC458" s="478"/>
      <c r="BD458" s="478"/>
      <c r="BE458" s="478"/>
      <c r="BF458" s="478"/>
      <c r="BG458" s="478"/>
      <c r="BH458" s="478"/>
      <c r="BI458" s="478"/>
      <c r="BJ458" s="478"/>
    </row>
    <row r="459" spans="1:62" ht="15.75" customHeight="1">
      <c r="A459" s="490" t="s">
        <v>175</v>
      </c>
      <c r="B459" s="475"/>
      <c r="C459" s="694" t="s">
        <v>465</v>
      </c>
      <c r="D459" s="478"/>
      <c r="E459" s="478"/>
      <c r="F459" s="478"/>
      <c r="G459" s="478"/>
      <c r="H459" s="478"/>
      <c r="I459" s="478"/>
      <c r="J459" s="478"/>
      <c r="K459" s="478"/>
      <c r="L459" s="478"/>
      <c r="M459" s="478"/>
      <c r="N459" s="478"/>
      <c r="O459" s="478"/>
      <c r="P459" s="478"/>
      <c r="Q459" s="478"/>
      <c r="R459" s="478"/>
      <c r="S459" s="478"/>
      <c r="T459" s="478"/>
      <c r="U459" s="478"/>
      <c r="V459" s="566" t="s">
        <v>175</v>
      </c>
      <c r="W459" s="730" t="s">
        <v>176</v>
      </c>
      <c r="X459" s="703"/>
      <c r="Y459" s="731"/>
      <c r="Z459" s="704">
        <v>1518.181195972222</v>
      </c>
      <c r="AA459" s="703"/>
      <c r="AB459" s="731"/>
      <c r="AC459" s="704"/>
      <c r="AD459" s="732"/>
      <c r="AE459" s="731"/>
      <c r="AF459" s="704">
        <v>448.8</v>
      </c>
      <c r="AG459" s="705"/>
      <c r="AH459" s="706">
        <v>-1069.381195972222</v>
      </c>
      <c r="AI459" s="733">
        <v>-0.70438311237770623</v>
      </c>
      <c r="AJ459" s="732"/>
      <c r="AK459" s="703"/>
      <c r="AL459" s="704">
        <v>1440.6</v>
      </c>
      <c r="AM459" s="708"/>
      <c r="AN459" s="706">
        <v>-991.8</v>
      </c>
      <c r="AO459" s="709">
        <v>-0.68846314035818412</v>
      </c>
      <c r="AP459" s="478"/>
      <c r="AQ459" s="478"/>
      <c r="AR459" s="478"/>
      <c r="AS459" s="478"/>
      <c r="AT459" s="478"/>
      <c r="AU459" s="478"/>
      <c r="AV459" s="478"/>
      <c r="AW459" s="478"/>
      <c r="AX459" s="478"/>
      <c r="AY459" s="478"/>
      <c r="AZ459" s="478"/>
      <c r="BA459" s="478"/>
      <c r="BB459" s="478"/>
      <c r="BC459" s="478"/>
      <c r="BD459" s="478"/>
      <c r="BE459" s="478"/>
      <c r="BF459" s="478"/>
      <c r="BG459" s="478"/>
      <c r="BH459" s="478"/>
      <c r="BI459" s="478"/>
      <c r="BJ459" s="478"/>
    </row>
    <row r="460" spans="1:62" ht="15.75" customHeight="1">
      <c r="A460" s="490" t="s">
        <v>177</v>
      </c>
      <c r="B460" s="475"/>
      <c r="C460" s="694" t="s">
        <v>465</v>
      </c>
      <c r="D460" s="478"/>
      <c r="E460" s="478"/>
      <c r="F460" s="478"/>
      <c r="G460" s="478"/>
      <c r="H460" s="478"/>
      <c r="I460" s="478"/>
      <c r="J460" s="478"/>
      <c r="K460" s="478"/>
      <c r="L460" s="478"/>
      <c r="M460" s="478"/>
      <c r="N460" s="478"/>
      <c r="O460" s="478"/>
      <c r="P460" s="478"/>
      <c r="Q460" s="478"/>
      <c r="R460" s="478"/>
      <c r="S460" s="478"/>
      <c r="T460" s="478"/>
      <c r="U460" s="764"/>
      <c r="V460" s="565" t="s">
        <v>177</v>
      </c>
      <c r="W460" s="726" t="s">
        <v>178</v>
      </c>
      <c r="X460" s="719"/>
      <c r="Y460" s="727"/>
      <c r="Z460" s="720">
        <v>80.334374999999994</v>
      </c>
      <c r="AA460" s="719"/>
      <c r="AB460" s="727"/>
      <c r="AC460" s="720"/>
      <c r="AD460" s="728"/>
      <c r="AE460" s="727"/>
      <c r="AF460" s="720">
        <v>561.12</v>
      </c>
      <c r="AG460" s="721"/>
      <c r="AH460" s="722">
        <v>480.78562499999998</v>
      </c>
      <c r="AI460" s="765">
        <v>5.9848056949469015</v>
      </c>
      <c r="AJ460" s="719"/>
      <c r="AK460" s="719"/>
      <c r="AL460" s="720">
        <v>0</v>
      </c>
      <c r="AM460" s="724"/>
      <c r="AN460" s="722">
        <v>561.12</v>
      </c>
      <c r="AO460" s="729">
        <v>0</v>
      </c>
      <c r="AP460" s="478"/>
      <c r="AQ460" s="478"/>
      <c r="AR460" s="478"/>
      <c r="AS460" s="478"/>
      <c r="AT460" s="478"/>
      <c r="AU460" s="478"/>
      <c r="AV460" s="478"/>
      <c r="AW460" s="478"/>
      <c r="AX460" s="478"/>
      <c r="AY460" s="478"/>
      <c r="AZ460" s="478"/>
      <c r="BA460" s="478"/>
      <c r="BB460" s="478"/>
      <c r="BC460" s="478"/>
      <c r="BD460" s="478"/>
      <c r="BE460" s="478"/>
      <c r="BF460" s="478"/>
      <c r="BG460" s="478"/>
      <c r="BH460" s="478"/>
      <c r="BI460" s="478"/>
      <c r="BJ460" s="478"/>
    </row>
    <row r="461" spans="1:62" ht="15.75" customHeight="1">
      <c r="A461" s="490" t="s">
        <v>179</v>
      </c>
      <c r="B461" s="475"/>
      <c r="C461" s="694" t="s">
        <v>465</v>
      </c>
      <c r="D461" s="478"/>
      <c r="E461" s="478"/>
      <c r="F461" s="478"/>
      <c r="G461" s="478"/>
      <c r="H461" s="478"/>
      <c r="I461" s="478"/>
      <c r="J461" s="478"/>
      <c r="K461" s="478"/>
      <c r="L461" s="478"/>
      <c r="M461" s="478"/>
      <c r="N461" s="478"/>
      <c r="O461" s="478"/>
      <c r="P461" s="478"/>
      <c r="Q461" s="478"/>
      <c r="R461" s="478"/>
      <c r="S461" s="478"/>
      <c r="T461" s="478"/>
      <c r="U461" s="764"/>
      <c r="V461" s="565" t="s">
        <v>179</v>
      </c>
      <c r="W461" s="726" t="s">
        <v>180</v>
      </c>
      <c r="X461" s="719"/>
      <c r="Y461" s="727"/>
      <c r="Z461" s="720">
        <v>0</v>
      </c>
      <c r="AA461" s="719"/>
      <c r="AB461" s="727"/>
      <c r="AC461" s="720"/>
      <c r="AD461" s="728"/>
      <c r="AE461" s="727"/>
      <c r="AF461" s="720">
        <v>0</v>
      </c>
      <c r="AG461" s="721"/>
      <c r="AH461" s="722">
        <v>0</v>
      </c>
      <c r="AI461" s="742">
        <v>0</v>
      </c>
      <c r="AJ461" s="719"/>
      <c r="AK461" s="719"/>
      <c r="AL461" s="720">
        <v>0</v>
      </c>
      <c r="AM461" s="724"/>
      <c r="AN461" s="722">
        <v>0</v>
      </c>
      <c r="AO461" s="729">
        <v>0</v>
      </c>
      <c r="AP461" s="478"/>
      <c r="AQ461" s="478"/>
      <c r="AR461" s="478"/>
      <c r="AS461" s="478"/>
      <c r="AT461" s="478"/>
      <c r="AU461" s="478"/>
      <c r="AV461" s="478"/>
      <c r="AW461" s="478"/>
      <c r="AX461" s="478"/>
      <c r="AY461" s="478"/>
      <c r="AZ461" s="478"/>
      <c r="BA461" s="478"/>
      <c r="BB461" s="478"/>
      <c r="BC461" s="478"/>
      <c r="BD461" s="478"/>
      <c r="BE461" s="478"/>
      <c r="BF461" s="478"/>
      <c r="BG461" s="478"/>
      <c r="BH461" s="478"/>
      <c r="BI461" s="478"/>
      <c r="BJ461" s="478"/>
    </row>
    <row r="462" spans="1:62" ht="15.75" hidden="1" customHeight="1">
      <c r="A462" s="490" t="s">
        <v>20</v>
      </c>
      <c r="B462" s="475"/>
      <c r="C462" s="694" t="s">
        <v>465</v>
      </c>
      <c r="D462" s="478"/>
      <c r="E462" s="478"/>
      <c r="F462" s="478"/>
      <c r="G462" s="478"/>
      <c r="H462" s="478"/>
      <c r="I462" s="478"/>
      <c r="J462" s="478"/>
      <c r="K462" s="478"/>
      <c r="L462" s="478"/>
      <c r="M462" s="478"/>
      <c r="N462" s="478"/>
      <c r="O462" s="478"/>
      <c r="P462" s="478"/>
      <c r="Q462" s="478"/>
      <c r="R462" s="478"/>
      <c r="S462" s="478"/>
      <c r="T462" s="478"/>
      <c r="U462" s="764"/>
      <c r="V462" s="565" t="s">
        <v>20</v>
      </c>
      <c r="W462" s="726"/>
      <c r="X462" s="719"/>
      <c r="Y462" s="727"/>
      <c r="Z462" s="720">
        <v>0</v>
      </c>
      <c r="AA462" s="719"/>
      <c r="AB462" s="719"/>
      <c r="AC462" s="720"/>
      <c r="AD462" s="728"/>
      <c r="AE462" s="727"/>
      <c r="AF462" s="720">
        <v>0</v>
      </c>
      <c r="AG462" s="721"/>
      <c r="AH462" s="722">
        <v>0</v>
      </c>
      <c r="AI462" s="723">
        <v>0</v>
      </c>
      <c r="AJ462" s="728"/>
      <c r="AK462" s="719"/>
      <c r="AL462" s="720">
        <v>0</v>
      </c>
      <c r="AM462" s="724"/>
      <c r="AN462" s="722">
        <v>0</v>
      </c>
      <c r="AO462" s="729">
        <v>1</v>
      </c>
      <c r="AP462" s="478"/>
      <c r="AQ462" s="478"/>
      <c r="AR462" s="478"/>
      <c r="AS462" s="478"/>
      <c r="AT462" s="478"/>
      <c r="AU462" s="478"/>
      <c r="AV462" s="478"/>
      <c r="AW462" s="478"/>
      <c r="AX462" s="478"/>
      <c r="AY462" s="478"/>
      <c r="AZ462" s="478"/>
      <c r="BA462" s="478"/>
      <c r="BB462" s="478"/>
      <c r="BC462" s="478"/>
      <c r="BD462" s="478"/>
      <c r="BE462" s="478"/>
      <c r="BF462" s="478"/>
      <c r="BG462" s="478"/>
      <c r="BH462" s="478"/>
      <c r="BI462" s="478"/>
      <c r="BJ462" s="478"/>
    </row>
    <row r="463" spans="1:62" ht="15.75" hidden="1" customHeight="1">
      <c r="A463" s="490" t="s">
        <v>20</v>
      </c>
      <c r="B463" s="475"/>
      <c r="C463" s="694" t="s">
        <v>465</v>
      </c>
      <c r="D463" s="478"/>
      <c r="E463" s="478"/>
      <c r="F463" s="478"/>
      <c r="G463" s="478"/>
      <c r="H463" s="478"/>
      <c r="I463" s="478"/>
      <c r="J463" s="478"/>
      <c r="K463" s="478"/>
      <c r="L463" s="478"/>
      <c r="M463" s="478"/>
      <c r="N463" s="478"/>
      <c r="O463" s="478"/>
      <c r="P463" s="478"/>
      <c r="Q463" s="478"/>
      <c r="R463" s="478"/>
      <c r="S463" s="478"/>
      <c r="T463" s="478"/>
      <c r="U463" s="764"/>
      <c r="V463" s="565" t="s">
        <v>20</v>
      </c>
      <c r="W463" s="726"/>
      <c r="X463" s="719"/>
      <c r="Y463" s="727"/>
      <c r="Z463" s="720">
        <v>0</v>
      </c>
      <c r="AA463" s="719"/>
      <c r="AB463" s="719"/>
      <c r="AC463" s="720"/>
      <c r="AD463" s="728"/>
      <c r="AE463" s="727"/>
      <c r="AF463" s="720">
        <v>0</v>
      </c>
      <c r="AG463" s="721"/>
      <c r="AH463" s="722">
        <v>0</v>
      </c>
      <c r="AI463" s="723">
        <v>0</v>
      </c>
      <c r="AJ463" s="728"/>
      <c r="AK463" s="719"/>
      <c r="AL463" s="720">
        <v>0</v>
      </c>
      <c r="AM463" s="724"/>
      <c r="AN463" s="722">
        <v>0</v>
      </c>
      <c r="AO463" s="729">
        <v>2</v>
      </c>
      <c r="AP463" s="478"/>
      <c r="AQ463" s="478"/>
      <c r="AR463" s="478"/>
      <c r="AS463" s="478"/>
      <c r="AT463" s="478"/>
      <c r="AU463" s="478"/>
      <c r="AV463" s="478"/>
      <c r="AW463" s="478"/>
      <c r="AX463" s="478"/>
      <c r="AY463" s="478"/>
      <c r="AZ463" s="478"/>
      <c r="BA463" s="478"/>
      <c r="BB463" s="478"/>
      <c r="BC463" s="478"/>
      <c r="BD463" s="478"/>
      <c r="BE463" s="478"/>
      <c r="BF463" s="478"/>
      <c r="BG463" s="478"/>
      <c r="BH463" s="478"/>
      <c r="BI463" s="478"/>
      <c r="BJ463" s="478"/>
    </row>
    <row r="464" spans="1:62" ht="15.75" hidden="1" customHeight="1">
      <c r="A464" s="490" t="s">
        <v>20</v>
      </c>
      <c r="B464" s="475"/>
      <c r="C464" s="694" t="s">
        <v>465</v>
      </c>
      <c r="D464" s="478"/>
      <c r="E464" s="478"/>
      <c r="F464" s="478"/>
      <c r="G464" s="478"/>
      <c r="H464" s="478"/>
      <c r="I464" s="478"/>
      <c r="J464" s="478"/>
      <c r="K464" s="478"/>
      <c r="L464" s="478"/>
      <c r="M464" s="478"/>
      <c r="N464" s="478"/>
      <c r="O464" s="478"/>
      <c r="P464" s="478"/>
      <c r="Q464" s="478"/>
      <c r="R464" s="478"/>
      <c r="S464" s="478"/>
      <c r="T464" s="478"/>
      <c r="U464" s="478"/>
      <c r="V464" s="565" t="s">
        <v>20</v>
      </c>
      <c r="W464" s="726"/>
      <c r="X464" s="719"/>
      <c r="Y464" s="727"/>
      <c r="Z464" s="720">
        <v>0</v>
      </c>
      <c r="AA464" s="719"/>
      <c r="AB464" s="719"/>
      <c r="AC464" s="720"/>
      <c r="AD464" s="728"/>
      <c r="AE464" s="727"/>
      <c r="AF464" s="720">
        <v>0</v>
      </c>
      <c r="AG464" s="721"/>
      <c r="AH464" s="722">
        <v>0</v>
      </c>
      <c r="AI464" s="723">
        <v>0</v>
      </c>
      <c r="AJ464" s="728"/>
      <c r="AK464" s="719"/>
      <c r="AL464" s="720">
        <v>0</v>
      </c>
      <c r="AM464" s="724"/>
      <c r="AN464" s="722">
        <v>0</v>
      </c>
      <c r="AO464" s="729">
        <v>3</v>
      </c>
      <c r="AP464" s="478"/>
      <c r="AQ464" s="478"/>
      <c r="AR464" s="478"/>
      <c r="AS464" s="478"/>
      <c r="AT464" s="478"/>
      <c r="AU464" s="478"/>
      <c r="AV464" s="478"/>
      <c r="AW464" s="478"/>
      <c r="AX464" s="478"/>
      <c r="AY464" s="478"/>
      <c r="AZ464" s="478"/>
      <c r="BA464" s="478"/>
      <c r="BB464" s="478"/>
      <c r="BC464" s="478"/>
      <c r="BD464" s="478"/>
      <c r="BE464" s="478"/>
      <c r="BF464" s="478"/>
      <c r="BG464" s="478"/>
      <c r="BH464" s="478"/>
      <c r="BI464" s="478"/>
      <c r="BJ464" s="478"/>
    </row>
    <row r="465" spans="1:62" ht="15.75" customHeight="1">
      <c r="A465" s="490" t="s">
        <v>181</v>
      </c>
      <c r="B465" s="475"/>
      <c r="C465" s="694" t="s">
        <v>465</v>
      </c>
      <c r="D465" s="478"/>
      <c r="E465" s="478"/>
      <c r="F465" s="478"/>
      <c r="G465" s="478"/>
      <c r="H465" s="478"/>
      <c r="I465" s="478"/>
      <c r="J465" s="478"/>
      <c r="K465" s="478"/>
      <c r="L465" s="478"/>
      <c r="M465" s="478"/>
      <c r="N465" s="478"/>
      <c r="O465" s="478"/>
      <c r="P465" s="478"/>
      <c r="Q465" s="478"/>
      <c r="R465" s="478"/>
      <c r="S465" s="478"/>
      <c r="T465" s="478"/>
      <c r="U465" s="478"/>
      <c r="V465" s="734" t="s">
        <v>181</v>
      </c>
      <c r="W465" s="735"/>
      <c r="X465" s="736">
        <v>7.6453276909537085E-2</v>
      </c>
      <c r="Y465" s="735"/>
      <c r="Z465" s="737">
        <v>49568.031531875007</v>
      </c>
      <c r="AA465" s="736"/>
      <c r="AB465" s="735"/>
      <c r="AC465" s="737"/>
      <c r="AD465" s="738">
        <v>8.1110122260088874E-2</v>
      </c>
      <c r="AE465" s="735"/>
      <c r="AF465" s="737">
        <v>49670.460000000006</v>
      </c>
      <c r="AG465" s="744"/>
      <c r="AH465" s="766">
        <v>102.42846812499693</v>
      </c>
      <c r="AI465" s="767">
        <v>2.0664219449410596E-3</v>
      </c>
      <c r="AJ465" s="738">
        <v>6.8608606612585415E-2</v>
      </c>
      <c r="AK465" s="736"/>
      <c r="AL465" s="737">
        <v>47977.2</v>
      </c>
      <c r="AM465" s="745"/>
      <c r="AN465" s="740">
        <v>1693.2600000000002</v>
      </c>
      <c r="AO465" s="760">
        <v>3.5293014181736332E-2</v>
      </c>
      <c r="AP465" s="478"/>
      <c r="AQ465" s="478"/>
      <c r="AR465" s="478"/>
      <c r="AS465" s="478"/>
      <c r="AT465" s="478"/>
      <c r="AU465" s="478"/>
      <c r="AV465" s="478"/>
      <c r="AW465" s="478"/>
      <c r="AX465" s="478"/>
      <c r="AY465" s="478"/>
      <c r="AZ465" s="478"/>
      <c r="BA465" s="478"/>
      <c r="BB465" s="478"/>
      <c r="BC465" s="478"/>
      <c r="BD465" s="478"/>
      <c r="BE465" s="478"/>
      <c r="BF465" s="478"/>
      <c r="BG465" s="478"/>
      <c r="BH465" s="478"/>
      <c r="BI465" s="478"/>
      <c r="BJ465" s="478"/>
    </row>
    <row r="466" spans="1:62" ht="15.75" customHeight="1">
      <c r="A466" s="490" t="s">
        <v>466</v>
      </c>
      <c r="B466" s="475"/>
      <c r="C466" s="694" t="s">
        <v>465</v>
      </c>
      <c r="D466" s="478"/>
      <c r="E466" s="478"/>
      <c r="F466" s="478"/>
      <c r="G466" s="478"/>
      <c r="H466" s="478"/>
      <c r="I466" s="478"/>
      <c r="J466" s="478"/>
      <c r="K466" s="478"/>
      <c r="L466" s="478"/>
      <c r="M466" s="478"/>
      <c r="N466" s="478"/>
      <c r="O466" s="478"/>
      <c r="P466" s="478"/>
      <c r="Q466" s="478"/>
      <c r="R466" s="478"/>
      <c r="S466" s="478"/>
      <c r="T466" s="478"/>
      <c r="U466" s="478"/>
      <c r="V466" s="565"/>
      <c r="W466" s="719"/>
      <c r="X466" s="719"/>
      <c r="Y466" s="719"/>
      <c r="Z466" s="768"/>
      <c r="AA466" s="719"/>
      <c r="AB466" s="719"/>
      <c r="AC466" s="768"/>
      <c r="AD466" s="728"/>
      <c r="AE466" s="719"/>
      <c r="AF466" s="768"/>
      <c r="AG466" s="728"/>
      <c r="AH466" s="722">
        <v>0</v>
      </c>
      <c r="AI466" s="723"/>
      <c r="AJ466" s="728"/>
      <c r="AK466" s="719"/>
      <c r="AL466" s="768"/>
      <c r="AM466" s="769"/>
      <c r="AN466" s="722">
        <v>0</v>
      </c>
      <c r="AO466" s="770">
        <v>0</v>
      </c>
      <c r="AP466" s="478"/>
      <c r="AQ466" s="478"/>
      <c r="AR466" s="478"/>
      <c r="AS466" s="478"/>
      <c r="AT466" s="478"/>
      <c r="AU466" s="478"/>
      <c r="AV466" s="478"/>
      <c r="AW466" s="478"/>
      <c r="AX466" s="478"/>
      <c r="AY466" s="478"/>
      <c r="AZ466" s="478"/>
      <c r="BA466" s="478"/>
      <c r="BB466" s="478"/>
      <c r="BC466" s="478"/>
      <c r="BD466" s="478"/>
      <c r="BE466" s="478"/>
      <c r="BF466" s="478"/>
      <c r="BG466" s="478"/>
      <c r="BH466" s="478"/>
      <c r="BI466" s="478"/>
      <c r="BJ466" s="478"/>
    </row>
    <row r="467" spans="1:62" ht="15.75" customHeight="1">
      <c r="A467" s="490" t="s">
        <v>65</v>
      </c>
      <c r="B467" s="475"/>
      <c r="C467" s="694" t="s">
        <v>465</v>
      </c>
      <c r="D467" s="478"/>
      <c r="E467" s="478"/>
      <c r="F467" s="478"/>
      <c r="G467" s="478"/>
      <c r="H467" s="478"/>
      <c r="I467" s="478"/>
      <c r="J467" s="478"/>
      <c r="K467" s="478"/>
      <c r="L467" s="478"/>
      <c r="M467" s="478"/>
      <c r="N467" s="478"/>
      <c r="O467" s="478"/>
      <c r="P467" s="478"/>
      <c r="Q467" s="478"/>
      <c r="R467" s="478"/>
      <c r="S467" s="478"/>
      <c r="T467" s="478"/>
      <c r="U467" s="478"/>
      <c r="V467" s="734" t="s">
        <v>65</v>
      </c>
      <c r="W467" s="735"/>
      <c r="X467" s="736">
        <v>0.91025385720345064</v>
      </c>
      <c r="Y467" s="735"/>
      <c r="Z467" s="737">
        <v>590157.72403397283</v>
      </c>
      <c r="AA467" s="736"/>
      <c r="AB467" s="735"/>
      <c r="AC467" s="737"/>
      <c r="AD467" s="738">
        <v>0.96731316839298287</v>
      </c>
      <c r="AE467" s="735"/>
      <c r="AF467" s="737">
        <v>592366.14</v>
      </c>
      <c r="AG467" s="744"/>
      <c r="AH467" s="740">
        <v>2208.4159660271835</v>
      </c>
      <c r="AI467" s="736">
        <v>3.7420775431553184E-3</v>
      </c>
      <c r="AJ467" s="738">
        <v>0.8872128945489669</v>
      </c>
      <c r="AK467" s="736"/>
      <c r="AL467" s="737">
        <v>620417.64999999991</v>
      </c>
      <c r="AM467" s="745"/>
      <c r="AN467" s="740">
        <v>-28051.509999999893</v>
      </c>
      <c r="AO467" s="717">
        <v>-4.5213913562903787E-2</v>
      </c>
      <c r="AP467" s="478"/>
      <c r="AQ467" s="478"/>
      <c r="AR467" s="478"/>
      <c r="AS467" s="478"/>
      <c r="AT467" s="478"/>
      <c r="AU467" s="478"/>
      <c r="AV467" s="478"/>
      <c r="AW467" s="478"/>
      <c r="AX467" s="478"/>
      <c r="AY467" s="478"/>
      <c r="AZ467" s="478"/>
      <c r="BA467" s="478"/>
      <c r="BB467" s="478"/>
      <c r="BC467" s="478"/>
      <c r="BD467" s="478"/>
      <c r="BE467" s="478"/>
      <c r="BF467" s="478"/>
      <c r="BG467" s="478"/>
      <c r="BH467" s="478"/>
      <c r="BI467" s="478"/>
      <c r="BJ467" s="478"/>
    </row>
    <row r="468" spans="1:62" ht="15.75" customHeight="1">
      <c r="A468" s="490" t="s">
        <v>182</v>
      </c>
      <c r="B468" s="475"/>
      <c r="C468" s="694" t="s">
        <v>465</v>
      </c>
      <c r="D468" s="478"/>
      <c r="E468" s="478"/>
      <c r="F468" s="478"/>
      <c r="G468" s="478"/>
      <c r="H468" s="478"/>
      <c r="I468" s="478"/>
      <c r="J468" s="478"/>
      <c r="K468" s="478"/>
      <c r="L468" s="478"/>
      <c r="M468" s="478"/>
      <c r="N468" s="478"/>
      <c r="O468" s="478"/>
      <c r="P468" s="478"/>
      <c r="Q468" s="478"/>
      <c r="R468" s="478"/>
      <c r="S468" s="478"/>
      <c r="T468" s="478"/>
      <c r="U468" s="478"/>
      <c r="V468" s="565" t="s">
        <v>182</v>
      </c>
      <c r="W468" s="762"/>
      <c r="X468" s="762"/>
      <c r="Y468" s="719"/>
      <c r="Z468" s="748">
        <v>1091.5</v>
      </c>
      <c r="AA468" s="771"/>
      <c r="AB468" s="772"/>
      <c r="AC468" s="748"/>
      <c r="AD468" s="773"/>
      <c r="AE468" s="772"/>
      <c r="AF468" s="720">
        <v>58975.7</v>
      </c>
      <c r="AG468" s="774"/>
      <c r="AH468" s="722">
        <v>57884.2</v>
      </c>
      <c r="AI468" s="765">
        <v>53.031791113147044</v>
      </c>
      <c r="AJ468" s="773"/>
      <c r="AK468" s="771"/>
      <c r="AL468" s="775">
        <v>69252.02</v>
      </c>
      <c r="AM468" s="776"/>
      <c r="AN468" s="722">
        <v>-10276.320000000007</v>
      </c>
      <c r="AO468" s="729">
        <v>-0.14839018414192115</v>
      </c>
      <c r="AP468" s="478"/>
      <c r="AQ468" s="478"/>
      <c r="AR468" s="478"/>
      <c r="AS468" s="478"/>
      <c r="AT468" s="478"/>
      <c r="AU468" s="478"/>
      <c r="AV468" s="478"/>
      <c r="AW468" s="478"/>
      <c r="AX468" s="478"/>
      <c r="AY468" s="478"/>
      <c r="AZ468" s="478"/>
      <c r="BA468" s="478"/>
      <c r="BB468" s="478"/>
      <c r="BC468" s="478"/>
      <c r="BD468" s="478"/>
      <c r="BE468" s="478"/>
      <c r="BF468" s="478"/>
      <c r="BG468" s="478"/>
      <c r="BH468" s="478"/>
      <c r="BI468" s="478"/>
      <c r="BJ468" s="478"/>
    </row>
    <row r="469" spans="1:62" ht="15.75" customHeight="1">
      <c r="A469" s="490" t="s">
        <v>69</v>
      </c>
      <c r="B469" s="475"/>
      <c r="C469" s="694" t="s">
        <v>465</v>
      </c>
      <c r="D469" s="478"/>
      <c r="E469" s="478"/>
      <c r="F469" s="478"/>
      <c r="G469" s="478"/>
      <c r="H469" s="478"/>
      <c r="I469" s="478"/>
      <c r="J469" s="478"/>
      <c r="K469" s="478"/>
      <c r="L469" s="478"/>
      <c r="M469" s="478"/>
      <c r="N469" s="478"/>
      <c r="O469" s="478"/>
      <c r="P469" s="478"/>
      <c r="Q469" s="478"/>
      <c r="R469" s="478"/>
      <c r="S469" s="478"/>
      <c r="T469" s="478"/>
      <c r="U469" s="478"/>
      <c r="V469" s="565" t="s">
        <v>69</v>
      </c>
      <c r="W469" s="719"/>
      <c r="X469" s="719"/>
      <c r="Y469" s="719"/>
      <c r="Z469" s="720">
        <v>62181.079922459692</v>
      </c>
      <c r="AA469" s="761"/>
      <c r="AB469" s="722"/>
      <c r="AC469" s="720"/>
      <c r="AD469" s="777"/>
      <c r="AE469" s="778"/>
      <c r="AF469" s="720">
        <v>42698.55</v>
      </c>
      <c r="AG469" s="779"/>
      <c r="AH469" s="722">
        <v>-19482.529922459689</v>
      </c>
      <c r="AI469" s="742">
        <v>-0.31331925960042123</v>
      </c>
      <c r="AJ469" s="780"/>
      <c r="AK469" s="761"/>
      <c r="AL469" s="781">
        <v>69130</v>
      </c>
      <c r="AM469" s="777"/>
      <c r="AN469" s="722">
        <v>-26431.449999999997</v>
      </c>
      <c r="AO469" s="729">
        <v>-0.38234413423983793</v>
      </c>
      <c r="AP469" s="478"/>
      <c r="AQ469" s="478"/>
      <c r="AR469" s="478"/>
      <c r="AS469" s="478"/>
      <c r="AT469" s="478"/>
      <c r="AU469" s="478"/>
      <c r="AV469" s="478"/>
      <c r="AW469" s="478"/>
      <c r="AX469" s="478"/>
      <c r="AY469" s="478"/>
      <c r="AZ469" s="478"/>
      <c r="BA469" s="478"/>
      <c r="BB469" s="478"/>
      <c r="BC469" s="478"/>
      <c r="BD469" s="478"/>
      <c r="BE469" s="478"/>
      <c r="BF469" s="478"/>
      <c r="BG469" s="478"/>
      <c r="BH469" s="478"/>
      <c r="BI469" s="478"/>
      <c r="BJ469" s="478"/>
    </row>
    <row r="470" spans="1:62" ht="15.75" customHeight="1">
      <c r="A470" s="490" t="s">
        <v>198</v>
      </c>
      <c r="B470" s="475"/>
      <c r="C470" s="694" t="s">
        <v>465</v>
      </c>
      <c r="D470" s="478"/>
      <c r="E470" s="478"/>
      <c r="F470" s="478"/>
      <c r="G470" s="478"/>
      <c r="H470" s="478"/>
      <c r="I470" s="478"/>
      <c r="J470" s="478"/>
      <c r="K470" s="478"/>
      <c r="L470" s="478"/>
      <c r="M470" s="478"/>
      <c r="N470" s="478"/>
      <c r="O470" s="478"/>
      <c r="P470" s="478"/>
      <c r="Q470" s="478"/>
      <c r="R470" s="478"/>
      <c r="S470" s="478"/>
      <c r="T470" s="478"/>
      <c r="U470" s="478"/>
      <c r="V470" s="565" t="s">
        <v>198</v>
      </c>
      <c r="W470" s="719"/>
      <c r="X470" s="719"/>
      <c r="Y470" s="719"/>
      <c r="Z470" s="720">
        <v>0</v>
      </c>
      <c r="AA470" s="761"/>
      <c r="AB470" s="762"/>
      <c r="AC470" s="720"/>
      <c r="AD470" s="780"/>
      <c r="AF470" s="720">
        <v>0</v>
      </c>
      <c r="AG470" s="779"/>
      <c r="AH470" s="722">
        <v>0</v>
      </c>
      <c r="AI470" s="742">
        <v>0</v>
      </c>
      <c r="AJ470" s="780"/>
      <c r="AK470" s="761"/>
      <c r="AL470" s="781">
        <v>0</v>
      </c>
      <c r="AM470" s="777"/>
      <c r="AN470" s="722">
        <v>0</v>
      </c>
      <c r="AO470" s="729">
        <v>0</v>
      </c>
      <c r="AP470" s="478"/>
      <c r="AQ470" s="478"/>
      <c r="AR470" s="478"/>
      <c r="AS470" s="478"/>
      <c r="AT470" s="478"/>
      <c r="AU470" s="478"/>
      <c r="AV470" s="478"/>
      <c r="AW470" s="478"/>
      <c r="AX470" s="478"/>
      <c r="AY470" s="478"/>
      <c r="AZ470" s="478"/>
      <c r="BA470" s="478"/>
      <c r="BB470" s="478"/>
      <c r="BC470" s="478"/>
      <c r="BD470" s="478"/>
      <c r="BE470" s="478"/>
      <c r="BF470" s="478"/>
      <c r="BG470" s="478"/>
      <c r="BH470" s="478"/>
      <c r="BI470" s="478"/>
      <c r="BJ470" s="478"/>
    </row>
    <row r="471" spans="1:62" ht="15.75" customHeight="1">
      <c r="A471" s="490" t="s">
        <v>195</v>
      </c>
      <c r="B471" s="475"/>
      <c r="C471" s="694" t="s">
        <v>465</v>
      </c>
      <c r="D471" s="478"/>
      <c r="E471" s="478"/>
      <c r="F471" s="478"/>
      <c r="G471" s="478"/>
      <c r="H471" s="478"/>
      <c r="I471" s="478"/>
      <c r="J471" s="478"/>
      <c r="K471" s="478"/>
      <c r="L471" s="478"/>
      <c r="M471" s="478"/>
      <c r="N471" s="478"/>
      <c r="O471" s="478"/>
      <c r="P471" s="478"/>
      <c r="Q471" s="478"/>
      <c r="R471" s="478"/>
      <c r="S471" s="478"/>
      <c r="T471" s="478"/>
      <c r="U471" s="478"/>
      <c r="V471" s="565" t="s">
        <v>195</v>
      </c>
      <c r="W471" s="719"/>
      <c r="X471" s="719"/>
      <c r="Y471" s="719"/>
      <c r="Z471" s="720">
        <v>0</v>
      </c>
      <c r="AA471" s="761"/>
      <c r="AB471" s="762"/>
      <c r="AC471" s="720"/>
      <c r="AD471" s="780"/>
      <c r="AE471" s="762"/>
      <c r="AF471" s="720">
        <v>0</v>
      </c>
      <c r="AG471" s="779"/>
      <c r="AH471" s="722">
        <v>0</v>
      </c>
      <c r="AI471" s="742">
        <v>0</v>
      </c>
      <c r="AJ471" s="780"/>
      <c r="AK471" s="761"/>
      <c r="AL471" s="781">
        <v>0</v>
      </c>
      <c r="AM471" s="777"/>
      <c r="AN471" s="722">
        <v>0</v>
      </c>
      <c r="AO471" s="729">
        <v>0</v>
      </c>
      <c r="AP471" s="478"/>
      <c r="AQ471" s="478"/>
      <c r="AR471" s="478"/>
      <c r="AS471" s="478"/>
      <c r="AT471" s="478"/>
      <c r="AU471" s="478"/>
      <c r="AV471" s="478"/>
      <c r="AW471" s="478"/>
      <c r="AX471" s="478"/>
      <c r="AY471" s="478"/>
      <c r="AZ471" s="478"/>
      <c r="BA471" s="478"/>
      <c r="BB471" s="478"/>
      <c r="BC471" s="478"/>
      <c r="BD471" s="478"/>
      <c r="BE471" s="478"/>
      <c r="BF471" s="478"/>
      <c r="BG471" s="478"/>
      <c r="BH471" s="478"/>
      <c r="BI471" s="478"/>
      <c r="BJ471" s="478"/>
    </row>
    <row r="472" spans="1:62" ht="15.75" customHeight="1">
      <c r="A472" s="490" t="s">
        <v>68</v>
      </c>
      <c r="B472" s="475"/>
      <c r="C472" s="694" t="s">
        <v>465</v>
      </c>
      <c r="D472" s="478"/>
      <c r="E472" s="478"/>
      <c r="F472" s="478"/>
      <c r="G472" s="478"/>
      <c r="H472" s="478"/>
      <c r="I472" s="478"/>
      <c r="J472" s="478"/>
      <c r="K472" s="478"/>
      <c r="L472" s="478"/>
      <c r="M472" s="478"/>
      <c r="N472" s="478"/>
      <c r="O472" s="478"/>
      <c r="P472" s="478"/>
      <c r="Q472" s="478"/>
      <c r="R472" s="478"/>
      <c r="S472" s="478"/>
      <c r="T472" s="478"/>
      <c r="U472" s="478"/>
      <c r="V472" s="565" t="s">
        <v>68</v>
      </c>
      <c r="W472" s="719"/>
      <c r="X472" s="719"/>
      <c r="Y472" s="719"/>
      <c r="Z472" s="720">
        <v>0</v>
      </c>
      <c r="AA472" s="761"/>
      <c r="AB472" s="762"/>
      <c r="AC472" s="720"/>
      <c r="AD472" s="780"/>
      <c r="AE472" s="762"/>
      <c r="AF472" s="720">
        <v>0</v>
      </c>
      <c r="AG472" s="779"/>
      <c r="AH472" s="722">
        <v>0</v>
      </c>
      <c r="AI472" s="742">
        <v>0</v>
      </c>
      <c r="AJ472" s="780"/>
      <c r="AK472" s="761"/>
      <c r="AL472" s="781">
        <v>0</v>
      </c>
      <c r="AM472" s="777"/>
      <c r="AN472" s="722">
        <v>0</v>
      </c>
      <c r="AO472" s="729">
        <v>0</v>
      </c>
      <c r="AP472" s="478"/>
      <c r="AQ472" s="478"/>
      <c r="AR472" s="478"/>
      <c r="AS472" s="478"/>
      <c r="AT472" s="478"/>
      <c r="AU472" s="478"/>
      <c r="AV472" s="478"/>
      <c r="AW472" s="478"/>
      <c r="AX472" s="478"/>
      <c r="AY472" s="478"/>
      <c r="AZ472" s="478"/>
      <c r="BA472" s="478"/>
      <c r="BB472" s="478"/>
      <c r="BC472" s="478"/>
      <c r="BD472" s="478"/>
      <c r="BE472" s="478"/>
      <c r="BF472" s="478"/>
      <c r="BG472" s="478"/>
      <c r="BH472" s="478"/>
      <c r="BI472" s="478"/>
      <c r="BJ472" s="478"/>
    </row>
    <row r="473" spans="1:62" ht="15.75" customHeight="1">
      <c r="A473" s="490" t="s">
        <v>211</v>
      </c>
      <c r="B473" s="475"/>
      <c r="C473" s="694" t="s">
        <v>465</v>
      </c>
      <c r="D473" s="478"/>
      <c r="E473" s="478"/>
      <c r="F473" s="478"/>
      <c r="G473" s="478"/>
      <c r="H473" s="478"/>
      <c r="I473" s="478"/>
      <c r="J473" s="478"/>
      <c r="K473" s="478"/>
      <c r="L473" s="478"/>
      <c r="M473" s="478"/>
      <c r="N473" s="478"/>
      <c r="O473" s="478"/>
      <c r="P473" s="478"/>
      <c r="Q473" s="478"/>
      <c r="R473" s="478"/>
      <c r="S473" s="478"/>
      <c r="T473" s="478"/>
      <c r="U473" s="478"/>
      <c r="V473" s="565" t="s">
        <v>211</v>
      </c>
      <c r="W473" s="719"/>
      <c r="X473" s="719"/>
      <c r="Y473" s="719"/>
      <c r="Z473" s="720">
        <v>0</v>
      </c>
      <c r="AA473" s="761"/>
      <c r="AB473" s="762"/>
      <c r="AC473" s="720"/>
      <c r="AD473" s="780"/>
      <c r="AE473" s="762"/>
      <c r="AF473" s="720">
        <v>0</v>
      </c>
      <c r="AG473" s="779"/>
      <c r="AH473" s="722">
        <v>0</v>
      </c>
      <c r="AI473" s="742">
        <v>0</v>
      </c>
      <c r="AJ473" s="780"/>
      <c r="AK473" s="761"/>
      <c r="AL473" s="781">
        <v>0</v>
      </c>
      <c r="AM473" s="777"/>
      <c r="AN473" s="722">
        <v>0</v>
      </c>
      <c r="AO473" s="729">
        <v>0</v>
      </c>
      <c r="AP473" s="478"/>
      <c r="AQ473" s="478"/>
      <c r="AR473" s="478"/>
      <c r="AS473" s="478"/>
      <c r="AT473" s="478"/>
      <c r="AU473" s="478"/>
      <c r="AV473" s="478"/>
      <c r="AW473" s="478"/>
      <c r="AX473" s="478"/>
      <c r="AY473" s="478"/>
      <c r="AZ473" s="478"/>
      <c r="BA473" s="478"/>
      <c r="BB473" s="478"/>
      <c r="BC473" s="478"/>
      <c r="BD473" s="478"/>
      <c r="BE473" s="478"/>
      <c r="BF473" s="478"/>
      <c r="BG473" s="478"/>
      <c r="BH473" s="478"/>
      <c r="BI473" s="478"/>
      <c r="BJ473" s="478"/>
    </row>
    <row r="474" spans="1:62" ht="15.75" customHeight="1">
      <c r="A474" s="490" t="s">
        <v>81</v>
      </c>
      <c r="B474" s="475"/>
      <c r="C474" s="694" t="s">
        <v>465</v>
      </c>
      <c r="D474" s="478"/>
      <c r="E474" s="478"/>
      <c r="F474" s="478"/>
      <c r="G474" s="478"/>
      <c r="H474" s="478"/>
      <c r="I474" s="478"/>
      <c r="J474" s="478"/>
      <c r="K474" s="478"/>
      <c r="L474" s="478"/>
      <c r="M474" s="478"/>
      <c r="N474" s="478"/>
      <c r="O474" s="478"/>
      <c r="P474" s="478"/>
      <c r="Q474" s="478"/>
      <c r="R474" s="478"/>
      <c r="S474" s="478"/>
      <c r="T474" s="478"/>
      <c r="U474" s="478"/>
      <c r="V474" s="565" t="s">
        <v>81</v>
      </c>
      <c r="W474" s="719"/>
      <c r="X474" s="719"/>
      <c r="Y474" s="719"/>
      <c r="Z474" s="720">
        <v>0</v>
      </c>
      <c r="AA474" s="761"/>
      <c r="AB474" s="762"/>
      <c r="AC474" s="720"/>
      <c r="AD474" s="780"/>
      <c r="AE474" s="762"/>
      <c r="AF474" s="720">
        <v>0</v>
      </c>
      <c r="AG474" s="779"/>
      <c r="AH474" s="722">
        <v>0</v>
      </c>
      <c r="AI474" s="742">
        <v>0</v>
      </c>
      <c r="AJ474" s="780"/>
      <c r="AK474" s="761"/>
      <c r="AL474" s="781">
        <v>0</v>
      </c>
      <c r="AM474" s="777"/>
      <c r="AN474" s="722">
        <v>0</v>
      </c>
      <c r="AO474" s="729">
        <v>0</v>
      </c>
      <c r="AP474" s="478"/>
      <c r="AQ474" s="478"/>
      <c r="AR474" s="478"/>
      <c r="AS474" s="478"/>
      <c r="AT474" s="478"/>
      <c r="AU474" s="478"/>
      <c r="AV474" s="478"/>
      <c r="AW474" s="478"/>
      <c r="AX474" s="478"/>
      <c r="AY474" s="478"/>
      <c r="AZ474" s="478"/>
      <c r="BA474" s="478"/>
      <c r="BB474" s="478"/>
      <c r="BC474" s="478"/>
      <c r="BD474" s="478"/>
      <c r="BE474" s="478"/>
      <c r="BF474" s="478"/>
      <c r="BG474" s="478"/>
      <c r="BH474" s="478"/>
      <c r="BI474" s="478"/>
      <c r="BJ474" s="478"/>
    </row>
    <row r="475" spans="1:62" ht="15.75" customHeight="1">
      <c r="A475" s="490" t="s">
        <v>82</v>
      </c>
      <c r="B475" s="475"/>
      <c r="C475" s="694" t="s">
        <v>465</v>
      </c>
      <c r="D475" s="478"/>
      <c r="E475" s="478"/>
      <c r="F475" s="478"/>
      <c r="G475" s="478"/>
      <c r="H475" s="478"/>
      <c r="I475" s="478"/>
      <c r="J475" s="478"/>
      <c r="K475" s="478"/>
      <c r="L475" s="478"/>
      <c r="M475" s="478"/>
      <c r="N475" s="478"/>
      <c r="O475" s="478"/>
      <c r="P475" s="478"/>
      <c r="Q475" s="478"/>
      <c r="R475" s="478"/>
      <c r="S475" s="478"/>
      <c r="T475" s="478"/>
      <c r="U475" s="478"/>
      <c r="V475" s="565" t="s">
        <v>82</v>
      </c>
      <c r="W475" s="719"/>
      <c r="X475" s="719"/>
      <c r="Y475" s="719"/>
      <c r="Z475" s="720">
        <v>0</v>
      </c>
      <c r="AA475" s="761"/>
      <c r="AB475" s="762"/>
      <c r="AC475" s="720"/>
      <c r="AD475" s="780"/>
      <c r="AE475" s="762"/>
      <c r="AF475" s="720">
        <v>0</v>
      </c>
      <c r="AG475" s="779"/>
      <c r="AH475" s="722">
        <v>0</v>
      </c>
      <c r="AI475" s="742">
        <v>0</v>
      </c>
      <c r="AJ475" s="780"/>
      <c r="AK475" s="761"/>
      <c r="AL475" s="781">
        <v>0</v>
      </c>
      <c r="AM475" s="777"/>
      <c r="AN475" s="722">
        <v>0</v>
      </c>
      <c r="AO475" s="729">
        <v>0</v>
      </c>
      <c r="AP475" s="478"/>
      <c r="AQ475" s="478"/>
      <c r="AR475" s="478"/>
      <c r="AS475" s="478"/>
      <c r="AT475" s="478"/>
      <c r="AU475" s="478"/>
      <c r="AV475" s="478"/>
      <c r="AW475" s="478"/>
      <c r="AX475" s="478"/>
      <c r="AY475" s="478"/>
      <c r="AZ475" s="478"/>
      <c r="BA475" s="478"/>
      <c r="BB475" s="478"/>
      <c r="BC475" s="478"/>
      <c r="BD475" s="478"/>
      <c r="BE475" s="478"/>
      <c r="BF475" s="478"/>
      <c r="BG475" s="478"/>
      <c r="BH475" s="478"/>
      <c r="BI475" s="478"/>
      <c r="BJ475" s="478"/>
    </row>
    <row r="476" spans="1:62" ht="15.75" hidden="1" customHeight="1">
      <c r="A476" s="490" t="s">
        <v>20</v>
      </c>
      <c r="B476" s="475"/>
      <c r="C476" s="694" t="s">
        <v>465</v>
      </c>
      <c r="D476" s="478"/>
      <c r="E476" s="478"/>
      <c r="F476" s="478"/>
      <c r="G476" s="478"/>
      <c r="H476" s="478"/>
      <c r="I476" s="478"/>
      <c r="J476" s="478"/>
      <c r="K476" s="478"/>
      <c r="L476" s="478"/>
      <c r="M476" s="478"/>
      <c r="N476" s="478"/>
      <c r="O476" s="478"/>
      <c r="P476" s="478"/>
      <c r="Q476" s="478"/>
      <c r="R476" s="478"/>
      <c r="S476" s="478"/>
      <c r="T476" s="478"/>
      <c r="U476" s="478"/>
      <c r="V476" s="565" t="s">
        <v>20</v>
      </c>
      <c r="W476" s="719"/>
      <c r="X476" s="719"/>
      <c r="Y476" s="719"/>
      <c r="Z476" s="720">
        <v>0</v>
      </c>
      <c r="AA476" s="719"/>
      <c r="AB476" s="719"/>
      <c r="AC476" s="720"/>
      <c r="AD476" s="728"/>
      <c r="AE476" s="727"/>
      <c r="AF476" s="720">
        <v>0</v>
      </c>
      <c r="AG476" s="721"/>
      <c r="AH476" s="722">
        <v>0</v>
      </c>
      <c r="AI476" s="723">
        <v>0</v>
      </c>
      <c r="AJ476" s="728"/>
      <c r="AK476" s="719"/>
      <c r="AL476" s="720">
        <v>0</v>
      </c>
      <c r="AM476" s="777"/>
      <c r="AN476" s="722">
        <v>0</v>
      </c>
      <c r="AO476" s="729">
        <v>0</v>
      </c>
      <c r="AP476" s="478"/>
      <c r="AQ476" s="478"/>
      <c r="AR476" s="478"/>
      <c r="AS476" s="478"/>
      <c r="AT476" s="478"/>
      <c r="AU476" s="478"/>
      <c r="AV476" s="478"/>
      <c r="AW476" s="478"/>
      <c r="AX476" s="478"/>
      <c r="AY476" s="478"/>
      <c r="AZ476" s="478"/>
      <c r="BA476" s="478"/>
      <c r="BB476" s="478"/>
      <c r="BC476" s="478"/>
      <c r="BD476" s="478"/>
      <c r="BE476" s="478"/>
      <c r="BF476" s="478"/>
      <c r="BG476" s="478"/>
      <c r="BH476" s="478"/>
      <c r="BI476" s="478"/>
      <c r="BJ476" s="478"/>
    </row>
    <row r="477" spans="1:62" ht="15.75" hidden="1" customHeight="1">
      <c r="A477" s="490" t="s">
        <v>20</v>
      </c>
      <c r="B477" s="475"/>
      <c r="C477" s="694" t="s">
        <v>465</v>
      </c>
      <c r="D477" s="478"/>
      <c r="E477" s="478"/>
      <c r="F477" s="478"/>
      <c r="G477" s="478"/>
      <c r="H477" s="478"/>
      <c r="I477" s="478"/>
      <c r="J477" s="478"/>
      <c r="K477" s="478"/>
      <c r="L477" s="478"/>
      <c r="M477" s="478"/>
      <c r="N477" s="478"/>
      <c r="O477" s="478"/>
      <c r="P477" s="478"/>
      <c r="Q477" s="478"/>
      <c r="R477" s="478"/>
      <c r="S477" s="478"/>
      <c r="T477" s="478"/>
      <c r="U477" s="478"/>
      <c r="V477" s="565" t="s">
        <v>20</v>
      </c>
      <c r="W477" s="719"/>
      <c r="X477" s="719"/>
      <c r="Y477" s="719"/>
      <c r="Z477" s="720">
        <v>0</v>
      </c>
      <c r="AA477" s="719"/>
      <c r="AB477" s="719"/>
      <c r="AC477" s="720"/>
      <c r="AD477" s="728"/>
      <c r="AE477" s="727"/>
      <c r="AF477" s="720">
        <v>0</v>
      </c>
      <c r="AG477" s="721"/>
      <c r="AH477" s="722">
        <v>0</v>
      </c>
      <c r="AI477" s="723">
        <v>0</v>
      </c>
      <c r="AJ477" s="728"/>
      <c r="AK477" s="719"/>
      <c r="AL477" s="720">
        <v>0</v>
      </c>
      <c r="AM477" s="777"/>
      <c r="AN477" s="722">
        <v>0</v>
      </c>
      <c r="AO477" s="729">
        <v>0</v>
      </c>
      <c r="AP477" s="478"/>
      <c r="AQ477" s="478"/>
      <c r="AR477" s="478"/>
      <c r="AS477" s="478"/>
      <c r="AT477" s="478"/>
      <c r="AU477" s="478"/>
      <c r="AV477" s="478"/>
      <c r="AW477" s="478"/>
      <c r="AX477" s="478"/>
      <c r="AY477" s="478"/>
      <c r="AZ477" s="478"/>
      <c r="BA477" s="478"/>
      <c r="BB477" s="478"/>
      <c r="BC477" s="478"/>
      <c r="BD477" s="478"/>
      <c r="BE477" s="478"/>
      <c r="BF477" s="478"/>
      <c r="BG477" s="478"/>
      <c r="BH477" s="478"/>
      <c r="BI477" s="478"/>
      <c r="BJ477" s="478"/>
    </row>
    <row r="478" spans="1:62" ht="15.75" hidden="1" customHeight="1">
      <c r="A478" s="490" t="s">
        <v>20</v>
      </c>
      <c r="B478" s="475"/>
      <c r="C478" s="694" t="s">
        <v>465</v>
      </c>
      <c r="D478" s="478"/>
      <c r="E478" s="478"/>
      <c r="F478" s="478"/>
      <c r="G478" s="478"/>
      <c r="H478" s="478"/>
      <c r="I478" s="478"/>
      <c r="J478" s="478"/>
      <c r="K478" s="478"/>
      <c r="L478" s="478"/>
      <c r="M478" s="478"/>
      <c r="N478" s="478"/>
      <c r="O478" s="478"/>
      <c r="P478" s="478"/>
      <c r="Q478" s="478"/>
      <c r="R478" s="478"/>
      <c r="S478" s="478"/>
      <c r="T478" s="478"/>
      <c r="U478" s="478"/>
      <c r="V478" s="565" t="s">
        <v>20</v>
      </c>
      <c r="W478" s="719"/>
      <c r="X478" s="719"/>
      <c r="Y478" s="719"/>
      <c r="Z478" s="720">
        <v>0</v>
      </c>
      <c r="AA478" s="719"/>
      <c r="AB478" s="719"/>
      <c r="AC478" s="720"/>
      <c r="AD478" s="728"/>
      <c r="AE478" s="727"/>
      <c r="AF478" s="720">
        <v>0</v>
      </c>
      <c r="AG478" s="721"/>
      <c r="AH478" s="722">
        <v>0</v>
      </c>
      <c r="AI478" s="723">
        <v>0</v>
      </c>
      <c r="AJ478" s="728"/>
      <c r="AK478" s="719"/>
      <c r="AL478" s="720">
        <v>0</v>
      </c>
      <c r="AM478" s="777"/>
      <c r="AN478" s="722">
        <v>0</v>
      </c>
      <c r="AO478" s="729">
        <v>0</v>
      </c>
      <c r="AP478" s="478"/>
      <c r="AQ478" s="478"/>
      <c r="AR478" s="478"/>
      <c r="AS478" s="478"/>
      <c r="AT478" s="478"/>
      <c r="AU478" s="478"/>
      <c r="AV478" s="478"/>
      <c r="AW478" s="478"/>
      <c r="AX478" s="478"/>
      <c r="AY478" s="478"/>
      <c r="AZ478" s="478"/>
      <c r="BA478" s="478"/>
      <c r="BB478" s="478"/>
      <c r="BC478" s="478"/>
      <c r="BD478" s="478"/>
      <c r="BE478" s="478"/>
      <c r="BF478" s="478"/>
      <c r="BG478" s="478"/>
      <c r="BH478" s="478"/>
      <c r="BI478" s="478"/>
      <c r="BJ478" s="478"/>
    </row>
    <row r="479" spans="1:62" ht="15.75" customHeight="1">
      <c r="A479" s="490" t="s">
        <v>70</v>
      </c>
      <c r="B479" s="475"/>
      <c r="C479" s="694" t="s">
        <v>465</v>
      </c>
      <c r="D479" s="478"/>
      <c r="E479" s="478"/>
      <c r="F479" s="478"/>
      <c r="G479" s="478"/>
      <c r="H479" s="478"/>
      <c r="I479" s="478"/>
      <c r="J479" s="478"/>
      <c r="K479" s="478"/>
      <c r="L479" s="478"/>
      <c r="M479" s="478"/>
      <c r="N479" s="478"/>
      <c r="O479" s="478"/>
      <c r="P479" s="478"/>
      <c r="Q479" s="478"/>
      <c r="R479" s="478"/>
      <c r="S479" s="478"/>
      <c r="T479" s="478"/>
      <c r="U479" s="478"/>
      <c r="V479" s="566" t="s">
        <v>70</v>
      </c>
      <c r="W479" s="719"/>
      <c r="X479" s="719"/>
      <c r="Y479" s="719"/>
      <c r="Z479" s="720">
        <v>32518.652705280001</v>
      </c>
      <c r="AA479" s="761"/>
      <c r="AB479" s="762"/>
      <c r="AC479" s="720"/>
      <c r="AD479" s="782">
        <v>84.977443609022558</v>
      </c>
      <c r="AE479" s="761">
        <v>1.1330325814536342</v>
      </c>
      <c r="AF479" s="720">
        <v>33906</v>
      </c>
      <c r="AG479" s="779"/>
      <c r="AH479" s="722">
        <v>1387.3472947199989</v>
      </c>
      <c r="AI479" s="742">
        <v>4.2663123447753956E-2</v>
      </c>
      <c r="AJ479" s="780"/>
      <c r="AK479" s="761"/>
      <c r="AL479" s="781">
        <v>34565</v>
      </c>
      <c r="AM479" s="777"/>
      <c r="AN479" s="722">
        <v>-659</v>
      </c>
      <c r="AO479" s="729">
        <v>-1.9065528714017069E-2</v>
      </c>
      <c r="AP479" s="478"/>
      <c r="AQ479" s="478"/>
      <c r="AR479" s="478"/>
      <c r="AS479" s="478"/>
      <c r="AT479" s="478"/>
      <c r="AU479" s="478"/>
      <c r="AV479" s="478"/>
      <c r="AW479" s="478"/>
      <c r="AX479" s="478"/>
      <c r="AY479" s="478"/>
      <c r="AZ479" s="478"/>
      <c r="BA479" s="478"/>
      <c r="BB479" s="478"/>
      <c r="BC479" s="478"/>
      <c r="BD479" s="478"/>
      <c r="BE479" s="478"/>
      <c r="BF479" s="478"/>
      <c r="BG479" s="478"/>
      <c r="BH479" s="478"/>
      <c r="BI479" s="478"/>
      <c r="BJ479" s="478"/>
    </row>
    <row r="480" spans="1:62" ht="15.75" customHeight="1">
      <c r="A480" s="490" t="s">
        <v>183</v>
      </c>
      <c r="B480" s="475"/>
      <c r="C480" s="694" t="s">
        <v>465</v>
      </c>
      <c r="D480" s="478"/>
      <c r="E480" s="478"/>
      <c r="F480" s="478"/>
      <c r="G480" s="478"/>
      <c r="H480" s="478"/>
      <c r="I480" s="478"/>
      <c r="J480" s="478"/>
      <c r="K480" s="478"/>
      <c r="L480" s="478"/>
      <c r="M480" s="478"/>
      <c r="N480" s="478"/>
      <c r="O480" s="478"/>
      <c r="P480" s="478"/>
      <c r="Q480" s="478"/>
      <c r="R480" s="478"/>
      <c r="S480" s="478"/>
      <c r="T480" s="478"/>
      <c r="U480" s="478"/>
      <c r="V480" s="734" t="s">
        <v>183</v>
      </c>
      <c r="W480" s="735"/>
      <c r="X480" s="736">
        <v>0.14774751805273956</v>
      </c>
      <c r="Y480" s="758"/>
      <c r="Z480" s="737">
        <v>95791.232627739693</v>
      </c>
      <c r="AA480" s="736"/>
      <c r="AB480" s="758"/>
      <c r="AC480" s="737"/>
      <c r="AD480" s="736">
        <v>0.22139780170252929</v>
      </c>
      <c r="AE480" s="758"/>
      <c r="AF480" s="737">
        <v>135580.25</v>
      </c>
      <c r="AG480" s="744"/>
      <c r="AH480" s="740">
        <v>39789.017372260307</v>
      </c>
      <c r="AI480" s="736">
        <v>0.41537222437555321</v>
      </c>
      <c r="AJ480" s="783"/>
      <c r="AK480" s="784"/>
      <c r="AL480" s="737">
        <v>172947.02000000002</v>
      </c>
      <c r="AM480" s="785"/>
      <c r="AN480" s="740">
        <v>-37366.770000000019</v>
      </c>
      <c r="AO480" s="760">
        <v>-0.21605905669840403</v>
      </c>
      <c r="AP480" s="478"/>
      <c r="AQ480" s="478"/>
      <c r="AR480" s="478"/>
      <c r="AS480" s="478"/>
      <c r="AT480" s="478"/>
      <c r="AU480" s="478"/>
      <c r="AV480" s="478"/>
      <c r="AW480" s="478"/>
      <c r="AX480" s="478"/>
      <c r="AY480" s="478"/>
      <c r="AZ480" s="478"/>
      <c r="BA480" s="478"/>
      <c r="BB480" s="478"/>
      <c r="BC480" s="478"/>
      <c r="BD480" s="478"/>
      <c r="BE480" s="478"/>
      <c r="BF480" s="478"/>
      <c r="BG480" s="478"/>
      <c r="BH480" s="478"/>
      <c r="BI480" s="478"/>
      <c r="BJ480" s="478"/>
    </row>
    <row r="481" spans="1:62" ht="6" customHeight="1" thickBot="1">
      <c r="A481" s="490" t="s">
        <v>466</v>
      </c>
      <c r="B481" s="475"/>
      <c r="C481" s="694" t="s">
        <v>465</v>
      </c>
      <c r="D481" s="478"/>
      <c r="E481" s="478"/>
      <c r="F481" s="478"/>
      <c r="G481" s="478"/>
      <c r="H481" s="478"/>
      <c r="I481" s="478"/>
      <c r="J481" s="478"/>
      <c r="K481" s="478"/>
      <c r="L481" s="478"/>
      <c r="M481" s="478"/>
      <c r="N481" s="478"/>
      <c r="O481" s="478"/>
      <c r="P481" s="478"/>
      <c r="Q481" s="478"/>
      <c r="R481" s="478"/>
      <c r="S481" s="478"/>
      <c r="T481" s="478"/>
      <c r="U481" s="478"/>
      <c r="V481" s="786"/>
      <c r="W481" s="787"/>
      <c r="X481" s="787"/>
      <c r="Y481" s="788"/>
      <c r="Z481" s="789"/>
      <c r="AA481" s="787"/>
      <c r="AB481" s="790"/>
      <c r="AC481" s="789"/>
      <c r="AD481" s="787"/>
      <c r="AE481" s="790"/>
      <c r="AF481" s="791"/>
      <c r="AG481" s="792"/>
      <c r="AH481" s="793"/>
      <c r="AI481" s="794"/>
      <c r="AJ481" s="795"/>
      <c r="AK481" s="796"/>
      <c r="AL481" s="791"/>
      <c r="AM481" s="797"/>
      <c r="AN481" s="793">
        <v>0</v>
      </c>
      <c r="AO481" s="798">
        <v>0</v>
      </c>
      <c r="AP481" s="478"/>
      <c r="AQ481" s="478"/>
      <c r="AR481" s="478"/>
      <c r="AS481" s="478"/>
      <c r="AT481" s="478"/>
      <c r="AU481" s="478"/>
      <c r="AV481" s="478"/>
      <c r="AW481" s="478"/>
      <c r="AX481" s="478"/>
      <c r="AY481" s="478"/>
      <c r="AZ481" s="478"/>
      <c r="BA481" s="478"/>
      <c r="BB481" s="478"/>
      <c r="BC481" s="478"/>
      <c r="BD481" s="478"/>
      <c r="BE481" s="478"/>
      <c r="BF481" s="478"/>
      <c r="BG481" s="478"/>
      <c r="BH481" s="478"/>
      <c r="BI481" s="478"/>
      <c r="BJ481" s="478"/>
    </row>
    <row r="482" spans="1:62" ht="15.75" customHeight="1" thickTop="1" thickBot="1">
      <c r="A482" s="490" t="s">
        <v>184</v>
      </c>
      <c r="B482" s="475"/>
      <c r="C482" s="694" t="s">
        <v>465</v>
      </c>
      <c r="D482" s="478"/>
      <c r="E482" s="478"/>
      <c r="F482" s="478"/>
      <c r="G482" s="478"/>
      <c r="H482" s="478"/>
      <c r="I482" s="478"/>
      <c r="J482" s="478"/>
      <c r="K482" s="478"/>
      <c r="L482" s="478"/>
      <c r="M482" s="478"/>
      <c r="N482" s="478"/>
      <c r="O482" s="478"/>
      <c r="P482" s="478"/>
      <c r="Q482" s="478"/>
      <c r="R482" s="478"/>
      <c r="S482" s="478"/>
      <c r="T482" s="478"/>
      <c r="U482" s="478"/>
      <c r="V482" s="799" t="s">
        <v>184</v>
      </c>
      <c r="W482" s="800"/>
      <c r="X482" s="801" t="s">
        <v>185</v>
      </c>
      <c r="Y482" s="802">
        <v>3.3516899670356586E-2</v>
      </c>
      <c r="Z482" s="803">
        <v>153977.61542029449</v>
      </c>
      <c r="AA482" s="801"/>
      <c r="AB482" s="802"/>
      <c r="AC482" s="803"/>
      <c r="AD482" s="801" t="s">
        <v>185</v>
      </c>
      <c r="AE482" s="802">
        <v>3.3448077057872956E-2</v>
      </c>
      <c r="AF482" s="804">
        <v>155597.10999999999</v>
      </c>
      <c r="AG482" s="805"/>
      <c r="AH482" s="805">
        <v>1619.494579705497</v>
      </c>
      <c r="AI482" s="806">
        <v>1.0517727367610898E-2</v>
      </c>
      <c r="AJ482" s="807" t="s">
        <v>185</v>
      </c>
      <c r="AK482" s="802">
        <v>4.9627482494704556E-2</v>
      </c>
      <c r="AL482" s="804">
        <v>251817.72999999998</v>
      </c>
      <c r="AM482" s="808"/>
      <c r="AN482" s="804">
        <v>-96220.62</v>
      </c>
      <c r="AO482" s="809">
        <v>-0.38210423070686883</v>
      </c>
      <c r="AP482" s="478"/>
      <c r="AQ482" s="478"/>
      <c r="AR482" s="478"/>
      <c r="AS482" s="478"/>
      <c r="AT482" s="478"/>
      <c r="AU482" s="478"/>
      <c r="AV482" s="478"/>
      <c r="AW482" s="478"/>
      <c r="AX482" s="478"/>
      <c r="AY482" s="478"/>
      <c r="AZ482" s="478"/>
      <c r="BA482" s="478"/>
      <c r="BB482" s="478"/>
      <c r="BC482" s="478"/>
      <c r="BD482" s="478"/>
      <c r="BE482" s="478"/>
      <c r="BF482" s="478"/>
      <c r="BG482" s="478"/>
      <c r="BH482" s="478"/>
      <c r="BI482" s="478"/>
      <c r="BJ482" s="478"/>
    </row>
    <row r="483" spans="1:62" ht="8.25" customHeight="1" thickTop="1">
      <c r="A483" s="490" t="s">
        <v>466</v>
      </c>
      <c r="B483" s="475"/>
      <c r="C483" s="694" t="s">
        <v>465</v>
      </c>
      <c r="D483" s="478"/>
      <c r="E483" s="478"/>
      <c r="F483" s="478"/>
      <c r="G483" s="478"/>
      <c r="H483" s="478"/>
      <c r="I483" s="478"/>
      <c r="J483" s="478"/>
      <c r="K483" s="478"/>
      <c r="L483" s="478"/>
      <c r="M483" s="478"/>
      <c r="N483" s="478"/>
      <c r="O483" s="478"/>
      <c r="P483" s="478"/>
      <c r="Q483" s="478"/>
      <c r="R483" s="478"/>
      <c r="S483" s="478"/>
      <c r="T483" s="478"/>
      <c r="U483" s="478"/>
      <c r="V483" s="467"/>
      <c r="W483" s="467"/>
      <c r="X483" s="467"/>
      <c r="Y483" s="467"/>
      <c r="Z483" s="542"/>
      <c r="AA483" s="481"/>
      <c r="AB483" s="481"/>
      <c r="AC483" s="542"/>
      <c r="AD483" s="481"/>
      <c r="AE483" s="481"/>
      <c r="AF483" s="810"/>
      <c r="AG483" s="481"/>
      <c r="AH483" s="481"/>
      <c r="AI483" s="481"/>
      <c r="AJ483" s="481"/>
      <c r="AK483" s="481"/>
      <c r="AL483" s="542"/>
      <c r="AM483" s="481"/>
      <c r="AN483" s="481"/>
      <c r="AO483" s="481"/>
      <c r="AP483" s="478"/>
      <c r="AQ483" s="478"/>
      <c r="AR483" s="478"/>
      <c r="AS483" s="478"/>
      <c r="AT483" s="478"/>
      <c r="AU483" s="478"/>
      <c r="AV483" s="478"/>
      <c r="AW483" s="478"/>
      <c r="AX483" s="478"/>
      <c r="AY483" s="478"/>
      <c r="AZ483" s="478"/>
      <c r="BA483" s="478"/>
      <c r="BB483" s="478"/>
      <c r="BC483" s="478"/>
      <c r="BD483" s="478"/>
      <c r="BE483" s="478"/>
      <c r="BF483" s="478"/>
      <c r="BG483" s="478"/>
      <c r="BH483" s="478"/>
      <c r="BI483" s="478"/>
      <c r="BJ483" s="478"/>
    </row>
    <row r="484" spans="1:62" ht="18" customHeight="1">
      <c r="A484" s="490" t="s">
        <v>223</v>
      </c>
      <c r="B484" s="475"/>
      <c r="C484" s="694" t="s">
        <v>465</v>
      </c>
      <c r="D484" s="478"/>
      <c r="E484" s="478"/>
      <c r="F484" s="478"/>
      <c r="G484" s="478"/>
      <c r="H484" s="478"/>
      <c r="I484" s="478"/>
      <c r="J484" s="478"/>
      <c r="K484" s="478"/>
      <c r="L484" s="478"/>
      <c r="M484" s="478"/>
      <c r="N484" s="478"/>
      <c r="O484" s="478"/>
      <c r="P484" s="478"/>
      <c r="Q484" s="478"/>
      <c r="R484" s="478"/>
      <c r="S484" s="478"/>
      <c r="T484" s="478"/>
      <c r="U484" s="478"/>
      <c r="V484" s="811" t="s">
        <v>223</v>
      </c>
      <c r="W484" s="811"/>
      <c r="X484" s="811"/>
      <c r="Y484" s="811"/>
      <c r="Z484" s="811"/>
      <c r="AA484" s="811"/>
      <c r="AB484" s="811"/>
      <c r="AC484" s="811"/>
      <c r="AD484" s="811"/>
      <c r="AE484" s="812" t="s">
        <v>186</v>
      </c>
      <c r="AF484" s="811"/>
      <c r="AG484" s="811"/>
      <c r="AH484" s="811"/>
      <c r="AI484" s="811"/>
      <c r="AJ484" s="813"/>
      <c r="AK484" s="814"/>
      <c r="AL484" s="811"/>
      <c r="AM484" s="811"/>
      <c r="AN484" s="811"/>
      <c r="AO484" s="815" t="s">
        <v>482</v>
      </c>
      <c r="AP484" s="478"/>
      <c r="AQ484" s="478"/>
      <c r="AR484" s="478"/>
      <c r="AS484" s="478"/>
      <c r="AT484" s="478"/>
      <c r="AU484" s="478"/>
      <c r="AV484" s="478"/>
      <c r="AW484" s="478"/>
      <c r="AX484" s="478"/>
      <c r="AY484" s="478"/>
      <c r="AZ484" s="478"/>
      <c r="BA484" s="478"/>
      <c r="BB484" s="478"/>
      <c r="BC484" s="478"/>
      <c r="BD484" s="478"/>
      <c r="BE484" s="478"/>
      <c r="BF484" s="478"/>
      <c r="BG484" s="478"/>
      <c r="BH484" s="478"/>
      <c r="BI484" s="478"/>
      <c r="BJ484" s="478"/>
    </row>
    <row r="485" spans="1:62" ht="3" customHeight="1">
      <c r="A485" s="490" t="s">
        <v>466</v>
      </c>
      <c r="B485" s="475"/>
      <c r="C485" s="694" t="s">
        <v>465</v>
      </c>
      <c r="D485" s="478"/>
      <c r="E485" s="478"/>
      <c r="F485" s="478"/>
      <c r="G485" s="478"/>
      <c r="H485" s="478"/>
      <c r="I485" s="478"/>
      <c r="J485" s="478"/>
      <c r="K485" s="478"/>
      <c r="L485" s="478"/>
      <c r="M485" s="478"/>
      <c r="N485" s="478"/>
      <c r="O485" s="478"/>
      <c r="P485" s="478"/>
      <c r="Q485" s="478"/>
      <c r="R485" s="478"/>
      <c r="S485" s="478"/>
      <c r="T485" s="478"/>
      <c r="U485" s="478"/>
      <c r="V485" s="467"/>
      <c r="W485" s="467"/>
      <c r="X485" s="467"/>
      <c r="Y485" s="467"/>
      <c r="Z485" s="542"/>
      <c r="AA485" s="481"/>
      <c r="AB485" s="481"/>
      <c r="AC485" s="542"/>
      <c r="AD485" s="481"/>
      <c r="AE485" s="481"/>
      <c r="AF485" s="810"/>
      <c r="AG485" s="481"/>
      <c r="AH485" s="481"/>
      <c r="AI485" s="481"/>
      <c r="AJ485" s="481"/>
      <c r="AK485" s="481"/>
      <c r="AL485" s="542"/>
      <c r="AM485" s="481"/>
      <c r="AN485" s="481"/>
      <c r="AO485" s="481"/>
      <c r="AP485" s="478"/>
      <c r="AQ485" s="478"/>
      <c r="AR485" s="478"/>
      <c r="AS485" s="478"/>
      <c r="AT485" s="478"/>
      <c r="AU485" s="478"/>
      <c r="AV485" s="478"/>
      <c r="AW485" s="478"/>
      <c r="AX485" s="478"/>
      <c r="AY485" s="478"/>
      <c r="AZ485" s="478"/>
      <c r="BA485" s="478"/>
      <c r="BB485" s="478"/>
      <c r="BC485" s="478"/>
      <c r="BD485" s="478"/>
      <c r="BE485" s="478"/>
      <c r="BF485" s="478"/>
      <c r="BG485" s="478"/>
      <c r="BH485" s="478"/>
      <c r="BI485" s="478"/>
      <c r="BJ485" s="478"/>
    </row>
    <row r="486" spans="1:62" ht="3" customHeight="1">
      <c r="A486" s="490" t="s">
        <v>466</v>
      </c>
      <c r="B486" s="475"/>
      <c r="C486" s="694" t="s">
        <v>465</v>
      </c>
      <c r="D486" s="478"/>
      <c r="E486" s="478"/>
      <c r="F486" s="478"/>
      <c r="G486" s="478"/>
      <c r="H486" s="478"/>
      <c r="I486" s="478"/>
      <c r="J486" s="478"/>
      <c r="K486" s="478"/>
      <c r="L486" s="478"/>
      <c r="M486" s="478"/>
      <c r="N486" s="478"/>
      <c r="O486" s="478"/>
      <c r="P486" s="478"/>
      <c r="Q486" s="478"/>
      <c r="R486" s="478"/>
      <c r="S486" s="478"/>
      <c r="T486" s="478"/>
      <c r="U486" s="478"/>
      <c r="V486" s="467"/>
      <c r="W486" s="467"/>
      <c r="X486" s="467"/>
      <c r="Y486" s="467"/>
      <c r="Z486" s="542"/>
      <c r="AA486" s="481"/>
      <c r="AB486" s="481"/>
      <c r="AC486" s="542"/>
      <c r="AD486" s="481"/>
      <c r="AE486" s="481"/>
      <c r="AF486" s="810"/>
      <c r="AG486" s="481"/>
      <c r="AH486" s="481"/>
      <c r="AI486" s="481"/>
      <c r="AJ486" s="481"/>
      <c r="AK486" s="481"/>
      <c r="AL486" s="542"/>
      <c r="AM486" s="481"/>
      <c r="AN486" s="481"/>
      <c r="AO486" s="481"/>
      <c r="AP486" s="478"/>
      <c r="AQ486" s="478"/>
      <c r="AR486" s="478"/>
      <c r="AS486" s="478"/>
      <c r="AT486" s="478"/>
      <c r="AU486" s="478"/>
      <c r="AV486" s="478"/>
      <c r="AW486" s="478"/>
      <c r="AX486" s="478"/>
      <c r="AY486" s="478"/>
      <c r="AZ486" s="478"/>
      <c r="BA486" s="478"/>
      <c r="BB486" s="478"/>
      <c r="BC486" s="478"/>
      <c r="BD486" s="478"/>
      <c r="BE486" s="478"/>
      <c r="BF486" s="478"/>
      <c r="BG486" s="478"/>
      <c r="BH486" s="478"/>
      <c r="BI486" s="478"/>
      <c r="BJ486" s="478"/>
    </row>
    <row r="487" spans="1:62" ht="3" customHeight="1" thickBot="1">
      <c r="A487" s="490" t="s">
        <v>466</v>
      </c>
      <c r="B487" s="475"/>
      <c r="C487" s="694" t="s">
        <v>465</v>
      </c>
      <c r="D487" s="478"/>
      <c r="E487" s="478"/>
      <c r="F487" s="478"/>
      <c r="G487" s="478"/>
      <c r="H487" s="478"/>
      <c r="I487" s="478"/>
      <c r="J487" s="478"/>
      <c r="K487" s="478"/>
      <c r="L487" s="478"/>
      <c r="M487" s="478"/>
      <c r="N487" s="478"/>
      <c r="O487" s="478"/>
      <c r="P487" s="478"/>
      <c r="Q487" s="478"/>
      <c r="R487" s="478"/>
      <c r="S487" s="478"/>
      <c r="T487" s="478"/>
      <c r="U487" s="478"/>
      <c r="V487" s="467"/>
      <c r="W487" s="467"/>
      <c r="X487" s="467"/>
      <c r="Y487" s="467"/>
      <c r="Z487" s="542"/>
      <c r="AA487" s="481"/>
      <c r="AB487" s="481"/>
      <c r="AC487" s="542"/>
      <c r="AD487" s="481"/>
      <c r="AE487" s="481"/>
      <c r="AF487" s="810"/>
      <c r="AG487" s="481"/>
      <c r="AH487" s="481"/>
      <c r="AI487" s="481"/>
      <c r="AJ487" s="481"/>
      <c r="AK487" s="481"/>
      <c r="AL487" s="542"/>
      <c r="AM487" s="481"/>
      <c r="AN487" s="481"/>
      <c r="AO487" s="481"/>
      <c r="AP487" s="478"/>
      <c r="AQ487" s="478"/>
      <c r="AR487" s="478"/>
      <c r="AS487" s="478"/>
      <c r="AT487" s="478"/>
      <c r="AU487" s="478"/>
      <c r="AV487" s="478"/>
      <c r="AW487" s="478"/>
      <c r="AX487" s="478"/>
      <c r="AY487" s="478"/>
      <c r="AZ487" s="478"/>
      <c r="BA487" s="478"/>
      <c r="BB487" s="478"/>
      <c r="BC487" s="478"/>
      <c r="BD487" s="478"/>
      <c r="BE487" s="478"/>
      <c r="BF487" s="478"/>
      <c r="BG487" s="478"/>
      <c r="BH487" s="478"/>
      <c r="BI487" s="478"/>
      <c r="BJ487" s="478"/>
    </row>
    <row r="488" spans="1:62" ht="15.75" customHeight="1" thickTop="1" thickBot="1">
      <c r="A488" s="490" t="s">
        <v>184</v>
      </c>
      <c r="B488" s="475"/>
      <c r="C488" s="694" t="s">
        <v>465</v>
      </c>
      <c r="D488" s="478"/>
      <c r="E488" s="478"/>
      <c r="F488" s="478"/>
      <c r="G488" s="478"/>
      <c r="H488" s="478"/>
      <c r="I488" s="478"/>
      <c r="J488" s="478"/>
      <c r="K488" s="478"/>
      <c r="L488" s="478"/>
      <c r="M488" s="478"/>
      <c r="N488" s="478"/>
      <c r="O488" s="478"/>
      <c r="P488" s="478"/>
      <c r="Q488" s="478"/>
      <c r="R488" s="478"/>
      <c r="S488" s="478"/>
      <c r="T488" s="478"/>
      <c r="U488" s="478"/>
      <c r="V488" s="799" t="s">
        <v>184</v>
      </c>
      <c r="W488" s="800"/>
      <c r="X488" s="801" t="s">
        <v>185</v>
      </c>
      <c r="Y488" s="802">
        <v>3.3516899670356586E-2</v>
      </c>
      <c r="Z488" s="803">
        <v>153977.61542029449</v>
      </c>
      <c r="AA488" s="801"/>
      <c r="AB488" s="802"/>
      <c r="AC488" s="803"/>
      <c r="AD488" s="801" t="s">
        <v>185</v>
      </c>
      <c r="AE488" s="802">
        <v>3.3448077057872956E-2</v>
      </c>
      <c r="AF488" s="803">
        <v>155597.10999999999</v>
      </c>
      <c r="AG488" s="804"/>
      <c r="AH488" s="805">
        <v>1619.494579705497</v>
      </c>
      <c r="AI488" s="806">
        <v>1.0517727367610898E-2</v>
      </c>
      <c r="AJ488" s="801" t="s">
        <v>185</v>
      </c>
      <c r="AK488" s="802">
        <v>4.9627482494704556E-2</v>
      </c>
      <c r="AL488" s="816">
        <v>251817.72999999998</v>
      </c>
      <c r="AM488" s="817"/>
      <c r="AN488" s="818">
        <v>-96220.62</v>
      </c>
      <c r="AO488" s="819">
        <v>-0.38210423070686883</v>
      </c>
      <c r="AP488" s="478"/>
      <c r="AQ488" s="478"/>
      <c r="AR488" s="478"/>
      <c r="AS488" s="478"/>
      <c r="AT488" s="478"/>
      <c r="AU488" s="478"/>
      <c r="AV488" s="478"/>
      <c r="AW488" s="478"/>
      <c r="AX488" s="478"/>
      <c r="AY488" s="478"/>
      <c r="AZ488" s="478"/>
      <c r="BA488" s="478"/>
      <c r="BB488" s="478"/>
      <c r="BC488" s="478"/>
      <c r="BD488" s="478"/>
      <c r="BE488" s="478"/>
      <c r="BF488" s="478"/>
      <c r="BG488" s="478"/>
      <c r="BH488" s="478"/>
      <c r="BI488" s="478"/>
      <c r="BJ488" s="478"/>
    </row>
    <row r="489" spans="1:62" ht="15.75" customHeight="1" thickTop="1">
      <c r="A489" s="490" t="s">
        <v>466</v>
      </c>
      <c r="B489" s="475"/>
      <c r="C489" s="694" t="s">
        <v>465</v>
      </c>
      <c r="D489" s="478"/>
      <c r="E489" s="478"/>
      <c r="F489" s="617"/>
      <c r="G489" s="478"/>
      <c r="H489" s="478"/>
      <c r="I489" s="617"/>
      <c r="J489" s="478"/>
      <c r="K489" s="478"/>
      <c r="L489" s="478"/>
      <c r="M489" s="617"/>
      <c r="N489" s="478"/>
      <c r="O489" s="478"/>
      <c r="P489" s="478"/>
      <c r="Q489" s="617"/>
      <c r="R489" s="617"/>
      <c r="S489" s="617"/>
      <c r="T489" s="764"/>
      <c r="U489" s="764"/>
      <c r="V489" s="820"/>
      <c r="W489" s="478"/>
      <c r="X489" s="478"/>
      <c r="Y489" s="478"/>
      <c r="Z489" s="821"/>
      <c r="AA489" s="478"/>
      <c r="AB489" s="478"/>
      <c r="AC489" s="822"/>
      <c r="AD489" s="478"/>
      <c r="AE489" s="478"/>
      <c r="AF489" s="822"/>
      <c r="AG489" s="478"/>
      <c r="AH489" s="478"/>
      <c r="AI489" s="822"/>
      <c r="AJ489" s="478"/>
      <c r="AK489" s="478"/>
      <c r="AL489" s="823"/>
      <c r="AM489" s="824"/>
      <c r="AN489" s="478"/>
      <c r="AO489" s="825"/>
      <c r="AP489" s="478"/>
      <c r="AQ489" s="478"/>
      <c r="AR489" s="478"/>
      <c r="AS489" s="478"/>
      <c r="AT489" s="478"/>
      <c r="AU489" s="478"/>
      <c r="AV489" s="478"/>
      <c r="AW489" s="478"/>
      <c r="AX489" s="478"/>
      <c r="AY489" s="478"/>
      <c r="AZ489" s="478"/>
      <c r="BA489" s="478"/>
      <c r="BB489" s="478"/>
      <c r="BC489" s="478"/>
      <c r="BD489" s="478"/>
      <c r="BE489" s="478"/>
      <c r="BF489" s="478"/>
      <c r="BG489" s="478"/>
      <c r="BH489" s="478"/>
      <c r="BI489" s="478"/>
      <c r="BJ489" s="478"/>
    </row>
    <row r="490" spans="1:62" ht="15.75" customHeight="1">
      <c r="A490" s="490" t="s">
        <v>187</v>
      </c>
      <c r="B490" s="475"/>
      <c r="C490" s="694" t="s">
        <v>465</v>
      </c>
      <c r="D490" s="478"/>
      <c r="E490" s="478"/>
      <c r="F490" s="478"/>
      <c r="G490" s="478"/>
      <c r="H490" s="478"/>
      <c r="I490" s="478"/>
      <c r="J490" s="478"/>
      <c r="K490" s="478"/>
      <c r="L490" s="478"/>
      <c r="M490" s="478"/>
      <c r="N490" s="478"/>
      <c r="O490" s="478"/>
      <c r="P490" s="478"/>
      <c r="Q490" s="478"/>
      <c r="R490" s="478"/>
      <c r="S490" s="478"/>
      <c r="T490" s="478"/>
      <c r="U490" s="478"/>
      <c r="V490" s="565" t="s">
        <v>187</v>
      </c>
      <c r="W490" s="726"/>
      <c r="X490" s="719"/>
      <c r="Y490" s="727"/>
      <c r="Z490" s="720">
        <v>4664.0375000000004</v>
      </c>
      <c r="AA490" s="719"/>
      <c r="AB490" s="727"/>
      <c r="AC490" s="720"/>
      <c r="AD490" s="719"/>
      <c r="AE490" s="727"/>
      <c r="AF490" s="720">
        <v>4314.5</v>
      </c>
      <c r="AG490" s="719"/>
      <c r="AH490" s="722">
        <v>-349.53750000000036</v>
      </c>
      <c r="AI490" s="742">
        <v>-7.4943115272979755E-2</v>
      </c>
      <c r="AJ490" s="719"/>
      <c r="AK490" s="719"/>
      <c r="AL490" s="720">
        <v>4314.5</v>
      </c>
      <c r="AM490" s="724"/>
      <c r="AN490" s="722">
        <v>0</v>
      </c>
      <c r="AO490" s="729">
        <v>0</v>
      </c>
      <c r="AP490" s="478"/>
      <c r="AQ490" s="478"/>
      <c r="AR490" s="478"/>
      <c r="AS490" s="478"/>
      <c r="AT490" s="478"/>
      <c r="AU490" s="478"/>
      <c r="AV490" s="478"/>
      <c r="AW490" s="478"/>
      <c r="AX490" s="478"/>
      <c r="AY490" s="478"/>
      <c r="AZ490" s="478"/>
      <c r="BA490" s="478"/>
      <c r="BB490" s="478"/>
      <c r="BC490" s="478"/>
      <c r="BD490" s="478"/>
      <c r="BE490" s="478"/>
      <c r="BF490" s="478"/>
      <c r="BG490" s="478"/>
      <c r="BH490" s="478"/>
      <c r="BI490" s="478"/>
      <c r="BJ490" s="478"/>
    </row>
    <row r="491" spans="1:62" ht="15.75" customHeight="1">
      <c r="A491" s="490" t="s">
        <v>188</v>
      </c>
      <c r="B491" s="475"/>
      <c r="C491" s="694" t="s">
        <v>465</v>
      </c>
      <c r="D491" s="478"/>
      <c r="E491" s="478"/>
      <c r="F491" s="617"/>
      <c r="G491" s="478"/>
      <c r="H491" s="478"/>
      <c r="I491" s="617"/>
      <c r="J491" s="478"/>
      <c r="K491" s="478"/>
      <c r="L491" s="478"/>
      <c r="M491" s="617"/>
      <c r="N491" s="478"/>
      <c r="O491" s="478"/>
      <c r="P491" s="478"/>
      <c r="Q491" s="617"/>
      <c r="R491" s="617"/>
      <c r="S491" s="617"/>
      <c r="T491" s="478"/>
      <c r="U491" s="478"/>
      <c r="V491" s="565" t="s">
        <v>188</v>
      </c>
      <c r="W491" s="478"/>
      <c r="X491" s="478"/>
      <c r="Y491" s="478"/>
      <c r="Z491" s="720">
        <v>0</v>
      </c>
      <c r="AA491" s="478"/>
      <c r="AB491" s="478"/>
      <c r="AC491" s="720"/>
      <c r="AD491" s="478"/>
      <c r="AE491" s="481"/>
      <c r="AF491" s="720">
        <v>0</v>
      </c>
      <c r="AG491" s="478"/>
      <c r="AH491" s="722">
        <v>0</v>
      </c>
      <c r="AI491" s="742">
        <v>0</v>
      </c>
      <c r="AJ491" s="478"/>
      <c r="AK491" s="478"/>
      <c r="AL491" s="720">
        <v>0</v>
      </c>
      <c r="AM491" s="824"/>
      <c r="AN491" s="722">
        <v>0</v>
      </c>
      <c r="AO491" s="729">
        <v>0</v>
      </c>
      <c r="AP491" s="478"/>
      <c r="AQ491" s="478"/>
      <c r="AR491" s="478"/>
      <c r="AS491" s="478"/>
      <c r="AT491" s="478"/>
      <c r="AU491" s="478"/>
      <c r="AV491" s="478"/>
      <c r="AW491" s="478"/>
      <c r="AX491" s="478"/>
      <c r="AY491" s="478"/>
      <c r="AZ491" s="478"/>
      <c r="BA491" s="478"/>
      <c r="BB491" s="478"/>
      <c r="BC491" s="478"/>
      <c r="BD491" s="478"/>
      <c r="BE491" s="478"/>
      <c r="BF491" s="478"/>
      <c r="BG491" s="478"/>
      <c r="BH491" s="478"/>
      <c r="BI491" s="478"/>
      <c r="BJ491" s="478"/>
    </row>
    <row r="492" spans="1:62" ht="15.75" customHeight="1">
      <c r="A492" s="490" t="s">
        <v>189</v>
      </c>
      <c r="B492" s="475"/>
      <c r="C492" s="694" t="s">
        <v>465</v>
      </c>
      <c r="D492" s="478"/>
      <c r="E492" s="478"/>
      <c r="F492" s="617"/>
      <c r="G492" s="478"/>
      <c r="H492" s="478"/>
      <c r="I492" s="617"/>
      <c r="J492" s="478"/>
      <c r="K492" s="478"/>
      <c r="L492" s="478"/>
      <c r="M492" s="617"/>
      <c r="N492" s="478"/>
      <c r="O492" s="478"/>
      <c r="P492" s="478"/>
      <c r="Q492" s="617"/>
      <c r="R492" s="617"/>
      <c r="S492" s="617"/>
      <c r="T492" s="478"/>
      <c r="U492" s="478"/>
      <c r="V492" s="565" t="s">
        <v>189</v>
      </c>
      <c r="W492" s="481"/>
      <c r="X492" s="481"/>
      <c r="Y492" s="481"/>
      <c r="Z492" s="720">
        <v>427.39</v>
      </c>
      <c r="AA492" s="478"/>
      <c r="AB492" s="478"/>
      <c r="AC492" s="720"/>
      <c r="AD492" s="478"/>
      <c r="AE492" s="481"/>
      <c r="AF492" s="720">
        <v>0</v>
      </c>
      <c r="AG492" s="478"/>
      <c r="AH492" s="722">
        <v>-427.39</v>
      </c>
      <c r="AI492" s="742">
        <v>-1</v>
      </c>
      <c r="AJ492" s="478"/>
      <c r="AK492" s="478"/>
      <c r="AL492" s="720">
        <v>426.79</v>
      </c>
      <c r="AM492" s="824"/>
      <c r="AN492" s="722">
        <v>-426.79</v>
      </c>
      <c r="AO492" s="729">
        <v>-1</v>
      </c>
      <c r="AP492" s="478"/>
      <c r="AQ492" s="478"/>
      <c r="AR492" s="478"/>
      <c r="AS492" s="478"/>
      <c r="AT492" s="478"/>
      <c r="AU492" s="478"/>
      <c r="AV492" s="478"/>
      <c r="AW492" s="478"/>
      <c r="AX492" s="478"/>
      <c r="AY492" s="478"/>
      <c r="AZ492" s="478"/>
      <c r="BA492" s="478"/>
      <c r="BB492" s="478"/>
      <c r="BC492" s="478"/>
      <c r="BD492" s="478"/>
      <c r="BE492" s="478"/>
      <c r="BF492" s="478"/>
      <c r="BG492" s="478"/>
      <c r="BH492" s="478"/>
      <c r="BI492" s="478"/>
      <c r="BJ492" s="478"/>
    </row>
    <row r="493" spans="1:62" ht="15.75" customHeight="1" thickBot="1">
      <c r="A493" s="490" t="s">
        <v>190</v>
      </c>
      <c r="B493" s="475"/>
      <c r="C493" s="694" t="s">
        <v>465</v>
      </c>
      <c r="D493" s="478"/>
      <c r="E493" s="478"/>
      <c r="F493" s="617"/>
      <c r="G493" s="478"/>
      <c r="H493" s="478"/>
      <c r="I493" s="617"/>
      <c r="J493" s="478"/>
      <c r="K493" s="478"/>
      <c r="L493" s="478"/>
      <c r="M493" s="617"/>
      <c r="N493" s="478"/>
      <c r="O493" s="478"/>
      <c r="P493" s="478"/>
      <c r="Q493" s="617"/>
      <c r="R493" s="617"/>
      <c r="S493" s="617"/>
      <c r="T493" s="478"/>
      <c r="U493" s="478"/>
      <c r="V493" s="565" t="s">
        <v>190</v>
      </c>
      <c r="W493" s="481"/>
      <c r="X493" s="481"/>
      <c r="Y493" s="481"/>
      <c r="Z493" s="720">
        <v>0</v>
      </c>
      <c r="AA493" s="478"/>
      <c r="AB493" s="478"/>
      <c r="AC493" s="720"/>
      <c r="AD493" s="478"/>
      <c r="AE493" s="481"/>
      <c r="AF493" s="720">
        <v>0</v>
      </c>
      <c r="AG493" s="478"/>
      <c r="AH493" s="722">
        <v>0</v>
      </c>
      <c r="AI493" s="742">
        <v>0</v>
      </c>
      <c r="AJ493" s="478"/>
      <c r="AK493" s="478"/>
      <c r="AL493" s="720">
        <v>0</v>
      </c>
      <c r="AM493" s="824"/>
      <c r="AN493" s="722">
        <v>0</v>
      </c>
      <c r="AO493" s="729">
        <v>0</v>
      </c>
      <c r="AP493" s="478"/>
      <c r="AQ493" s="478"/>
      <c r="AR493" s="478"/>
      <c r="AS493" s="478"/>
      <c r="AT493" s="478"/>
      <c r="AU493" s="478"/>
      <c r="AV493" s="478"/>
      <c r="AW493" s="478"/>
      <c r="AX493" s="478"/>
      <c r="AY493" s="478"/>
      <c r="AZ493" s="478"/>
      <c r="BA493" s="478"/>
      <c r="BB493" s="478"/>
      <c r="BC493" s="478"/>
      <c r="BD493" s="478"/>
      <c r="BE493" s="478"/>
      <c r="BF493" s="478"/>
      <c r="BG493" s="478"/>
      <c r="BH493" s="478"/>
      <c r="BI493" s="478"/>
      <c r="BJ493" s="478"/>
    </row>
    <row r="494" spans="1:62" ht="15.75" hidden="1" customHeight="1">
      <c r="A494" s="490" t="s">
        <v>20</v>
      </c>
      <c r="B494" s="475"/>
      <c r="C494" s="694" t="s">
        <v>465</v>
      </c>
      <c r="D494" s="478"/>
      <c r="E494" s="478"/>
      <c r="F494" s="617"/>
      <c r="G494" s="478"/>
      <c r="H494" s="478"/>
      <c r="I494" s="617"/>
      <c r="J494" s="478"/>
      <c r="K494" s="478"/>
      <c r="L494" s="478"/>
      <c r="M494" s="617"/>
      <c r="N494" s="478"/>
      <c r="O494" s="478"/>
      <c r="P494" s="478"/>
      <c r="Q494" s="617"/>
      <c r="R494" s="617"/>
      <c r="S494" s="617"/>
      <c r="T494" s="478"/>
      <c r="U494" s="478"/>
      <c r="V494" s="565" t="s">
        <v>20</v>
      </c>
      <c r="W494" s="481"/>
      <c r="X494" s="481"/>
      <c r="Y494" s="481"/>
      <c r="Z494" s="720">
        <v>0</v>
      </c>
      <c r="AA494" s="719"/>
      <c r="AB494" s="719"/>
      <c r="AC494" s="720"/>
      <c r="AD494" s="728"/>
      <c r="AE494" s="727"/>
      <c r="AF494" s="720">
        <v>0</v>
      </c>
      <c r="AG494" s="721"/>
      <c r="AH494" s="722">
        <v>0</v>
      </c>
      <c r="AI494" s="723">
        <v>0</v>
      </c>
      <c r="AJ494" s="728"/>
      <c r="AK494" s="719"/>
      <c r="AL494" s="720">
        <v>0</v>
      </c>
      <c r="AM494" s="824"/>
      <c r="AN494" s="722">
        <v>0</v>
      </c>
      <c r="AO494" s="729">
        <v>0</v>
      </c>
      <c r="AP494" s="478"/>
      <c r="AQ494" s="478"/>
      <c r="AR494" s="478"/>
      <c r="AS494" s="478"/>
      <c r="AT494" s="478"/>
      <c r="AU494" s="478"/>
      <c r="AV494" s="478"/>
      <c r="AW494" s="478"/>
      <c r="AX494" s="478"/>
      <c r="AY494" s="478"/>
      <c r="AZ494" s="478"/>
      <c r="BA494" s="478"/>
      <c r="BB494" s="478"/>
      <c r="BC494" s="478"/>
      <c r="BD494" s="478"/>
      <c r="BE494" s="478"/>
      <c r="BF494" s="478"/>
      <c r="BG494" s="478"/>
      <c r="BH494" s="478"/>
      <c r="BI494" s="478"/>
      <c r="BJ494" s="478"/>
    </row>
    <row r="495" spans="1:62" ht="15.75" hidden="1" customHeight="1">
      <c r="A495" s="490" t="s">
        <v>20</v>
      </c>
      <c r="B495" s="475"/>
      <c r="C495" s="694" t="s">
        <v>465</v>
      </c>
      <c r="D495" s="478"/>
      <c r="E495" s="478"/>
      <c r="F495" s="617"/>
      <c r="G495" s="478"/>
      <c r="H495" s="478"/>
      <c r="I495" s="617"/>
      <c r="J495" s="478"/>
      <c r="K495" s="478"/>
      <c r="L495" s="478"/>
      <c r="M495" s="617"/>
      <c r="N495" s="478"/>
      <c r="O495" s="478"/>
      <c r="P495" s="478"/>
      <c r="Q495" s="617"/>
      <c r="R495" s="617"/>
      <c r="S495" s="617"/>
      <c r="T495" s="478"/>
      <c r="U495" s="478"/>
      <c r="V495" s="565" t="s">
        <v>20</v>
      </c>
      <c r="W495" s="481"/>
      <c r="X495" s="481"/>
      <c r="Y495" s="481"/>
      <c r="Z495" s="720">
        <v>0</v>
      </c>
      <c r="AA495" s="719"/>
      <c r="AB495" s="719"/>
      <c r="AC495" s="720"/>
      <c r="AD495" s="728"/>
      <c r="AE495" s="727"/>
      <c r="AF495" s="720">
        <v>0</v>
      </c>
      <c r="AG495" s="721"/>
      <c r="AH495" s="722">
        <v>0</v>
      </c>
      <c r="AI495" s="723">
        <v>0</v>
      </c>
      <c r="AJ495" s="728"/>
      <c r="AK495" s="719"/>
      <c r="AL495" s="720">
        <v>0</v>
      </c>
      <c r="AM495" s="824"/>
      <c r="AN495" s="722">
        <v>0</v>
      </c>
      <c r="AO495" s="729">
        <v>0</v>
      </c>
      <c r="AP495" s="478"/>
      <c r="AQ495" s="478"/>
      <c r="AR495" s="478"/>
      <c r="AS495" s="478"/>
      <c r="AT495" s="478"/>
      <c r="AU495" s="478"/>
      <c r="AV495" s="478"/>
      <c r="AW495" s="478"/>
      <c r="AX495" s="478"/>
      <c r="AY495" s="478"/>
      <c r="AZ495" s="478"/>
      <c r="BA495" s="478"/>
      <c r="BB495" s="478"/>
      <c r="BC495" s="478"/>
      <c r="BD495" s="478"/>
      <c r="BE495" s="478"/>
      <c r="BF495" s="478"/>
      <c r="BG495" s="478"/>
      <c r="BH495" s="478"/>
      <c r="BI495" s="478"/>
      <c r="BJ495" s="478"/>
    </row>
    <row r="496" spans="1:62" ht="15.75" hidden="1" customHeight="1">
      <c r="A496" s="490" t="s">
        <v>20</v>
      </c>
      <c r="B496" s="475"/>
      <c r="C496" s="694" t="s">
        <v>465</v>
      </c>
      <c r="D496" s="478"/>
      <c r="E496" s="478"/>
      <c r="F496" s="617"/>
      <c r="G496" s="478"/>
      <c r="H496" s="478"/>
      <c r="I496" s="617"/>
      <c r="J496" s="478"/>
      <c r="K496" s="478"/>
      <c r="L496" s="478"/>
      <c r="M496" s="617"/>
      <c r="N496" s="478"/>
      <c r="O496" s="478"/>
      <c r="P496" s="478"/>
      <c r="Q496" s="617"/>
      <c r="R496" s="617"/>
      <c r="S496" s="617"/>
      <c r="T496" s="478"/>
      <c r="U496" s="478"/>
      <c r="V496" s="565" t="s">
        <v>20</v>
      </c>
      <c r="W496" s="481"/>
      <c r="X496" s="478"/>
      <c r="Y496" s="481"/>
      <c r="Z496" s="720">
        <v>0</v>
      </c>
      <c r="AA496" s="719"/>
      <c r="AB496" s="719"/>
      <c r="AC496" s="720"/>
      <c r="AD496" s="728"/>
      <c r="AE496" s="727"/>
      <c r="AF496" s="720">
        <v>0</v>
      </c>
      <c r="AG496" s="721"/>
      <c r="AH496" s="722">
        <v>0</v>
      </c>
      <c r="AI496" s="723">
        <v>0</v>
      </c>
      <c r="AJ496" s="728"/>
      <c r="AK496" s="719"/>
      <c r="AL496" s="720">
        <v>0</v>
      </c>
      <c r="AM496" s="824"/>
      <c r="AN496" s="722">
        <v>0</v>
      </c>
      <c r="AO496" s="729">
        <v>0</v>
      </c>
      <c r="AP496" s="478"/>
      <c r="AQ496" s="478"/>
      <c r="AR496" s="478"/>
      <c r="AS496" s="478"/>
      <c r="AT496" s="478"/>
      <c r="AU496" s="478"/>
      <c r="AV496" s="478"/>
      <c r="AW496" s="478"/>
      <c r="AX496" s="478"/>
      <c r="AY496" s="478"/>
      <c r="AZ496" s="478"/>
      <c r="BA496" s="478"/>
      <c r="BB496" s="478"/>
      <c r="BC496" s="478"/>
      <c r="BD496" s="478"/>
      <c r="BE496" s="478"/>
      <c r="BF496" s="478"/>
      <c r="BG496" s="478"/>
      <c r="BH496" s="478"/>
      <c r="BI496" s="478"/>
      <c r="BJ496" s="478"/>
    </row>
    <row r="497" spans="1:62" ht="15.75" customHeight="1" thickTop="1" thickBot="1">
      <c r="A497" s="490" t="s">
        <v>192</v>
      </c>
      <c r="B497" s="475"/>
      <c r="C497" s="694" t="s">
        <v>465</v>
      </c>
      <c r="D497" s="478"/>
      <c r="E497" s="478"/>
      <c r="F497" s="617"/>
      <c r="G497" s="478"/>
      <c r="H497" s="478"/>
      <c r="I497" s="617"/>
      <c r="J497" s="478"/>
      <c r="K497" s="478"/>
      <c r="L497" s="478"/>
      <c r="M497" s="617"/>
      <c r="N497" s="478"/>
      <c r="O497" s="478"/>
      <c r="P497" s="478"/>
      <c r="Q497" s="617"/>
      <c r="R497" s="617"/>
      <c r="S497" s="617"/>
      <c r="T497" s="478"/>
      <c r="U497" s="478"/>
      <c r="V497" s="799" t="s">
        <v>192</v>
      </c>
      <c r="W497" s="800"/>
      <c r="X497" s="801" t="s">
        <v>185</v>
      </c>
      <c r="Y497" s="802">
        <v>3.2408629067317334E-2</v>
      </c>
      <c r="Z497" s="803">
        <v>148886.18792029447</v>
      </c>
      <c r="AA497" s="801"/>
      <c r="AB497" s="802"/>
      <c r="AC497" s="803"/>
      <c r="AD497" s="801" t="s">
        <v>185</v>
      </c>
      <c r="AE497" s="802">
        <v>3.2520606563940305E-2</v>
      </c>
      <c r="AF497" s="804">
        <v>151282.60999999999</v>
      </c>
      <c r="AG497" s="805"/>
      <c r="AH497" s="805">
        <v>2396.4220797055168</v>
      </c>
      <c r="AI497" s="806">
        <v>1.6095664165895834E-2</v>
      </c>
      <c r="AJ497" s="807" t="s">
        <v>185</v>
      </c>
      <c r="AK497" s="802">
        <v>4.8693083290655984E-2</v>
      </c>
      <c r="AL497" s="804">
        <v>247076.43999999997</v>
      </c>
      <c r="AM497" s="808"/>
      <c r="AN497" s="804">
        <v>-95793.829999999987</v>
      </c>
      <c r="AO497" s="826">
        <v>-0.38770928543409477</v>
      </c>
      <c r="AP497" s="478"/>
      <c r="AQ497" s="478"/>
      <c r="AR497" s="478"/>
      <c r="AS497" s="478"/>
      <c r="AT497" s="478"/>
      <c r="AU497" s="478"/>
      <c r="AV497" s="478"/>
      <c r="AW497" s="478"/>
      <c r="AX497" s="478"/>
      <c r="AY497" s="478"/>
      <c r="AZ497" s="478"/>
      <c r="BA497" s="478"/>
      <c r="BB497" s="478"/>
      <c r="BC497" s="478"/>
      <c r="BD497" s="478"/>
      <c r="BE497" s="478"/>
      <c r="BF497" s="478"/>
      <c r="BG497" s="478"/>
      <c r="BH497" s="478"/>
      <c r="BI497" s="478"/>
      <c r="BJ497" s="478"/>
    </row>
    <row r="498" spans="1:62" ht="15.75" customHeight="1" thickTop="1">
      <c r="A498" s="490" t="s">
        <v>466</v>
      </c>
      <c r="B498" s="475"/>
      <c r="C498" s="478"/>
      <c r="D498" s="478"/>
      <c r="E498" s="478"/>
      <c r="F498" s="617"/>
      <c r="G498" s="478"/>
      <c r="H498" s="478"/>
      <c r="I498" s="617"/>
      <c r="J498" s="478"/>
      <c r="K498" s="478"/>
      <c r="L498" s="478"/>
      <c r="M498" s="617"/>
      <c r="N498" s="478"/>
      <c r="O498" s="478"/>
      <c r="P498" s="478"/>
      <c r="Q498" s="617"/>
      <c r="R498" s="617"/>
      <c r="S498" s="617"/>
      <c r="T498" s="478"/>
      <c r="U498" s="478"/>
      <c r="V498" s="478"/>
      <c r="W498" s="478"/>
      <c r="X498" s="478"/>
      <c r="Y498" s="478"/>
      <c r="Z498" s="478"/>
      <c r="AA498" s="478"/>
      <c r="AB498" s="478"/>
      <c r="AC498" s="478"/>
      <c r="AD498" s="478"/>
      <c r="AE498" s="827"/>
      <c r="AF498" s="828"/>
      <c r="AG498" s="478"/>
      <c r="AH498" s="478"/>
      <c r="AI498" s="478"/>
      <c r="AJ498" s="478"/>
      <c r="AK498" s="478"/>
      <c r="AL498" s="478"/>
      <c r="AM498" s="478"/>
      <c r="AN498" s="478"/>
      <c r="AO498" s="478"/>
      <c r="AP498" s="478"/>
      <c r="AQ498" s="478"/>
      <c r="AR498" s="478"/>
      <c r="AS498" s="478"/>
      <c r="AT498" s="478"/>
      <c r="AU498" s="478"/>
      <c r="AV498" s="478"/>
      <c r="AW498" s="478"/>
      <c r="AX498" s="478"/>
      <c r="AY498" s="478"/>
      <c r="AZ498" s="478"/>
      <c r="BA498" s="478"/>
      <c r="BB498" s="478"/>
      <c r="BC498" s="478"/>
      <c r="BD498" s="478"/>
      <c r="BE498" s="478"/>
      <c r="BF498" s="478"/>
      <c r="BG498" s="478"/>
      <c r="BH498" s="478"/>
      <c r="BI498" s="478"/>
      <c r="BJ498" s="478"/>
    </row>
    <row r="499" spans="1:62" ht="15.75" customHeight="1">
      <c r="B499" s="475"/>
      <c r="T499" s="478"/>
      <c r="U499" s="478"/>
      <c r="V499" s="478"/>
      <c r="W499" s="478"/>
      <c r="X499" s="478"/>
      <c r="Y499" s="478"/>
      <c r="Z499" s="617"/>
      <c r="AA499" s="478"/>
      <c r="AB499" s="478"/>
      <c r="AC499" s="617"/>
      <c r="AE499" s="478" t="s">
        <v>478</v>
      </c>
      <c r="AF499" s="829">
        <v>102579</v>
      </c>
      <c r="AG499" s="478"/>
      <c r="AH499" s="478"/>
      <c r="AI499" s="478"/>
      <c r="AJ499" s="830" t="s">
        <v>479</v>
      </c>
      <c r="AK499" s="831">
        <v>3.9E-2</v>
      </c>
      <c r="AL499" s="832">
        <v>148007.13</v>
      </c>
      <c r="AM499" s="478"/>
      <c r="AN499" s="478"/>
      <c r="AO499" s="478"/>
      <c r="AP499" s="478"/>
      <c r="AQ499" s="478"/>
      <c r="AR499" s="478"/>
      <c r="AS499" s="478"/>
      <c r="AT499" s="478"/>
      <c r="AU499" s="478"/>
      <c r="AV499" s="478"/>
      <c r="AW499" s="478"/>
      <c r="AX499" s="478"/>
      <c r="AY499" s="478"/>
      <c r="AZ499" s="478"/>
      <c r="BA499" s="478"/>
      <c r="BB499" s="478"/>
      <c r="BC499" s="478"/>
      <c r="BD499" s="478"/>
      <c r="BE499" s="478"/>
      <c r="BF499" s="478"/>
      <c r="BG499" s="478"/>
      <c r="BH499" s="478"/>
      <c r="BI499" s="478"/>
      <c r="BJ499" s="478"/>
    </row>
    <row r="500" spans="1:62" ht="15.75" customHeight="1">
      <c r="B500" s="475"/>
      <c r="C500" s="478"/>
      <c r="S500" s="617"/>
      <c r="W500" s="478"/>
      <c r="X500" s="478"/>
      <c r="Y500" s="478"/>
      <c r="Z500" s="617"/>
      <c r="AA500" s="478"/>
      <c r="AB500" s="478"/>
      <c r="AC500" s="617"/>
      <c r="AD500" s="478"/>
      <c r="AE500" s="478"/>
      <c r="AF500" s="833"/>
      <c r="AG500" s="478"/>
      <c r="AH500" s="478"/>
      <c r="AI500" s="478"/>
      <c r="AJ500" s="478"/>
      <c r="AL500" s="832">
        <v>99069.309999999969</v>
      </c>
      <c r="AM500" s="478"/>
      <c r="AN500" s="478"/>
      <c r="AO500" s="478"/>
      <c r="AP500" s="478"/>
      <c r="AQ500" s="478"/>
      <c r="AR500" s="478"/>
      <c r="AS500" s="478"/>
      <c r="AT500" s="478"/>
      <c r="AU500" s="478"/>
      <c r="AV500" s="478"/>
      <c r="AW500" s="478"/>
      <c r="AX500" s="478"/>
      <c r="AY500" s="478"/>
      <c r="AZ500" s="478"/>
      <c r="BA500" s="478"/>
      <c r="BB500" s="478"/>
      <c r="BC500" s="478"/>
      <c r="BD500" s="478"/>
      <c r="BE500" s="478"/>
      <c r="BF500" s="478"/>
      <c r="BG500" s="478"/>
      <c r="BH500" s="478"/>
      <c r="BI500" s="478"/>
      <c r="BJ500" s="478"/>
    </row>
    <row r="501" spans="1:62" ht="15.75" customHeight="1">
      <c r="B501" s="475"/>
      <c r="C501" s="719"/>
      <c r="W501" s="478"/>
      <c r="X501" s="478"/>
      <c r="Y501" s="478"/>
      <c r="AE501" s="478"/>
      <c r="AF501" s="833"/>
      <c r="AM501" s="478"/>
      <c r="AN501" s="478"/>
      <c r="AO501" s="478"/>
      <c r="AP501" s="478"/>
      <c r="AQ501" s="478"/>
      <c r="AR501" s="478"/>
      <c r="AS501" s="478"/>
      <c r="AT501" s="478"/>
      <c r="AU501" s="478"/>
      <c r="AV501" s="478"/>
      <c r="AW501" s="478"/>
      <c r="AX501" s="478"/>
      <c r="AY501" s="478"/>
      <c r="AZ501" s="478"/>
      <c r="BA501" s="478"/>
      <c r="BB501" s="478"/>
      <c r="BC501" s="478"/>
      <c r="BD501" s="478"/>
      <c r="BE501" s="478"/>
      <c r="BF501" s="478"/>
      <c r="BG501" s="478"/>
      <c r="BH501" s="478"/>
      <c r="BI501" s="478"/>
      <c r="BJ501" s="478"/>
    </row>
    <row r="502" spans="1:62" ht="15.75" customHeight="1">
      <c r="B502" s="475"/>
      <c r="C502" s="719"/>
      <c r="W502" s="478"/>
      <c r="X502" s="478"/>
      <c r="Y502" s="478"/>
      <c r="Z502" s="478"/>
      <c r="AA502" s="478"/>
      <c r="AB502" s="478"/>
      <c r="AC502" s="478"/>
      <c r="AD502" s="478"/>
      <c r="AE502" s="478"/>
      <c r="AF502" s="833"/>
      <c r="AG502" s="478"/>
      <c r="AH502" s="478"/>
      <c r="AI502" s="478"/>
      <c r="AJ502" s="834" t="s">
        <v>480</v>
      </c>
      <c r="AK502" s="831">
        <v>4.2000000000000003E-2</v>
      </c>
      <c r="AL502" s="832">
        <v>227808.43999999983</v>
      </c>
      <c r="AM502" s="478"/>
      <c r="AN502" s="478"/>
      <c r="AO502" s="478"/>
      <c r="AP502" s="478"/>
      <c r="AQ502" s="478"/>
      <c r="AR502" s="478"/>
      <c r="AS502" s="478"/>
      <c r="AT502" s="478"/>
      <c r="AU502" s="478"/>
      <c r="AV502" s="478"/>
      <c r="AW502" s="478"/>
      <c r="AX502" s="478"/>
      <c r="AY502" s="478"/>
      <c r="AZ502" s="478"/>
      <c r="BA502" s="478"/>
      <c r="BB502" s="478"/>
      <c r="BC502" s="478"/>
      <c r="BD502" s="478"/>
      <c r="BE502" s="478"/>
      <c r="BF502" s="478"/>
      <c r="BG502" s="478"/>
      <c r="BH502" s="478"/>
      <c r="BI502" s="478"/>
      <c r="BJ502" s="478"/>
    </row>
    <row r="503" spans="1:62" ht="15.75" customHeight="1">
      <c r="B503" s="475"/>
      <c r="C503" s="719"/>
      <c r="W503" s="478"/>
      <c r="X503" s="478"/>
      <c r="Y503" s="478"/>
      <c r="Z503" s="478"/>
      <c r="AA503" s="478"/>
      <c r="AB503" s="478"/>
      <c r="AC503" s="478"/>
      <c r="AD503" s="478"/>
      <c r="AE503" s="478"/>
      <c r="AF503" s="833"/>
      <c r="AG503" s="478"/>
      <c r="AH503" s="478"/>
      <c r="AI503" s="478"/>
      <c r="AJ503" s="478"/>
      <c r="AK503" s="478"/>
      <c r="AL503" s="478"/>
      <c r="AM503" s="478"/>
      <c r="AN503" s="478"/>
      <c r="AO503" s="478"/>
      <c r="AP503" s="478"/>
      <c r="AQ503" s="478"/>
      <c r="AR503" s="478"/>
      <c r="AS503" s="478"/>
      <c r="AT503" s="478"/>
      <c r="AU503" s="478"/>
      <c r="AV503" s="478"/>
      <c r="AW503" s="478"/>
      <c r="AX503" s="478"/>
      <c r="AY503" s="478"/>
      <c r="AZ503" s="478"/>
      <c r="BA503" s="478"/>
      <c r="BB503" s="478"/>
      <c r="BC503" s="478"/>
      <c r="BD503" s="478"/>
      <c r="BE503" s="478"/>
      <c r="BF503" s="478"/>
      <c r="BG503" s="478"/>
      <c r="BH503" s="478"/>
      <c r="BI503" s="478"/>
      <c r="BJ503" s="478"/>
    </row>
    <row r="504" spans="1:62" ht="15.75" customHeight="1">
      <c r="B504" s="475"/>
      <c r="C504" s="719"/>
      <c r="W504" s="478"/>
      <c r="X504" s="478"/>
      <c r="Y504" s="478"/>
      <c r="Z504" s="478"/>
      <c r="AA504" s="478"/>
      <c r="AB504" s="478"/>
      <c r="AC504" s="478"/>
      <c r="AD504" s="478"/>
      <c r="AE504" s="478"/>
      <c r="AF504" s="478"/>
      <c r="AG504" s="478"/>
      <c r="AH504" s="478"/>
      <c r="AI504" s="478"/>
      <c r="AJ504" s="478"/>
      <c r="AK504" s="478"/>
      <c r="AL504" s="478"/>
      <c r="AM504" s="478"/>
      <c r="AN504" s="478"/>
      <c r="AO504" s="478"/>
      <c r="AP504" s="478"/>
      <c r="AQ504" s="478"/>
      <c r="AR504" s="478"/>
      <c r="AS504" s="478"/>
      <c r="AT504" s="478"/>
      <c r="AU504" s="478"/>
      <c r="AV504" s="478"/>
      <c r="AW504" s="478"/>
      <c r="AX504" s="478"/>
      <c r="AY504" s="478"/>
      <c r="AZ504" s="478"/>
      <c r="BA504" s="478"/>
      <c r="BB504" s="478"/>
      <c r="BC504" s="478"/>
      <c r="BD504" s="478"/>
      <c r="BE504" s="478"/>
      <c r="BF504" s="478"/>
      <c r="BG504" s="478"/>
      <c r="BH504" s="478"/>
      <c r="BI504" s="478"/>
      <c r="BJ504" s="478"/>
    </row>
    <row r="505" spans="1:62" ht="15.75" customHeight="1">
      <c r="B505" s="475"/>
      <c r="C505" s="719"/>
      <c r="W505" s="478"/>
      <c r="X505" s="478"/>
      <c r="Y505" s="478"/>
      <c r="Z505" s="478"/>
      <c r="AA505" s="478"/>
      <c r="AB505" s="478"/>
      <c r="AC505" s="478"/>
      <c r="AD505" s="478"/>
      <c r="AE505" s="478"/>
      <c r="AF505" s="835"/>
      <c r="AG505" s="478"/>
      <c r="AH505" s="478"/>
      <c r="AI505" s="478"/>
      <c r="AJ505" s="478"/>
      <c r="AK505" s="478"/>
      <c r="AL505" s="478"/>
      <c r="AM505" s="478"/>
      <c r="AN505" s="478"/>
      <c r="AO505" s="478"/>
      <c r="AP505" s="478"/>
      <c r="AQ505" s="478"/>
      <c r="AR505" s="478"/>
      <c r="AS505" s="478"/>
      <c r="AT505" s="478"/>
      <c r="AU505" s="478"/>
      <c r="AV505" s="478"/>
      <c r="AW505" s="478"/>
      <c r="AX505" s="478"/>
      <c r="AY505" s="478"/>
      <c r="AZ505" s="478"/>
      <c r="BA505" s="478"/>
      <c r="BB505" s="478"/>
      <c r="BC505" s="478"/>
      <c r="BD505" s="478"/>
      <c r="BE505" s="478"/>
      <c r="BF505" s="478"/>
      <c r="BG505" s="478"/>
      <c r="BH505" s="478"/>
      <c r="BI505" s="478"/>
      <c r="BJ505" s="478"/>
    </row>
    <row r="506" spans="1:62" ht="15.75" customHeight="1">
      <c r="B506" s="475"/>
      <c r="C506" s="719"/>
      <c r="W506" s="478"/>
      <c r="X506" s="478"/>
      <c r="Y506" s="478"/>
      <c r="Z506" s="478"/>
      <c r="AA506" s="478"/>
      <c r="AB506" s="478"/>
      <c r="AC506" s="478"/>
      <c r="AD506" s="478"/>
      <c r="AE506" s="478"/>
      <c r="AF506" s="617"/>
      <c r="AG506" s="478"/>
      <c r="AH506" s="478"/>
      <c r="AI506" s="478"/>
      <c r="AJ506" s="478"/>
      <c r="AK506" s="478"/>
      <c r="AL506" s="478"/>
      <c r="AM506" s="478"/>
      <c r="AN506" s="478"/>
      <c r="AO506" s="478"/>
      <c r="AP506" s="478"/>
      <c r="AQ506" s="478"/>
      <c r="AR506" s="478"/>
      <c r="AS506" s="478"/>
      <c r="AT506" s="478"/>
      <c r="AU506" s="478"/>
      <c r="AV506" s="478"/>
      <c r="AW506" s="478"/>
      <c r="AX506" s="478"/>
      <c r="AY506" s="478"/>
      <c r="AZ506" s="478"/>
      <c r="BA506" s="478"/>
      <c r="BB506" s="478"/>
      <c r="BC506" s="478"/>
      <c r="BD506" s="478"/>
      <c r="BE506" s="478"/>
      <c r="BF506" s="478"/>
      <c r="BG506" s="478"/>
      <c r="BH506" s="478"/>
      <c r="BI506" s="478"/>
      <c r="BJ506" s="478"/>
    </row>
    <row r="507" spans="1:62" ht="15.75" customHeight="1">
      <c r="B507" s="475"/>
      <c r="C507" s="719"/>
      <c r="W507" s="478"/>
      <c r="X507" s="478"/>
      <c r="Y507" s="478"/>
      <c r="Z507" s="478"/>
      <c r="AA507" s="478"/>
      <c r="AB507" s="478"/>
      <c r="AC507" s="478"/>
      <c r="AD507" s="478"/>
      <c r="AE507" s="478"/>
      <c r="AF507" s="617"/>
      <c r="AG507" s="478"/>
      <c r="AH507" s="478"/>
      <c r="AI507" s="478"/>
      <c r="AJ507" s="478"/>
      <c r="AK507" s="478"/>
      <c r="AL507" s="478"/>
      <c r="AM507" s="478"/>
      <c r="AN507" s="478"/>
      <c r="AO507" s="478"/>
      <c r="AP507" s="478"/>
      <c r="AQ507" s="478"/>
      <c r="AR507" s="478"/>
      <c r="AS507" s="478"/>
      <c r="AT507" s="478"/>
      <c r="AU507" s="478"/>
      <c r="AV507" s="478"/>
      <c r="AW507" s="478"/>
      <c r="AX507" s="478"/>
      <c r="AY507" s="478"/>
      <c r="AZ507" s="478"/>
      <c r="BA507" s="478"/>
      <c r="BB507" s="478"/>
      <c r="BC507" s="478"/>
      <c r="BD507" s="478"/>
      <c r="BE507" s="478"/>
      <c r="BF507" s="478"/>
      <c r="BG507" s="478"/>
      <c r="BH507" s="478"/>
      <c r="BI507" s="478"/>
      <c r="BJ507" s="478"/>
    </row>
    <row r="508" spans="1:62" ht="15.75" customHeight="1">
      <c r="B508" s="475"/>
      <c r="C508" s="719"/>
      <c r="W508" s="478"/>
      <c r="X508" s="478"/>
      <c r="Y508" s="478"/>
      <c r="Z508" s="478"/>
      <c r="AA508" s="478"/>
      <c r="AB508" s="478"/>
      <c r="AC508" s="478"/>
      <c r="AD508" s="478"/>
      <c r="AE508" s="478"/>
      <c r="AF508" s="478"/>
      <c r="AG508" s="478"/>
      <c r="AH508" s="478"/>
      <c r="AI508" s="478"/>
      <c r="AJ508" s="478"/>
      <c r="AK508" s="478"/>
      <c r="AL508" s="478"/>
      <c r="AM508" s="478"/>
      <c r="AN508" s="478"/>
      <c r="AO508" s="478"/>
      <c r="AP508" s="478"/>
      <c r="AQ508" s="478"/>
      <c r="AR508" s="478"/>
      <c r="AS508" s="478"/>
      <c r="AT508" s="478"/>
      <c r="AU508" s="478"/>
      <c r="AV508" s="478"/>
      <c r="AW508" s="478"/>
      <c r="AX508" s="478"/>
      <c r="AY508" s="478"/>
      <c r="AZ508" s="478"/>
      <c r="BA508" s="478"/>
      <c r="BB508" s="478"/>
      <c r="BC508" s="478"/>
      <c r="BD508" s="478"/>
      <c r="BE508" s="478"/>
      <c r="BF508" s="478"/>
      <c r="BG508" s="478"/>
      <c r="BH508" s="478"/>
      <c r="BI508" s="478"/>
      <c r="BJ508" s="478"/>
    </row>
    <row r="509" spans="1:62" ht="15.75" customHeight="1">
      <c r="B509" s="475"/>
      <c r="C509" s="719"/>
      <c r="W509" s="764"/>
      <c r="X509" s="764"/>
      <c r="Y509" s="478"/>
      <c r="Z509" s="478"/>
      <c r="AA509" s="478"/>
      <c r="AB509" s="478"/>
      <c r="AC509" s="478"/>
      <c r="AD509" s="478"/>
      <c r="AE509" s="478"/>
      <c r="AF509" s="478"/>
      <c r="AG509" s="478"/>
      <c r="AH509" s="478"/>
      <c r="AI509" s="478"/>
      <c r="AJ509" s="478"/>
      <c r="AK509" s="478"/>
      <c r="AL509" s="478"/>
      <c r="AM509" s="478"/>
      <c r="AN509" s="478"/>
      <c r="AO509" s="478"/>
      <c r="AP509" s="478"/>
      <c r="AQ509" s="478"/>
      <c r="AR509" s="478"/>
      <c r="AS509" s="478"/>
      <c r="AT509" s="478"/>
      <c r="AU509" s="478"/>
      <c r="AV509" s="478"/>
      <c r="AW509" s="478"/>
      <c r="AX509" s="478"/>
      <c r="AY509" s="478"/>
      <c r="AZ509" s="478"/>
      <c r="BA509" s="478"/>
      <c r="BB509" s="478"/>
      <c r="BC509" s="478"/>
      <c r="BD509" s="478"/>
      <c r="BE509" s="478"/>
      <c r="BF509" s="478"/>
      <c r="BG509" s="478"/>
      <c r="BH509" s="478"/>
      <c r="BI509" s="478"/>
      <c r="BJ509" s="478"/>
    </row>
    <row r="510" spans="1:62" ht="15.75" customHeight="1">
      <c r="B510" s="475"/>
      <c r="C510" s="719"/>
      <c r="W510" s="764"/>
      <c r="X510" s="764"/>
      <c r="Y510" s="478"/>
      <c r="Z510" s="478"/>
      <c r="AA510" s="478"/>
      <c r="AB510" s="478"/>
      <c r="AC510" s="478"/>
      <c r="AD510" s="478"/>
      <c r="AE510" s="478"/>
      <c r="AF510" s="478"/>
      <c r="AG510" s="478"/>
      <c r="AH510" s="478"/>
      <c r="AI510" s="478"/>
      <c r="AJ510" s="478"/>
      <c r="AK510" s="478"/>
      <c r="AL510" s="478"/>
      <c r="AM510" s="478"/>
      <c r="AN510" s="478"/>
      <c r="AO510" s="478"/>
      <c r="AP510" s="478"/>
      <c r="AQ510" s="478"/>
      <c r="AR510" s="478"/>
      <c r="AS510" s="478"/>
      <c r="AT510" s="478"/>
      <c r="AU510" s="478"/>
      <c r="AV510" s="478"/>
      <c r="AW510" s="478"/>
      <c r="AX510" s="478"/>
      <c r="AY510" s="478"/>
      <c r="AZ510" s="478"/>
      <c r="BA510" s="478"/>
      <c r="BB510" s="478"/>
      <c r="BC510" s="478"/>
      <c r="BD510" s="478"/>
      <c r="BE510" s="478"/>
      <c r="BF510" s="478"/>
      <c r="BG510" s="478"/>
      <c r="BH510" s="478"/>
      <c r="BI510" s="478"/>
      <c r="BJ510" s="478"/>
    </row>
    <row r="511" spans="1:62" ht="15.75" customHeight="1">
      <c r="B511" s="475"/>
      <c r="C511" s="719"/>
      <c r="W511" s="764"/>
      <c r="X511" s="764"/>
      <c r="Y511" s="478"/>
      <c r="Z511" s="478"/>
      <c r="AA511" s="478"/>
      <c r="AB511" s="478"/>
      <c r="AC511" s="478"/>
      <c r="AD511" s="478"/>
      <c r="AE511" s="478"/>
      <c r="AF511" s="478"/>
      <c r="AG511" s="478"/>
      <c r="AH511" s="478"/>
      <c r="AI511" s="478"/>
      <c r="AJ511" s="478"/>
      <c r="AK511" s="478"/>
      <c r="AL511" s="478"/>
      <c r="AM511" s="478"/>
      <c r="AN511" s="478"/>
      <c r="AO511" s="478"/>
      <c r="AP511" s="478"/>
      <c r="AQ511" s="478"/>
      <c r="AR511" s="478"/>
      <c r="AS511" s="478"/>
      <c r="AT511" s="478"/>
      <c r="AU511" s="478"/>
      <c r="AV511" s="478"/>
      <c r="AW511" s="478"/>
      <c r="AX511" s="478"/>
      <c r="AY511" s="478"/>
      <c r="AZ511" s="478"/>
      <c r="BA511" s="478"/>
      <c r="BB511" s="478"/>
      <c r="BC511" s="478"/>
      <c r="BD511" s="478"/>
      <c r="BE511" s="478"/>
      <c r="BF511" s="478"/>
      <c r="BG511" s="478"/>
      <c r="BH511" s="478"/>
      <c r="BI511" s="478"/>
      <c r="BJ511" s="478"/>
    </row>
    <row r="512" spans="1:62" ht="15.75" customHeight="1">
      <c r="B512" s="475"/>
      <c r="C512" s="719"/>
      <c r="W512" s="764"/>
      <c r="X512" s="764"/>
      <c r="Y512" s="478"/>
      <c r="Z512" s="478"/>
      <c r="AA512" s="478"/>
      <c r="AB512" s="478"/>
      <c r="AC512" s="478"/>
      <c r="AD512" s="478"/>
      <c r="AE512" s="478"/>
      <c r="AF512" s="478"/>
      <c r="AG512" s="478"/>
      <c r="AH512" s="478"/>
      <c r="AI512" s="478"/>
      <c r="AJ512" s="478"/>
      <c r="AK512" s="478"/>
      <c r="AL512" s="478"/>
      <c r="AM512" s="478"/>
      <c r="AN512" s="478"/>
      <c r="AO512" s="478"/>
      <c r="AP512" s="478"/>
      <c r="AQ512" s="478"/>
      <c r="AR512" s="478"/>
      <c r="AS512" s="478"/>
      <c r="AT512" s="478"/>
      <c r="AU512" s="478"/>
      <c r="AV512" s="478"/>
      <c r="AW512" s="478"/>
      <c r="AX512" s="478"/>
      <c r="AY512" s="478"/>
      <c r="AZ512" s="478"/>
      <c r="BA512" s="478"/>
      <c r="BB512" s="478"/>
      <c r="BC512" s="478"/>
      <c r="BD512" s="478"/>
      <c r="BE512" s="478"/>
      <c r="BF512" s="478"/>
      <c r="BG512" s="478"/>
      <c r="BH512" s="478"/>
      <c r="BI512" s="478"/>
      <c r="BJ512" s="478"/>
    </row>
    <row r="513" spans="2:62" ht="15.75" customHeight="1">
      <c r="B513" s="475"/>
      <c r="C513" s="719"/>
      <c r="W513" s="764"/>
      <c r="X513" s="764"/>
      <c r="Y513" s="478"/>
      <c r="Z513" s="478"/>
      <c r="AA513" s="478"/>
      <c r="AB513" s="478"/>
      <c r="AC513" s="478"/>
      <c r="AD513" s="478"/>
      <c r="AE513" s="478"/>
      <c r="AF513" s="478"/>
      <c r="AG513" s="478"/>
      <c r="AH513" s="478"/>
      <c r="AI513" s="478"/>
      <c r="AJ513" s="478"/>
      <c r="AK513" s="478"/>
      <c r="AL513" s="478"/>
      <c r="AM513" s="478"/>
      <c r="AN513" s="478"/>
      <c r="AO513" s="478"/>
      <c r="AP513" s="478"/>
      <c r="AQ513" s="478"/>
      <c r="AR513" s="478"/>
      <c r="AS513" s="478"/>
      <c r="AT513" s="478"/>
      <c r="AU513" s="478"/>
      <c r="AV513" s="478"/>
      <c r="AW513" s="478"/>
      <c r="AX513" s="478"/>
      <c r="AY513" s="478"/>
      <c r="AZ513" s="478"/>
      <c r="BA513" s="478"/>
      <c r="BB513" s="478"/>
      <c r="BC513" s="478"/>
      <c r="BD513" s="478"/>
      <c r="BE513" s="478"/>
      <c r="BF513" s="478"/>
      <c r="BG513" s="478"/>
      <c r="BH513" s="478"/>
      <c r="BI513" s="478"/>
      <c r="BJ513" s="478"/>
    </row>
    <row r="514" spans="2:62" ht="15.75" customHeight="1">
      <c r="B514" s="475"/>
      <c r="C514" s="719"/>
      <c r="W514" s="764"/>
      <c r="X514" s="764"/>
      <c r="Y514" s="478"/>
      <c r="Z514" s="478"/>
      <c r="AA514" s="478"/>
      <c r="AB514" s="478"/>
      <c r="AC514" s="478"/>
      <c r="AD514" s="478"/>
      <c r="AE514" s="478"/>
      <c r="AF514" s="478"/>
      <c r="AG514" s="478"/>
      <c r="AH514" s="478"/>
      <c r="AI514" s="478"/>
      <c r="AJ514" s="478"/>
      <c r="AK514" s="478"/>
      <c r="AL514" s="478"/>
      <c r="AM514" s="478"/>
      <c r="AN514" s="478"/>
      <c r="AO514" s="478"/>
      <c r="AP514" s="478"/>
      <c r="AQ514" s="478"/>
      <c r="AR514" s="478"/>
      <c r="AS514" s="478"/>
      <c r="AT514" s="478"/>
      <c r="AU514" s="478"/>
      <c r="AV514" s="478"/>
      <c r="AW514" s="478"/>
      <c r="AX514" s="478"/>
      <c r="AY514" s="478"/>
      <c r="AZ514" s="478"/>
      <c r="BA514" s="478"/>
      <c r="BB514" s="478"/>
      <c r="BC514" s="478"/>
      <c r="BD514" s="478"/>
      <c r="BE514" s="478"/>
      <c r="BF514" s="478"/>
      <c r="BG514" s="478"/>
      <c r="BH514" s="478"/>
      <c r="BI514" s="478"/>
      <c r="BJ514" s="478"/>
    </row>
    <row r="515" spans="2:62" ht="15.75" customHeight="1">
      <c r="B515" s="475"/>
      <c r="W515" s="764"/>
      <c r="X515" s="764"/>
      <c r="Y515" s="478"/>
      <c r="Z515" s="478"/>
      <c r="AA515" s="478"/>
      <c r="AB515" s="478"/>
      <c r="AC515" s="478"/>
      <c r="AD515" s="478"/>
      <c r="AE515" s="478"/>
      <c r="AF515" s="478"/>
      <c r="AG515" s="478"/>
      <c r="AH515" s="478"/>
      <c r="AI515" s="478"/>
      <c r="AJ515" s="478"/>
      <c r="AK515" s="478"/>
      <c r="AL515" s="478"/>
      <c r="AM515" s="478"/>
      <c r="AN515" s="478"/>
      <c r="AO515" s="478"/>
      <c r="AP515" s="478"/>
      <c r="AQ515" s="478"/>
      <c r="AR515" s="478"/>
      <c r="AS515" s="478"/>
      <c r="AT515" s="478"/>
      <c r="AU515" s="478"/>
      <c r="AV515" s="478"/>
      <c r="AW515" s="478"/>
      <c r="AX515" s="478"/>
      <c r="AY515" s="478"/>
      <c r="AZ515" s="478"/>
      <c r="BA515" s="478"/>
      <c r="BB515" s="478"/>
      <c r="BC515" s="478"/>
      <c r="BD515" s="478"/>
      <c r="BE515" s="478"/>
      <c r="BF515" s="478"/>
      <c r="BG515" s="478"/>
      <c r="BH515" s="478"/>
      <c r="BI515" s="478"/>
      <c r="BJ515" s="478"/>
    </row>
    <row r="516" spans="2:62" ht="15.75" customHeight="1">
      <c r="B516" s="475"/>
      <c r="W516" s="764"/>
      <c r="X516" s="764"/>
      <c r="Y516" s="478"/>
      <c r="Z516" s="478"/>
      <c r="AA516" s="478"/>
      <c r="AB516" s="478"/>
      <c r="AC516" s="478"/>
      <c r="AD516" s="478"/>
      <c r="AE516" s="478"/>
      <c r="AF516" s="478"/>
      <c r="AG516" s="478"/>
      <c r="AH516" s="478"/>
      <c r="AI516" s="478"/>
      <c r="AJ516" s="478"/>
      <c r="AK516" s="478"/>
      <c r="AL516" s="478"/>
      <c r="AM516" s="478"/>
      <c r="AN516" s="478"/>
      <c r="AO516" s="478"/>
      <c r="AP516" s="478"/>
      <c r="AQ516" s="478"/>
      <c r="AR516" s="478"/>
      <c r="AS516" s="478"/>
      <c r="AT516" s="478"/>
      <c r="AU516" s="478"/>
      <c r="AV516" s="478"/>
      <c r="AW516" s="478"/>
      <c r="AX516" s="478"/>
      <c r="AY516" s="478"/>
      <c r="AZ516" s="478"/>
      <c r="BA516" s="478"/>
      <c r="BB516" s="478"/>
      <c r="BC516" s="478"/>
      <c r="BD516" s="478"/>
      <c r="BE516" s="478"/>
      <c r="BF516" s="478"/>
      <c r="BG516" s="478"/>
      <c r="BH516" s="478"/>
      <c r="BI516" s="478"/>
      <c r="BJ516" s="478"/>
    </row>
    <row r="517" spans="2:62" ht="15.75" customHeight="1">
      <c r="B517" s="475"/>
      <c r="W517" s="764"/>
      <c r="X517" s="764"/>
      <c r="Y517" s="478"/>
      <c r="Z517" s="478"/>
      <c r="AA517" s="478"/>
      <c r="AB517" s="478"/>
      <c r="AC517" s="478"/>
      <c r="AD517" s="478"/>
      <c r="AE517" s="478"/>
      <c r="AF517" s="478"/>
      <c r="AG517" s="478"/>
      <c r="AH517" s="478"/>
      <c r="AI517" s="478"/>
      <c r="AJ517" s="478"/>
      <c r="AK517" s="478"/>
      <c r="AL517" s="478"/>
      <c r="AM517" s="478"/>
      <c r="AN517" s="478"/>
      <c r="AO517" s="478"/>
      <c r="AP517" s="478"/>
      <c r="AQ517" s="478"/>
      <c r="AR517" s="478"/>
      <c r="AS517" s="478"/>
      <c r="AT517" s="478"/>
      <c r="AU517" s="478"/>
      <c r="AV517" s="478"/>
      <c r="AW517" s="478"/>
      <c r="AX517" s="478"/>
      <c r="AY517" s="478"/>
      <c r="AZ517" s="478"/>
      <c r="BA517" s="478"/>
      <c r="BB517" s="478"/>
      <c r="BC517" s="478"/>
      <c r="BD517" s="478"/>
      <c r="BE517" s="478"/>
      <c r="BF517" s="478"/>
      <c r="BG517" s="478"/>
      <c r="BH517" s="478"/>
      <c r="BI517" s="478"/>
      <c r="BJ517" s="478"/>
    </row>
    <row r="518" spans="2:62" ht="15.75" customHeight="1">
      <c r="B518" s="475"/>
      <c r="W518" s="764"/>
      <c r="X518" s="764"/>
      <c r="Y518" s="478"/>
      <c r="Z518" s="478"/>
      <c r="AA518" s="478"/>
      <c r="AB518" s="478"/>
      <c r="AC518" s="478"/>
      <c r="AD518" s="478"/>
      <c r="AE518" s="478"/>
      <c r="AF518" s="478"/>
      <c r="AG518" s="478"/>
      <c r="AH518" s="478"/>
      <c r="AI518" s="478"/>
      <c r="AJ518" s="478"/>
      <c r="AK518" s="478"/>
      <c r="AL518" s="478"/>
      <c r="AM518" s="478"/>
      <c r="AN518" s="478"/>
      <c r="AO518" s="478"/>
      <c r="AP518" s="478"/>
      <c r="AQ518" s="478"/>
      <c r="AR518" s="478"/>
      <c r="AS518" s="478"/>
      <c r="AT518" s="478"/>
      <c r="AU518" s="478"/>
      <c r="AV518" s="478"/>
      <c r="AW518" s="478"/>
      <c r="AX518" s="478"/>
      <c r="AY518" s="478"/>
      <c r="AZ518" s="478"/>
      <c r="BA518" s="478"/>
      <c r="BB518" s="478"/>
      <c r="BC518" s="478"/>
      <c r="BD518" s="478"/>
      <c r="BE518" s="478"/>
      <c r="BF518" s="478"/>
      <c r="BG518" s="478"/>
      <c r="BH518" s="478"/>
      <c r="BI518" s="478"/>
      <c r="BJ518" s="478"/>
    </row>
    <row r="519" spans="2:62" ht="15.75" customHeight="1">
      <c r="B519" s="475"/>
      <c r="W519" s="764"/>
      <c r="X519" s="764"/>
      <c r="Y519" s="478"/>
      <c r="Z519" s="478"/>
      <c r="AA519" s="478"/>
      <c r="AB519" s="478"/>
      <c r="AC519" s="478"/>
      <c r="AD519" s="478"/>
      <c r="AE519" s="478"/>
      <c r="AF519" s="478"/>
      <c r="AG519" s="478"/>
      <c r="AH519" s="478"/>
      <c r="AI519" s="478"/>
      <c r="AJ519" s="478"/>
      <c r="AK519" s="478"/>
      <c r="AL519" s="478"/>
      <c r="AM519" s="478"/>
      <c r="AN519" s="478"/>
      <c r="AO519" s="478"/>
      <c r="AP519" s="478"/>
      <c r="AQ519" s="478"/>
      <c r="AR519" s="478"/>
      <c r="AS519" s="478"/>
      <c r="AT519" s="478"/>
      <c r="AU519" s="478"/>
      <c r="AV519" s="478"/>
      <c r="AW519" s="478"/>
      <c r="AX519" s="478"/>
      <c r="AY519" s="478"/>
      <c r="AZ519" s="478"/>
      <c r="BA519" s="478"/>
      <c r="BB519" s="478"/>
      <c r="BC519" s="478"/>
      <c r="BD519" s="478"/>
      <c r="BE519" s="478"/>
      <c r="BF519" s="478"/>
      <c r="BG519" s="478"/>
      <c r="BH519" s="478"/>
      <c r="BI519" s="478"/>
      <c r="BJ519" s="478"/>
    </row>
    <row r="520" spans="2:62" ht="15.75" customHeight="1">
      <c r="B520" s="475"/>
      <c r="W520" s="764"/>
      <c r="X520" s="764"/>
      <c r="Y520" s="478"/>
      <c r="Z520" s="478"/>
      <c r="AA520" s="478"/>
      <c r="AB520" s="478"/>
      <c r="AC520" s="478"/>
      <c r="AD520" s="478"/>
      <c r="AE520" s="478"/>
      <c r="AF520" s="478"/>
      <c r="AG520" s="478"/>
      <c r="AH520" s="478"/>
      <c r="AI520" s="478"/>
      <c r="AJ520" s="478"/>
      <c r="AK520" s="478"/>
      <c r="AL520" s="478"/>
      <c r="AM520" s="478"/>
      <c r="AN520" s="478"/>
      <c r="AO520" s="478"/>
      <c r="AP520" s="478"/>
      <c r="AQ520" s="478"/>
      <c r="AR520" s="478"/>
      <c r="AS520" s="478"/>
      <c r="AT520" s="478"/>
      <c r="AU520" s="478"/>
      <c r="AV520" s="478"/>
      <c r="AW520" s="478"/>
      <c r="AX520" s="478"/>
      <c r="AY520" s="478"/>
      <c r="AZ520" s="478"/>
      <c r="BA520" s="478"/>
      <c r="BB520" s="478"/>
      <c r="BC520" s="478"/>
      <c r="BD520" s="478"/>
      <c r="BE520" s="478"/>
      <c r="BF520" s="478"/>
      <c r="BG520" s="478"/>
      <c r="BH520" s="478"/>
      <c r="BI520" s="478"/>
      <c r="BJ520" s="478"/>
    </row>
    <row r="521" spans="2:62" ht="15.75" customHeight="1">
      <c r="B521" s="475"/>
      <c r="W521" s="764"/>
      <c r="X521" s="764"/>
      <c r="Y521" s="478"/>
      <c r="Z521" s="478"/>
      <c r="AA521" s="478"/>
      <c r="AB521" s="478"/>
      <c r="AC521" s="478"/>
      <c r="AD521" s="478"/>
      <c r="AE521" s="478"/>
      <c r="AF521" s="478"/>
      <c r="AG521" s="478"/>
      <c r="AH521" s="478"/>
      <c r="AI521" s="478"/>
      <c r="AJ521" s="478"/>
      <c r="AK521" s="478"/>
      <c r="AL521" s="478"/>
      <c r="AM521" s="478"/>
      <c r="AN521" s="478"/>
      <c r="AO521" s="478"/>
      <c r="AP521" s="478"/>
      <c r="AQ521" s="478"/>
      <c r="AR521" s="478"/>
      <c r="AS521" s="478"/>
      <c r="AT521" s="478"/>
      <c r="AU521" s="478"/>
      <c r="AV521" s="478"/>
      <c r="AW521" s="478"/>
      <c r="AX521" s="478"/>
      <c r="AY521" s="478"/>
      <c r="AZ521" s="478"/>
      <c r="BA521" s="478"/>
      <c r="BB521" s="478"/>
      <c r="BC521" s="478"/>
      <c r="BD521" s="478"/>
      <c r="BE521" s="478"/>
      <c r="BF521" s="478"/>
      <c r="BG521" s="478"/>
      <c r="BH521" s="478"/>
      <c r="BI521" s="478"/>
      <c r="BJ521" s="478"/>
    </row>
    <row r="522" spans="2:62" ht="15.75" customHeight="1">
      <c r="B522" s="475"/>
      <c r="W522" s="764"/>
      <c r="X522" s="764"/>
      <c r="Y522" s="478"/>
      <c r="Z522" s="478"/>
      <c r="AA522" s="478"/>
      <c r="AB522" s="478"/>
      <c r="AC522" s="478"/>
      <c r="AD522" s="478"/>
      <c r="AE522" s="478"/>
      <c r="AF522" s="478"/>
      <c r="AG522" s="478"/>
      <c r="AH522" s="478"/>
      <c r="AI522" s="478"/>
      <c r="AJ522" s="478"/>
      <c r="AK522" s="478"/>
      <c r="AL522" s="478"/>
      <c r="AM522" s="478"/>
      <c r="AN522" s="478"/>
      <c r="AO522" s="478"/>
      <c r="AP522" s="478"/>
      <c r="AQ522" s="478"/>
      <c r="AR522" s="478"/>
      <c r="AS522" s="478"/>
      <c r="AT522" s="478"/>
      <c r="AU522" s="478"/>
      <c r="AV522" s="478"/>
      <c r="AW522" s="478"/>
      <c r="AX522" s="478"/>
      <c r="AY522" s="478"/>
      <c r="AZ522" s="478"/>
      <c r="BA522" s="478"/>
      <c r="BB522" s="478"/>
      <c r="BC522" s="478"/>
      <c r="BD522" s="478"/>
      <c r="BE522" s="478"/>
      <c r="BF522" s="478"/>
      <c r="BG522" s="478"/>
      <c r="BH522" s="478"/>
      <c r="BI522" s="478"/>
      <c r="BJ522" s="478"/>
    </row>
    <row r="523" spans="2:62" ht="15.75" customHeight="1">
      <c r="B523" s="475"/>
      <c r="W523" s="764"/>
      <c r="X523" s="764"/>
      <c r="Y523" s="478"/>
      <c r="Z523" s="478"/>
      <c r="AA523" s="478"/>
      <c r="AB523" s="478"/>
      <c r="AC523" s="478"/>
      <c r="AD523" s="478"/>
      <c r="AE523" s="478"/>
      <c r="AF523" s="478"/>
      <c r="AG523" s="478"/>
      <c r="AH523" s="478"/>
      <c r="AI523" s="478"/>
      <c r="AJ523" s="478"/>
      <c r="AK523" s="478"/>
      <c r="AL523" s="478"/>
      <c r="AM523" s="478"/>
      <c r="AN523" s="478"/>
      <c r="AO523" s="478"/>
      <c r="AP523" s="478"/>
      <c r="AQ523" s="478"/>
      <c r="AR523" s="478"/>
      <c r="AS523" s="478"/>
      <c r="AT523" s="478"/>
      <c r="AU523" s="478"/>
      <c r="AV523" s="478"/>
      <c r="AW523" s="478"/>
      <c r="AX523" s="478"/>
      <c r="AY523" s="478"/>
      <c r="AZ523" s="478"/>
      <c r="BA523" s="478"/>
      <c r="BB523" s="478"/>
      <c r="BC523" s="478"/>
      <c r="BD523" s="478"/>
      <c r="BE523" s="478"/>
      <c r="BF523" s="478"/>
      <c r="BG523" s="478"/>
      <c r="BH523" s="478"/>
      <c r="BI523" s="478"/>
      <c r="BJ523" s="478"/>
    </row>
    <row r="524" spans="2:62" ht="15.75" customHeight="1">
      <c r="B524" s="475"/>
      <c r="C524" s="719"/>
      <c r="W524" s="764"/>
      <c r="X524" s="764"/>
      <c r="Y524" s="478"/>
      <c r="Z524" s="478"/>
      <c r="AA524" s="478"/>
      <c r="AB524" s="478"/>
      <c r="AC524" s="478"/>
      <c r="AD524" s="478"/>
      <c r="AE524" s="478"/>
      <c r="AF524" s="478"/>
      <c r="AG524" s="478"/>
      <c r="AH524" s="478"/>
      <c r="AI524" s="478"/>
      <c r="AJ524" s="478"/>
      <c r="AK524" s="478"/>
      <c r="AL524" s="478"/>
      <c r="AM524" s="478"/>
      <c r="AN524" s="478"/>
      <c r="AO524" s="478"/>
      <c r="AP524" s="478"/>
      <c r="AQ524" s="478"/>
      <c r="AR524" s="478"/>
      <c r="AS524" s="478"/>
      <c r="AT524" s="478"/>
      <c r="AU524" s="478"/>
      <c r="AV524" s="478"/>
      <c r="AW524" s="478"/>
      <c r="AX524" s="478"/>
      <c r="AY524" s="478"/>
      <c r="AZ524" s="478"/>
      <c r="BA524" s="478"/>
      <c r="BB524" s="478"/>
      <c r="BC524" s="478"/>
      <c r="BD524" s="478"/>
      <c r="BE524" s="478"/>
      <c r="BF524" s="478"/>
      <c r="BG524" s="478"/>
      <c r="BH524" s="478"/>
      <c r="BI524" s="478"/>
      <c r="BJ524" s="478"/>
    </row>
    <row r="525" spans="2:62" ht="15.75" customHeight="1">
      <c r="B525" s="475"/>
      <c r="C525" s="719"/>
      <c r="W525" s="764"/>
      <c r="X525" s="764"/>
      <c r="Y525" s="478"/>
      <c r="Z525" s="478"/>
      <c r="AA525" s="478"/>
      <c r="AB525" s="478"/>
      <c r="AC525" s="478"/>
      <c r="AD525" s="478"/>
      <c r="AE525" s="478"/>
      <c r="AF525" s="478"/>
      <c r="AG525" s="478"/>
      <c r="AH525" s="478"/>
      <c r="AI525" s="478"/>
      <c r="AJ525" s="478"/>
      <c r="AK525" s="478"/>
      <c r="AL525" s="478"/>
      <c r="AM525" s="478"/>
      <c r="AN525" s="478"/>
      <c r="AO525" s="478"/>
      <c r="AP525" s="478"/>
      <c r="AQ525" s="478"/>
      <c r="AR525" s="478"/>
      <c r="AS525" s="478"/>
      <c r="AT525" s="478"/>
      <c r="AU525" s="478"/>
      <c r="AV525" s="478"/>
      <c r="AW525" s="478"/>
      <c r="AX525" s="478"/>
      <c r="AY525" s="478"/>
      <c r="AZ525" s="478"/>
      <c r="BA525" s="478"/>
      <c r="BB525" s="478"/>
      <c r="BC525" s="478"/>
      <c r="BD525" s="478"/>
      <c r="BE525" s="478"/>
      <c r="BF525" s="478"/>
      <c r="BG525" s="478"/>
      <c r="BH525" s="478"/>
      <c r="BI525" s="478"/>
      <c r="BJ525" s="478"/>
    </row>
    <row r="526" spans="2:62" ht="15.75" customHeight="1">
      <c r="B526" s="475"/>
      <c r="C526" s="719"/>
      <c r="W526" s="764"/>
      <c r="X526" s="764"/>
      <c r="Y526" s="478"/>
      <c r="Z526" s="478"/>
      <c r="AA526" s="478"/>
      <c r="AB526" s="478"/>
      <c r="AC526" s="478"/>
      <c r="AD526" s="478"/>
      <c r="AE526" s="478"/>
      <c r="AF526" s="478"/>
      <c r="AG526" s="478"/>
      <c r="AH526" s="478"/>
      <c r="AI526" s="478"/>
      <c r="AJ526" s="478"/>
      <c r="AK526" s="478"/>
      <c r="AL526" s="478"/>
      <c r="AM526" s="478"/>
      <c r="AN526" s="478"/>
      <c r="AO526" s="478"/>
      <c r="AP526" s="478"/>
      <c r="AQ526" s="478"/>
      <c r="AR526" s="478"/>
      <c r="AS526" s="478"/>
      <c r="AT526" s="478"/>
      <c r="AU526" s="478"/>
      <c r="AV526" s="478"/>
      <c r="AW526" s="478"/>
      <c r="AX526" s="478"/>
      <c r="AY526" s="478"/>
      <c r="AZ526" s="478"/>
      <c r="BA526" s="478"/>
      <c r="BB526" s="478"/>
      <c r="BC526" s="478"/>
      <c r="BD526" s="478"/>
      <c r="BE526" s="478"/>
      <c r="BF526" s="478"/>
      <c r="BG526" s="478"/>
      <c r="BH526" s="478"/>
      <c r="BI526" s="478"/>
      <c r="BJ526" s="478"/>
    </row>
    <row r="527" spans="2:62" ht="15.75" customHeight="1">
      <c r="B527" s="475"/>
      <c r="C527" s="719"/>
      <c r="W527" s="764"/>
      <c r="X527" s="764"/>
      <c r="Y527" s="478"/>
      <c r="Z527" s="478"/>
      <c r="AA527" s="478"/>
      <c r="AB527" s="478"/>
      <c r="AC527" s="478"/>
      <c r="AD527" s="478"/>
      <c r="AE527" s="478"/>
      <c r="AF527" s="478"/>
      <c r="AG527" s="478"/>
      <c r="AH527" s="478"/>
      <c r="AI527" s="478"/>
      <c r="AJ527" s="478"/>
      <c r="AK527" s="478"/>
      <c r="AL527" s="478"/>
      <c r="AM527" s="478"/>
      <c r="AN527" s="478"/>
      <c r="AO527" s="478"/>
      <c r="AP527" s="478"/>
      <c r="AQ527" s="478"/>
      <c r="AR527" s="478"/>
      <c r="AS527" s="478"/>
      <c r="AT527" s="478"/>
      <c r="AU527" s="478"/>
      <c r="AV527" s="478"/>
      <c r="AW527" s="478"/>
      <c r="AX527" s="478"/>
      <c r="AY527" s="478"/>
      <c r="AZ527" s="478"/>
      <c r="BA527" s="478"/>
      <c r="BB527" s="478"/>
      <c r="BC527" s="478"/>
      <c r="BD527" s="478"/>
      <c r="BE527" s="478"/>
      <c r="BF527" s="478"/>
      <c r="BG527" s="478"/>
      <c r="BH527" s="478"/>
      <c r="BI527" s="478"/>
      <c r="BJ527" s="478"/>
    </row>
    <row r="528" spans="2:62" ht="15.75" customHeight="1">
      <c r="B528" s="475"/>
      <c r="C528" s="719"/>
      <c r="W528" s="764"/>
      <c r="X528" s="764"/>
      <c r="Y528" s="478"/>
      <c r="Z528" s="478"/>
      <c r="AA528" s="478"/>
      <c r="AB528" s="478"/>
      <c r="AC528" s="478"/>
      <c r="AD528" s="478"/>
      <c r="AE528" s="478"/>
      <c r="AF528" s="478"/>
      <c r="AG528" s="478"/>
      <c r="AH528" s="478"/>
      <c r="AI528" s="478"/>
      <c r="AJ528" s="478"/>
      <c r="AK528" s="478"/>
      <c r="AL528" s="478"/>
      <c r="AM528" s="478"/>
      <c r="AN528" s="478"/>
      <c r="AO528" s="478"/>
      <c r="AP528" s="478"/>
      <c r="AQ528" s="478"/>
      <c r="AR528" s="478"/>
      <c r="AS528" s="478"/>
      <c r="AT528" s="478"/>
      <c r="AU528" s="478"/>
      <c r="AV528" s="478"/>
      <c r="AW528" s="478"/>
      <c r="AX528" s="478"/>
      <c r="AY528" s="478"/>
      <c r="AZ528" s="478"/>
      <c r="BA528" s="478"/>
      <c r="BB528" s="478"/>
      <c r="BC528" s="478"/>
      <c r="BD528" s="478"/>
      <c r="BE528" s="478"/>
      <c r="BF528" s="478"/>
      <c r="BG528" s="478"/>
      <c r="BH528" s="478"/>
      <c r="BI528" s="478"/>
      <c r="BJ528" s="478"/>
    </row>
    <row r="529" spans="2:62" ht="15.75" customHeight="1">
      <c r="B529" s="475"/>
      <c r="C529" s="719"/>
      <c r="W529" s="764"/>
      <c r="X529" s="764"/>
      <c r="Y529" s="478"/>
      <c r="Z529" s="478"/>
      <c r="AA529" s="478"/>
      <c r="AB529" s="478"/>
      <c r="AC529" s="478"/>
      <c r="AD529" s="478"/>
      <c r="AE529" s="478"/>
      <c r="AF529" s="478"/>
      <c r="AG529" s="478"/>
      <c r="AH529" s="478"/>
      <c r="AI529" s="478"/>
      <c r="AJ529" s="478"/>
      <c r="AK529" s="478"/>
      <c r="AL529" s="478"/>
      <c r="AM529" s="478"/>
      <c r="AN529" s="478"/>
      <c r="AO529" s="478"/>
      <c r="AP529" s="478"/>
      <c r="AQ529" s="478"/>
      <c r="AR529" s="478"/>
      <c r="AS529" s="478"/>
      <c r="AT529" s="478"/>
      <c r="AU529" s="478"/>
      <c r="AV529" s="478"/>
      <c r="AW529" s="478"/>
      <c r="AX529" s="478"/>
      <c r="AY529" s="478"/>
      <c r="AZ529" s="478"/>
      <c r="BA529" s="478"/>
      <c r="BB529" s="478"/>
      <c r="BC529" s="478"/>
      <c r="BD529" s="478"/>
      <c r="BE529" s="478"/>
      <c r="BF529" s="478"/>
      <c r="BG529" s="478"/>
      <c r="BH529" s="478"/>
      <c r="BI529" s="478"/>
      <c r="BJ529" s="478"/>
    </row>
    <row r="530" spans="2:62" ht="15.75" customHeight="1">
      <c r="B530" s="475"/>
      <c r="C530" s="719"/>
      <c r="W530" s="764"/>
      <c r="X530" s="764"/>
      <c r="Y530" s="478"/>
      <c r="Z530" s="478"/>
      <c r="AA530" s="478"/>
      <c r="AB530" s="478"/>
      <c r="AC530" s="478"/>
      <c r="AD530" s="478"/>
      <c r="AE530" s="478"/>
      <c r="AF530" s="478"/>
      <c r="AG530" s="478"/>
      <c r="AH530" s="478"/>
      <c r="AI530" s="478"/>
      <c r="AJ530" s="478"/>
      <c r="AK530" s="478"/>
      <c r="AL530" s="478"/>
      <c r="AM530" s="478"/>
      <c r="AN530" s="478"/>
      <c r="AO530" s="478"/>
      <c r="AP530" s="478"/>
      <c r="AQ530" s="478"/>
      <c r="AR530" s="478"/>
      <c r="AS530" s="478"/>
      <c r="AT530" s="478"/>
      <c r="AU530" s="478"/>
      <c r="AV530" s="478"/>
      <c r="AW530" s="478"/>
      <c r="AX530" s="478"/>
      <c r="AY530" s="478"/>
      <c r="AZ530" s="478"/>
      <c r="BA530" s="478"/>
      <c r="BB530" s="478"/>
      <c r="BC530" s="478"/>
      <c r="BD530" s="478"/>
      <c r="BE530" s="478"/>
      <c r="BF530" s="478"/>
      <c r="BG530" s="478"/>
      <c r="BH530" s="478"/>
      <c r="BI530" s="478"/>
      <c r="BJ530" s="478"/>
    </row>
    <row r="531" spans="2:62" ht="15.75" customHeight="1">
      <c r="B531" s="475"/>
      <c r="C531" s="719"/>
      <c r="W531" s="764"/>
      <c r="X531" s="764"/>
      <c r="Y531" s="478"/>
      <c r="Z531" s="478"/>
      <c r="AA531" s="478"/>
      <c r="AB531" s="478"/>
      <c r="AC531" s="478"/>
      <c r="AD531" s="478"/>
      <c r="AE531" s="478"/>
      <c r="AF531" s="478"/>
      <c r="AG531" s="478"/>
      <c r="AH531" s="478"/>
      <c r="AI531" s="478"/>
      <c r="AJ531" s="478"/>
      <c r="AK531" s="478"/>
      <c r="AL531" s="478"/>
      <c r="AM531" s="478"/>
      <c r="AN531" s="478"/>
      <c r="AO531" s="478"/>
      <c r="AP531" s="478"/>
      <c r="AQ531" s="478"/>
      <c r="AR531" s="478"/>
      <c r="AS531" s="478"/>
      <c r="AT531" s="478"/>
      <c r="AU531" s="478"/>
      <c r="AV531" s="478"/>
      <c r="AW531" s="478"/>
      <c r="AX531" s="478"/>
      <c r="AY531" s="478"/>
      <c r="AZ531" s="478"/>
      <c r="BA531" s="478"/>
      <c r="BB531" s="478"/>
      <c r="BC531" s="478"/>
      <c r="BD531" s="478"/>
      <c r="BE531" s="478"/>
      <c r="BF531" s="478"/>
      <c r="BG531" s="478"/>
      <c r="BH531" s="478"/>
      <c r="BI531" s="478"/>
      <c r="BJ531" s="478"/>
    </row>
    <row r="532" spans="2:62" ht="15.75" customHeight="1">
      <c r="B532" s="475"/>
      <c r="C532" s="719"/>
      <c r="W532" s="764"/>
      <c r="X532" s="764"/>
      <c r="Y532" s="478"/>
      <c r="Z532" s="478"/>
      <c r="AA532" s="478"/>
      <c r="AB532" s="478"/>
      <c r="AC532" s="478"/>
      <c r="AD532" s="478"/>
      <c r="AE532" s="478"/>
      <c r="AF532" s="478"/>
      <c r="AG532" s="478"/>
      <c r="AH532" s="478"/>
      <c r="AI532" s="478"/>
      <c r="AJ532" s="478"/>
      <c r="AK532" s="478"/>
      <c r="AL532" s="478"/>
      <c r="AM532" s="478"/>
      <c r="AN532" s="478"/>
      <c r="AO532" s="478"/>
      <c r="AP532" s="478"/>
      <c r="AQ532" s="478"/>
      <c r="AR532" s="478"/>
      <c r="AS532" s="478"/>
      <c r="AT532" s="478"/>
      <c r="AU532" s="478"/>
      <c r="AV532" s="478"/>
      <c r="AW532" s="478"/>
      <c r="AX532" s="478"/>
      <c r="AY532" s="478"/>
      <c r="AZ532" s="478"/>
      <c r="BA532" s="478"/>
      <c r="BB532" s="478"/>
      <c r="BC532" s="478"/>
      <c r="BD532" s="478"/>
      <c r="BE532" s="478"/>
      <c r="BF532" s="478"/>
      <c r="BG532" s="478"/>
      <c r="BH532" s="478"/>
      <c r="BI532" s="478"/>
      <c r="BJ532" s="478"/>
    </row>
    <row r="533" spans="2:62" ht="15.75" customHeight="1">
      <c r="B533" s="475"/>
      <c r="C533" s="719"/>
      <c r="W533" s="764"/>
      <c r="X533" s="764"/>
      <c r="Y533" s="478"/>
      <c r="Z533" s="478"/>
      <c r="AA533" s="478"/>
      <c r="AB533" s="478"/>
      <c r="AC533" s="478"/>
      <c r="AD533" s="478"/>
      <c r="AE533" s="478"/>
      <c r="AF533" s="478"/>
      <c r="AG533" s="478"/>
      <c r="AH533" s="478"/>
      <c r="AI533" s="478"/>
      <c r="AJ533" s="478"/>
      <c r="AK533" s="478"/>
      <c r="AL533" s="478"/>
      <c r="AM533" s="478"/>
      <c r="AN533" s="478"/>
      <c r="AO533" s="478"/>
      <c r="AP533" s="478"/>
      <c r="AQ533" s="478"/>
      <c r="AR533" s="478"/>
      <c r="AS533" s="478"/>
      <c r="AT533" s="478"/>
      <c r="AU533" s="478"/>
      <c r="AV533" s="478"/>
      <c r="AW533" s="478"/>
      <c r="AX533" s="478"/>
      <c r="AY533" s="478"/>
      <c r="AZ533" s="478"/>
      <c r="BA533" s="478"/>
      <c r="BB533" s="478"/>
      <c r="BC533" s="478"/>
      <c r="BD533" s="478"/>
      <c r="BE533" s="478"/>
      <c r="BF533" s="478"/>
      <c r="BG533" s="478"/>
      <c r="BH533" s="478"/>
      <c r="BI533" s="478"/>
      <c r="BJ533" s="478"/>
    </row>
    <row r="534" spans="2:62" ht="15.75" customHeight="1">
      <c r="B534" s="475"/>
      <c r="W534" s="764"/>
      <c r="X534" s="764"/>
      <c r="Y534" s="478"/>
      <c r="Z534" s="478"/>
      <c r="AA534" s="478"/>
      <c r="AB534" s="478"/>
      <c r="AC534" s="478"/>
      <c r="AD534" s="478"/>
      <c r="AE534" s="478"/>
      <c r="AF534" s="478"/>
      <c r="AG534" s="478"/>
      <c r="AH534" s="478"/>
      <c r="AI534" s="478"/>
      <c r="AJ534" s="478"/>
      <c r="AK534" s="478"/>
      <c r="AL534" s="478"/>
      <c r="AM534" s="478"/>
      <c r="AN534" s="478"/>
      <c r="AO534" s="478"/>
      <c r="AP534" s="478"/>
      <c r="AQ534" s="478"/>
      <c r="AR534" s="478"/>
      <c r="AS534" s="478"/>
      <c r="AT534" s="478"/>
      <c r="AU534" s="478"/>
      <c r="AV534" s="478"/>
      <c r="AW534" s="478"/>
      <c r="AX534" s="478"/>
      <c r="AY534" s="478"/>
      <c r="AZ534" s="478"/>
      <c r="BA534" s="478"/>
      <c r="BB534" s="478"/>
      <c r="BC534" s="478"/>
      <c r="BD534" s="478"/>
      <c r="BE534" s="478"/>
      <c r="BF534" s="478"/>
      <c r="BG534" s="478"/>
      <c r="BH534" s="478"/>
      <c r="BI534" s="478"/>
      <c r="BJ534" s="478"/>
    </row>
    <row r="535" spans="2:62" ht="15.75" customHeight="1">
      <c r="B535" s="475"/>
      <c r="W535" s="764"/>
      <c r="X535" s="764"/>
      <c r="Y535" s="478"/>
      <c r="Z535" s="478"/>
      <c r="AA535" s="478"/>
      <c r="AB535" s="478"/>
      <c r="AC535" s="478"/>
      <c r="AD535" s="478"/>
      <c r="AE535" s="478"/>
      <c r="AF535" s="478"/>
      <c r="AG535" s="478"/>
      <c r="AH535" s="478"/>
      <c r="AI535" s="478"/>
      <c r="AJ535" s="478"/>
      <c r="AK535" s="478"/>
      <c r="AL535" s="478"/>
      <c r="AM535" s="478"/>
      <c r="AN535" s="478"/>
      <c r="AO535" s="478"/>
      <c r="AP535" s="478"/>
      <c r="AQ535" s="478"/>
      <c r="AR535" s="478"/>
      <c r="AS535" s="478"/>
      <c r="AT535" s="478"/>
      <c r="AU535" s="478"/>
      <c r="AV535" s="478"/>
      <c r="AW535" s="478"/>
      <c r="AX535" s="478"/>
      <c r="AY535" s="478"/>
      <c r="AZ535" s="478"/>
      <c r="BA535" s="478"/>
      <c r="BB535" s="478"/>
      <c r="BC535" s="478"/>
      <c r="BD535" s="478"/>
      <c r="BE535" s="478"/>
      <c r="BF535" s="478"/>
      <c r="BG535" s="478"/>
      <c r="BH535" s="478"/>
      <c r="BI535" s="478"/>
      <c r="BJ535" s="478"/>
    </row>
    <row r="536" spans="2:62" ht="15.75" customHeight="1">
      <c r="B536" s="475"/>
      <c r="W536" s="764"/>
      <c r="X536" s="764"/>
      <c r="Y536" s="478"/>
      <c r="Z536" s="478"/>
      <c r="AA536" s="478"/>
      <c r="AB536" s="478"/>
      <c r="AC536" s="478"/>
      <c r="AD536" s="478"/>
      <c r="AE536" s="478"/>
      <c r="AF536" s="478"/>
      <c r="AG536" s="478"/>
      <c r="AH536" s="478"/>
      <c r="AI536" s="478"/>
      <c r="AJ536" s="478"/>
      <c r="AK536" s="478"/>
      <c r="AL536" s="478"/>
      <c r="AM536" s="478"/>
      <c r="AN536" s="478"/>
      <c r="AO536" s="478"/>
      <c r="AP536" s="478"/>
      <c r="AQ536" s="478"/>
      <c r="AR536" s="478"/>
      <c r="AS536" s="478"/>
      <c r="AT536" s="478"/>
      <c r="AU536" s="478"/>
      <c r="AV536" s="478"/>
      <c r="AW536" s="478"/>
      <c r="AX536" s="478"/>
      <c r="AY536" s="478"/>
      <c r="AZ536" s="478"/>
      <c r="BA536" s="478"/>
      <c r="BB536" s="478"/>
      <c r="BC536" s="478"/>
      <c r="BD536" s="478"/>
      <c r="BE536" s="478"/>
      <c r="BF536" s="478"/>
      <c r="BG536" s="478"/>
      <c r="BH536" s="478"/>
      <c r="BI536" s="478"/>
      <c r="BJ536" s="478"/>
    </row>
    <row r="537" spans="2:62" ht="15.75" customHeight="1">
      <c r="B537" s="475"/>
      <c r="W537" s="764"/>
      <c r="X537" s="764"/>
      <c r="Y537" s="478"/>
      <c r="Z537" s="478"/>
      <c r="AA537" s="478"/>
      <c r="AB537" s="478"/>
      <c r="AC537" s="478"/>
      <c r="AD537" s="478"/>
      <c r="AE537" s="478"/>
      <c r="AF537" s="478"/>
      <c r="AG537" s="478"/>
      <c r="AH537" s="478"/>
      <c r="AI537" s="478"/>
      <c r="AJ537" s="478"/>
      <c r="AK537" s="478"/>
      <c r="AL537" s="478"/>
      <c r="AM537" s="478"/>
      <c r="AN537" s="478"/>
      <c r="AO537" s="478"/>
      <c r="AP537" s="478"/>
      <c r="AQ537" s="478"/>
      <c r="AR537" s="478"/>
      <c r="AS537" s="478"/>
      <c r="AT537" s="478"/>
      <c r="AU537" s="478"/>
      <c r="AV537" s="478"/>
      <c r="AW537" s="478"/>
      <c r="AX537" s="478"/>
      <c r="AY537" s="478"/>
      <c r="AZ537" s="478"/>
      <c r="BA537" s="478"/>
      <c r="BB537" s="478"/>
      <c r="BC537" s="478"/>
      <c r="BD537" s="478"/>
      <c r="BE537" s="478"/>
      <c r="BF537" s="478"/>
      <c r="BG537" s="478"/>
      <c r="BH537" s="478"/>
      <c r="BI537" s="478"/>
      <c r="BJ537" s="47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181" priority="60" stopIfTrue="1">
      <formula>"esterreur(reference)"</formula>
    </cfRule>
  </conditionalFormatting>
  <conditionalFormatting sqref="D171:D180">
    <cfRule type="expression" dxfId="180" priority="57" stopIfTrue="1">
      <formula>"esterreur(reference)"</formula>
    </cfRule>
  </conditionalFormatting>
  <conditionalFormatting sqref="D399">
    <cfRule type="expression" dxfId="179" priority="1" stopIfTrue="1">
      <formula>"esterreur(reference)"</formula>
    </cfRule>
  </conditionalFormatting>
  <conditionalFormatting sqref="E185">
    <cfRule type="expression" dxfId="178" priority="58" stopIfTrue="1">
      <formula>"esterreur(reference)"</formula>
    </cfRule>
  </conditionalFormatting>
  <conditionalFormatting sqref="F5">
    <cfRule type="expression" dxfId="177" priority="55" stopIfTrue="1">
      <formula>"esterreur(reference)"</formula>
    </cfRule>
  </conditionalFormatting>
  <conditionalFormatting sqref="F83:F85">
    <cfRule type="expression" dxfId="176" priority="54" stopIfTrue="1">
      <formula>"esterreur(reference)"</formula>
    </cfRule>
  </conditionalFormatting>
  <conditionalFormatting sqref="F100">
    <cfRule type="expression" dxfId="175" priority="59" stopIfTrue="1">
      <formula>"esterreur(reference)"</formula>
    </cfRule>
  </conditionalFormatting>
  <conditionalFormatting sqref="F183">
    <cfRule type="expression" dxfId="174" priority="23" stopIfTrue="1">
      <formula>"esterreur(reference)"</formula>
    </cfRule>
  </conditionalFormatting>
  <conditionalFormatting sqref="G31:G32">
    <cfRule type="expression" dxfId="173" priority="52" stopIfTrue="1">
      <formula>"esterreur(reference)"</formula>
    </cfRule>
  </conditionalFormatting>
  <conditionalFormatting sqref="G111:G112">
    <cfRule type="expression" dxfId="172" priority="49" stopIfTrue="1">
      <formula>"esterreur(reference)"</formula>
    </cfRule>
  </conditionalFormatting>
  <conditionalFormatting sqref="G171:G180">
    <cfRule type="expression" dxfId="171" priority="56" stopIfTrue="1">
      <formula>"esterreur(reference)"</formula>
    </cfRule>
  </conditionalFormatting>
  <conditionalFormatting sqref="H25:H26 H28:H72">
    <cfRule type="expression" dxfId="170" priority="51" stopIfTrue="1">
      <formula>"esterreur(reference)"</formula>
    </cfRule>
  </conditionalFormatting>
  <conditionalFormatting sqref="H359 J359:L359">
    <cfRule type="expression" dxfId="169" priority="11" stopIfTrue="1">
      <formula>"esterreur(reference)"</formula>
    </cfRule>
  </conditionalFormatting>
  <conditionalFormatting sqref="H196:L196">
    <cfRule type="expression" dxfId="168" priority="13" stopIfTrue="1">
      <formula>"esterreur(reference)"</formula>
    </cfRule>
  </conditionalFormatting>
  <conditionalFormatting sqref="H395:L398">
    <cfRule type="expression" dxfId="167" priority="9" stopIfTrue="1">
      <formula>"esterreur(reference)"</formula>
    </cfRule>
  </conditionalFormatting>
  <conditionalFormatting sqref="I16:I18 I20 I24:I30">
    <cfRule type="expression" dxfId="166" priority="53" stopIfTrue="1">
      <formula>"esterreur(reference)"</formula>
    </cfRule>
  </conditionalFormatting>
  <conditionalFormatting sqref="I376:L376 J377:L393 H377:H394">
    <cfRule type="expression" dxfId="165" priority="10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64" priority="2" stopIfTrue="1">
      <formula>"esterreur(reference)"</formula>
    </cfRule>
  </conditionalFormatting>
  <conditionalFormatting sqref="K394">
    <cfRule type="expression" dxfId="163" priority="12" stopIfTrue="1">
      <formula>"esterreur(reference)"</formula>
    </cfRule>
  </conditionalFormatting>
  <conditionalFormatting sqref="K5:L5">
    <cfRule type="expression" dxfId="162" priority="22" stopIfTrue="1">
      <formula>"esterreur(reference)"</formula>
    </cfRule>
  </conditionalFormatting>
  <conditionalFormatting sqref="K243:L243">
    <cfRule type="expression" dxfId="161" priority="19" stopIfTrue="1">
      <formula>"esterreur(reference)"</formula>
    </cfRule>
  </conditionalFormatting>
  <conditionalFormatting sqref="K246:L246">
    <cfRule type="expression" dxfId="160" priority="20" stopIfTrue="1">
      <formula>"esterreur(reference)"</formula>
    </cfRule>
  </conditionalFormatting>
  <conditionalFormatting sqref="L42:L48">
    <cfRule type="expression" dxfId="159" priority="15" stopIfTrue="1">
      <formula>"esterreur(reference)"</formula>
    </cfRule>
  </conditionalFormatting>
  <conditionalFormatting sqref="L75:L82">
    <cfRule type="expression" dxfId="158" priority="4" stopIfTrue="1">
      <formula>"esterreur(reference)"</formula>
    </cfRule>
  </conditionalFormatting>
  <conditionalFormatting sqref="L155:L161">
    <cfRule type="expression" dxfId="157" priority="18" stopIfTrue="1">
      <formula>"esterreur(reference)"</formula>
    </cfRule>
  </conditionalFormatting>
  <conditionalFormatting sqref="L197:L208">
    <cfRule type="expression" dxfId="156" priority="16" stopIfTrue="1">
      <formula>"esterreur(reference)"</formula>
    </cfRule>
  </conditionalFormatting>
  <conditionalFormatting sqref="L210:L227">
    <cfRule type="expression" dxfId="155" priority="17" stopIfTrue="1">
      <formula>"esterreur(reference)"</formula>
    </cfRule>
  </conditionalFormatting>
  <conditionalFormatting sqref="L253:L264">
    <cfRule type="expression" dxfId="154" priority="21" stopIfTrue="1">
      <formula>"esterreur(reference)"</formula>
    </cfRule>
  </conditionalFormatting>
  <conditionalFormatting sqref="L330:L347">
    <cfRule type="expression" dxfId="153" priority="14" stopIfTrue="1">
      <formula>"esterreur(reference)"</formula>
    </cfRule>
  </conditionalFormatting>
  <conditionalFormatting sqref="L355:L356 H356:I356 K356 J356:J357 H358:L358">
    <cfRule type="expression" dxfId="152" priority="8" stopIfTrue="1">
      <formula>"esterreur(reference)"</formula>
    </cfRule>
  </conditionalFormatting>
  <conditionalFormatting sqref="M95:M96">
    <cfRule type="expression" dxfId="151" priority="3" stopIfTrue="1">
      <formula>"esterreur(reference)"</formula>
    </cfRule>
  </conditionalFormatting>
  <conditionalFormatting sqref="O294:P302 O303:Q305 O306:P307 O308:Q316 Q317:Q328 O317:P347 O348:Q348 O351:Q351 O352:P352">
    <cfRule type="expression" dxfId="150" priority="44" stopIfTrue="1">
      <formula>"esterreur(reference)"</formula>
    </cfRule>
  </conditionalFormatting>
  <conditionalFormatting sqref="O196:Q196">
    <cfRule type="expression" dxfId="149" priority="33" stopIfTrue="1">
      <formula>"esterreur(reference)"</formula>
    </cfRule>
  </conditionalFormatting>
  <conditionalFormatting sqref="O242:Q242 O251:Q252 O253:P283 Q266:Q284 O284 O287:Q287 O288:P288">
    <cfRule type="expression" dxfId="148" priority="39" stopIfTrue="1">
      <formula>"esterreur(reference)"</formula>
    </cfRule>
  </conditionalFormatting>
  <conditionalFormatting sqref="O358:Q393">
    <cfRule type="expression" dxfId="147" priority="46" stopIfTrue="1">
      <formula>"esterreur(reference)"</formula>
    </cfRule>
  </conditionalFormatting>
  <conditionalFormatting sqref="O395:Q398">
    <cfRule type="expression" dxfId="146" priority="47" stopIfTrue="1">
      <formula>"esterreur(reference)"</formula>
    </cfRule>
  </conditionalFormatting>
  <conditionalFormatting sqref="P5">
    <cfRule type="expression" dxfId="145" priority="27" stopIfTrue="1">
      <formula>"esterreur(reference)"</formula>
    </cfRule>
  </conditionalFormatting>
  <conditionalFormatting sqref="P174">
    <cfRule type="expression" dxfId="144" priority="36" stopIfTrue="1">
      <formula>"esterreur(reference)"</formula>
    </cfRule>
  </conditionalFormatting>
  <conditionalFormatting sqref="P177">
    <cfRule type="expression" dxfId="143" priority="37" stopIfTrue="1">
      <formula>"esterreur(reference)"</formula>
    </cfRule>
  </conditionalFormatting>
  <conditionalFormatting sqref="P180">
    <cfRule type="expression" dxfId="142" priority="38" stopIfTrue="1">
      <formula>"esterreur(reference)"</formula>
    </cfRule>
  </conditionalFormatting>
  <conditionalFormatting sqref="P394">
    <cfRule type="expression" dxfId="141" priority="48" stopIfTrue="1">
      <formula>"esterreur(reference)"</formula>
    </cfRule>
  </conditionalFormatting>
  <conditionalFormatting sqref="P93:Q95 O96:Q97 O155:P156 O163:Q163 O164:P164">
    <cfRule type="expression" dxfId="140" priority="30" stopIfTrue="1">
      <formula>"esterreur(reference)"</formula>
    </cfRule>
  </conditionalFormatting>
  <conditionalFormatting sqref="P98:Q99">
    <cfRule type="expression" dxfId="139" priority="29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38" priority="32" stopIfTrue="1">
      <formula>"esterreur(reference)"</formula>
    </cfRule>
  </conditionalFormatting>
  <conditionalFormatting sqref="P240:Q240">
    <cfRule type="expression" dxfId="137" priority="43" stopIfTrue="1">
      <formula>"esterreur(reference)"</formula>
    </cfRule>
  </conditionalFormatting>
  <conditionalFormatting sqref="P243:Q243">
    <cfRule type="expression" dxfId="136" priority="40" stopIfTrue="1">
      <formula>"esterreur(reference)"</formula>
    </cfRule>
  </conditionalFormatting>
  <conditionalFormatting sqref="P246:Q246">
    <cfRule type="expression" dxfId="135" priority="41" stopIfTrue="1">
      <formula>"esterreur(reference)"</formula>
    </cfRule>
  </conditionalFormatting>
  <conditionalFormatting sqref="Q5:Q14 O13:O14 O16 Q16:Q24 O18:O24 O25:Q26 O27 Q27 O28:Q72 O83:Q85">
    <cfRule type="expression" dxfId="134" priority="26" stopIfTrue="1">
      <formula>"esterreur(reference)"</formula>
    </cfRule>
  </conditionalFormatting>
  <conditionalFormatting sqref="Q75:Q82">
    <cfRule type="expression" dxfId="133" priority="28" stopIfTrue="1">
      <formula>"esterreur(reference)"</formula>
    </cfRule>
  </conditionalFormatting>
  <conditionalFormatting sqref="Q155:Q161">
    <cfRule type="expression" dxfId="132" priority="31" stopIfTrue="1">
      <formula>"esterreur(reference)"</formula>
    </cfRule>
  </conditionalFormatting>
  <conditionalFormatting sqref="Q197:Q208">
    <cfRule type="expression" dxfId="131" priority="34" stopIfTrue="1">
      <formula>"esterreur(reference)"</formula>
    </cfRule>
  </conditionalFormatting>
  <conditionalFormatting sqref="Q210:Q227">
    <cfRule type="expression" dxfId="130" priority="35" stopIfTrue="1">
      <formula>"esterreur(reference)"</formula>
    </cfRule>
  </conditionalFormatting>
  <conditionalFormatting sqref="Q253:Q264">
    <cfRule type="expression" dxfId="129" priority="42" stopIfTrue="1">
      <formula>"esterreur(reference)"</formula>
    </cfRule>
  </conditionalFormatting>
  <conditionalFormatting sqref="Q330:Q347">
    <cfRule type="expression" dxfId="128" priority="45" stopIfTrue="1">
      <formula>"esterreur(reference)"</formula>
    </cfRule>
  </conditionalFormatting>
  <conditionalFormatting sqref="R311">
    <cfRule type="expression" dxfId="127" priority="5" stopIfTrue="1">
      <formula>"esterreur(reference)"</formula>
    </cfRule>
  </conditionalFormatting>
  <conditionalFormatting sqref="S185">
    <cfRule type="expression" dxfId="126" priority="24" stopIfTrue="1">
      <formula>"esterreur(reference)"</formula>
    </cfRule>
  </conditionalFormatting>
  <conditionalFormatting sqref="AG408:AI417 AH419:AI450 AH452:AI459 AH460:AH461 AH462:AI467 AH490:AI496">
    <cfRule type="cellIs" dxfId="125" priority="6" operator="greaterThan">
      <formula>0</formula>
    </cfRule>
  </conditionalFormatting>
  <conditionalFormatting sqref="AH468:AI475 AH479:AI479">
    <cfRule type="cellIs" dxfId="124" priority="7" operator="lessThan">
      <formula>0</formula>
    </cfRule>
  </conditionalFormatting>
  <conditionalFormatting sqref="AH476:AI478">
    <cfRule type="cellIs" dxfId="123" priority="50" operator="greaterThan">
      <formula>0</formula>
    </cfRule>
  </conditionalFormatting>
  <conditionalFormatting sqref="AO408:AO417">
    <cfRule type="cellIs" dxfId="122" priority="25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5DD8-CB60-4C3F-A416-30B329A5EF70}">
  <sheetPr>
    <tabColor rgb="FFFFC000"/>
  </sheetPr>
  <dimension ref="A1:BJ692"/>
  <sheetViews>
    <sheetView topLeftCell="A52" zoomScale="80" zoomScaleNormal="80" workbookViewId="0">
      <pane xSplit="3" topLeftCell="D1" activePane="topRight" state="frozen"/>
      <selection pane="topRight" activeCell="C1" sqref="A1:XFD1048576"/>
    </sheetView>
  </sheetViews>
  <sheetFormatPr defaultColWidth="12.59765625" defaultRowHeight="15" customHeight="1"/>
  <cols>
    <col min="1" max="1" width="37.5" style="466" hidden="1" customWidth="1"/>
    <col min="2" max="2" width="21.8984375" style="466" hidden="1" customWidth="1"/>
    <col min="3" max="3" width="31.19921875" style="466" customWidth="1"/>
    <col min="4" max="4" width="16.5" style="466" customWidth="1"/>
    <col min="5" max="5" width="14.59765625" style="466" customWidth="1"/>
    <col min="6" max="6" width="14" style="466" customWidth="1"/>
    <col min="7" max="7" width="17.69921875" style="466" hidden="1" customWidth="1"/>
    <col min="8" max="8" width="15.09765625" style="466" hidden="1" customWidth="1"/>
    <col min="9" max="9" width="14" style="466" hidden="1" customWidth="1"/>
    <col min="10" max="10" width="15.59765625" style="466" customWidth="1"/>
    <col min="11" max="11" width="15.5" style="466" customWidth="1"/>
    <col min="12" max="12" width="14.8984375" style="466" customWidth="1"/>
    <col min="13" max="14" width="16.19921875" style="466" customWidth="1"/>
    <col min="15" max="15" width="15.5" style="466" customWidth="1"/>
    <col min="16" max="16" width="14.59765625" style="466" customWidth="1"/>
    <col min="17" max="17" width="14" style="466" customWidth="1"/>
    <col min="18" max="18" width="14.69921875" style="466" customWidth="1"/>
    <col min="19" max="19" width="19" style="466" customWidth="1"/>
    <col min="20" max="20" width="4.59765625" style="466" customWidth="1"/>
    <col min="21" max="21" width="31.69921875" style="466" customWidth="1"/>
    <col min="22" max="22" width="34" style="466" customWidth="1"/>
    <col min="23" max="23" width="12.19921875" style="466" customWidth="1"/>
    <col min="24" max="24" width="13.69921875" style="466" customWidth="1"/>
    <col min="25" max="25" width="15.09765625" style="466" customWidth="1"/>
    <col min="26" max="26" width="15" style="466" customWidth="1"/>
    <col min="27" max="27" width="11.09765625" style="466" hidden="1" customWidth="1"/>
    <col min="28" max="28" width="9.3984375" style="466" hidden="1" customWidth="1"/>
    <col min="29" max="29" width="14.5" style="466" hidden="1" customWidth="1"/>
    <col min="30" max="30" width="13.5" style="466" customWidth="1"/>
    <col min="31" max="31" width="14.19921875" style="466" customWidth="1"/>
    <col min="32" max="32" width="14.09765625" style="466" customWidth="1"/>
    <col min="33" max="33" width="9" style="466" customWidth="1"/>
    <col min="34" max="34" width="13.5" style="466" customWidth="1"/>
    <col min="35" max="35" width="10.09765625" style="466" customWidth="1"/>
    <col min="36" max="36" width="10.8984375" style="466" customWidth="1"/>
    <col min="37" max="37" width="11.3984375" style="466" customWidth="1"/>
    <col min="38" max="38" width="12.69921875" style="466" customWidth="1"/>
    <col min="39" max="39" width="9" style="466" customWidth="1"/>
    <col min="40" max="40" width="11" style="466" customWidth="1"/>
    <col min="41" max="41" width="14.69921875" style="466" customWidth="1"/>
    <col min="42" max="42" width="11" style="466" customWidth="1"/>
    <col min="43" max="43" width="48.3984375" style="466" customWidth="1"/>
    <col min="44" max="62" width="11" style="466" customWidth="1"/>
    <col min="63" max="16384" width="12.59765625" style="466"/>
  </cols>
  <sheetData>
    <row r="1" spans="1:40" ht="36" thickBot="1">
      <c r="B1" s="467"/>
      <c r="C1" s="468" t="s">
        <v>223</v>
      </c>
      <c r="D1" s="469"/>
      <c r="E1" s="470"/>
      <c r="F1" s="469"/>
      <c r="G1" s="469"/>
      <c r="H1" s="467"/>
      <c r="I1" s="469"/>
      <c r="J1" s="467"/>
      <c r="K1" s="471" t="s">
        <v>0</v>
      </c>
      <c r="L1" s="469"/>
      <c r="M1" s="469"/>
      <c r="N1" s="472"/>
      <c r="O1" s="468"/>
      <c r="P1" s="473"/>
      <c r="Q1" s="468"/>
      <c r="R1" s="473"/>
      <c r="S1" s="474" t="s">
        <v>483</v>
      </c>
      <c r="T1" s="469" t="s">
        <v>1</v>
      </c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</row>
    <row r="2" spans="1:40" ht="15" customHeight="1" thickTop="1" thickBot="1">
      <c r="B2" s="475"/>
      <c r="C2" s="476"/>
      <c r="D2" s="477" t="s">
        <v>2</v>
      </c>
      <c r="E2" s="477" t="s">
        <v>3</v>
      </c>
      <c r="F2" s="477" t="s">
        <v>4</v>
      </c>
      <c r="G2" s="477"/>
      <c r="H2" s="477"/>
      <c r="I2" s="477"/>
      <c r="J2" s="477" t="s">
        <v>213</v>
      </c>
      <c r="K2" s="477"/>
      <c r="L2" s="477" t="s">
        <v>210</v>
      </c>
      <c r="M2" s="478"/>
      <c r="N2" s="478"/>
      <c r="O2" s="477" t="s">
        <v>213</v>
      </c>
      <c r="P2" s="477"/>
      <c r="Q2" s="477" t="s">
        <v>210</v>
      </c>
      <c r="R2" s="478"/>
      <c r="S2" s="478"/>
      <c r="T2" s="478"/>
      <c r="U2" s="478"/>
      <c r="V2" s="479" t="s">
        <v>469</v>
      </c>
      <c r="W2" s="480"/>
    </row>
    <row r="3" spans="1:40" ht="21.6" thickTop="1">
      <c r="B3" s="481"/>
      <c r="C3" s="482"/>
      <c r="D3" s="864" t="s">
        <v>5</v>
      </c>
      <c r="E3" s="865"/>
      <c r="F3" s="866"/>
      <c r="G3" s="867"/>
      <c r="H3" s="865"/>
      <c r="I3" s="866"/>
      <c r="J3" s="867" t="s">
        <v>7</v>
      </c>
      <c r="K3" s="865"/>
      <c r="L3" s="866"/>
      <c r="M3" s="867" t="s">
        <v>472</v>
      </c>
      <c r="N3" s="866"/>
      <c r="O3" s="864" t="s">
        <v>9</v>
      </c>
      <c r="P3" s="865"/>
      <c r="Q3" s="866"/>
      <c r="R3" s="867" t="s">
        <v>473</v>
      </c>
      <c r="S3" s="866"/>
      <c r="T3" s="481"/>
      <c r="U3" s="481"/>
      <c r="V3" s="483" t="s">
        <v>218</v>
      </c>
      <c r="W3" s="484">
        <v>0.45</v>
      </c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M3" s="481"/>
      <c r="AN3" s="481"/>
    </row>
    <row r="4" spans="1:40" ht="20.399999999999999">
      <c r="B4" s="481"/>
      <c r="C4" s="485"/>
      <c r="D4" s="486" t="s">
        <v>474</v>
      </c>
      <c r="E4" s="487" t="s">
        <v>12</v>
      </c>
      <c r="F4" s="488" t="s">
        <v>13</v>
      </c>
      <c r="G4" s="489"/>
      <c r="H4" s="487"/>
      <c r="I4" s="488"/>
      <c r="J4" s="489" t="s">
        <v>474</v>
      </c>
      <c r="K4" s="487" t="s">
        <v>14</v>
      </c>
      <c r="L4" s="488" t="s">
        <v>13</v>
      </c>
      <c r="M4" s="489" t="s">
        <v>474</v>
      </c>
      <c r="N4" s="488" t="s">
        <v>13</v>
      </c>
      <c r="O4" s="487" t="s">
        <v>474</v>
      </c>
      <c r="P4" s="487" t="s">
        <v>14</v>
      </c>
      <c r="Q4" s="488" t="s">
        <v>13</v>
      </c>
      <c r="R4" s="489" t="s">
        <v>474</v>
      </c>
      <c r="S4" s="488" t="s">
        <v>13</v>
      </c>
      <c r="T4" s="481"/>
      <c r="U4" s="481"/>
      <c r="V4" s="483" t="s">
        <v>219</v>
      </c>
      <c r="W4" s="484">
        <v>0.1</v>
      </c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481"/>
      <c r="AL4" s="481"/>
      <c r="AM4" s="481"/>
      <c r="AN4" s="481"/>
    </row>
    <row r="5" spans="1:40" ht="20.399999999999999">
      <c r="A5" s="490" t="s">
        <v>224</v>
      </c>
      <c r="B5" s="481" t="s">
        <v>0</v>
      </c>
      <c r="C5" s="491" t="s">
        <v>15</v>
      </c>
      <c r="D5" s="492"/>
      <c r="E5" s="492"/>
      <c r="F5" s="493">
        <v>2438191.1145678628</v>
      </c>
      <c r="G5" s="492"/>
      <c r="H5" s="492"/>
      <c r="I5" s="494"/>
      <c r="J5" s="491"/>
      <c r="K5" s="495"/>
      <c r="L5" s="493">
        <v>2567524.5100000002</v>
      </c>
      <c r="M5" s="496"/>
      <c r="N5" s="497"/>
      <c r="O5" s="491"/>
      <c r="P5" s="495"/>
      <c r="Q5" s="493">
        <v>3632125.14</v>
      </c>
      <c r="R5" s="496"/>
      <c r="S5" s="497"/>
      <c r="T5" s="481"/>
      <c r="U5" s="481"/>
      <c r="V5" s="483" t="s">
        <v>214</v>
      </c>
      <c r="W5" s="484">
        <v>0.22500000000000001</v>
      </c>
      <c r="X5" s="481"/>
      <c r="Y5" s="481"/>
      <c r="Z5" s="481"/>
      <c r="AA5" s="481"/>
      <c r="AB5" s="481"/>
      <c r="AC5" s="481"/>
      <c r="AD5" s="481"/>
      <c r="AE5" s="481"/>
      <c r="AF5" s="481"/>
      <c r="AG5" s="481"/>
      <c r="AH5" s="481"/>
      <c r="AI5" s="481"/>
      <c r="AJ5" s="481"/>
      <c r="AK5" s="481"/>
      <c r="AL5" s="481"/>
      <c r="AM5" s="481"/>
      <c r="AN5" s="481"/>
    </row>
    <row r="6" spans="1:40" ht="20.399999999999999">
      <c r="A6" s="490" t="s">
        <v>225</v>
      </c>
      <c r="B6" s="481" t="s">
        <v>0</v>
      </c>
      <c r="C6" s="498" t="s">
        <v>16</v>
      </c>
      <c r="D6" s="499">
        <v>10.406857142857142</v>
      </c>
      <c r="E6" s="499">
        <v>1988.4340000000002</v>
      </c>
      <c r="F6" s="499">
        <v>20693.348576</v>
      </c>
      <c r="G6" s="500"/>
      <c r="H6" s="499"/>
      <c r="I6" s="499"/>
      <c r="J6" s="500">
        <v>21</v>
      </c>
      <c r="K6" s="499">
        <v>2336.3823809523756</v>
      </c>
      <c r="L6" s="501">
        <v>49064.029999999882</v>
      </c>
      <c r="M6" s="500">
        <v>10.593142857142858</v>
      </c>
      <c r="N6" s="501">
        <v>28370.681423999882</v>
      </c>
      <c r="O6" s="500">
        <v>21</v>
      </c>
      <c r="P6" s="499">
        <v>2507.9200000000019</v>
      </c>
      <c r="Q6" s="501">
        <v>52666.320000000036</v>
      </c>
      <c r="R6" s="500">
        <v>0</v>
      </c>
      <c r="S6" s="501">
        <v>-3602.2900000001537</v>
      </c>
      <c r="T6" s="481"/>
      <c r="U6" s="481"/>
      <c r="V6" s="483" t="s">
        <v>220</v>
      </c>
      <c r="W6" s="484">
        <v>2.5000000000000001E-2</v>
      </c>
      <c r="X6" s="481"/>
      <c r="Y6" s="481"/>
      <c r="Z6" s="481"/>
      <c r="AA6" s="481"/>
      <c r="AB6" s="481"/>
      <c r="AC6" s="481"/>
      <c r="AD6" s="481"/>
      <c r="AE6" s="481"/>
      <c r="AF6" s="481"/>
      <c r="AG6" s="481"/>
      <c r="AH6" s="481"/>
      <c r="AI6" s="481"/>
      <c r="AJ6" s="481"/>
      <c r="AK6" s="481"/>
      <c r="AL6" s="481"/>
      <c r="AM6" s="481"/>
      <c r="AN6" s="481"/>
    </row>
    <row r="7" spans="1:40" ht="20.399999999999999">
      <c r="A7" s="490" t="s">
        <v>226</v>
      </c>
      <c r="B7" s="481" t="s">
        <v>0</v>
      </c>
      <c r="C7" s="498" t="s">
        <v>17</v>
      </c>
      <c r="D7" s="499">
        <v>41.623265828571434</v>
      </c>
      <c r="E7" s="499">
        <v>2556.333633363336</v>
      </c>
      <c r="F7" s="499">
        <v>106402.95436800001</v>
      </c>
      <c r="G7" s="500"/>
      <c r="H7" s="499"/>
      <c r="I7" s="499"/>
      <c r="J7" s="500">
        <v>22</v>
      </c>
      <c r="K7" s="499">
        <v>2712.2900000000004</v>
      </c>
      <c r="L7" s="501">
        <v>59670.380000000005</v>
      </c>
      <c r="M7" s="500">
        <v>-19.623265828571434</v>
      </c>
      <c r="N7" s="501">
        <v>-46732.574368000001</v>
      </c>
      <c r="O7" s="500">
        <v>50</v>
      </c>
      <c r="P7" s="499">
        <v>3039.8857999999914</v>
      </c>
      <c r="Q7" s="501">
        <v>151994.28999999957</v>
      </c>
      <c r="R7" s="500">
        <v>-28</v>
      </c>
      <c r="S7" s="501">
        <v>-92323.909999999567</v>
      </c>
      <c r="T7" s="481"/>
      <c r="U7" s="481"/>
      <c r="V7" s="483" t="s">
        <v>221</v>
      </c>
      <c r="W7" s="484">
        <v>0.2</v>
      </c>
      <c r="X7" s="481"/>
      <c r="Y7" s="481"/>
      <c r="Z7" s="481"/>
      <c r="AA7" s="481"/>
      <c r="AB7" s="481"/>
      <c r="AC7" s="481"/>
      <c r="AD7" s="481"/>
      <c r="AE7" s="481"/>
      <c r="AF7" s="481"/>
      <c r="AG7" s="481"/>
      <c r="AH7" s="481"/>
      <c r="AI7" s="481"/>
      <c r="AJ7" s="481"/>
      <c r="AK7" s="481"/>
      <c r="AL7" s="481"/>
      <c r="AM7" s="481"/>
      <c r="AN7" s="481"/>
    </row>
    <row r="8" spans="1:40" ht="21" thickBot="1">
      <c r="A8" s="490" t="s">
        <v>227</v>
      </c>
      <c r="B8" s="481" t="s">
        <v>0</v>
      </c>
      <c r="C8" s="498" t="s">
        <v>18</v>
      </c>
      <c r="D8" s="499">
        <v>0</v>
      </c>
      <c r="E8" s="499">
        <v>0</v>
      </c>
      <c r="F8" s="499">
        <v>0</v>
      </c>
      <c r="G8" s="500"/>
      <c r="H8" s="499"/>
      <c r="I8" s="499"/>
      <c r="J8" s="500">
        <v>0</v>
      </c>
      <c r="K8" s="499">
        <v>0</v>
      </c>
      <c r="L8" s="501">
        <v>0</v>
      </c>
      <c r="M8" s="500">
        <v>0</v>
      </c>
      <c r="N8" s="501">
        <v>0</v>
      </c>
      <c r="O8" s="500">
        <v>0</v>
      </c>
      <c r="P8" s="499">
        <v>0</v>
      </c>
      <c r="Q8" s="501">
        <v>0</v>
      </c>
      <c r="R8" s="500">
        <v>0</v>
      </c>
      <c r="S8" s="501">
        <v>0</v>
      </c>
      <c r="T8" s="481"/>
      <c r="U8" s="481"/>
      <c r="V8" s="502"/>
      <c r="W8" s="503">
        <v>1</v>
      </c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1"/>
      <c r="AL8" s="481"/>
      <c r="AM8" s="481"/>
      <c r="AN8" s="481"/>
    </row>
    <row r="9" spans="1:40" ht="21" thickTop="1">
      <c r="A9" s="490" t="s">
        <v>228</v>
      </c>
      <c r="B9" s="481" t="s">
        <v>0</v>
      </c>
      <c r="C9" s="498" t="s">
        <v>19</v>
      </c>
      <c r="D9" s="499">
        <v>0</v>
      </c>
      <c r="E9" s="499">
        <v>0</v>
      </c>
      <c r="F9" s="499">
        <v>0</v>
      </c>
      <c r="G9" s="500"/>
      <c r="H9" s="499"/>
      <c r="I9" s="499"/>
      <c r="J9" s="500">
        <v>0</v>
      </c>
      <c r="K9" s="499">
        <v>0</v>
      </c>
      <c r="L9" s="501">
        <v>0</v>
      </c>
      <c r="M9" s="500">
        <v>0</v>
      </c>
      <c r="N9" s="501">
        <v>0</v>
      </c>
      <c r="O9" s="500">
        <v>0</v>
      </c>
      <c r="P9" s="499">
        <v>0</v>
      </c>
      <c r="Q9" s="501">
        <v>0</v>
      </c>
      <c r="R9" s="500">
        <v>0</v>
      </c>
      <c r="S9" s="501">
        <v>0</v>
      </c>
      <c r="T9" s="481"/>
      <c r="U9" s="481"/>
      <c r="V9" s="481"/>
      <c r="W9" s="481"/>
      <c r="X9" s="481"/>
      <c r="Y9" s="481"/>
      <c r="Z9" s="481"/>
      <c r="AA9" s="481"/>
      <c r="AB9" s="481"/>
      <c r="AC9" s="481"/>
      <c r="AD9" s="481"/>
      <c r="AE9" s="481"/>
      <c r="AF9" s="481"/>
      <c r="AG9" s="481"/>
      <c r="AH9" s="481"/>
      <c r="AI9" s="481"/>
      <c r="AJ9" s="481"/>
      <c r="AK9" s="481"/>
      <c r="AL9" s="481"/>
      <c r="AM9" s="481"/>
      <c r="AN9" s="481"/>
    </row>
    <row r="10" spans="1:40" ht="20.25" hidden="1" customHeight="1">
      <c r="A10" s="490" t="s">
        <v>229</v>
      </c>
      <c r="B10" s="481" t="s">
        <v>0</v>
      </c>
      <c r="C10" s="498" t="s">
        <v>20</v>
      </c>
      <c r="D10" s="499">
        <v>0</v>
      </c>
      <c r="E10" s="499">
        <v>0</v>
      </c>
      <c r="F10" s="499">
        <v>0</v>
      </c>
      <c r="G10" s="500"/>
      <c r="H10" s="499"/>
      <c r="I10" s="499"/>
      <c r="J10" s="500">
        <v>0</v>
      </c>
      <c r="K10" s="499">
        <v>0</v>
      </c>
      <c r="L10" s="501">
        <v>0</v>
      </c>
      <c r="M10" s="500">
        <v>0</v>
      </c>
      <c r="N10" s="501">
        <v>0</v>
      </c>
      <c r="O10" s="500">
        <v>0</v>
      </c>
      <c r="P10" s="499">
        <v>0</v>
      </c>
      <c r="Q10" s="501">
        <v>0</v>
      </c>
      <c r="R10" s="500">
        <v>0</v>
      </c>
      <c r="S10" s="501">
        <v>0</v>
      </c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</row>
    <row r="11" spans="1:40" ht="20.25" hidden="1" customHeight="1">
      <c r="A11" s="490" t="s">
        <v>229</v>
      </c>
      <c r="B11" s="481" t="s">
        <v>0</v>
      </c>
      <c r="C11" s="498" t="s">
        <v>20</v>
      </c>
      <c r="D11" s="499">
        <v>0</v>
      </c>
      <c r="E11" s="499">
        <v>0</v>
      </c>
      <c r="F11" s="499">
        <v>0</v>
      </c>
      <c r="G11" s="500"/>
      <c r="H11" s="499"/>
      <c r="I11" s="499"/>
      <c r="J11" s="500">
        <v>0</v>
      </c>
      <c r="K11" s="499">
        <v>0</v>
      </c>
      <c r="L11" s="501">
        <v>0</v>
      </c>
      <c r="M11" s="500">
        <v>0</v>
      </c>
      <c r="N11" s="501">
        <v>0</v>
      </c>
      <c r="O11" s="500">
        <v>0</v>
      </c>
      <c r="P11" s="499">
        <v>0</v>
      </c>
      <c r="Q11" s="501">
        <v>0</v>
      </c>
      <c r="R11" s="500">
        <v>0</v>
      </c>
      <c r="S11" s="501">
        <v>0</v>
      </c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</row>
    <row r="12" spans="1:40" ht="20.25" hidden="1" customHeight="1">
      <c r="A12" s="490" t="s">
        <v>229</v>
      </c>
      <c r="B12" s="481" t="s">
        <v>0</v>
      </c>
      <c r="C12" s="498" t="s">
        <v>20</v>
      </c>
      <c r="D12" s="499">
        <v>0</v>
      </c>
      <c r="E12" s="499">
        <v>0</v>
      </c>
      <c r="F12" s="499">
        <v>0</v>
      </c>
      <c r="G12" s="500"/>
      <c r="H12" s="499"/>
      <c r="I12" s="499"/>
      <c r="J12" s="500">
        <v>0</v>
      </c>
      <c r="K12" s="499">
        <v>0</v>
      </c>
      <c r="L12" s="501">
        <v>0</v>
      </c>
      <c r="M12" s="500">
        <v>0</v>
      </c>
      <c r="N12" s="501">
        <v>0</v>
      </c>
      <c r="O12" s="500">
        <v>0</v>
      </c>
      <c r="P12" s="499">
        <v>0</v>
      </c>
      <c r="Q12" s="501">
        <v>0</v>
      </c>
      <c r="R12" s="500">
        <v>0</v>
      </c>
      <c r="S12" s="501">
        <v>0</v>
      </c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</row>
    <row r="13" spans="1:40" ht="21">
      <c r="A13" s="490" t="s">
        <v>230</v>
      </c>
      <c r="B13" s="481" t="s">
        <v>0</v>
      </c>
      <c r="C13" s="504" t="s">
        <v>21</v>
      </c>
      <c r="D13" s="505">
        <v>52.030122971428575</v>
      </c>
      <c r="E13" s="505">
        <v>2442.7446195695657</v>
      </c>
      <c r="F13" s="506">
        <v>127096.30294400001</v>
      </c>
      <c r="G13" s="507"/>
      <c r="H13" s="505"/>
      <c r="I13" s="506"/>
      <c r="J13" s="507">
        <v>43</v>
      </c>
      <c r="K13" s="505">
        <v>2528.707209302323</v>
      </c>
      <c r="L13" s="506">
        <v>108734.40999999989</v>
      </c>
      <c r="M13" s="507">
        <v>-9.0301229714285753</v>
      </c>
      <c r="N13" s="506">
        <v>-18361.892944000119</v>
      </c>
      <c r="O13" s="507">
        <v>71</v>
      </c>
      <c r="P13" s="505">
        <v>2882.543802816896</v>
      </c>
      <c r="Q13" s="506">
        <v>204660.60999999961</v>
      </c>
      <c r="R13" s="507">
        <v>-28</v>
      </c>
      <c r="S13" s="506">
        <v>-95926.199999999721</v>
      </c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</row>
    <row r="14" spans="1:40" ht="20.399999999999999">
      <c r="A14" s="490" t="s">
        <v>0</v>
      </c>
      <c r="B14" s="481" t="s">
        <v>0</v>
      </c>
      <c r="C14" s="498"/>
      <c r="D14" s="481"/>
      <c r="E14" s="499"/>
      <c r="F14" s="508"/>
      <c r="G14" s="498"/>
      <c r="H14" s="499"/>
      <c r="I14" s="508"/>
      <c r="J14" s="498"/>
      <c r="K14" s="499"/>
      <c r="L14" s="508"/>
      <c r="M14" s="509">
        <v>-0.17355567228598148</v>
      </c>
      <c r="N14" s="510">
        <v>-0.14447228218818109</v>
      </c>
      <c r="O14" s="498"/>
      <c r="P14" s="499"/>
      <c r="Q14" s="508"/>
      <c r="R14" s="509">
        <v>-0.39436619718309857</v>
      </c>
      <c r="S14" s="510">
        <v>-0.46870865869108819</v>
      </c>
      <c r="T14" s="481"/>
      <c r="U14" s="481"/>
      <c r="V14" s="481"/>
      <c r="W14" s="499"/>
      <c r="X14" s="499"/>
      <c r="Y14" s="481"/>
      <c r="Z14" s="481"/>
      <c r="AA14" s="481"/>
      <c r="AB14" s="481"/>
      <c r="AC14" s="481"/>
      <c r="AD14" s="481">
        <v>20</v>
      </c>
      <c r="AE14" s="481">
        <v>1000</v>
      </c>
      <c r="AF14" s="481">
        <v>20000</v>
      </c>
      <c r="AG14" s="481"/>
      <c r="AH14" s="481"/>
      <c r="AI14" s="481"/>
      <c r="AJ14" s="481"/>
      <c r="AK14" s="481"/>
      <c r="AL14" s="481"/>
      <c r="AM14" s="481"/>
      <c r="AN14" s="481"/>
    </row>
    <row r="15" spans="1:40" ht="21">
      <c r="A15" s="490" t="s">
        <v>231</v>
      </c>
      <c r="B15" s="481" t="s">
        <v>0</v>
      </c>
      <c r="C15" s="511" t="s">
        <v>22</v>
      </c>
      <c r="D15" s="495">
        <v>2.4857142857142858</v>
      </c>
      <c r="E15" s="495">
        <v>2442.5491999999999</v>
      </c>
      <c r="F15" s="493">
        <v>6071.4794400000001</v>
      </c>
      <c r="G15" s="512"/>
      <c r="H15" s="495"/>
      <c r="I15" s="493"/>
      <c r="J15" s="513">
        <v>8</v>
      </c>
      <c r="K15" s="514">
        <v>1186.9175000000032</v>
      </c>
      <c r="L15" s="514">
        <v>9495.3400000000256</v>
      </c>
      <c r="M15" s="512">
        <v>5.5142857142857142</v>
      </c>
      <c r="N15" s="493">
        <v>3423.8605600000255</v>
      </c>
      <c r="O15" s="513">
        <v>2</v>
      </c>
      <c r="P15" s="514">
        <v>4516.8050000000003</v>
      </c>
      <c r="Q15" s="514">
        <v>9033.61</v>
      </c>
      <c r="R15" s="512">
        <v>6</v>
      </c>
      <c r="S15" s="493">
        <v>461.73000000002503</v>
      </c>
      <c r="T15" s="481"/>
      <c r="U15" s="481"/>
      <c r="V15" s="499"/>
      <c r="W15" s="481"/>
      <c r="X15" s="481"/>
      <c r="Y15" s="481"/>
      <c r="Z15" s="481"/>
      <c r="AA15" s="481"/>
      <c r="AB15" s="481"/>
      <c r="AC15" s="481"/>
      <c r="AD15" s="481">
        <v>25</v>
      </c>
      <c r="AE15" s="481">
        <v>800</v>
      </c>
      <c r="AF15" s="481">
        <v>20000</v>
      </c>
      <c r="AG15" s="481"/>
      <c r="AH15" s="481"/>
      <c r="AI15" s="481"/>
      <c r="AJ15" s="481"/>
      <c r="AK15" s="481"/>
      <c r="AL15" s="481"/>
      <c r="AM15" s="481"/>
      <c r="AN15" s="481"/>
    </row>
    <row r="16" spans="1:40" ht="21">
      <c r="A16" s="490" t="s">
        <v>0</v>
      </c>
      <c r="B16" s="481" t="s">
        <v>0</v>
      </c>
      <c r="C16" s="498"/>
      <c r="D16" s="481"/>
      <c r="E16" s="499"/>
      <c r="F16" s="508"/>
      <c r="G16" s="498"/>
      <c r="H16" s="499"/>
      <c r="I16" s="508"/>
      <c r="J16" s="498"/>
      <c r="K16" s="499"/>
      <c r="L16" s="501"/>
      <c r="M16" s="515"/>
      <c r="N16" s="516"/>
      <c r="O16" s="498"/>
      <c r="P16" s="499"/>
      <c r="Q16" s="501"/>
      <c r="R16" s="515"/>
      <c r="S16" s="516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</row>
    <row r="17" spans="1:40" ht="21">
      <c r="A17" s="490" t="s">
        <v>232</v>
      </c>
      <c r="B17" s="481" t="s">
        <v>0</v>
      </c>
      <c r="C17" s="517" t="s">
        <v>23</v>
      </c>
      <c r="D17" s="499">
        <v>1.9885714285714284</v>
      </c>
      <c r="E17" s="499">
        <v>2442.5491999999999</v>
      </c>
      <c r="F17" s="499">
        <v>4857.1835519999995</v>
      </c>
      <c r="G17" s="500"/>
      <c r="H17" s="499"/>
      <c r="I17" s="499"/>
      <c r="J17" s="512">
        <v>4</v>
      </c>
      <c r="K17" s="499">
        <v>3473.7724999999991</v>
      </c>
      <c r="L17" s="501">
        <v>13895.089999999997</v>
      </c>
      <c r="M17" s="512">
        <v>2.0114285714285716</v>
      </c>
      <c r="N17" s="501">
        <v>9037.9064479999979</v>
      </c>
      <c r="O17" s="512">
        <v>4</v>
      </c>
      <c r="P17" s="499">
        <v>1549.0924999999988</v>
      </c>
      <c r="Q17" s="501">
        <v>6196.3699999999953</v>
      </c>
      <c r="R17" s="500">
        <v>0</v>
      </c>
      <c r="S17" s="501">
        <v>7698.7200000000012</v>
      </c>
      <c r="T17" s="481"/>
      <c r="U17" s="481"/>
      <c r="V17" s="518">
        <v>128124.83999999991</v>
      </c>
      <c r="W17" s="481"/>
      <c r="X17" s="481"/>
      <c r="Y17" s="481"/>
      <c r="Z17" s="481"/>
      <c r="AA17" s="499"/>
      <c r="AB17" s="481"/>
      <c r="AC17" s="481"/>
      <c r="AD17" s="481"/>
      <c r="AE17" s="481"/>
      <c r="AF17" s="481"/>
      <c r="AG17" s="481"/>
      <c r="AH17" s="481"/>
      <c r="AI17" s="481"/>
      <c r="AJ17" s="481"/>
      <c r="AK17" s="481"/>
      <c r="AL17" s="481"/>
      <c r="AM17" s="481"/>
      <c r="AN17" s="481"/>
    </row>
    <row r="18" spans="1:40" ht="21">
      <c r="A18" s="490" t="s">
        <v>0</v>
      </c>
      <c r="B18" s="481" t="s">
        <v>0</v>
      </c>
      <c r="C18" s="504"/>
      <c r="D18" s="519"/>
      <c r="E18" s="519"/>
      <c r="F18" s="520"/>
      <c r="G18" s="521"/>
      <c r="H18" s="519"/>
      <c r="I18" s="520"/>
      <c r="J18" s="500"/>
      <c r="K18" s="519"/>
      <c r="L18" s="520"/>
      <c r="M18" s="500"/>
      <c r="N18" s="520"/>
      <c r="O18" s="500"/>
      <c r="P18" s="519"/>
      <c r="Q18" s="520"/>
      <c r="R18" s="521"/>
      <c r="S18" s="520"/>
      <c r="T18" s="481"/>
      <c r="U18" s="481"/>
      <c r="V18" s="466">
        <v>0.32626077815980126</v>
      </c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</row>
    <row r="19" spans="1:40" ht="21">
      <c r="A19" s="490" t="s">
        <v>233</v>
      </c>
      <c r="B19" s="481" t="s">
        <v>0</v>
      </c>
      <c r="C19" s="511" t="s">
        <v>24</v>
      </c>
      <c r="D19" s="499">
        <v>0</v>
      </c>
      <c r="E19" s="499">
        <v>0</v>
      </c>
      <c r="F19" s="499">
        <v>6720.0000000000009</v>
      </c>
      <c r="G19" s="500"/>
      <c r="H19" s="499"/>
      <c r="I19" s="499"/>
      <c r="J19" s="512"/>
      <c r="K19" s="499"/>
      <c r="L19" s="501">
        <v>7757.9400000000023</v>
      </c>
      <c r="M19" s="500"/>
      <c r="N19" s="501">
        <v>1037.9400000000014</v>
      </c>
      <c r="O19" s="512"/>
      <c r="P19" s="499"/>
      <c r="Q19" s="501">
        <v>19995.210000000021</v>
      </c>
      <c r="R19" s="500">
        <v>0</v>
      </c>
      <c r="S19" s="501">
        <v>-12237.270000000019</v>
      </c>
      <c r="T19" s="481"/>
      <c r="W19" s="499"/>
      <c r="X19" s="522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1"/>
      <c r="AL19" s="481"/>
      <c r="AM19" s="481"/>
      <c r="AN19" s="481"/>
    </row>
    <row r="20" spans="1:40" ht="21">
      <c r="A20" s="490" t="s">
        <v>0</v>
      </c>
      <c r="B20" s="481" t="s">
        <v>0</v>
      </c>
      <c r="C20" s="504"/>
      <c r="D20" s="519"/>
      <c r="E20" s="519"/>
      <c r="F20" s="520"/>
      <c r="G20" s="521"/>
      <c r="H20" s="519"/>
      <c r="I20" s="520"/>
      <c r="J20" s="500"/>
      <c r="K20" s="519"/>
      <c r="L20" s="520"/>
      <c r="M20" s="521"/>
      <c r="N20" s="520"/>
      <c r="O20" s="500"/>
      <c r="P20" s="519"/>
      <c r="Q20" s="520"/>
      <c r="R20" s="521"/>
      <c r="S20" s="520"/>
      <c r="T20" s="481"/>
      <c r="U20" s="481"/>
      <c r="W20" s="499"/>
      <c r="X20" s="522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K20" s="481"/>
      <c r="AL20" s="481"/>
      <c r="AM20" s="481"/>
      <c r="AN20" s="481"/>
    </row>
    <row r="21" spans="1:40" ht="15.75" customHeight="1">
      <c r="A21" s="490" t="s">
        <v>234</v>
      </c>
      <c r="B21" s="481" t="s">
        <v>0</v>
      </c>
      <c r="C21" s="498" t="s">
        <v>25</v>
      </c>
      <c r="D21" s="499">
        <v>0</v>
      </c>
      <c r="E21" s="499">
        <v>0</v>
      </c>
      <c r="F21" s="499">
        <v>9376.7240082285716</v>
      </c>
      <c r="G21" s="500"/>
      <c r="H21" s="499"/>
      <c r="I21" s="499"/>
      <c r="J21" s="500"/>
      <c r="K21" s="499">
        <v>175.29411764705881</v>
      </c>
      <c r="L21" s="501">
        <v>8940</v>
      </c>
      <c r="M21" s="500"/>
      <c r="N21" s="501">
        <v>-436.72400822857162</v>
      </c>
      <c r="O21" s="500"/>
      <c r="P21" s="499">
        <v>172.24972602739726</v>
      </c>
      <c r="Q21" s="501">
        <v>12574.23</v>
      </c>
      <c r="R21" s="500">
        <v>-175.29411764705881</v>
      </c>
      <c r="S21" s="501">
        <v>-3634.2299999999996</v>
      </c>
      <c r="T21" s="481"/>
      <c r="U21" s="481"/>
      <c r="W21" s="481"/>
      <c r="X21" s="522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</row>
    <row r="22" spans="1:40" ht="18" customHeight="1">
      <c r="A22" s="490" t="s">
        <v>235</v>
      </c>
      <c r="B22" s="481" t="s">
        <v>0</v>
      </c>
      <c r="C22" s="498" t="s">
        <v>26</v>
      </c>
      <c r="D22" s="499">
        <v>0</v>
      </c>
      <c r="E22" s="499">
        <v>0</v>
      </c>
      <c r="F22" s="499">
        <v>51571.982045257151</v>
      </c>
      <c r="G22" s="500"/>
      <c r="H22" s="499"/>
      <c r="I22" s="499"/>
      <c r="J22" s="500"/>
      <c r="K22" s="499">
        <v>1030.0339215686274</v>
      </c>
      <c r="L22" s="501">
        <v>52531.73</v>
      </c>
      <c r="M22" s="500"/>
      <c r="N22" s="501">
        <v>959.74795474285202</v>
      </c>
      <c r="O22" s="500"/>
      <c r="P22" s="499">
        <v>810.39493150684939</v>
      </c>
      <c r="Q22" s="501">
        <v>59158.83</v>
      </c>
      <c r="R22" s="500">
        <v>-1030.0339215686274</v>
      </c>
      <c r="S22" s="501">
        <v>-6627.0999999999985</v>
      </c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K22" s="481"/>
      <c r="AL22" s="481"/>
      <c r="AM22" s="481"/>
      <c r="AN22" s="481"/>
    </row>
    <row r="23" spans="1:40" ht="19.5" customHeight="1">
      <c r="A23" s="490" t="s">
        <v>236</v>
      </c>
      <c r="B23" s="481" t="s">
        <v>0</v>
      </c>
      <c r="C23" s="498" t="s">
        <v>27</v>
      </c>
      <c r="D23" s="499">
        <v>0</v>
      </c>
      <c r="E23" s="499">
        <v>0</v>
      </c>
      <c r="F23" s="499">
        <v>1580.959280457143</v>
      </c>
      <c r="G23" s="500"/>
      <c r="H23" s="499"/>
      <c r="I23" s="499"/>
      <c r="J23" s="500"/>
      <c r="K23" s="499">
        <v>12.943529411764706</v>
      </c>
      <c r="L23" s="501">
        <v>660.12</v>
      </c>
      <c r="M23" s="512"/>
      <c r="N23" s="501">
        <v>-920.83928045714299</v>
      </c>
      <c r="O23" s="500"/>
      <c r="P23" s="499">
        <v>16.719726027397261</v>
      </c>
      <c r="Q23" s="501">
        <v>1220.54</v>
      </c>
      <c r="R23" s="500">
        <v>-12.943529411764706</v>
      </c>
      <c r="S23" s="501">
        <v>-560.41999999999996</v>
      </c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81"/>
      <c r="AF23" s="481"/>
      <c r="AG23" s="481"/>
      <c r="AH23" s="481"/>
      <c r="AI23" s="481"/>
      <c r="AJ23" s="481"/>
      <c r="AK23" s="481"/>
      <c r="AL23" s="481"/>
      <c r="AM23" s="481"/>
      <c r="AN23" s="481"/>
    </row>
    <row r="24" spans="1:40" ht="18" customHeight="1">
      <c r="A24" s="490" t="s">
        <v>237</v>
      </c>
      <c r="B24" s="481" t="s">
        <v>0</v>
      </c>
      <c r="C24" s="504" t="s">
        <v>28</v>
      </c>
      <c r="D24" s="505">
        <v>54.515837257142863</v>
      </c>
      <c r="E24" s="505">
        <v>1147</v>
      </c>
      <c r="F24" s="506">
        <v>62529.665333942867</v>
      </c>
      <c r="G24" s="507"/>
      <c r="H24" s="505"/>
      <c r="I24" s="506"/>
      <c r="J24" s="507">
        <v>51</v>
      </c>
      <c r="K24" s="505">
        <v>1218.2715686274512</v>
      </c>
      <c r="L24" s="506">
        <v>62131.850000000006</v>
      </c>
      <c r="M24" s="523">
        <v>-3.5158372571428629</v>
      </c>
      <c r="N24" s="506">
        <v>-397.81533394286089</v>
      </c>
      <c r="O24" s="507">
        <v>73</v>
      </c>
      <c r="P24" s="505">
        <v>999.36438356164376</v>
      </c>
      <c r="Q24" s="506">
        <v>72953.599999999991</v>
      </c>
      <c r="R24" s="521"/>
      <c r="S24" s="506">
        <v>-10821.749999999985</v>
      </c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81"/>
      <c r="AF24" s="481"/>
      <c r="AG24" s="481"/>
      <c r="AH24" s="481"/>
      <c r="AI24" s="481"/>
      <c r="AJ24" s="481"/>
      <c r="AK24" s="481"/>
      <c r="AL24" s="481"/>
      <c r="AM24" s="481"/>
      <c r="AN24" s="481"/>
    </row>
    <row r="25" spans="1:40" ht="15.75" customHeight="1">
      <c r="A25" s="490" t="s">
        <v>0</v>
      </c>
      <c r="B25" s="481" t="s">
        <v>0</v>
      </c>
      <c r="C25" s="498"/>
      <c r="D25" s="481"/>
      <c r="E25" s="481"/>
      <c r="F25" s="524"/>
      <c r="G25" s="498"/>
      <c r="H25" s="481"/>
      <c r="I25" s="524"/>
      <c r="J25" s="498"/>
      <c r="K25" s="481"/>
      <c r="L25" s="524"/>
      <c r="M25" s="515"/>
      <c r="N25" s="516">
        <v>-6.3620256372444632E-3</v>
      </c>
      <c r="O25" s="498"/>
      <c r="P25" s="481"/>
      <c r="Q25" s="524"/>
      <c r="R25" s="525"/>
      <c r="S25" s="516">
        <v>-0.14833743639792946</v>
      </c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81"/>
      <c r="AF25" s="481"/>
      <c r="AG25" s="481"/>
      <c r="AH25" s="481"/>
      <c r="AI25" s="481"/>
      <c r="AJ25" s="481"/>
      <c r="AK25" s="481"/>
      <c r="AL25" s="481"/>
      <c r="AM25" s="481"/>
      <c r="AN25" s="481"/>
    </row>
    <row r="26" spans="1:40" ht="15.75" customHeight="1" thickBot="1">
      <c r="A26" s="490" t="s">
        <v>0</v>
      </c>
      <c r="B26" s="481" t="s">
        <v>0</v>
      </c>
      <c r="C26" s="498"/>
      <c r="D26" s="481"/>
      <c r="E26" s="481"/>
      <c r="F26" s="508"/>
      <c r="G26" s="498"/>
      <c r="H26" s="481"/>
      <c r="I26" s="508"/>
      <c r="J26" s="498"/>
      <c r="K26" s="481"/>
      <c r="L26" s="508"/>
      <c r="M26" s="498"/>
      <c r="N26" s="508"/>
      <c r="O26" s="498"/>
      <c r="P26" s="481"/>
      <c r="Q26" s="508"/>
      <c r="R26" s="498"/>
      <c r="S26" s="508"/>
      <c r="T26" s="481"/>
      <c r="U26" s="481"/>
      <c r="V26" s="481"/>
      <c r="W26" s="481"/>
      <c r="X26" s="481"/>
      <c r="Y26" s="481"/>
      <c r="Z26" s="481"/>
      <c r="AA26" s="481"/>
      <c r="AB26" s="481"/>
      <c r="AC26" s="481"/>
      <c r="AD26" s="481"/>
      <c r="AE26" s="481"/>
      <c r="AF26" s="481"/>
      <c r="AG26" s="481"/>
      <c r="AH26" s="481"/>
      <c r="AI26" s="481"/>
      <c r="AJ26" s="481"/>
      <c r="AK26" s="481"/>
      <c r="AL26" s="481"/>
      <c r="AM26" s="481"/>
      <c r="AN26" s="481"/>
    </row>
    <row r="27" spans="1:40" ht="18" customHeight="1" thickTop="1">
      <c r="A27" s="490" t="s">
        <v>238</v>
      </c>
      <c r="B27" s="481" t="s">
        <v>0</v>
      </c>
      <c r="C27" s="526" t="s">
        <v>29</v>
      </c>
      <c r="D27" s="527">
        <v>56.504408685714289</v>
      </c>
      <c r="E27" s="528">
        <v>3668.2913084328411</v>
      </c>
      <c r="F27" s="529">
        <v>207274.63126994285</v>
      </c>
      <c r="G27" s="530"/>
      <c r="H27" s="528"/>
      <c r="I27" s="529"/>
      <c r="J27" s="530">
        <v>55</v>
      </c>
      <c r="K27" s="528">
        <v>3672.9932727272712</v>
      </c>
      <c r="L27" s="529">
        <v>202014.62999999992</v>
      </c>
      <c r="M27" s="530">
        <v>-1.5044086857142887</v>
      </c>
      <c r="N27" s="529">
        <v>-5260.0012699429353</v>
      </c>
      <c r="O27" s="530">
        <v>77</v>
      </c>
      <c r="P27" s="528">
        <v>4062.8493506493455</v>
      </c>
      <c r="Q27" s="529">
        <v>312839.39999999962</v>
      </c>
      <c r="R27" s="530">
        <v>-22</v>
      </c>
      <c r="S27" s="529">
        <v>-110824.7699999997</v>
      </c>
      <c r="T27" s="481"/>
      <c r="U27" s="481"/>
      <c r="V27" s="481"/>
      <c r="W27" s="481"/>
      <c r="X27" s="481"/>
      <c r="Y27" s="481"/>
      <c r="Z27" s="481"/>
      <c r="AA27" s="481"/>
      <c r="AB27" s="481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M27" s="481"/>
      <c r="AN27" s="481"/>
    </row>
    <row r="28" spans="1:40" ht="22.5" customHeight="1" thickBot="1">
      <c r="A28" s="490" t="s">
        <v>0</v>
      </c>
      <c r="B28" s="481" t="s">
        <v>0</v>
      </c>
      <c r="C28" s="531"/>
      <c r="D28" s="532"/>
      <c r="E28" s="532"/>
      <c r="F28" s="533"/>
      <c r="G28" s="531"/>
      <c r="H28" s="532"/>
      <c r="I28" s="533"/>
      <c r="J28" s="531"/>
      <c r="K28" s="532"/>
      <c r="L28" s="534">
        <v>0.97462303400220451</v>
      </c>
      <c r="M28" s="535">
        <v>-2.6624624886918608E-2</v>
      </c>
      <c r="N28" s="536">
        <v>-2.537696599779548E-2</v>
      </c>
      <c r="O28" s="531"/>
      <c r="P28" s="532"/>
      <c r="Q28" s="533"/>
      <c r="R28" s="535">
        <v>-0.2857142857142857</v>
      </c>
      <c r="S28" s="536">
        <v>-0.35425451525607016</v>
      </c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481"/>
      <c r="AL28" s="481"/>
      <c r="AM28" s="481"/>
      <c r="AN28" s="481"/>
    </row>
    <row r="29" spans="1:40" ht="15.75" customHeight="1" thickTop="1">
      <c r="A29" s="490" t="s">
        <v>0</v>
      </c>
      <c r="B29" s="481" t="s">
        <v>0</v>
      </c>
      <c r="C29" s="517"/>
      <c r="D29" s="537"/>
      <c r="E29" s="537"/>
      <c r="F29" s="538"/>
      <c r="G29" s="517"/>
      <c r="H29" s="537"/>
      <c r="I29" s="538"/>
      <c r="J29" s="517"/>
      <c r="K29" s="537"/>
      <c r="L29" s="538"/>
      <c r="M29" s="515"/>
      <c r="N29" s="516"/>
      <c r="O29" s="517"/>
      <c r="P29" s="537"/>
      <c r="Q29" s="538"/>
      <c r="R29" s="515"/>
      <c r="S29" s="516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</row>
    <row r="30" spans="1:40" ht="15.75" customHeight="1">
      <c r="A30" s="490" t="s">
        <v>239</v>
      </c>
      <c r="B30" s="481" t="s">
        <v>0</v>
      </c>
      <c r="C30" s="539" t="s">
        <v>30</v>
      </c>
      <c r="D30" s="481"/>
      <c r="E30" s="540"/>
      <c r="F30" s="524"/>
      <c r="G30" s="498"/>
      <c r="H30" s="540"/>
      <c r="I30" s="524"/>
      <c r="J30" s="498"/>
      <c r="K30" s="540"/>
      <c r="L30" s="508"/>
      <c r="M30" s="498"/>
      <c r="N30" s="508"/>
      <c r="O30" s="498"/>
      <c r="P30" s="540"/>
      <c r="Q30" s="508"/>
      <c r="R30" s="498"/>
      <c r="S30" s="508"/>
      <c r="T30" s="481"/>
      <c r="U30" s="481"/>
      <c r="V30" s="481"/>
      <c r="W30" s="481"/>
      <c r="X30" s="481"/>
      <c r="Y30" s="481"/>
      <c r="Z30" s="481"/>
      <c r="AA30" s="481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</row>
    <row r="31" spans="1:40" ht="15.75" customHeight="1">
      <c r="A31" s="490" t="s">
        <v>240</v>
      </c>
      <c r="B31" s="481" t="s">
        <v>0</v>
      </c>
      <c r="C31" s="498" t="s">
        <v>31</v>
      </c>
      <c r="D31" s="541">
        <v>0.30577105795833798</v>
      </c>
      <c r="E31" s="542">
        <v>774.16108753579783</v>
      </c>
      <c r="F31" s="499">
        <v>42204.039858914286</v>
      </c>
      <c r="G31" s="543"/>
      <c r="H31" s="542"/>
      <c r="I31" s="499"/>
      <c r="J31" s="543">
        <v>0.31638342948986753</v>
      </c>
      <c r="K31" s="542">
        <v>819.64921568627449</v>
      </c>
      <c r="L31" s="499">
        <v>41802.11</v>
      </c>
      <c r="M31" s="498"/>
      <c r="N31" s="524">
        <v>-401.92985891428543</v>
      </c>
      <c r="O31" s="498"/>
      <c r="P31" s="542">
        <v>676.68315068493155</v>
      </c>
      <c r="Q31" s="501">
        <v>49397.87</v>
      </c>
      <c r="R31" s="498"/>
      <c r="S31" s="524">
        <v>-7595.760000000002</v>
      </c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81"/>
      <c r="AF31" s="481"/>
      <c r="AG31" s="481"/>
      <c r="AH31" s="481"/>
      <c r="AI31" s="481"/>
      <c r="AJ31" s="481"/>
      <c r="AK31" s="481"/>
      <c r="AL31" s="481"/>
      <c r="AM31" s="481"/>
      <c r="AN31" s="481"/>
    </row>
    <row r="32" spans="1:40" ht="15.75" customHeight="1">
      <c r="A32" s="490" t="s">
        <v>241</v>
      </c>
      <c r="B32" s="481" t="s">
        <v>0</v>
      </c>
      <c r="C32" s="491" t="s">
        <v>32</v>
      </c>
      <c r="D32" s="544">
        <v>0.3</v>
      </c>
      <c r="E32" s="545">
        <v>344.1</v>
      </c>
      <c r="F32" s="493">
        <v>18758.89960018286</v>
      </c>
      <c r="G32" s="546"/>
      <c r="H32" s="545"/>
      <c r="I32" s="493"/>
      <c r="J32" s="546">
        <v>0.29989739561915507</v>
      </c>
      <c r="K32" s="545">
        <v>365.35647058823531</v>
      </c>
      <c r="L32" s="493">
        <v>18633.18</v>
      </c>
      <c r="M32" s="491"/>
      <c r="N32" s="547">
        <v>-125.71960018285972</v>
      </c>
      <c r="O32" s="491"/>
      <c r="P32" s="545">
        <v>376.98890410958904</v>
      </c>
      <c r="Q32" s="493">
        <v>27520.19</v>
      </c>
      <c r="R32" s="491"/>
      <c r="S32" s="547">
        <v>-8887.0099999999984</v>
      </c>
      <c r="T32" s="481"/>
      <c r="U32" s="548">
        <v>0.28442610145433267</v>
      </c>
      <c r="V32" s="549" t="s">
        <v>467</v>
      </c>
      <c r="X32" s="466">
        <v>17671.919871645379</v>
      </c>
      <c r="Y32" s="518">
        <v>961.26012835462097</v>
      </c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</row>
    <row r="33" spans="1:40" ht="15.75" customHeight="1">
      <c r="A33" s="490" t="s">
        <v>242</v>
      </c>
      <c r="B33" s="481" t="s">
        <v>0</v>
      </c>
      <c r="C33" s="498" t="s">
        <v>33</v>
      </c>
      <c r="D33" s="550"/>
      <c r="E33" s="542">
        <v>113.25897667238421</v>
      </c>
      <c r="F33" s="499">
        <v>6174.4079401822373</v>
      </c>
      <c r="G33" s="551"/>
      <c r="H33" s="542"/>
      <c r="I33" s="499"/>
      <c r="J33" s="498"/>
      <c r="K33" s="542">
        <v>121.67235294117647</v>
      </c>
      <c r="L33" s="499">
        <v>6205.29</v>
      </c>
      <c r="M33" s="498"/>
      <c r="N33" s="524">
        <v>30.882059817762638</v>
      </c>
      <c r="O33" s="498"/>
      <c r="P33" s="542">
        <v>24.2713698630137</v>
      </c>
      <c r="Q33" s="501">
        <v>1771.81</v>
      </c>
      <c r="R33" s="498"/>
      <c r="S33" s="524">
        <v>4433.4799999999996</v>
      </c>
      <c r="T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</row>
    <row r="34" spans="1:40" ht="15.75" customHeight="1">
      <c r="A34" s="490" t="s">
        <v>243</v>
      </c>
      <c r="B34" s="481" t="s">
        <v>0</v>
      </c>
      <c r="C34" s="498" t="s">
        <v>34</v>
      </c>
      <c r="D34" s="550"/>
      <c r="E34" s="542">
        <v>5.1177856446126109</v>
      </c>
      <c r="F34" s="499">
        <v>279.0003693186431</v>
      </c>
      <c r="G34" s="551"/>
      <c r="H34" s="542"/>
      <c r="I34" s="499"/>
      <c r="J34" s="498"/>
      <c r="K34" s="542">
        <v>1.803921568627451</v>
      </c>
      <c r="L34" s="499">
        <v>92</v>
      </c>
      <c r="M34" s="498"/>
      <c r="N34" s="524">
        <v>-187.0003693186431</v>
      </c>
      <c r="O34" s="498"/>
      <c r="P34" s="542">
        <v>0</v>
      </c>
      <c r="Q34" s="501">
        <v>0</v>
      </c>
      <c r="R34" s="498"/>
      <c r="S34" s="524">
        <v>92</v>
      </c>
      <c r="T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</row>
    <row r="35" spans="1:40" ht="15.75" customHeight="1">
      <c r="A35" s="490" t="s">
        <v>244</v>
      </c>
      <c r="B35" s="481" t="s">
        <v>0</v>
      </c>
      <c r="C35" s="491" t="s">
        <v>35</v>
      </c>
      <c r="D35" s="552"/>
      <c r="E35" s="545">
        <v>105.01044339622642</v>
      </c>
      <c r="F35" s="493">
        <v>5724.7322424890917</v>
      </c>
      <c r="G35" s="553"/>
      <c r="H35" s="545"/>
      <c r="I35" s="493"/>
      <c r="J35" s="491"/>
      <c r="K35" s="545">
        <v>78.708235294117642</v>
      </c>
      <c r="L35" s="493">
        <v>4014.12</v>
      </c>
      <c r="M35" s="491"/>
      <c r="N35" s="547">
        <v>-1710.6122424890918</v>
      </c>
      <c r="O35" s="491"/>
      <c r="P35" s="545">
        <v>60.332328767123293</v>
      </c>
      <c r="Q35" s="501">
        <v>4404.26</v>
      </c>
      <c r="R35" s="491"/>
      <c r="S35" s="547">
        <v>-390.14000000000033</v>
      </c>
      <c r="T35" s="481"/>
      <c r="Z35" s="481"/>
      <c r="AA35" s="481"/>
      <c r="AB35" s="481"/>
      <c r="AC35" s="481"/>
      <c r="AD35" s="481"/>
      <c r="AE35" s="481"/>
      <c r="AF35" s="481"/>
      <c r="AG35" s="481"/>
      <c r="AH35" s="481"/>
      <c r="AI35" s="481"/>
      <c r="AJ35" s="481"/>
      <c r="AK35" s="481"/>
      <c r="AL35" s="481"/>
      <c r="AM35" s="481"/>
      <c r="AN35" s="481"/>
    </row>
    <row r="36" spans="1:40" ht="15.75" customHeight="1">
      <c r="A36" s="490" t="s">
        <v>245</v>
      </c>
      <c r="B36" s="481" t="s">
        <v>0</v>
      </c>
      <c r="C36" s="498" t="s">
        <v>36</v>
      </c>
      <c r="D36" s="550"/>
      <c r="E36" s="542">
        <v>300.75552273170507</v>
      </c>
      <c r="F36" s="499">
        <v>16395.939131428564</v>
      </c>
      <c r="G36" s="551"/>
      <c r="H36" s="542"/>
      <c r="I36" s="499"/>
      <c r="J36" s="498"/>
      <c r="K36" s="542">
        <v>40.121960784313714</v>
      </c>
      <c r="L36" s="554">
        <v>2046.2199999999993</v>
      </c>
      <c r="M36" s="481"/>
      <c r="N36" s="524">
        <v>-14349.719131428565</v>
      </c>
      <c r="O36" s="498"/>
      <c r="P36" s="542">
        <v>48.655068493150679</v>
      </c>
      <c r="Q36" s="520">
        <v>3551.8199999999997</v>
      </c>
      <c r="R36" s="498"/>
      <c r="S36" s="524">
        <v>-1505.6000000000004</v>
      </c>
      <c r="T36" s="481"/>
      <c r="Z36" s="481"/>
      <c r="AA36" s="481"/>
      <c r="AB36" s="481"/>
      <c r="AC36" s="481"/>
      <c r="AD36" s="481"/>
      <c r="AE36" s="481"/>
      <c r="AF36" s="481"/>
      <c r="AG36" s="481"/>
      <c r="AH36" s="481"/>
      <c r="AI36" s="481"/>
      <c r="AJ36" s="481"/>
      <c r="AK36" s="481"/>
      <c r="AL36" s="481"/>
      <c r="AM36" s="481"/>
      <c r="AN36" s="481"/>
    </row>
    <row r="37" spans="1:40" ht="15.75" customHeight="1">
      <c r="A37" s="490" t="s">
        <v>246</v>
      </c>
      <c r="B37" s="481" t="s">
        <v>0</v>
      </c>
      <c r="C37" s="498" t="s">
        <v>37</v>
      </c>
      <c r="D37" s="550"/>
      <c r="E37" s="542">
        <v>53.963736146211183</v>
      </c>
      <c r="F37" s="499">
        <v>2941.8782575342466</v>
      </c>
      <c r="G37" s="551"/>
      <c r="H37" s="542"/>
      <c r="I37" s="499"/>
      <c r="J37" s="498"/>
      <c r="K37" s="542">
        <v>0</v>
      </c>
      <c r="L37" s="555">
        <v>0</v>
      </c>
      <c r="M37" s="481"/>
      <c r="N37" s="524">
        <v>-2941.8782575342466</v>
      </c>
      <c r="O37" s="498"/>
      <c r="P37" s="542">
        <v>51.69</v>
      </c>
      <c r="Q37" s="501">
        <v>3773.37</v>
      </c>
      <c r="R37" s="498"/>
      <c r="S37" s="524">
        <v>-3773.37</v>
      </c>
      <c r="T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481"/>
      <c r="AL37" s="481"/>
      <c r="AM37" s="481"/>
      <c r="AN37" s="481"/>
    </row>
    <row r="38" spans="1:40" ht="15.75" hidden="1" customHeight="1">
      <c r="A38" s="490" t="s">
        <v>229</v>
      </c>
      <c r="B38" s="481" t="s">
        <v>0</v>
      </c>
      <c r="C38" s="498" t="s">
        <v>20</v>
      </c>
      <c r="D38" s="550"/>
      <c r="E38" s="542">
        <v>0</v>
      </c>
      <c r="F38" s="499">
        <v>0</v>
      </c>
      <c r="G38" s="551"/>
      <c r="H38" s="542"/>
      <c r="I38" s="499"/>
      <c r="J38" s="498"/>
      <c r="K38" s="542">
        <v>0</v>
      </c>
      <c r="L38" s="555">
        <v>0</v>
      </c>
      <c r="M38" s="481"/>
      <c r="N38" s="524">
        <v>0</v>
      </c>
      <c r="O38" s="498"/>
      <c r="P38" s="542">
        <v>0</v>
      </c>
      <c r="Q38" s="501">
        <v>0</v>
      </c>
      <c r="R38" s="498"/>
      <c r="S38" s="524">
        <v>0</v>
      </c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81"/>
      <c r="AF38" s="481"/>
      <c r="AG38" s="481"/>
      <c r="AH38" s="481"/>
      <c r="AI38" s="481"/>
      <c r="AJ38" s="481"/>
      <c r="AK38" s="481"/>
      <c r="AL38" s="481"/>
      <c r="AM38" s="481"/>
      <c r="AN38" s="481"/>
    </row>
    <row r="39" spans="1:40" ht="15.75" hidden="1" customHeight="1">
      <c r="A39" s="490" t="s">
        <v>229</v>
      </c>
      <c r="B39" s="481" t="s">
        <v>0</v>
      </c>
      <c r="C39" s="498" t="s">
        <v>20</v>
      </c>
      <c r="D39" s="550"/>
      <c r="E39" s="542">
        <v>0</v>
      </c>
      <c r="F39" s="499">
        <v>0</v>
      </c>
      <c r="G39" s="551"/>
      <c r="H39" s="542"/>
      <c r="I39" s="499"/>
      <c r="J39" s="498"/>
      <c r="K39" s="542">
        <v>0</v>
      </c>
      <c r="L39" s="555">
        <v>0</v>
      </c>
      <c r="M39" s="481"/>
      <c r="N39" s="524">
        <v>0</v>
      </c>
      <c r="O39" s="498"/>
      <c r="P39" s="542">
        <v>0</v>
      </c>
      <c r="Q39" s="501">
        <v>0</v>
      </c>
      <c r="R39" s="498"/>
      <c r="S39" s="524">
        <v>0</v>
      </c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81"/>
      <c r="AL39" s="481"/>
      <c r="AM39" s="481"/>
      <c r="AN39" s="481"/>
    </row>
    <row r="40" spans="1:40" ht="15.75" hidden="1" customHeight="1">
      <c r="A40" s="490" t="s">
        <v>229</v>
      </c>
      <c r="B40" s="481" t="s">
        <v>0</v>
      </c>
      <c r="C40" s="498" t="s">
        <v>20</v>
      </c>
      <c r="D40" s="550"/>
      <c r="E40" s="542">
        <v>0</v>
      </c>
      <c r="F40" s="499">
        <v>0</v>
      </c>
      <c r="G40" s="551"/>
      <c r="H40" s="542"/>
      <c r="I40" s="499"/>
      <c r="J40" s="498"/>
      <c r="K40" s="542">
        <v>0</v>
      </c>
      <c r="L40" s="556">
        <v>0</v>
      </c>
      <c r="M40" s="481"/>
      <c r="N40" s="524">
        <v>0</v>
      </c>
      <c r="O40" s="498"/>
      <c r="P40" s="542">
        <v>0</v>
      </c>
      <c r="Q40" s="501">
        <v>0</v>
      </c>
      <c r="R40" s="498"/>
      <c r="S40" s="524">
        <v>0</v>
      </c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1"/>
      <c r="AF40" s="481"/>
      <c r="AG40" s="481"/>
      <c r="AH40" s="481"/>
      <c r="AI40" s="481"/>
      <c r="AJ40" s="481"/>
      <c r="AK40" s="481"/>
      <c r="AL40" s="481"/>
      <c r="AM40" s="481"/>
      <c r="AN40" s="481"/>
    </row>
    <row r="41" spans="1:40" ht="15.75" customHeight="1">
      <c r="A41" s="490" t="s">
        <v>247</v>
      </c>
      <c r="B41" s="481" t="s">
        <v>0</v>
      </c>
      <c r="C41" s="557" t="s">
        <v>38</v>
      </c>
      <c r="D41" s="558" t="s">
        <v>39</v>
      </c>
      <c r="E41" s="559">
        <v>0.44616602057591215</v>
      </c>
      <c r="F41" s="560">
        <v>92478.897400049929</v>
      </c>
      <c r="G41" s="561"/>
      <c r="H41" s="559"/>
      <c r="I41" s="560"/>
      <c r="J41" s="561" t="s">
        <v>39</v>
      </c>
      <c r="K41" s="559">
        <v>0.36033489257683976</v>
      </c>
      <c r="L41" s="560">
        <v>72792.92</v>
      </c>
      <c r="M41" s="562"/>
      <c r="N41" s="560">
        <v>-19685.977400049931</v>
      </c>
      <c r="O41" s="561" t="s">
        <v>39</v>
      </c>
      <c r="P41" s="559">
        <v>0.2890279165603824</v>
      </c>
      <c r="Q41" s="563">
        <v>90419.319999999978</v>
      </c>
      <c r="R41" s="564"/>
      <c r="S41" s="560">
        <v>-17626.39999999998</v>
      </c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481"/>
      <c r="AL41" s="481"/>
      <c r="AM41" s="481"/>
      <c r="AN41" s="481"/>
    </row>
    <row r="42" spans="1:40" ht="15.75" customHeight="1">
      <c r="A42" s="490" t="s">
        <v>248</v>
      </c>
      <c r="B42" s="481" t="s">
        <v>0</v>
      </c>
      <c r="C42" s="565" t="s">
        <v>41</v>
      </c>
      <c r="D42" s="481"/>
      <c r="E42" s="481"/>
      <c r="F42" s="499">
        <v>17292.496551724136</v>
      </c>
      <c r="G42" s="498"/>
      <c r="H42" s="481"/>
      <c r="I42" s="499"/>
      <c r="J42" s="498"/>
      <c r="K42" s="481"/>
      <c r="L42" s="501">
        <v>14353.64</v>
      </c>
      <c r="M42" s="498"/>
      <c r="N42" s="524">
        <v>-2938.8565517241368</v>
      </c>
      <c r="O42" s="498"/>
      <c r="P42" s="481"/>
      <c r="Q42" s="501">
        <v>24887.25</v>
      </c>
      <c r="R42" s="498"/>
      <c r="S42" s="524">
        <v>-10533.61</v>
      </c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1"/>
      <c r="AF42" s="481"/>
      <c r="AG42" s="481"/>
      <c r="AH42" s="481"/>
      <c r="AI42" s="481"/>
      <c r="AJ42" s="481"/>
      <c r="AK42" s="481"/>
      <c r="AL42" s="481"/>
      <c r="AM42" s="481"/>
      <c r="AN42" s="481"/>
    </row>
    <row r="43" spans="1:40" ht="15.75" customHeight="1">
      <c r="A43" s="490" t="s">
        <v>249</v>
      </c>
      <c r="B43" s="481" t="s">
        <v>0</v>
      </c>
      <c r="C43" s="566" t="s">
        <v>42</v>
      </c>
      <c r="D43" s="550"/>
      <c r="E43" s="481"/>
      <c r="F43" s="493">
        <v>10224.637241379311</v>
      </c>
      <c r="G43" s="551"/>
      <c r="H43" s="481"/>
      <c r="I43" s="493"/>
      <c r="J43" s="498"/>
      <c r="K43" s="481"/>
      <c r="L43" s="501">
        <v>12006.55</v>
      </c>
      <c r="M43" s="498"/>
      <c r="N43" s="524">
        <v>1781.9127586206887</v>
      </c>
      <c r="O43" s="498"/>
      <c r="P43" s="481"/>
      <c r="Q43" s="501">
        <v>7402.55</v>
      </c>
      <c r="R43" s="498"/>
      <c r="S43" s="524">
        <v>4603.9999999999991</v>
      </c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</row>
    <row r="44" spans="1:40" ht="15.75" customHeight="1">
      <c r="A44" s="490" t="s">
        <v>250</v>
      </c>
      <c r="B44" s="481" t="s">
        <v>0</v>
      </c>
      <c r="C44" s="565" t="s">
        <v>43</v>
      </c>
      <c r="D44" s="567"/>
      <c r="E44" s="568"/>
      <c r="F44" s="499">
        <v>8208.9839080459769</v>
      </c>
      <c r="G44" s="569"/>
      <c r="H44" s="568"/>
      <c r="I44" s="499"/>
      <c r="J44" s="485"/>
      <c r="K44" s="568"/>
      <c r="L44" s="520">
        <v>11151.24</v>
      </c>
      <c r="M44" s="485"/>
      <c r="N44" s="570">
        <v>2942.2560919540228</v>
      </c>
      <c r="O44" s="485"/>
      <c r="P44" s="568"/>
      <c r="Q44" s="520">
        <v>4747.3100000000004</v>
      </c>
      <c r="R44" s="485"/>
      <c r="S44" s="570">
        <v>6403.9299999999994</v>
      </c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</row>
    <row r="45" spans="1:40" ht="15.75" customHeight="1">
      <c r="A45" s="490" t="s">
        <v>251</v>
      </c>
      <c r="B45" s="481" t="s">
        <v>0</v>
      </c>
      <c r="C45" s="565" t="s">
        <v>44</v>
      </c>
      <c r="D45" s="550"/>
      <c r="E45" s="481"/>
      <c r="F45" s="499">
        <v>0</v>
      </c>
      <c r="G45" s="551"/>
      <c r="H45" s="481"/>
      <c r="I45" s="499"/>
      <c r="J45" s="498"/>
      <c r="K45" s="481"/>
      <c r="L45" s="501">
        <v>0</v>
      </c>
      <c r="M45" s="498"/>
      <c r="N45" s="524">
        <v>0</v>
      </c>
      <c r="O45" s="498"/>
      <c r="P45" s="481"/>
      <c r="Q45" s="501">
        <v>0</v>
      </c>
      <c r="R45" s="498"/>
      <c r="S45" s="524">
        <v>0</v>
      </c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</row>
    <row r="46" spans="1:40" ht="15.75" hidden="1" customHeight="1">
      <c r="A46" s="490" t="s">
        <v>229</v>
      </c>
      <c r="B46" s="481" t="s">
        <v>0</v>
      </c>
      <c r="C46" s="565" t="s">
        <v>20</v>
      </c>
      <c r="D46" s="550"/>
      <c r="E46" s="481"/>
      <c r="F46" s="499">
        <v>0</v>
      </c>
      <c r="G46" s="551"/>
      <c r="H46" s="481"/>
      <c r="I46" s="499"/>
      <c r="J46" s="498"/>
      <c r="K46" s="481"/>
      <c r="L46" s="501">
        <v>0</v>
      </c>
      <c r="M46" s="498"/>
      <c r="N46" s="524">
        <v>0</v>
      </c>
      <c r="O46" s="498"/>
      <c r="P46" s="481"/>
      <c r="Q46" s="501">
        <v>0</v>
      </c>
      <c r="R46" s="498"/>
      <c r="S46" s="524">
        <v>0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</row>
    <row r="47" spans="1:40" ht="15.75" hidden="1" customHeight="1">
      <c r="A47" s="490" t="s">
        <v>229</v>
      </c>
      <c r="B47" s="481" t="s">
        <v>0</v>
      </c>
      <c r="C47" s="565" t="s">
        <v>20</v>
      </c>
      <c r="D47" s="550"/>
      <c r="E47" s="481"/>
      <c r="F47" s="499">
        <v>0</v>
      </c>
      <c r="G47" s="551"/>
      <c r="H47" s="481"/>
      <c r="I47" s="499"/>
      <c r="J47" s="498"/>
      <c r="K47" s="481"/>
      <c r="L47" s="501">
        <v>0</v>
      </c>
      <c r="M47" s="498"/>
      <c r="N47" s="524">
        <v>0</v>
      </c>
      <c r="O47" s="498"/>
      <c r="P47" s="481"/>
      <c r="Q47" s="501">
        <v>0</v>
      </c>
      <c r="R47" s="498"/>
      <c r="S47" s="524">
        <v>0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</row>
    <row r="48" spans="1:40" ht="15.75" hidden="1" customHeight="1">
      <c r="A48" s="490" t="s">
        <v>229</v>
      </c>
      <c r="B48" s="481" t="s">
        <v>0</v>
      </c>
      <c r="C48" s="565" t="s">
        <v>20</v>
      </c>
      <c r="D48" s="550"/>
      <c r="E48" s="481"/>
      <c r="F48" s="499">
        <v>0</v>
      </c>
      <c r="G48" s="551"/>
      <c r="H48" s="481"/>
      <c r="I48" s="499"/>
      <c r="J48" s="498"/>
      <c r="K48" s="481"/>
      <c r="L48" s="501">
        <v>0</v>
      </c>
      <c r="M48" s="498"/>
      <c r="N48" s="524">
        <v>0</v>
      </c>
      <c r="O48" s="498"/>
      <c r="P48" s="481"/>
      <c r="Q48" s="501">
        <v>0</v>
      </c>
      <c r="R48" s="498"/>
      <c r="S48" s="524">
        <v>0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</row>
    <row r="49" spans="1:40" ht="15.75" customHeight="1">
      <c r="A49" s="490" t="s">
        <v>252</v>
      </c>
      <c r="B49" s="481" t="s">
        <v>0</v>
      </c>
      <c r="C49" s="566" t="s">
        <v>45</v>
      </c>
      <c r="D49" s="550"/>
      <c r="E49" s="481"/>
      <c r="F49" s="493">
        <v>11710.770439404941</v>
      </c>
      <c r="G49" s="551"/>
      <c r="H49" s="481"/>
      <c r="I49" s="493"/>
      <c r="J49" s="498"/>
      <c r="K49" s="481"/>
      <c r="L49" s="493">
        <v>6780.38</v>
      </c>
      <c r="M49" s="498"/>
      <c r="N49" s="524">
        <v>-4930.3904394049414</v>
      </c>
      <c r="O49" s="498"/>
      <c r="P49" s="481"/>
      <c r="Q49" s="493">
        <v>15306.49</v>
      </c>
      <c r="R49" s="498"/>
      <c r="S49" s="524">
        <v>-8526.11</v>
      </c>
      <c r="T49" s="481"/>
      <c r="U49" s="481"/>
      <c r="V49" s="481"/>
      <c r="W49" s="481"/>
      <c r="X49" s="478"/>
      <c r="Y49" s="481"/>
      <c r="Z49" s="481"/>
      <c r="AA49" s="481"/>
      <c r="AB49" s="481"/>
      <c r="AC49" s="481"/>
      <c r="AD49" s="481"/>
      <c r="AE49" s="481"/>
      <c r="AF49" s="481"/>
      <c r="AG49" s="481"/>
      <c r="AH49" s="481"/>
      <c r="AI49" s="481"/>
      <c r="AJ49" s="481"/>
      <c r="AK49" s="481"/>
      <c r="AL49" s="481"/>
      <c r="AM49" s="481"/>
      <c r="AN49" s="481"/>
    </row>
    <row r="50" spans="1:40" ht="15.75" customHeight="1">
      <c r="A50" s="490" t="s">
        <v>253</v>
      </c>
      <c r="B50" s="481" t="s">
        <v>0</v>
      </c>
      <c r="C50" s="565" t="s">
        <v>46</v>
      </c>
      <c r="D50" s="567"/>
      <c r="E50" s="568"/>
      <c r="F50" s="499">
        <v>11641.658827536678</v>
      </c>
      <c r="G50" s="569"/>
      <c r="H50" s="568"/>
      <c r="I50" s="499"/>
      <c r="J50" s="485"/>
      <c r="K50" s="568"/>
      <c r="L50" s="501">
        <v>10620.12</v>
      </c>
      <c r="M50" s="485"/>
      <c r="N50" s="570">
        <v>-1021.5388275366768</v>
      </c>
      <c r="O50" s="485"/>
      <c r="P50" s="568"/>
      <c r="Q50" s="501">
        <v>15327.04</v>
      </c>
      <c r="R50" s="485"/>
      <c r="S50" s="570">
        <v>-4706.92</v>
      </c>
      <c r="T50" s="481"/>
      <c r="U50" s="481"/>
      <c r="V50" s="481"/>
      <c r="W50" s="481"/>
      <c r="X50" s="478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481"/>
      <c r="AL50" s="481"/>
      <c r="AM50" s="481"/>
      <c r="AN50" s="481"/>
    </row>
    <row r="51" spans="1:40" ht="15.75" customHeight="1">
      <c r="A51" s="490" t="s">
        <v>254</v>
      </c>
      <c r="B51" s="481" t="s">
        <v>0</v>
      </c>
      <c r="C51" s="565" t="s">
        <v>47</v>
      </c>
      <c r="D51" s="550"/>
      <c r="E51" s="481"/>
      <c r="F51" s="499">
        <v>8152.1651222309829</v>
      </c>
      <c r="G51" s="551"/>
      <c r="H51" s="481"/>
      <c r="I51" s="499"/>
      <c r="J51" s="498"/>
      <c r="K51" s="481"/>
      <c r="L51" s="501">
        <v>5958.04</v>
      </c>
      <c r="M51" s="498"/>
      <c r="N51" s="524">
        <v>-2194.1251222309829</v>
      </c>
      <c r="O51" s="498"/>
      <c r="P51" s="481"/>
      <c r="Q51" s="501">
        <v>7021.56</v>
      </c>
      <c r="R51" s="498"/>
      <c r="S51" s="524">
        <v>-1063.5200000000004</v>
      </c>
      <c r="T51" s="481"/>
      <c r="U51" s="481"/>
      <c r="V51" s="481"/>
      <c r="W51" s="481"/>
      <c r="X51" s="478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481"/>
      <c r="AM51" s="481"/>
      <c r="AN51" s="481"/>
    </row>
    <row r="52" spans="1:40" ht="15.75" customHeight="1">
      <c r="A52" s="490" t="s">
        <v>255</v>
      </c>
      <c r="B52" s="481" t="s">
        <v>0</v>
      </c>
      <c r="C52" s="565" t="s">
        <v>48</v>
      </c>
      <c r="D52" s="550"/>
      <c r="E52" s="481"/>
      <c r="F52" s="499">
        <v>3894.5242530533505</v>
      </c>
      <c r="G52" s="551"/>
      <c r="H52" s="481"/>
      <c r="I52" s="499"/>
      <c r="J52" s="498"/>
      <c r="K52" s="481"/>
      <c r="L52" s="501">
        <v>1830.69</v>
      </c>
      <c r="M52" s="498"/>
      <c r="N52" s="524">
        <v>-2063.8342530533505</v>
      </c>
      <c r="O52" s="498"/>
      <c r="P52" s="481"/>
      <c r="Q52" s="501">
        <v>2399</v>
      </c>
      <c r="R52" s="498"/>
      <c r="S52" s="524">
        <v>-568.30999999999995</v>
      </c>
      <c r="T52" s="481"/>
      <c r="U52" s="481"/>
      <c r="V52" s="481"/>
      <c r="W52" s="481"/>
      <c r="X52" s="478"/>
      <c r="Y52" s="481"/>
      <c r="Z52" s="481"/>
      <c r="AA52" s="481"/>
      <c r="AB52" s="481"/>
      <c r="AC52" s="481"/>
      <c r="AD52" s="481"/>
      <c r="AE52" s="481"/>
      <c r="AF52" s="481"/>
      <c r="AG52" s="481"/>
      <c r="AH52" s="481"/>
      <c r="AI52" s="481"/>
      <c r="AJ52" s="481"/>
      <c r="AK52" s="481"/>
      <c r="AL52" s="481"/>
      <c r="AM52" s="481"/>
      <c r="AN52" s="481"/>
    </row>
    <row r="53" spans="1:40" ht="15.75" hidden="1" customHeight="1">
      <c r="A53" s="490" t="s">
        <v>229</v>
      </c>
      <c r="B53" s="481" t="s">
        <v>0</v>
      </c>
      <c r="C53" s="498" t="s">
        <v>20</v>
      </c>
      <c r="D53" s="552"/>
      <c r="E53" s="571"/>
      <c r="F53" s="499">
        <v>0</v>
      </c>
      <c r="G53" s="553"/>
      <c r="H53" s="571"/>
      <c r="I53" s="499"/>
      <c r="J53" s="491"/>
      <c r="K53" s="571"/>
      <c r="L53" s="501">
        <v>0</v>
      </c>
      <c r="M53" s="491"/>
      <c r="N53" s="547">
        <v>0</v>
      </c>
      <c r="O53" s="491"/>
      <c r="P53" s="571"/>
      <c r="Q53" s="501">
        <v>0</v>
      </c>
      <c r="R53" s="491"/>
      <c r="S53" s="547">
        <v>0</v>
      </c>
      <c r="T53" s="481"/>
      <c r="U53" s="481"/>
      <c r="V53" s="481"/>
      <c r="W53" s="481"/>
      <c r="X53" s="478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481"/>
      <c r="AL53" s="481"/>
      <c r="AM53" s="481"/>
      <c r="AN53" s="481"/>
    </row>
    <row r="54" spans="1:40" ht="15.75" customHeight="1">
      <c r="A54" s="490" t="s">
        <v>256</v>
      </c>
      <c r="B54" s="481" t="s">
        <v>0</v>
      </c>
      <c r="C54" s="557" t="s">
        <v>49</v>
      </c>
      <c r="D54" s="558" t="s">
        <v>39</v>
      </c>
      <c r="E54" s="559">
        <v>0.34314491796512164</v>
      </c>
      <c r="F54" s="560">
        <v>71125.236343375378</v>
      </c>
      <c r="G54" s="561"/>
      <c r="H54" s="559"/>
      <c r="I54" s="560"/>
      <c r="J54" s="561" t="s">
        <v>39</v>
      </c>
      <c r="K54" s="559">
        <v>0.31037682765847219</v>
      </c>
      <c r="L54" s="560">
        <v>62700.66</v>
      </c>
      <c r="M54" s="564"/>
      <c r="N54" s="560">
        <v>-8424.5763433753764</v>
      </c>
      <c r="O54" s="561" t="s">
        <v>39</v>
      </c>
      <c r="P54" s="559">
        <v>0.24642420360095338</v>
      </c>
      <c r="Q54" s="560">
        <v>77091.199999999997</v>
      </c>
      <c r="R54" s="564"/>
      <c r="S54" s="560">
        <v>-14390.540000000003</v>
      </c>
      <c r="T54" s="542"/>
      <c r="U54" s="481"/>
      <c r="V54" s="481"/>
      <c r="W54" s="481"/>
      <c r="X54" s="478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1"/>
      <c r="AK54" s="481"/>
      <c r="AL54" s="481"/>
      <c r="AM54" s="481"/>
      <c r="AN54" s="481"/>
    </row>
    <row r="55" spans="1:40" ht="15.75" hidden="1" customHeight="1">
      <c r="A55" s="490" t="s">
        <v>257</v>
      </c>
      <c r="B55" s="481" t="s">
        <v>0</v>
      </c>
      <c r="C55" s="498" t="s">
        <v>50</v>
      </c>
      <c r="D55" s="550"/>
      <c r="E55" s="481"/>
      <c r="F55" s="499">
        <v>0</v>
      </c>
      <c r="G55" s="551"/>
      <c r="H55" s="481"/>
      <c r="I55" s="499"/>
      <c r="J55" s="498"/>
      <c r="K55" s="481"/>
      <c r="L55" s="501">
        <v>0</v>
      </c>
      <c r="M55" s="498"/>
      <c r="N55" s="524">
        <v>0</v>
      </c>
      <c r="O55" s="498"/>
      <c r="P55" s="481"/>
      <c r="Q55" s="501">
        <v>0</v>
      </c>
      <c r="R55" s="498"/>
      <c r="S55" s="524">
        <v>0</v>
      </c>
      <c r="T55" s="542"/>
      <c r="U55" s="481"/>
      <c r="V55" s="481"/>
      <c r="W55" s="481"/>
      <c r="X55" s="478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</row>
    <row r="56" spans="1:40" ht="15.75" hidden="1" customHeight="1">
      <c r="A56" s="490" t="s">
        <v>258</v>
      </c>
      <c r="B56" s="481" t="s">
        <v>0</v>
      </c>
      <c r="C56" s="498" t="s">
        <v>51</v>
      </c>
      <c r="D56" s="550"/>
      <c r="E56" s="481"/>
      <c r="F56" s="499">
        <v>0</v>
      </c>
      <c r="G56" s="551"/>
      <c r="H56" s="481"/>
      <c r="I56" s="499"/>
      <c r="J56" s="498"/>
      <c r="K56" s="481"/>
      <c r="L56" s="501">
        <v>0</v>
      </c>
      <c r="M56" s="498"/>
      <c r="N56" s="524">
        <v>0</v>
      </c>
      <c r="O56" s="498"/>
      <c r="P56" s="481"/>
      <c r="Q56" s="501">
        <v>0</v>
      </c>
      <c r="R56" s="498"/>
      <c r="S56" s="524">
        <v>0</v>
      </c>
      <c r="T56" s="542"/>
      <c r="U56" s="481"/>
      <c r="V56" s="481"/>
      <c r="W56" s="481"/>
      <c r="X56" s="478"/>
      <c r="Y56" s="481"/>
      <c r="Z56" s="481"/>
      <c r="AA56" s="481"/>
      <c r="AB56" s="481"/>
      <c r="AC56" s="481"/>
      <c r="AD56" s="481"/>
      <c r="AE56" s="481"/>
      <c r="AF56" s="481"/>
      <c r="AG56" s="481"/>
      <c r="AH56" s="481"/>
      <c r="AI56" s="481"/>
      <c r="AJ56" s="481"/>
      <c r="AK56" s="481"/>
      <c r="AL56" s="481"/>
      <c r="AM56" s="481"/>
      <c r="AN56" s="481"/>
    </row>
    <row r="57" spans="1:40" ht="15.75" customHeight="1">
      <c r="A57" s="490" t="s">
        <v>259</v>
      </c>
      <c r="B57" s="481" t="s">
        <v>0</v>
      </c>
      <c r="C57" s="491" t="s">
        <v>52</v>
      </c>
      <c r="D57" s="552"/>
      <c r="E57" s="571"/>
      <c r="F57" s="493">
        <v>7945.833333333333</v>
      </c>
      <c r="G57" s="553"/>
      <c r="H57" s="571"/>
      <c r="I57" s="493"/>
      <c r="J57" s="491"/>
      <c r="K57" s="571"/>
      <c r="L57" s="493">
        <v>2665.34</v>
      </c>
      <c r="M57" s="491"/>
      <c r="N57" s="547">
        <v>-5280.4933333333329</v>
      </c>
      <c r="O57" s="491"/>
      <c r="P57" s="571"/>
      <c r="Q57" s="493">
        <v>7615.92</v>
      </c>
      <c r="R57" s="491"/>
      <c r="S57" s="547">
        <v>-4950.58</v>
      </c>
      <c r="T57" s="572"/>
      <c r="U57" s="481"/>
      <c r="V57" s="481"/>
      <c r="W57" s="481"/>
      <c r="X57" s="478"/>
      <c r="Y57" s="481"/>
      <c r="Z57" s="481"/>
      <c r="AA57" s="481"/>
      <c r="AB57" s="481"/>
      <c r="AC57" s="481"/>
      <c r="AD57" s="481"/>
      <c r="AE57" s="481"/>
      <c r="AF57" s="481"/>
      <c r="AG57" s="481"/>
      <c r="AH57" s="481"/>
      <c r="AI57" s="481"/>
      <c r="AJ57" s="481"/>
      <c r="AK57" s="481"/>
      <c r="AL57" s="481"/>
      <c r="AM57" s="481"/>
      <c r="AN57" s="481"/>
    </row>
    <row r="58" spans="1:40" ht="15.75" customHeight="1">
      <c r="A58" s="490" t="s">
        <v>260</v>
      </c>
      <c r="B58" s="481" t="s">
        <v>0</v>
      </c>
      <c r="C58" s="498" t="s">
        <v>53</v>
      </c>
      <c r="D58" s="550"/>
      <c r="E58" s="481"/>
      <c r="F58" s="499">
        <v>6260.866398666667</v>
      </c>
      <c r="G58" s="551"/>
      <c r="H58" s="481"/>
      <c r="I58" s="499"/>
      <c r="J58" s="498"/>
      <c r="K58" s="481"/>
      <c r="L58" s="501">
        <v>6738.03</v>
      </c>
      <c r="M58" s="498"/>
      <c r="N58" s="524">
        <v>477.16360133333274</v>
      </c>
      <c r="O58" s="498"/>
      <c r="P58" s="481"/>
      <c r="Q58" s="501">
        <v>7197.56</v>
      </c>
      <c r="R58" s="498"/>
      <c r="S58" s="524">
        <v>-459.53000000000065</v>
      </c>
      <c r="T58" s="542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81"/>
      <c r="AF58" s="481"/>
      <c r="AG58" s="481"/>
      <c r="AH58" s="481"/>
      <c r="AI58" s="481"/>
      <c r="AJ58" s="481"/>
      <c r="AK58" s="481"/>
      <c r="AL58" s="481"/>
      <c r="AM58" s="481"/>
      <c r="AN58" s="481"/>
    </row>
    <row r="59" spans="1:40" ht="15.75" customHeight="1">
      <c r="A59" s="490" t="s">
        <v>261</v>
      </c>
      <c r="B59" s="481" t="s">
        <v>0</v>
      </c>
      <c r="C59" s="498" t="s">
        <v>54</v>
      </c>
      <c r="D59" s="550"/>
      <c r="E59" s="481"/>
      <c r="F59" s="499">
        <v>1000.0880446666665</v>
      </c>
      <c r="G59" s="551"/>
      <c r="H59" s="481"/>
      <c r="I59" s="499"/>
      <c r="J59" s="498"/>
      <c r="K59" s="481"/>
      <c r="L59" s="501">
        <v>1465.98</v>
      </c>
      <c r="M59" s="498"/>
      <c r="N59" s="524">
        <v>465.8919553333335</v>
      </c>
      <c r="O59" s="498"/>
      <c r="P59" s="481"/>
      <c r="Q59" s="501">
        <v>1421.01</v>
      </c>
      <c r="R59" s="498"/>
      <c r="S59" s="524">
        <v>44.970000000000027</v>
      </c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481"/>
      <c r="AM59" s="481"/>
      <c r="AN59" s="481"/>
    </row>
    <row r="60" spans="1:40" ht="15.75" customHeight="1">
      <c r="A60" s="490" t="s">
        <v>262</v>
      </c>
      <c r="B60" s="481" t="s">
        <v>0</v>
      </c>
      <c r="C60" s="491" t="s">
        <v>55</v>
      </c>
      <c r="D60" s="552"/>
      <c r="E60" s="571"/>
      <c r="F60" s="493">
        <v>6506.5764977777781</v>
      </c>
      <c r="G60" s="553"/>
      <c r="H60" s="571"/>
      <c r="I60" s="493"/>
      <c r="J60" s="491"/>
      <c r="K60" s="571"/>
      <c r="L60" s="493">
        <v>6269.32</v>
      </c>
      <c r="M60" s="491"/>
      <c r="N60" s="547">
        <v>-237.25649777777835</v>
      </c>
      <c r="O60" s="491"/>
      <c r="P60" s="571"/>
      <c r="Q60" s="493">
        <v>7061.26</v>
      </c>
      <c r="R60" s="491"/>
      <c r="S60" s="547">
        <v>-791.94000000000051</v>
      </c>
      <c r="T60" s="481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81"/>
      <c r="AF60" s="481"/>
      <c r="AG60" s="481"/>
      <c r="AH60" s="481"/>
      <c r="AI60" s="481"/>
      <c r="AJ60" s="481"/>
      <c r="AK60" s="481"/>
      <c r="AL60" s="481"/>
      <c r="AM60" s="481"/>
      <c r="AN60" s="481"/>
    </row>
    <row r="61" spans="1:40" ht="15.75" customHeight="1">
      <c r="A61" s="490" t="s">
        <v>263</v>
      </c>
      <c r="B61" s="481" t="s">
        <v>0</v>
      </c>
      <c r="C61" s="498" t="s">
        <v>56</v>
      </c>
      <c r="D61" s="550"/>
      <c r="E61" s="481"/>
      <c r="F61" s="499">
        <v>124.83089991785656</v>
      </c>
      <c r="G61" s="551"/>
      <c r="H61" s="481"/>
      <c r="I61" s="499"/>
      <c r="J61" s="498"/>
      <c r="K61" s="481"/>
      <c r="L61" s="501">
        <v>0</v>
      </c>
      <c r="M61" s="498"/>
      <c r="N61" s="524">
        <v>-124.83089991785656</v>
      </c>
      <c r="O61" s="498"/>
      <c r="P61" s="481"/>
      <c r="Q61" s="501">
        <v>17.399999999999999</v>
      </c>
      <c r="R61" s="498"/>
      <c r="S61" s="524">
        <v>-17.399999999999999</v>
      </c>
      <c r="T61" s="481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81"/>
      <c r="AF61" s="481"/>
      <c r="AG61" s="481"/>
      <c r="AH61" s="481"/>
      <c r="AI61" s="481"/>
      <c r="AJ61" s="481"/>
      <c r="AK61" s="481"/>
      <c r="AL61" s="481"/>
      <c r="AM61" s="481"/>
      <c r="AN61" s="481"/>
    </row>
    <row r="62" spans="1:40" ht="15.75" customHeight="1">
      <c r="A62" s="490" t="s">
        <v>264</v>
      </c>
      <c r="B62" s="481" t="s">
        <v>0</v>
      </c>
      <c r="C62" s="498" t="s">
        <v>57</v>
      </c>
      <c r="D62" s="550"/>
      <c r="E62" s="481"/>
      <c r="F62" s="499">
        <v>64.46125345154239</v>
      </c>
      <c r="G62" s="551"/>
      <c r="H62" s="481"/>
      <c r="I62" s="499"/>
      <c r="J62" s="498"/>
      <c r="K62" s="481"/>
      <c r="L62" s="501">
        <v>0</v>
      </c>
      <c r="M62" s="498"/>
      <c r="N62" s="524">
        <v>-64.46125345154239</v>
      </c>
      <c r="O62" s="498"/>
      <c r="P62" s="481"/>
      <c r="Q62" s="501">
        <v>0</v>
      </c>
      <c r="R62" s="498"/>
      <c r="S62" s="524">
        <v>0</v>
      </c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481"/>
      <c r="AL62" s="481"/>
      <c r="AM62" s="481"/>
      <c r="AN62" s="481"/>
    </row>
    <row r="63" spans="1:40" ht="15.75" customHeight="1">
      <c r="A63" s="490" t="s">
        <v>265</v>
      </c>
      <c r="B63" s="481" t="s">
        <v>0</v>
      </c>
      <c r="C63" s="498" t="s">
        <v>58</v>
      </c>
      <c r="D63" s="550"/>
      <c r="E63" s="481"/>
      <c r="F63" s="499">
        <v>763.45103519999975</v>
      </c>
      <c r="G63" s="551"/>
      <c r="H63" s="481"/>
      <c r="I63" s="499"/>
      <c r="J63" s="498"/>
      <c r="K63" s="481"/>
      <c r="L63" s="501">
        <v>1114.19</v>
      </c>
      <c r="M63" s="498"/>
      <c r="N63" s="524">
        <v>350.7389648000003</v>
      </c>
      <c r="O63" s="498"/>
      <c r="P63" s="481"/>
      <c r="Q63" s="501">
        <v>694.32</v>
      </c>
      <c r="R63" s="498"/>
      <c r="S63" s="524">
        <v>419.87</v>
      </c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481"/>
      <c r="AL63" s="481"/>
      <c r="AM63" s="481"/>
      <c r="AN63" s="481"/>
    </row>
    <row r="64" spans="1:40" ht="15.75" customHeight="1">
      <c r="A64" s="490" t="s">
        <v>266</v>
      </c>
      <c r="B64" s="481" t="s">
        <v>0</v>
      </c>
      <c r="C64" s="498" t="s">
        <v>59</v>
      </c>
      <c r="D64" s="550"/>
      <c r="E64" s="481"/>
      <c r="F64" s="499">
        <v>258.72025015555556</v>
      </c>
      <c r="G64" s="551"/>
      <c r="H64" s="481"/>
      <c r="I64" s="499"/>
      <c r="J64" s="498"/>
      <c r="K64" s="481"/>
      <c r="L64" s="501">
        <v>597.5</v>
      </c>
      <c r="M64" s="498"/>
      <c r="N64" s="524">
        <v>338.77974984444444</v>
      </c>
      <c r="O64" s="498"/>
      <c r="P64" s="481"/>
      <c r="Q64" s="501">
        <v>248.14</v>
      </c>
      <c r="R64" s="498"/>
      <c r="S64" s="524">
        <v>349.36</v>
      </c>
      <c r="T64" s="481"/>
      <c r="U64" s="481"/>
      <c r="V64" s="481"/>
      <c r="W64" s="481"/>
      <c r="X64" s="481"/>
      <c r="Y64" s="481"/>
      <c r="Z64" s="481"/>
      <c r="AA64" s="481"/>
      <c r="AB64" s="481"/>
      <c r="AC64" s="481"/>
      <c r="AD64" s="481"/>
      <c r="AE64" s="481"/>
      <c r="AF64" s="481"/>
      <c r="AG64" s="481"/>
      <c r="AH64" s="481"/>
      <c r="AI64" s="481"/>
      <c r="AJ64" s="481"/>
      <c r="AK64" s="481"/>
      <c r="AL64" s="481"/>
      <c r="AM64" s="481"/>
      <c r="AN64" s="481"/>
    </row>
    <row r="65" spans="1:40" ht="15.75" customHeight="1">
      <c r="A65" s="490" t="s">
        <v>267</v>
      </c>
      <c r="B65" s="481" t="s">
        <v>0</v>
      </c>
      <c r="C65" s="498" t="s">
        <v>60</v>
      </c>
      <c r="D65" s="550"/>
      <c r="E65" s="481"/>
      <c r="F65" s="499">
        <v>123.74429384444443</v>
      </c>
      <c r="G65" s="551"/>
      <c r="H65" s="481"/>
      <c r="I65" s="499"/>
      <c r="J65" s="498"/>
      <c r="K65" s="481"/>
      <c r="L65" s="501">
        <v>103.55</v>
      </c>
      <c r="M65" s="498"/>
      <c r="N65" s="524">
        <v>-20.194293844444431</v>
      </c>
      <c r="O65" s="498"/>
      <c r="P65" s="481"/>
      <c r="Q65" s="501">
        <v>133.59</v>
      </c>
      <c r="R65" s="498"/>
      <c r="S65" s="524">
        <v>-30.040000000000006</v>
      </c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81"/>
      <c r="AF65" s="481"/>
      <c r="AG65" s="481"/>
      <c r="AH65" s="481"/>
      <c r="AI65" s="481"/>
      <c r="AJ65" s="481"/>
      <c r="AK65" s="481"/>
      <c r="AL65" s="481"/>
      <c r="AM65" s="481"/>
      <c r="AN65" s="481"/>
    </row>
    <row r="66" spans="1:40" ht="15.75" customHeight="1">
      <c r="A66" s="490" t="s">
        <v>268</v>
      </c>
      <c r="B66" s="481" t="s">
        <v>0</v>
      </c>
      <c r="C66" s="498" t="s">
        <v>61</v>
      </c>
      <c r="D66" s="550"/>
      <c r="E66" s="481"/>
      <c r="F66" s="499">
        <v>470.18236304444446</v>
      </c>
      <c r="G66" s="551"/>
      <c r="H66" s="481"/>
      <c r="I66" s="499"/>
      <c r="J66" s="498"/>
      <c r="K66" s="481"/>
      <c r="L66" s="501">
        <v>112.7</v>
      </c>
      <c r="M66" s="498"/>
      <c r="N66" s="524">
        <v>-357.48236304444447</v>
      </c>
      <c r="O66" s="498"/>
      <c r="P66" s="481"/>
      <c r="Q66" s="501">
        <v>62.72</v>
      </c>
      <c r="R66" s="498"/>
      <c r="S66" s="524">
        <v>49.980000000000004</v>
      </c>
      <c r="T66" s="481"/>
      <c r="U66" s="481"/>
      <c r="V66" s="481"/>
      <c r="W66" s="481"/>
      <c r="X66" s="481"/>
      <c r="Y66" s="481"/>
      <c r="Z66" s="481"/>
      <c r="AA66" s="481"/>
      <c r="AB66" s="481"/>
      <c r="AC66" s="481"/>
      <c r="AD66" s="481"/>
      <c r="AE66" s="481"/>
      <c r="AF66" s="481"/>
      <c r="AG66" s="481"/>
      <c r="AH66" s="481"/>
      <c r="AI66" s="481"/>
      <c r="AJ66" s="481"/>
      <c r="AK66" s="481"/>
      <c r="AL66" s="481"/>
      <c r="AM66" s="481"/>
      <c r="AN66" s="481"/>
    </row>
    <row r="67" spans="1:40" ht="15.75" customHeight="1">
      <c r="A67" s="490" t="s">
        <v>269</v>
      </c>
      <c r="B67" s="481" t="s">
        <v>0</v>
      </c>
      <c r="C67" s="498" t="s">
        <v>62</v>
      </c>
      <c r="D67" s="550"/>
      <c r="E67" s="481"/>
      <c r="F67" s="499">
        <v>612.74030200304071</v>
      </c>
      <c r="G67" s="551"/>
      <c r="H67" s="481"/>
      <c r="I67" s="499"/>
      <c r="J67" s="498"/>
      <c r="K67" s="481"/>
      <c r="L67" s="501">
        <v>832.06</v>
      </c>
      <c r="M67" s="498"/>
      <c r="N67" s="524">
        <v>219.31969799695923</v>
      </c>
      <c r="O67" s="498"/>
      <c r="P67" s="481"/>
      <c r="Q67" s="501">
        <v>748.54</v>
      </c>
      <c r="R67" s="498"/>
      <c r="S67" s="524">
        <v>83.519999999999982</v>
      </c>
      <c r="T67" s="481"/>
      <c r="X67" s="481"/>
      <c r="Y67" s="481"/>
      <c r="Z67" s="481"/>
      <c r="AA67" s="481"/>
      <c r="AB67" s="481"/>
      <c r="AC67" s="481"/>
      <c r="AD67" s="481"/>
      <c r="AE67" s="481"/>
      <c r="AF67" s="481"/>
      <c r="AG67" s="481"/>
      <c r="AH67" s="481"/>
      <c r="AI67" s="481"/>
      <c r="AJ67" s="481"/>
      <c r="AK67" s="481"/>
      <c r="AL67" s="481"/>
      <c r="AM67" s="481"/>
      <c r="AN67" s="481"/>
    </row>
    <row r="68" spans="1:40" ht="15.75" customHeight="1">
      <c r="A68" s="490" t="s">
        <v>270</v>
      </c>
      <c r="B68" s="481" t="s">
        <v>0</v>
      </c>
      <c r="C68" s="498" t="s">
        <v>63</v>
      </c>
      <c r="D68" s="550"/>
      <c r="E68" s="481"/>
      <c r="F68" s="499">
        <v>1255.4359527195961</v>
      </c>
      <c r="G68" s="551"/>
      <c r="H68" s="481"/>
      <c r="I68" s="499"/>
      <c r="J68" s="498"/>
      <c r="K68" s="481"/>
      <c r="L68" s="501">
        <v>2659.84</v>
      </c>
      <c r="M68" s="498"/>
      <c r="N68" s="524">
        <v>1404.404047280404</v>
      </c>
      <c r="O68" s="498"/>
      <c r="P68" s="481"/>
      <c r="Q68" s="501">
        <v>4087.8269999999998</v>
      </c>
      <c r="R68" s="498"/>
      <c r="S68" s="524">
        <v>-1427.9869999999996</v>
      </c>
      <c r="T68" s="481"/>
      <c r="X68" s="481"/>
      <c r="Y68" s="481"/>
      <c r="Z68" s="481"/>
      <c r="AA68" s="481"/>
      <c r="AB68" s="481"/>
      <c r="AC68" s="481"/>
      <c r="AD68" s="481"/>
      <c r="AE68" s="481"/>
      <c r="AF68" s="481"/>
      <c r="AG68" s="481"/>
      <c r="AH68" s="481"/>
      <c r="AI68" s="481"/>
      <c r="AJ68" s="481"/>
      <c r="AK68" s="481"/>
      <c r="AL68" s="481"/>
      <c r="AM68" s="481"/>
      <c r="AN68" s="481"/>
    </row>
    <row r="69" spans="1:40" ht="15.75" hidden="1" customHeight="1">
      <c r="A69" s="490" t="s">
        <v>229</v>
      </c>
      <c r="B69" s="481" t="s">
        <v>0</v>
      </c>
      <c r="C69" s="498" t="s">
        <v>20</v>
      </c>
      <c r="D69" s="550"/>
      <c r="E69" s="481"/>
      <c r="F69" s="499">
        <v>0</v>
      </c>
      <c r="G69" s="551"/>
      <c r="H69" s="481"/>
      <c r="I69" s="499"/>
      <c r="J69" s="498"/>
      <c r="K69" s="481"/>
      <c r="L69" s="501"/>
      <c r="M69" s="498"/>
      <c r="N69" s="524">
        <v>0</v>
      </c>
      <c r="O69" s="498"/>
      <c r="P69" s="481"/>
      <c r="Q69" s="501">
        <v>0</v>
      </c>
      <c r="R69" s="498"/>
      <c r="S69" s="524">
        <v>0</v>
      </c>
      <c r="T69" s="481"/>
      <c r="X69" s="481"/>
      <c r="Y69" s="481"/>
      <c r="Z69" s="481"/>
      <c r="AA69" s="481"/>
      <c r="AB69" s="481"/>
      <c r="AC69" s="481"/>
      <c r="AD69" s="481"/>
      <c r="AE69" s="481"/>
      <c r="AF69" s="481"/>
      <c r="AG69" s="481"/>
      <c r="AH69" s="481"/>
      <c r="AI69" s="481"/>
      <c r="AJ69" s="481"/>
      <c r="AK69" s="481"/>
      <c r="AL69" s="481"/>
      <c r="AM69" s="481"/>
      <c r="AN69" s="481"/>
    </row>
    <row r="70" spans="1:40" ht="15.75" hidden="1" customHeight="1">
      <c r="A70" s="490" t="s">
        <v>229</v>
      </c>
      <c r="B70" s="481" t="s">
        <v>0</v>
      </c>
      <c r="C70" s="498" t="s">
        <v>20</v>
      </c>
      <c r="D70" s="550"/>
      <c r="E70" s="481"/>
      <c r="F70" s="499">
        <v>0</v>
      </c>
      <c r="G70" s="551"/>
      <c r="H70" s="481"/>
      <c r="I70" s="499"/>
      <c r="J70" s="498"/>
      <c r="K70" s="481"/>
      <c r="L70" s="501">
        <v>0</v>
      </c>
      <c r="M70" s="498"/>
      <c r="N70" s="524">
        <v>0</v>
      </c>
      <c r="O70" s="498"/>
      <c r="P70" s="481"/>
      <c r="Q70" s="501">
        <v>0</v>
      </c>
      <c r="R70" s="498"/>
      <c r="S70" s="524">
        <v>0</v>
      </c>
      <c r="T70" s="481"/>
      <c r="X70" s="481"/>
      <c r="Y70" s="481"/>
      <c r="Z70" s="481"/>
      <c r="AA70" s="481"/>
      <c r="AB70" s="481"/>
      <c r="AC70" s="481"/>
      <c r="AD70" s="481"/>
      <c r="AE70" s="481"/>
      <c r="AF70" s="481"/>
      <c r="AG70" s="481"/>
      <c r="AH70" s="481"/>
      <c r="AI70" s="481"/>
      <c r="AJ70" s="481"/>
      <c r="AK70" s="481"/>
      <c r="AL70" s="481"/>
      <c r="AM70" s="481"/>
      <c r="AN70" s="481"/>
    </row>
    <row r="71" spans="1:40" ht="15.75" hidden="1" customHeight="1">
      <c r="A71" s="490" t="s">
        <v>229</v>
      </c>
      <c r="B71" s="481" t="s">
        <v>0</v>
      </c>
      <c r="C71" s="498" t="s">
        <v>20</v>
      </c>
      <c r="D71" s="550"/>
      <c r="E71" s="481"/>
      <c r="F71" s="499">
        <v>0</v>
      </c>
      <c r="G71" s="551"/>
      <c r="H71" s="481"/>
      <c r="I71" s="499"/>
      <c r="J71" s="498"/>
      <c r="K71" s="481"/>
      <c r="L71" s="501">
        <v>0</v>
      </c>
      <c r="M71" s="498"/>
      <c r="N71" s="524">
        <v>0</v>
      </c>
      <c r="O71" s="498"/>
      <c r="P71" s="481"/>
      <c r="Q71" s="501">
        <v>0</v>
      </c>
      <c r="R71" s="498"/>
      <c r="S71" s="524">
        <v>0</v>
      </c>
      <c r="T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481"/>
      <c r="AL71" s="481"/>
      <c r="AM71" s="481"/>
      <c r="AN71" s="481"/>
    </row>
    <row r="72" spans="1:40" ht="15.75" customHeight="1">
      <c r="A72" s="490" t="s">
        <v>271</v>
      </c>
      <c r="B72" s="481" t="s">
        <v>0</v>
      </c>
      <c r="C72" s="557" t="s">
        <v>64</v>
      </c>
      <c r="D72" s="558" t="s">
        <v>39</v>
      </c>
      <c r="E72" s="559">
        <v>0.12247968055347018</v>
      </c>
      <c r="F72" s="560">
        <v>25386.930624780922</v>
      </c>
      <c r="G72" s="561"/>
      <c r="H72" s="559"/>
      <c r="I72" s="560"/>
      <c r="J72" s="561" t="s">
        <v>39</v>
      </c>
      <c r="K72" s="559">
        <v>0.11166770446279067</v>
      </c>
      <c r="L72" s="560">
        <v>22558.51</v>
      </c>
      <c r="M72" s="564"/>
      <c r="N72" s="560">
        <v>-2828.4206247809257</v>
      </c>
      <c r="O72" s="561" t="s">
        <v>39</v>
      </c>
      <c r="P72" s="559">
        <v>9.3620838679527071E-2</v>
      </c>
      <c r="Q72" s="560">
        <v>29288.287000000004</v>
      </c>
      <c r="R72" s="564"/>
      <c r="S72" s="560">
        <v>-6729.777</v>
      </c>
      <c r="T72" s="481"/>
      <c r="X72" s="481"/>
      <c r="Y72" s="481"/>
      <c r="Z72" s="481"/>
      <c r="AA72" s="481"/>
      <c r="AB72" s="481"/>
      <c r="AC72" s="481"/>
      <c r="AD72" s="481"/>
      <c r="AE72" s="481"/>
      <c r="AF72" s="481"/>
      <c r="AG72" s="481"/>
      <c r="AH72" s="481"/>
      <c r="AI72" s="481"/>
      <c r="AJ72" s="481"/>
      <c r="AK72" s="481"/>
      <c r="AL72" s="481"/>
      <c r="AM72" s="481"/>
      <c r="AN72" s="481"/>
    </row>
    <row r="73" spans="1:40" ht="15.75" customHeight="1">
      <c r="A73" s="490" t="s">
        <v>0</v>
      </c>
      <c r="B73" s="481" t="s">
        <v>0</v>
      </c>
      <c r="C73" s="491"/>
      <c r="D73" s="552"/>
      <c r="E73" s="571"/>
      <c r="F73" s="524"/>
      <c r="G73" s="553"/>
      <c r="H73" s="571"/>
      <c r="I73" s="524"/>
      <c r="J73" s="491"/>
      <c r="K73" s="571"/>
      <c r="L73" s="547"/>
      <c r="M73" s="491"/>
      <c r="N73" s="547"/>
      <c r="O73" s="491"/>
      <c r="P73" s="571"/>
      <c r="Q73" s="547"/>
      <c r="R73" s="491"/>
      <c r="S73" s="547"/>
      <c r="T73" s="481"/>
      <c r="U73" s="481"/>
      <c r="V73" s="481"/>
      <c r="W73" s="481"/>
      <c r="X73" s="481"/>
      <c r="Y73" s="481"/>
      <c r="Z73" s="481"/>
      <c r="AA73" s="481"/>
      <c r="AB73" s="481"/>
      <c r="AC73" s="481"/>
      <c r="AD73" s="481"/>
      <c r="AE73" s="481"/>
      <c r="AF73" s="481"/>
      <c r="AG73" s="481"/>
      <c r="AH73" s="481"/>
      <c r="AI73" s="481"/>
      <c r="AJ73" s="481"/>
      <c r="AK73" s="481"/>
      <c r="AL73" s="481"/>
      <c r="AM73" s="481"/>
      <c r="AN73" s="481"/>
    </row>
    <row r="74" spans="1:40" ht="15.75" customHeight="1">
      <c r="A74" s="490" t="s">
        <v>272</v>
      </c>
      <c r="B74" s="481" t="s">
        <v>0</v>
      </c>
      <c r="C74" s="557" t="s">
        <v>65</v>
      </c>
      <c r="D74" s="558" t="s">
        <v>39</v>
      </c>
      <c r="E74" s="559">
        <v>0.91179061909450398</v>
      </c>
      <c r="F74" s="560">
        <v>188991.06436820622</v>
      </c>
      <c r="G74" s="561"/>
      <c r="H74" s="559"/>
      <c r="I74" s="560"/>
      <c r="J74" s="561" t="s">
        <v>39</v>
      </c>
      <c r="K74" s="559">
        <v>0.78237942469810273</v>
      </c>
      <c r="L74" s="560">
        <v>158052.09000000003</v>
      </c>
      <c r="M74" s="564"/>
      <c r="N74" s="573">
        <v>-30938.974368206196</v>
      </c>
      <c r="O74" s="561" t="s">
        <v>39</v>
      </c>
      <c r="P74" s="559">
        <v>0.62907295884086278</v>
      </c>
      <c r="Q74" s="560">
        <v>196798.80699999997</v>
      </c>
      <c r="R74" s="564"/>
      <c r="S74" s="573">
        <v>-38746.716999999946</v>
      </c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81"/>
      <c r="AF74" s="481"/>
      <c r="AG74" s="481"/>
      <c r="AH74" s="481"/>
      <c r="AI74" s="481"/>
      <c r="AJ74" s="481"/>
      <c r="AK74" s="481"/>
      <c r="AL74" s="481"/>
      <c r="AM74" s="481"/>
      <c r="AN74" s="481"/>
    </row>
    <row r="75" spans="1:40" ht="15.75" customHeight="1">
      <c r="A75" s="490" t="s">
        <v>273</v>
      </c>
      <c r="B75" s="481" t="s">
        <v>0</v>
      </c>
      <c r="C75" s="498" t="s">
        <v>198</v>
      </c>
      <c r="D75" s="550"/>
      <c r="E75" s="481"/>
      <c r="F75" s="499">
        <v>0</v>
      </c>
      <c r="G75" s="551"/>
      <c r="H75" s="481"/>
      <c r="I75" s="499"/>
      <c r="J75" s="498"/>
      <c r="K75" s="481"/>
      <c r="L75" s="501">
        <v>0</v>
      </c>
      <c r="M75" s="498"/>
      <c r="N75" s="524">
        <v>0</v>
      </c>
      <c r="O75" s="498"/>
      <c r="P75" s="481"/>
      <c r="Q75" s="501">
        <v>0</v>
      </c>
      <c r="R75" s="498"/>
      <c r="S75" s="524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1"/>
      <c r="AE75" s="481"/>
      <c r="AF75" s="481"/>
      <c r="AG75" s="481"/>
      <c r="AH75" s="481"/>
      <c r="AI75" s="481"/>
      <c r="AJ75" s="481"/>
      <c r="AK75" s="481"/>
      <c r="AL75" s="481"/>
      <c r="AM75" s="481"/>
      <c r="AN75" s="481"/>
    </row>
    <row r="76" spans="1:40" ht="15.75" customHeight="1">
      <c r="A76" s="490" t="s">
        <v>274</v>
      </c>
      <c r="B76" s="481" t="s">
        <v>0</v>
      </c>
      <c r="C76" s="498" t="s">
        <v>195</v>
      </c>
      <c r="D76" s="550"/>
      <c r="E76" s="481"/>
      <c r="F76" s="499">
        <v>0</v>
      </c>
      <c r="G76" s="551"/>
      <c r="H76" s="481"/>
      <c r="I76" s="499"/>
      <c r="J76" s="498"/>
      <c r="K76" s="481"/>
      <c r="L76" s="501">
        <v>0</v>
      </c>
      <c r="M76" s="498"/>
      <c r="N76" s="524">
        <v>0</v>
      </c>
      <c r="O76" s="498"/>
      <c r="P76" s="481"/>
      <c r="Q76" s="501">
        <v>0</v>
      </c>
      <c r="R76" s="498"/>
      <c r="S76" s="524">
        <v>0</v>
      </c>
      <c r="T76" s="481"/>
      <c r="U76" s="481"/>
      <c r="V76" s="481"/>
      <c r="W76" s="481"/>
      <c r="X76" s="481"/>
      <c r="Y76" s="481"/>
      <c r="Z76" s="481"/>
      <c r="AA76" s="481"/>
      <c r="AB76" s="481"/>
      <c r="AC76" s="481"/>
      <c r="AD76" s="481"/>
      <c r="AE76" s="481"/>
      <c r="AF76" s="481"/>
      <c r="AG76" s="481"/>
      <c r="AH76" s="481"/>
      <c r="AI76" s="481"/>
      <c r="AJ76" s="481"/>
      <c r="AK76" s="481"/>
      <c r="AL76" s="481"/>
      <c r="AM76" s="481"/>
      <c r="AN76" s="481"/>
    </row>
    <row r="77" spans="1:40" ht="15.75" customHeight="1">
      <c r="A77" s="490" t="s">
        <v>275</v>
      </c>
      <c r="B77" s="481" t="s">
        <v>0</v>
      </c>
      <c r="C77" s="498" t="s">
        <v>68</v>
      </c>
      <c r="D77" s="550"/>
      <c r="E77" s="481"/>
      <c r="F77" s="499">
        <v>0</v>
      </c>
      <c r="G77" s="551"/>
      <c r="H77" s="481"/>
      <c r="I77" s="499"/>
      <c r="J77" s="498"/>
      <c r="K77" s="481"/>
      <c r="L77" s="501">
        <v>0</v>
      </c>
      <c r="M77" s="498"/>
      <c r="N77" s="524">
        <v>0</v>
      </c>
      <c r="O77" s="498"/>
      <c r="P77" s="481"/>
      <c r="Q77" s="501">
        <v>0</v>
      </c>
      <c r="R77" s="498"/>
      <c r="S77" s="524">
        <v>0</v>
      </c>
      <c r="T77" s="481"/>
      <c r="U77" s="481"/>
      <c r="V77" s="481"/>
      <c r="W77" s="481"/>
      <c r="X77" s="481"/>
      <c r="Y77" s="481"/>
      <c r="Z77" s="481"/>
      <c r="AA77" s="481"/>
      <c r="AB77" s="481"/>
      <c r="AC77" s="481"/>
      <c r="AD77" s="481"/>
      <c r="AE77" s="481"/>
      <c r="AF77" s="481"/>
      <c r="AG77" s="481"/>
      <c r="AH77" s="481"/>
      <c r="AI77" s="481"/>
      <c r="AJ77" s="481"/>
      <c r="AK77" s="481"/>
      <c r="AL77" s="481"/>
      <c r="AM77" s="481"/>
      <c r="AN77" s="481"/>
    </row>
    <row r="78" spans="1:40" ht="15.75" customHeight="1">
      <c r="A78" s="490" t="s">
        <v>276</v>
      </c>
      <c r="B78" s="481" t="s">
        <v>0</v>
      </c>
      <c r="C78" s="498" t="s">
        <v>69</v>
      </c>
      <c r="D78" s="550"/>
      <c r="E78" s="574">
        <v>1181.3417167759831</v>
      </c>
      <c r="F78" s="499">
        <v>64401.832776833246</v>
      </c>
      <c r="G78" s="551"/>
      <c r="H78" s="481"/>
      <c r="I78" s="499"/>
      <c r="J78" s="498"/>
      <c r="K78" s="574">
        <v>1174.1735294117648</v>
      </c>
      <c r="L78" s="501">
        <v>59882.85</v>
      </c>
      <c r="M78" s="498"/>
      <c r="N78" s="524">
        <v>-4518.982776833247</v>
      </c>
      <c r="O78" s="498"/>
      <c r="P78" s="481"/>
      <c r="Q78" s="501">
        <v>101582.07</v>
      </c>
      <c r="R78" s="498"/>
      <c r="S78" s="524">
        <v>-41699.220000000008</v>
      </c>
      <c r="T78" s="481"/>
      <c r="U78" s="481"/>
      <c r="V78" s="481"/>
      <c r="W78" s="481"/>
      <c r="X78" s="481"/>
      <c r="Y78" s="481"/>
      <c r="Z78" s="481"/>
      <c r="AA78" s="481"/>
      <c r="AB78" s="481"/>
      <c r="AC78" s="481"/>
      <c r="AD78" s="481"/>
      <c r="AE78" s="481"/>
      <c r="AF78" s="481"/>
      <c r="AG78" s="481"/>
      <c r="AH78" s="481"/>
      <c r="AI78" s="481"/>
      <c r="AJ78" s="481"/>
      <c r="AK78" s="481"/>
      <c r="AL78" s="481"/>
      <c r="AM78" s="481"/>
      <c r="AN78" s="481"/>
    </row>
    <row r="79" spans="1:40" ht="15.75" hidden="1" customHeight="1">
      <c r="A79" s="490" t="s">
        <v>229</v>
      </c>
      <c r="B79" s="481" t="s">
        <v>0</v>
      </c>
      <c r="C79" s="498" t="s">
        <v>20</v>
      </c>
      <c r="D79" s="550"/>
      <c r="E79" s="481"/>
      <c r="F79" s="499">
        <v>0</v>
      </c>
      <c r="G79" s="551"/>
      <c r="H79" s="481"/>
      <c r="I79" s="499"/>
      <c r="J79" s="498"/>
      <c r="K79" s="481"/>
      <c r="L79" s="501">
        <v>0</v>
      </c>
      <c r="M79" s="498"/>
      <c r="N79" s="524">
        <v>0</v>
      </c>
      <c r="O79" s="498"/>
      <c r="P79" s="481"/>
      <c r="Q79" s="501">
        <v>0</v>
      </c>
      <c r="R79" s="498"/>
      <c r="S79" s="524">
        <v>0</v>
      </c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481"/>
      <c r="AM79" s="481"/>
      <c r="AN79" s="481"/>
    </row>
    <row r="80" spans="1:40" ht="15.75" hidden="1" customHeight="1">
      <c r="A80" s="490" t="s">
        <v>229</v>
      </c>
      <c r="B80" s="481" t="s">
        <v>0</v>
      </c>
      <c r="C80" s="498" t="s">
        <v>20</v>
      </c>
      <c r="D80" s="550"/>
      <c r="E80" s="481"/>
      <c r="F80" s="499">
        <v>0</v>
      </c>
      <c r="G80" s="551"/>
      <c r="H80" s="481"/>
      <c r="I80" s="499"/>
      <c r="J80" s="498"/>
      <c r="K80" s="481"/>
      <c r="L80" s="501">
        <v>0</v>
      </c>
      <c r="M80" s="498"/>
      <c r="N80" s="524">
        <v>0</v>
      </c>
      <c r="O80" s="498"/>
      <c r="P80" s="481"/>
      <c r="Q80" s="501">
        <v>0</v>
      </c>
      <c r="R80" s="498"/>
      <c r="S80" s="524">
        <v>0</v>
      </c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81"/>
      <c r="AF80" s="481"/>
      <c r="AG80" s="481"/>
      <c r="AH80" s="481"/>
      <c r="AI80" s="481"/>
      <c r="AJ80" s="481"/>
      <c r="AK80" s="481"/>
      <c r="AL80" s="481"/>
      <c r="AM80" s="481"/>
      <c r="AN80" s="481"/>
    </row>
    <row r="81" spans="1:40" ht="15.75" hidden="1" customHeight="1">
      <c r="A81" s="490" t="s">
        <v>229</v>
      </c>
      <c r="B81" s="481" t="s">
        <v>0</v>
      </c>
      <c r="C81" s="498" t="s">
        <v>20</v>
      </c>
      <c r="D81" s="550"/>
      <c r="E81" s="481"/>
      <c r="F81" s="499">
        <v>0</v>
      </c>
      <c r="G81" s="551"/>
      <c r="H81" s="481"/>
      <c r="I81" s="499"/>
      <c r="J81" s="498"/>
      <c r="K81" s="481"/>
      <c r="L81" s="501">
        <v>0</v>
      </c>
      <c r="M81" s="498"/>
      <c r="N81" s="524">
        <v>0</v>
      </c>
      <c r="O81" s="498"/>
      <c r="P81" s="481"/>
      <c r="Q81" s="501">
        <v>0</v>
      </c>
      <c r="R81" s="498"/>
      <c r="S81" s="524">
        <v>0</v>
      </c>
      <c r="T81" s="481"/>
      <c r="U81" s="481"/>
      <c r="V81" s="481"/>
      <c r="W81" s="481"/>
      <c r="X81" s="481"/>
      <c r="Y81" s="481"/>
      <c r="Z81" s="481"/>
      <c r="AA81" s="481"/>
      <c r="AB81" s="481"/>
      <c r="AC81" s="481"/>
      <c r="AD81" s="481"/>
      <c r="AE81" s="481"/>
      <c r="AF81" s="481"/>
      <c r="AG81" s="481"/>
      <c r="AH81" s="481"/>
      <c r="AI81" s="481"/>
      <c r="AJ81" s="481"/>
      <c r="AK81" s="481"/>
      <c r="AL81" s="481"/>
      <c r="AM81" s="481"/>
      <c r="AN81" s="481"/>
    </row>
    <row r="82" spans="1:40" ht="15.75" customHeight="1">
      <c r="A82" s="575" t="s">
        <v>277</v>
      </c>
      <c r="B82" s="576" t="s">
        <v>0</v>
      </c>
      <c r="C82" s="498" t="s">
        <v>70</v>
      </c>
      <c r="D82" s="550"/>
      <c r="E82" s="481"/>
      <c r="F82" s="499">
        <v>20290.733159040003</v>
      </c>
      <c r="G82" s="551"/>
      <c r="H82" s="481"/>
      <c r="I82" s="499"/>
      <c r="J82" s="577">
        <v>55</v>
      </c>
      <c r="K82" s="578">
        <v>489.4909090909091</v>
      </c>
      <c r="L82" s="501">
        <v>26922</v>
      </c>
      <c r="M82" s="498"/>
      <c r="N82" s="524">
        <v>6631.2668409599974</v>
      </c>
      <c r="O82" s="498"/>
      <c r="P82" s="481"/>
      <c r="Q82" s="501">
        <v>29344</v>
      </c>
      <c r="R82" s="498"/>
      <c r="S82" s="524">
        <v>-2422</v>
      </c>
      <c r="T82" s="481"/>
      <c r="U82" s="481"/>
      <c r="V82" s="481"/>
      <c r="W82" s="481"/>
      <c r="X82" s="481"/>
      <c r="Y82" s="481"/>
      <c r="Z82" s="481"/>
      <c r="AA82" s="481"/>
      <c r="AB82" s="481"/>
      <c r="AC82" s="481"/>
      <c r="AD82" s="481"/>
      <c r="AE82" s="481"/>
      <c r="AF82" s="481"/>
      <c r="AG82" s="481"/>
      <c r="AH82" s="481"/>
      <c r="AI82" s="481"/>
      <c r="AJ82" s="481"/>
      <c r="AK82" s="481"/>
      <c r="AL82" s="481"/>
      <c r="AM82" s="481"/>
      <c r="AN82" s="481"/>
    </row>
    <row r="83" spans="1:40" ht="15.75" customHeight="1">
      <c r="A83" s="490" t="s">
        <v>278</v>
      </c>
      <c r="B83" s="481" t="s">
        <v>0</v>
      </c>
      <c r="C83" s="557" t="s">
        <v>71</v>
      </c>
      <c r="D83" s="558"/>
      <c r="E83" s="559"/>
      <c r="F83" s="560">
        <v>84692.565935873252</v>
      </c>
      <c r="G83" s="561"/>
      <c r="H83" s="559"/>
      <c r="I83" s="560"/>
      <c r="J83" s="561"/>
      <c r="K83" s="559"/>
      <c r="L83" s="560">
        <v>86804.85</v>
      </c>
      <c r="M83" s="564"/>
      <c r="N83" s="560">
        <v>2112.2840641267503</v>
      </c>
      <c r="O83" s="561"/>
      <c r="P83" s="559"/>
      <c r="Q83" s="560">
        <v>130926.07</v>
      </c>
      <c r="R83" s="564"/>
      <c r="S83" s="560">
        <v>-44121.220000000008</v>
      </c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81"/>
      <c r="AF83" s="481"/>
      <c r="AG83" s="481"/>
      <c r="AH83" s="481"/>
      <c r="AI83" s="481"/>
      <c r="AJ83" s="481"/>
      <c r="AK83" s="481"/>
      <c r="AL83" s="481"/>
      <c r="AM83" s="481"/>
      <c r="AN83" s="481"/>
    </row>
    <row r="84" spans="1:40" ht="15.75" customHeight="1">
      <c r="A84" s="490" t="s">
        <v>0</v>
      </c>
      <c r="B84" s="481" t="s">
        <v>0</v>
      </c>
      <c r="C84" s="579"/>
      <c r="D84" s="580"/>
      <c r="E84" s="581"/>
      <c r="F84" s="582"/>
      <c r="G84" s="583"/>
      <c r="H84" s="581"/>
      <c r="I84" s="582"/>
      <c r="J84" s="584"/>
      <c r="K84" s="585"/>
      <c r="L84" s="582"/>
      <c r="M84" s="584"/>
      <c r="N84" s="586"/>
      <c r="O84" s="584"/>
      <c r="P84" s="585"/>
      <c r="Q84" s="582"/>
      <c r="R84" s="584"/>
      <c r="S84" s="586"/>
      <c r="T84" s="481"/>
      <c r="U84" s="481"/>
      <c r="V84" s="481"/>
      <c r="W84" s="481"/>
      <c r="X84" s="481"/>
      <c r="Y84" s="481"/>
      <c r="Z84" s="481"/>
      <c r="AA84" s="481"/>
      <c r="AB84" s="481"/>
      <c r="AC84" s="481"/>
      <c r="AD84" s="481"/>
      <c r="AE84" s="481"/>
      <c r="AF84" s="481"/>
      <c r="AG84" s="481"/>
      <c r="AH84" s="481"/>
      <c r="AI84" s="481"/>
      <c r="AJ84" s="481"/>
      <c r="AK84" s="481"/>
      <c r="AL84" s="481"/>
      <c r="AM84" s="481"/>
      <c r="AN84" s="481"/>
    </row>
    <row r="85" spans="1:40" ht="22.5" customHeight="1" thickBot="1">
      <c r="A85" s="490" t="s">
        <v>279</v>
      </c>
      <c r="B85" s="481" t="s">
        <v>0</v>
      </c>
      <c r="C85" s="587" t="s">
        <v>72</v>
      </c>
      <c r="D85" s="588"/>
      <c r="E85" s="589"/>
      <c r="F85" s="590">
        <v>102976.13283760988</v>
      </c>
      <c r="G85" s="591"/>
      <c r="H85" s="589"/>
      <c r="I85" s="590"/>
      <c r="J85" s="591"/>
      <c r="K85" s="588"/>
      <c r="L85" s="590">
        <v>130767.3899999999</v>
      </c>
      <c r="M85" s="591"/>
      <c r="N85" s="590">
        <v>27791.257162390048</v>
      </c>
      <c r="O85" s="591"/>
      <c r="P85" s="588"/>
      <c r="Q85" s="590">
        <v>246966.66299999965</v>
      </c>
      <c r="R85" s="591"/>
      <c r="S85" s="590">
        <v>-116199.27299999972</v>
      </c>
      <c r="T85" s="481"/>
      <c r="U85" s="481"/>
      <c r="V85" s="481"/>
      <c r="W85" s="481"/>
      <c r="X85" s="481"/>
      <c r="Y85" s="481"/>
      <c r="Z85" s="481"/>
      <c r="AA85" s="481"/>
      <c r="AB85" s="481"/>
      <c r="AC85" s="481"/>
      <c r="AD85" s="481"/>
      <c r="AE85" s="481"/>
      <c r="AF85" s="481"/>
      <c r="AG85" s="481"/>
      <c r="AH85" s="481"/>
      <c r="AI85" s="481"/>
      <c r="AJ85" s="481"/>
      <c r="AK85" s="481"/>
      <c r="AL85" s="481"/>
      <c r="AM85" s="481"/>
      <c r="AN85" s="481"/>
    </row>
    <row r="86" spans="1:40" ht="15.75" customHeight="1" thickTop="1">
      <c r="B86" s="592"/>
      <c r="C86" s="592"/>
      <c r="D86" s="592"/>
      <c r="E86" s="592"/>
      <c r="F86" s="592"/>
      <c r="G86" s="592"/>
      <c r="H86" s="592"/>
      <c r="I86" s="592"/>
      <c r="J86" s="593"/>
      <c r="K86" s="592"/>
      <c r="L86" s="594"/>
      <c r="M86" s="592"/>
      <c r="N86" s="592"/>
      <c r="O86" s="592"/>
      <c r="P86" s="592"/>
      <c r="Q86" s="592"/>
      <c r="R86" s="592"/>
      <c r="S86" s="592"/>
      <c r="T86" s="592"/>
      <c r="U86" s="592"/>
      <c r="V86" s="592"/>
      <c r="W86" s="592"/>
      <c r="X86" s="592"/>
      <c r="Y86" s="592"/>
      <c r="Z86" s="592"/>
      <c r="AA86" s="592"/>
      <c r="AB86" s="592"/>
      <c r="AC86" s="592"/>
      <c r="AD86" s="592"/>
      <c r="AE86" s="592"/>
      <c r="AF86" s="592"/>
      <c r="AG86" s="592"/>
      <c r="AH86" s="592"/>
      <c r="AI86" s="592"/>
      <c r="AJ86" s="592"/>
      <c r="AK86" s="592"/>
      <c r="AL86" s="592"/>
      <c r="AM86" s="592"/>
      <c r="AN86" s="592"/>
    </row>
    <row r="87" spans="1:40" ht="12.75" customHeight="1">
      <c r="B87" s="592"/>
      <c r="C87" s="592"/>
      <c r="D87" s="592"/>
      <c r="E87" s="592"/>
      <c r="F87" s="592"/>
      <c r="G87" s="592"/>
      <c r="H87" s="592"/>
      <c r="I87" s="594"/>
      <c r="J87" s="592"/>
      <c r="K87" s="592"/>
      <c r="L87" s="592"/>
      <c r="M87" s="592"/>
      <c r="N87" s="592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  <c r="AA87" s="592"/>
      <c r="AB87" s="592"/>
      <c r="AC87" s="592"/>
      <c r="AD87" s="592"/>
      <c r="AE87" s="592"/>
      <c r="AF87" s="592"/>
      <c r="AG87" s="592"/>
      <c r="AH87" s="592"/>
      <c r="AI87" s="592"/>
      <c r="AJ87" s="592"/>
      <c r="AK87" s="592"/>
      <c r="AL87" s="592"/>
      <c r="AM87" s="592"/>
      <c r="AN87" s="592"/>
    </row>
    <row r="88" spans="1:40" ht="15.75" hidden="1" customHeight="1">
      <c r="B88" s="475"/>
      <c r="C88" s="478"/>
      <c r="D88" s="478"/>
      <c r="E88" s="478"/>
      <c r="F88" s="478"/>
      <c r="G88" s="478"/>
      <c r="H88" s="478"/>
      <c r="I88" s="478"/>
      <c r="J88" s="478"/>
      <c r="K88" s="478"/>
      <c r="L88" s="478"/>
      <c r="M88" s="478"/>
      <c r="N88" s="478"/>
      <c r="O88" s="478"/>
      <c r="P88" s="478"/>
      <c r="Q88" s="478"/>
      <c r="R88" s="478"/>
      <c r="S88" s="478"/>
      <c r="T88" s="478"/>
      <c r="U88" s="478"/>
    </row>
    <row r="89" spans="1:40" ht="33" customHeight="1">
      <c r="B89" s="467"/>
      <c r="C89" s="595" t="s">
        <v>223</v>
      </c>
      <c r="D89" s="469"/>
      <c r="E89" s="469"/>
      <c r="F89" s="469"/>
      <c r="G89" s="469"/>
      <c r="H89" s="467"/>
      <c r="I89" s="467"/>
      <c r="J89" s="467"/>
      <c r="K89" s="471" t="s">
        <v>73</v>
      </c>
      <c r="L89" s="469"/>
      <c r="M89" s="469"/>
      <c r="N89" s="467"/>
      <c r="O89" s="467"/>
      <c r="P89" s="469"/>
      <c r="Q89" s="467"/>
      <c r="R89" s="469"/>
      <c r="S89" s="596" t="s">
        <v>483</v>
      </c>
      <c r="T89" s="467"/>
      <c r="U89" s="467"/>
      <c r="V89" s="467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467"/>
      <c r="AH89" s="467"/>
      <c r="AI89" s="467"/>
      <c r="AJ89" s="467"/>
      <c r="AK89" s="467"/>
      <c r="AL89" s="467"/>
      <c r="AM89" s="467"/>
      <c r="AN89" s="467"/>
    </row>
    <row r="90" spans="1:40" ht="15.75" customHeight="1" thickBot="1">
      <c r="B90" s="475"/>
      <c r="C90" s="476"/>
      <c r="D90" s="478"/>
      <c r="E90" s="478"/>
      <c r="F90" s="478"/>
      <c r="G90" s="478"/>
      <c r="H90" s="478"/>
      <c r="I90" s="478"/>
      <c r="J90" s="478"/>
      <c r="K90" s="478"/>
      <c r="L90" s="478"/>
      <c r="M90" s="478"/>
      <c r="N90" s="478"/>
      <c r="O90" s="478"/>
      <c r="P90" s="478"/>
      <c r="Q90" s="478"/>
      <c r="R90" s="478"/>
      <c r="S90" s="478"/>
      <c r="T90" s="478"/>
      <c r="U90" s="478"/>
    </row>
    <row r="91" spans="1:40" ht="15.75" customHeight="1" thickTop="1">
      <c r="B91" s="481"/>
      <c r="C91" s="482"/>
      <c r="D91" s="864" t="s">
        <v>5</v>
      </c>
      <c r="E91" s="865"/>
      <c r="F91" s="866"/>
      <c r="G91" s="867"/>
      <c r="H91" s="865"/>
      <c r="I91" s="866"/>
      <c r="J91" s="867" t="s">
        <v>7</v>
      </c>
      <c r="K91" s="865"/>
      <c r="L91" s="866"/>
      <c r="M91" s="867" t="s">
        <v>472</v>
      </c>
      <c r="N91" s="866"/>
      <c r="O91" s="864" t="s">
        <v>9</v>
      </c>
      <c r="P91" s="865"/>
      <c r="Q91" s="866"/>
      <c r="R91" s="867" t="s">
        <v>473</v>
      </c>
      <c r="S91" s="866"/>
      <c r="T91" s="481"/>
      <c r="U91" s="481"/>
      <c r="V91" s="481"/>
      <c r="W91" s="481"/>
      <c r="X91" s="481"/>
      <c r="Y91" s="481"/>
      <c r="Z91" s="481"/>
      <c r="AA91" s="481"/>
      <c r="AB91" s="481"/>
      <c r="AC91" s="481"/>
      <c r="AD91" s="481"/>
      <c r="AE91" s="481"/>
      <c r="AF91" s="481"/>
      <c r="AG91" s="481"/>
      <c r="AH91" s="481"/>
      <c r="AI91" s="481"/>
      <c r="AJ91" s="481"/>
      <c r="AK91" s="481"/>
      <c r="AL91" s="481"/>
      <c r="AM91" s="481"/>
      <c r="AN91" s="481"/>
    </row>
    <row r="92" spans="1:40" ht="15.75" customHeight="1">
      <c r="B92" s="481"/>
      <c r="C92" s="498"/>
      <c r="D92" s="486" t="s">
        <v>474</v>
      </c>
      <c r="E92" s="487" t="s">
        <v>12</v>
      </c>
      <c r="F92" s="488" t="s">
        <v>13</v>
      </c>
      <c r="G92" s="489"/>
      <c r="H92" s="487"/>
      <c r="I92" s="488"/>
      <c r="J92" s="489" t="s">
        <v>474</v>
      </c>
      <c r="K92" s="487" t="s">
        <v>14</v>
      </c>
      <c r="L92" s="488" t="s">
        <v>13</v>
      </c>
      <c r="M92" s="489" t="s">
        <v>474</v>
      </c>
      <c r="N92" s="488" t="s">
        <v>13</v>
      </c>
      <c r="O92" s="487" t="s">
        <v>474</v>
      </c>
      <c r="P92" s="487" t="s">
        <v>14</v>
      </c>
      <c r="Q92" s="488" t="s">
        <v>13</v>
      </c>
      <c r="R92" s="489" t="s">
        <v>474</v>
      </c>
      <c r="S92" s="488" t="s">
        <v>13</v>
      </c>
      <c r="T92" s="481"/>
      <c r="U92" s="481"/>
      <c r="V92" s="481"/>
      <c r="W92" s="481"/>
      <c r="X92" s="481"/>
      <c r="Y92" s="481"/>
      <c r="Z92" s="481"/>
      <c r="AA92" s="481"/>
      <c r="AB92" s="481"/>
      <c r="AC92" s="481"/>
      <c r="AD92" s="481"/>
      <c r="AE92" s="481"/>
      <c r="AF92" s="481"/>
      <c r="AG92" s="481"/>
      <c r="AH92" s="481"/>
      <c r="AI92" s="481"/>
      <c r="AJ92" s="481"/>
      <c r="AK92" s="481"/>
      <c r="AL92" s="481"/>
      <c r="AM92" s="481"/>
      <c r="AN92" s="481"/>
    </row>
    <row r="93" spans="1:40" ht="24" customHeight="1">
      <c r="A93" s="490" t="s">
        <v>280</v>
      </c>
      <c r="B93" s="481" t="s">
        <v>73</v>
      </c>
      <c r="C93" s="491" t="s">
        <v>15</v>
      </c>
      <c r="D93" s="495"/>
      <c r="E93" s="495"/>
      <c r="F93" s="493">
        <v>1671360.7532164184</v>
      </c>
      <c r="G93" s="512"/>
      <c r="H93" s="495"/>
      <c r="I93" s="493"/>
      <c r="J93" s="491"/>
      <c r="K93" s="495"/>
      <c r="L93" s="493">
        <v>1894182.16</v>
      </c>
      <c r="M93" s="597"/>
      <c r="N93" s="598"/>
      <c r="O93" s="491"/>
      <c r="P93" s="495"/>
      <c r="Q93" s="493">
        <v>1707858.5</v>
      </c>
      <c r="R93" s="597"/>
      <c r="S93" s="598"/>
      <c r="T93" s="481"/>
      <c r="U93" s="481"/>
      <c r="V93" s="481"/>
      <c r="W93" s="481"/>
      <c r="X93" s="481"/>
      <c r="Y93" s="481"/>
      <c r="Z93" s="481"/>
      <c r="AA93" s="481"/>
      <c r="AB93" s="481"/>
      <c r="AC93" s="481"/>
      <c r="AD93" s="481"/>
      <c r="AE93" s="481"/>
      <c r="AF93" s="481"/>
      <c r="AG93" s="481"/>
      <c r="AH93" s="481"/>
      <c r="AI93" s="481"/>
      <c r="AJ93" s="481"/>
      <c r="AK93" s="481"/>
      <c r="AL93" s="481"/>
      <c r="AM93" s="481"/>
      <c r="AN93" s="481"/>
    </row>
    <row r="94" spans="1:40" ht="21.75" customHeight="1">
      <c r="A94" s="490" t="s">
        <v>281</v>
      </c>
      <c r="B94" s="481" t="s">
        <v>73</v>
      </c>
      <c r="C94" s="498" t="s">
        <v>75</v>
      </c>
      <c r="D94" s="499">
        <v>40</v>
      </c>
      <c r="E94" s="499">
        <v>1858</v>
      </c>
      <c r="F94" s="499">
        <v>74320</v>
      </c>
      <c r="G94" s="500"/>
      <c r="H94" s="499"/>
      <c r="I94" s="499"/>
      <c r="J94" s="500">
        <v>35</v>
      </c>
      <c r="K94" s="499">
        <v>878.82857142857063</v>
      </c>
      <c r="L94" s="501">
        <v>30758.999999999971</v>
      </c>
      <c r="M94" s="500">
        <v>-5</v>
      </c>
      <c r="N94" s="501">
        <v>-43561.000000000029</v>
      </c>
      <c r="O94" s="500">
        <v>37</v>
      </c>
      <c r="P94" s="499">
        <v>1588.5048648648651</v>
      </c>
      <c r="Q94" s="501">
        <v>58774.680000000008</v>
      </c>
      <c r="R94" s="500">
        <v>-2</v>
      </c>
      <c r="S94" s="501">
        <v>-28015.680000000037</v>
      </c>
      <c r="T94" s="481"/>
      <c r="U94" s="481"/>
      <c r="V94" s="481"/>
      <c r="W94" s="481"/>
      <c r="X94" s="481"/>
      <c r="Y94" s="481"/>
      <c r="Z94" s="481"/>
      <c r="AA94" s="481"/>
      <c r="AB94" s="481"/>
      <c r="AC94" s="481"/>
      <c r="AD94" s="481"/>
      <c r="AE94" s="481"/>
      <c r="AF94" s="481"/>
      <c r="AG94" s="481"/>
      <c r="AH94" s="481"/>
      <c r="AI94" s="481"/>
      <c r="AJ94" s="481"/>
      <c r="AK94" s="481"/>
      <c r="AL94" s="481"/>
      <c r="AM94" s="481"/>
      <c r="AN94" s="481"/>
    </row>
    <row r="95" spans="1:40" ht="18.75" customHeight="1">
      <c r="A95" s="490" t="s">
        <v>282</v>
      </c>
      <c r="B95" s="481" t="s">
        <v>73</v>
      </c>
      <c r="C95" s="498" t="s">
        <v>76</v>
      </c>
      <c r="D95" s="499">
        <v>0</v>
      </c>
      <c r="E95" s="495">
        <v>0</v>
      </c>
      <c r="F95" s="499">
        <v>0</v>
      </c>
      <c r="G95" s="500"/>
      <c r="H95" s="499"/>
      <c r="I95" s="499"/>
      <c r="J95" s="500">
        <v>1</v>
      </c>
      <c r="K95" s="499">
        <v>3601.1</v>
      </c>
      <c r="L95" s="501">
        <v>3601.1</v>
      </c>
      <c r="M95" s="500">
        <v>1</v>
      </c>
      <c r="N95" s="501">
        <v>3601.1</v>
      </c>
      <c r="O95" s="500">
        <v>0</v>
      </c>
      <c r="P95" s="499">
        <v>0</v>
      </c>
      <c r="Q95" s="501">
        <v>0</v>
      </c>
      <c r="R95" s="500">
        <v>1</v>
      </c>
      <c r="S95" s="501">
        <v>3601.1</v>
      </c>
      <c r="T95" s="481"/>
      <c r="U95" s="481"/>
      <c r="V95" s="599"/>
      <c r="W95" s="481"/>
      <c r="X95" s="481"/>
      <c r="Y95" s="481"/>
      <c r="Z95" s="481"/>
      <c r="AA95" s="481"/>
      <c r="AB95" s="481"/>
      <c r="AC95" s="481"/>
      <c r="AD95" s="481"/>
      <c r="AE95" s="481"/>
      <c r="AF95" s="481"/>
      <c r="AG95" s="481"/>
      <c r="AH95" s="481"/>
      <c r="AI95" s="481"/>
      <c r="AJ95" s="481"/>
      <c r="AK95" s="481"/>
      <c r="AL95" s="481"/>
      <c r="AM95" s="481"/>
      <c r="AN95" s="481"/>
    </row>
    <row r="96" spans="1:40" ht="15.75" customHeight="1">
      <c r="A96" s="490" t="s">
        <v>283</v>
      </c>
      <c r="B96" s="481" t="s">
        <v>73</v>
      </c>
      <c r="C96" s="504" t="s">
        <v>77</v>
      </c>
      <c r="D96" s="505">
        <v>40</v>
      </c>
      <c r="E96" s="499">
        <v>1858</v>
      </c>
      <c r="F96" s="506">
        <v>74320</v>
      </c>
      <c r="G96" s="507"/>
      <c r="H96" s="505"/>
      <c r="I96" s="506"/>
      <c r="J96" s="507">
        <v>36</v>
      </c>
      <c r="K96" s="505">
        <v>954.4472222222214</v>
      </c>
      <c r="L96" s="506">
        <v>34360.099999999969</v>
      </c>
      <c r="M96" s="507">
        <v>-4</v>
      </c>
      <c r="N96" s="506">
        <v>-39959.900000000031</v>
      </c>
      <c r="O96" s="507">
        <v>37</v>
      </c>
      <c r="P96" s="505">
        <v>1588.5048648648651</v>
      </c>
      <c r="Q96" s="506">
        <v>58774.680000000008</v>
      </c>
      <c r="R96" s="507">
        <v>-1</v>
      </c>
      <c r="S96" s="506">
        <v>-24414.580000000038</v>
      </c>
      <c r="T96" s="481"/>
      <c r="U96" s="481"/>
      <c r="V96" s="481"/>
      <c r="W96" s="481"/>
      <c r="X96" s="481"/>
      <c r="Y96" s="481"/>
      <c r="Z96" s="481"/>
      <c r="AA96" s="481"/>
      <c r="AB96" s="481"/>
      <c r="AC96" s="542"/>
      <c r="AD96" s="481"/>
      <c r="AE96" s="481"/>
      <c r="AF96" s="542"/>
      <c r="AG96" s="481"/>
      <c r="AH96" s="481"/>
      <c r="AI96" s="481"/>
      <c r="AJ96" s="481"/>
      <c r="AK96" s="481"/>
      <c r="AL96" s="481"/>
      <c r="AM96" s="481"/>
      <c r="AN96" s="481"/>
    </row>
    <row r="97" spans="1:40" ht="15.75" customHeight="1">
      <c r="A97" s="490" t="s">
        <v>73</v>
      </c>
      <c r="B97" s="481" t="s">
        <v>73</v>
      </c>
      <c r="C97" s="498"/>
      <c r="D97" s="481"/>
      <c r="E97" s="499">
        <v>0</v>
      </c>
      <c r="F97" s="508"/>
      <c r="G97" s="498"/>
      <c r="H97" s="481"/>
      <c r="I97" s="508"/>
      <c r="J97" s="498"/>
      <c r="K97" s="481"/>
      <c r="L97" s="508"/>
      <c r="M97" s="600">
        <v>-0.1</v>
      </c>
      <c r="N97" s="601">
        <v>-0.53767357373519953</v>
      </c>
      <c r="O97" s="498"/>
      <c r="P97" s="481"/>
      <c r="Q97" s="508"/>
      <c r="R97" s="600">
        <v>-2.7027027027027029E-2</v>
      </c>
      <c r="S97" s="601">
        <v>-0.41539281881245521</v>
      </c>
      <c r="T97" s="481"/>
      <c r="U97" s="481"/>
      <c r="V97" s="481"/>
      <c r="W97" s="481"/>
      <c r="X97" s="481"/>
      <c r="Y97" s="481"/>
      <c r="Z97" s="481"/>
      <c r="AA97" s="481"/>
      <c r="AB97" s="481"/>
      <c r="AC97" s="481"/>
      <c r="AD97" s="481"/>
      <c r="AE97" s="481"/>
      <c r="AF97" s="481"/>
      <c r="AG97" s="481"/>
      <c r="AH97" s="481"/>
      <c r="AI97" s="481"/>
      <c r="AJ97" s="481"/>
      <c r="AK97" s="481"/>
      <c r="AL97" s="481"/>
      <c r="AM97" s="481"/>
      <c r="AN97" s="481"/>
    </row>
    <row r="98" spans="1:40" ht="15.75" customHeight="1">
      <c r="A98" s="490" t="s">
        <v>284</v>
      </c>
      <c r="B98" s="481" t="s">
        <v>73</v>
      </c>
      <c r="C98" s="498" t="s">
        <v>194</v>
      </c>
      <c r="D98" s="499"/>
      <c r="E98" s="499"/>
      <c r="F98" s="499"/>
      <c r="G98" s="500"/>
      <c r="H98" s="499"/>
      <c r="I98" s="499"/>
      <c r="J98" s="500"/>
      <c r="K98" s="499"/>
      <c r="L98" s="501"/>
      <c r="M98" s="500"/>
      <c r="N98" s="501"/>
      <c r="O98" s="500"/>
      <c r="P98" s="499"/>
      <c r="Q98" s="501"/>
      <c r="R98" s="500"/>
      <c r="S98" s="501"/>
      <c r="T98" s="481"/>
      <c r="U98" s="481"/>
      <c r="V98" s="481"/>
      <c r="W98" s="499"/>
      <c r="X98" s="499"/>
      <c r="Y98" s="481"/>
      <c r="Z98" s="481"/>
      <c r="AA98" s="481"/>
      <c r="AB98" s="481"/>
      <c r="AC98" s="481"/>
      <c r="AD98" s="481"/>
      <c r="AE98" s="481"/>
      <c r="AF98" s="481"/>
      <c r="AG98" s="481"/>
      <c r="AH98" s="481"/>
      <c r="AI98" s="481"/>
      <c r="AJ98" s="481"/>
      <c r="AK98" s="481"/>
      <c r="AL98" s="481"/>
      <c r="AM98" s="481"/>
      <c r="AN98" s="481"/>
    </row>
    <row r="99" spans="1:40" ht="15.75" customHeight="1">
      <c r="A99" s="490" t="s">
        <v>285</v>
      </c>
      <c r="B99" s="481" t="s">
        <v>73</v>
      </c>
      <c r="C99" s="498" t="s">
        <v>78</v>
      </c>
      <c r="D99" s="499">
        <v>33.846153846153847</v>
      </c>
      <c r="E99" s="499">
        <v>399</v>
      </c>
      <c r="F99" s="499">
        <v>13504.615384615385</v>
      </c>
      <c r="G99" s="500"/>
      <c r="H99" s="499"/>
      <c r="I99" s="499"/>
      <c r="J99" s="500">
        <v>38</v>
      </c>
      <c r="K99" s="499">
        <v>-4.67789473684235</v>
      </c>
      <c r="L99" s="501">
        <v>-177.76000000000931</v>
      </c>
      <c r="M99" s="500">
        <v>4.1538461538461533</v>
      </c>
      <c r="N99" s="501">
        <v>-13682.375384615394</v>
      </c>
      <c r="O99" s="500">
        <v>39</v>
      </c>
      <c r="P99" s="499">
        <v>330.44384615384757</v>
      </c>
      <c r="Q99" s="501">
        <v>12887.310000000056</v>
      </c>
      <c r="R99" s="500">
        <v>-1</v>
      </c>
      <c r="S99" s="501">
        <v>-13065.070000000065</v>
      </c>
      <c r="T99" s="481"/>
      <c r="U99" s="481"/>
      <c r="V99" s="481"/>
      <c r="W99" s="481"/>
      <c r="X99" s="481"/>
      <c r="Y99" s="481"/>
      <c r="Z99" s="481"/>
      <c r="AA99" s="481"/>
      <c r="AB99" s="481"/>
      <c r="AC99" s="542"/>
      <c r="AD99" s="481"/>
      <c r="AE99" s="481"/>
      <c r="AF99" s="602"/>
      <c r="AG99" s="481"/>
      <c r="AH99" s="481"/>
      <c r="AI99" s="481"/>
      <c r="AJ99" s="481"/>
      <c r="AK99" s="481"/>
      <c r="AL99" s="481"/>
      <c r="AM99" s="481"/>
      <c r="AN99" s="481"/>
    </row>
    <row r="100" spans="1:40" ht="15.75" customHeight="1">
      <c r="A100" s="490" t="s">
        <v>73</v>
      </c>
      <c r="B100" s="481" t="s">
        <v>73</v>
      </c>
      <c r="C100" s="491"/>
      <c r="D100" s="495"/>
      <c r="E100" s="495"/>
      <c r="F100" s="493"/>
      <c r="G100" s="512"/>
      <c r="H100" s="495"/>
      <c r="I100" s="493"/>
      <c r="J100" s="512"/>
      <c r="K100" s="495"/>
      <c r="L100" s="493"/>
      <c r="M100" s="513"/>
      <c r="N100" s="603"/>
      <c r="O100" s="512"/>
      <c r="P100" s="495"/>
      <c r="Q100" s="493"/>
      <c r="R100" s="513"/>
      <c r="S100" s="603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602"/>
      <c r="AG100" s="481"/>
      <c r="AH100" s="481"/>
      <c r="AI100" s="481"/>
      <c r="AJ100" s="481"/>
      <c r="AK100" s="481"/>
      <c r="AL100" s="481"/>
      <c r="AM100" s="481"/>
      <c r="AN100" s="481"/>
    </row>
    <row r="101" spans="1:40" ht="15.75" customHeight="1">
      <c r="A101" s="490" t="s">
        <v>286</v>
      </c>
      <c r="B101" s="481" t="s">
        <v>73</v>
      </c>
      <c r="C101" s="498" t="s">
        <v>25</v>
      </c>
      <c r="D101" s="499">
        <v>0</v>
      </c>
      <c r="E101" s="499">
        <v>0</v>
      </c>
      <c r="F101" s="501">
        <v>20000</v>
      </c>
      <c r="G101" s="500"/>
      <c r="H101" s="499"/>
      <c r="I101" s="499"/>
      <c r="J101" s="500"/>
      <c r="K101" s="499">
        <v>707.17361111111109</v>
      </c>
      <c r="L101" s="501">
        <v>25458.25</v>
      </c>
      <c r="M101" s="500"/>
      <c r="N101" s="501">
        <v>5458.25</v>
      </c>
      <c r="O101" s="500"/>
      <c r="P101" s="499">
        <v>827.65405405405409</v>
      </c>
      <c r="Q101" s="501">
        <v>30623.200000000001</v>
      </c>
      <c r="R101" s="500">
        <v>-707.17361111111109</v>
      </c>
      <c r="S101" s="501">
        <v>-5164.9500000000007</v>
      </c>
      <c r="T101" s="481"/>
      <c r="U101" s="481"/>
      <c r="V101" s="481"/>
      <c r="W101" s="481"/>
      <c r="X101" s="481"/>
      <c r="Y101" s="481"/>
      <c r="Z101" s="481"/>
      <c r="AA101" s="481"/>
      <c r="AB101" s="481"/>
      <c r="AC101" s="481"/>
      <c r="AD101" s="481"/>
      <c r="AE101" s="481"/>
      <c r="AF101" s="481"/>
      <c r="AG101" s="481"/>
      <c r="AH101" s="481"/>
      <c r="AI101" s="481"/>
      <c r="AJ101" s="481"/>
      <c r="AK101" s="481"/>
      <c r="AL101" s="481"/>
      <c r="AM101" s="481"/>
      <c r="AN101" s="481"/>
    </row>
    <row r="102" spans="1:40" ht="15.75" customHeight="1">
      <c r="A102" s="490" t="s">
        <v>287</v>
      </c>
      <c r="B102" s="481" t="s">
        <v>73</v>
      </c>
      <c r="C102" s="498" t="s">
        <v>26</v>
      </c>
      <c r="D102" s="499">
        <v>0</v>
      </c>
      <c r="E102" s="499">
        <v>0</v>
      </c>
      <c r="F102" s="501">
        <v>50000</v>
      </c>
      <c r="G102" s="500"/>
      <c r="H102" s="499"/>
      <c r="I102" s="499"/>
      <c r="J102" s="500"/>
      <c r="K102" s="499">
        <v>1507.8911111111111</v>
      </c>
      <c r="L102" s="501">
        <v>54284.08</v>
      </c>
      <c r="M102" s="500"/>
      <c r="N102" s="501">
        <v>4284.0800000000017</v>
      </c>
      <c r="O102" s="500"/>
      <c r="P102" s="499">
        <v>1416.5567567567566</v>
      </c>
      <c r="Q102" s="501">
        <v>52412.6</v>
      </c>
      <c r="R102" s="500">
        <v>-1507.8911111111111</v>
      </c>
      <c r="S102" s="501">
        <v>1871.4800000000032</v>
      </c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</row>
    <row r="103" spans="1:40" ht="15.75" customHeight="1">
      <c r="A103" s="490" t="s">
        <v>288</v>
      </c>
      <c r="B103" s="481" t="s">
        <v>73</v>
      </c>
      <c r="C103" s="498" t="s">
        <v>27</v>
      </c>
      <c r="D103" s="499">
        <v>0</v>
      </c>
      <c r="E103" s="495">
        <v>0</v>
      </c>
      <c r="F103" s="501">
        <v>14000</v>
      </c>
      <c r="G103" s="500"/>
      <c r="H103" s="495"/>
      <c r="I103" s="499"/>
      <c r="J103" s="500"/>
      <c r="K103" s="495">
        <v>29.091666666666665</v>
      </c>
      <c r="L103" s="501">
        <v>1047.3</v>
      </c>
      <c r="M103" s="512"/>
      <c r="N103" s="501">
        <v>-12952.7</v>
      </c>
      <c r="O103" s="500"/>
      <c r="P103" s="495">
        <v>48.754594594594593</v>
      </c>
      <c r="Q103" s="501">
        <v>1803.92</v>
      </c>
      <c r="R103" s="500">
        <v>-29.091666666666665</v>
      </c>
      <c r="S103" s="501">
        <v>-756.62000000000012</v>
      </c>
      <c r="T103" s="481"/>
      <c r="U103" s="481"/>
      <c r="V103" s="481"/>
      <c r="W103" s="481"/>
      <c r="X103" s="481"/>
      <c r="Y103" s="481"/>
      <c r="Z103" s="481"/>
      <c r="AA103" s="481"/>
      <c r="AB103" s="481"/>
      <c r="AC103" s="481"/>
      <c r="AD103" s="481"/>
      <c r="AE103" s="481"/>
      <c r="AF103" s="481"/>
      <c r="AG103" s="481"/>
      <c r="AH103" s="481"/>
      <c r="AI103" s="481"/>
      <c r="AJ103" s="481"/>
      <c r="AK103" s="481"/>
      <c r="AL103" s="481"/>
      <c r="AM103" s="481"/>
      <c r="AN103" s="481"/>
    </row>
    <row r="104" spans="1:40" ht="15.75" customHeight="1">
      <c r="A104" s="490" t="s">
        <v>289</v>
      </c>
      <c r="B104" s="481" t="s">
        <v>73</v>
      </c>
      <c r="C104" s="504" t="s">
        <v>28</v>
      </c>
      <c r="D104" s="505">
        <v>40</v>
      </c>
      <c r="E104" s="499">
        <v>2100</v>
      </c>
      <c r="F104" s="506">
        <v>84000</v>
      </c>
      <c r="G104" s="507"/>
      <c r="H104" s="505"/>
      <c r="I104" s="506"/>
      <c r="J104" s="507">
        <v>36</v>
      </c>
      <c r="K104" s="505">
        <v>2244.1563888888891</v>
      </c>
      <c r="L104" s="506">
        <v>80789.63</v>
      </c>
      <c r="M104" s="500">
        <v>-4</v>
      </c>
      <c r="N104" s="506">
        <v>-3210.3699999999953</v>
      </c>
      <c r="O104" s="507">
        <v>37</v>
      </c>
      <c r="P104" s="505">
        <v>2292.9654054054054</v>
      </c>
      <c r="Q104" s="506">
        <v>84839.72</v>
      </c>
      <c r="R104" s="521"/>
      <c r="S104" s="506">
        <v>-4050.0899999999965</v>
      </c>
      <c r="T104" s="481"/>
      <c r="U104" s="481"/>
      <c r="V104" s="481"/>
      <c r="W104" s="481"/>
      <c r="X104" s="481"/>
      <c r="Y104" s="481"/>
      <c r="Z104" s="481"/>
      <c r="AA104" s="481"/>
      <c r="AB104" s="481"/>
      <c r="AC104" s="481"/>
      <c r="AD104" s="481"/>
      <c r="AE104" s="481"/>
      <c r="AF104" s="481"/>
      <c r="AG104" s="481"/>
      <c r="AH104" s="481"/>
      <c r="AI104" s="481"/>
      <c r="AJ104" s="481"/>
      <c r="AK104" s="481"/>
      <c r="AL104" s="481"/>
      <c r="AM104" s="481"/>
      <c r="AN104" s="481"/>
    </row>
    <row r="105" spans="1:40" ht="15.75" customHeight="1">
      <c r="A105" s="490" t="s">
        <v>73</v>
      </c>
      <c r="B105" s="481" t="s">
        <v>73</v>
      </c>
      <c r="C105" s="498"/>
      <c r="D105" s="481"/>
      <c r="E105" s="481"/>
      <c r="F105" s="524"/>
      <c r="G105" s="498"/>
      <c r="H105" s="604"/>
      <c r="I105" s="524"/>
      <c r="J105" s="498"/>
      <c r="K105" s="481"/>
      <c r="L105" s="524"/>
      <c r="M105" s="515"/>
      <c r="N105" s="516">
        <v>-3.821869047619042E-2</v>
      </c>
      <c r="O105" s="498"/>
      <c r="P105" s="481"/>
      <c r="Q105" s="524"/>
      <c r="R105" s="525"/>
      <c r="S105" s="516">
        <v>-4.7738134920765847E-2</v>
      </c>
      <c r="T105" s="481"/>
      <c r="U105" s="481"/>
      <c r="V105" s="481"/>
      <c r="W105" s="481"/>
      <c r="X105" s="481"/>
      <c r="Y105" s="481"/>
      <c r="Z105" s="481"/>
      <c r="AA105" s="481"/>
      <c r="AB105" s="481"/>
      <c r="AC105" s="481"/>
      <c r="AD105" s="481"/>
      <c r="AE105" s="481"/>
      <c r="AF105" s="481"/>
      <c r="AG105" s="481"/>
      <c r="AH105" s="481"/>
      <c r="AI105" s="481"/>
      <c r="AJ105" s="481"/>
      <c r="AK105" s="481"/>
      <c r="AL105" s="481"/>
      <c r="AM105" s="481"/>
      <c r="AN105" s="481"/>
    </row>
    <row r="106" spans="1:40" ht="15.75" customHeight="1" thickBot="1">
      <c r="A106" s="490" t="s">
        <v>73</v>
      </c>
      <c r="B106" s="481" t="s">
        <v>73</v>
      </c>
      <c r="C106" s="498"/>
      <c r="D106" s="481"/>
      <c r="E106" s="481"/>
      <c r="F106" s="524"/>
      <c r="G106" s="498"/>
      <c r="H106" s="604"/>
      <c r="I106" s="524"/>
      <c r="J106" s="498"/>
      <c r="K106" s="481"/>
      <c r="L106" s="524"/>
      <c r="M106" s="515"/>
      <c r="N106" s="516"/>
      <c r="O106" s="498"/>
      <c r="P106" s="481"/>
      <c r="Q106" s="524"/>
      <c r="R106" s="525"/>
      <c r="S106" s="516"/>
      <c r="T106" s="481"/>
      <c r="U106" s="481"/>
      <c r="V106" s="481"/>
      <c r="W106" s="481"/>
      <c r="X106" s="481"/>
      <c r="Y106" s="481"/>
      <c r="Z106" s="481"/>
      <c r="AA106" s="481"/>
      <c r="AB106" s="481"/>
      <c r="AC106" s="481"/>
      <c r="AD106" s="481"/>
      <c r="AE106" s="481"/>
      <c r="AF106" s="481"/>
      <c r="AG106" s="481"/>
      <c r="AH106" s="481"/>
      <c r="AI106" s="481"/>
      <c r="AJ106" s="481"/>
      <c r="AK106" s="481"/>
      <c r="AL106" s="481"/>
      <c r="AM106" s="481"/>
      <c r="AN106" s="481"/>
    </row>
    <row r="107" spans="1:40" ht="23.25" customHeight="1" thickTop="1">
      <c r="A107" s="490" t="s">
        <v>290</v>
      </c>
      <c r="B107" s="481" t="s">
        <v>73</v>
      </c>
      <c r="C107" s="526" t="s">
        <v>79</v>
      </c>
      <c r="D107" s="527">
        <v>73.84615384615384</v>
      </c>
      <c r="E107" s="528">
        <v>2326.791666666667</v>
      </c>
      <c r="F107" s="529">
        <v>171824.61538461538</v>
      </c>
      <c r="G107" s="530"/>
      <c r="H107" s="605"/>
      <c r="I107" s="529"/>
      <c r="J107" s="530">
        <v>74</v>
      </c>
      <c r="K107" s="528">
        <v>1553.6752702702699</v>
      </c>
      <c r="L107" s="529">
        <v>114971.96999999997</v>
      </c>
      <c r="M107" s="530">
        <v>0.15384615384616041</v>
      </c>
      <c r="N107" s="529">
        <v>-56852.645384615404</v>
      </c>
      <c r="O107" s="530">
        <v>76</v>
      </c>
      <c r="P107" s="528">
        <v>2059.2330263157905</v>
      </c>
      <c r="Q107" s="529">
        <v>156501.71000000008</v>
      </c>
      <c r="R107" s="530">
        <v>-2</v>
      </c>
      <c r="S107" s="529">
        <v>-41529.740000000107</v>
      </c>
      <c r="T107" s="481"/>
      <c r="U107" s="481"/>
      <c r="V107" s="481"/>
      <c r="W107" s="481"/>
      <c r="X107" s="481"/>
      <c r="Y107" s="481"/>
      <c r="Z107" s="481"/>
      <c r="AA107" s="481"/>
      <c r="AB107" s="481"/>
      <c r="AC107" s="481"/>
      <c r="AD107" s="481"/>
      <c r="AE107" s="481"/>
      <c r="AF107" s="481"/>
      <c r="AG107" s="481"/>
      <c r="AH107" s="481"/>
      <c r="AI107" s="481"/>
      <c r="AJ107" s="481"/>
      <c r="AK107" s="481"/>
      <c r="AL107" s="481"/>
      <c r="AM107" s="481"/>
      <c r="AN107" s="481"/>
    </row>
    <row r="108" spans="1:40" ht="19.5" customHeight="1" thickBot="1">
      <c r="A108" s="490" t="s">
        <v>73</v>
      </c>
      <c r="B108" s="481" t="s">
        <v>73</v>
      </c>
      <c r="C108" s="531"/>
      <c r="D108" s="532"/>
      <c r="E108" s="532"/>
      <c r="F108" s="533"/>
      <c r="G108" s="531"/>
      <c r="H108" s="532"/>
      <c r="I108" s="533"/>
      <c r="J108" s="531"/>
      <c r="K108" s="532"/>
      <c r="L108" s="534">
        <v>0.66912397704278048</v>
      </c>
      <c r="M108" s="535">
        <v>2.0833333333334222E-3</v>
      </c>
      <c r="N108" s="536">
        <v>-0.33087602295721946</v>
      </c>
      <c r="O108" s="531"/>
      <c r="P108" s="532"/>
      <c r="Q108" s="533"/>
      <c r="R108" s="606">
        <v>-38</v>
      </c>
      <c r="S108" s="607">
        <v>-0.26536285130686488</v>
      </c>
      <c r="T108" s="481"/>
      <c r="U108" s="481"/>
      <c r="V108" s="481"/>
      <c r="W108" s="481"/>
      <c r="X108" s="481"/>
      <c r="Y108" s="481"/>
      <c r="Z108" s="481"/>
      <c r="AA108" s="481"/>
      <c r="AB108" s="481"/>
      <c r="AC108" s="481"/>
      <c r="AD108" s="481"/>
      <c r="AE108" s="481"/>
      <c r="AF108" s="481"/>
      <c r="AG108" s="481"/>
      <c r="AH108" s="481"/>
      <c r="AI108" s="481"/>
      <c r="AJ108" s="481"/>
      <c r="AK108" s="481"/>
      <c r="AL108" s="481"/>
      <c r="AM108" s="481"/>
      <c r="AN108" s="481"/>
    </row>
    <row r="109" spans="1:40" ht="15.75" customHeight="1" thickTop="1">
      <c r="A109" s="490" t="s">
        <v>73</v>
      </c>
      <c r="B109" s="481" t="s">
        <v>73</v>
      </c>
      <c r="C109" s="517"/>
      <c r="D109" s="537"/>
      <c r="E109" s="537"/>
      <c r="F109" s="538"/>
      <c r="G109" s="517"/>
      <c r="H109" s="537"/>
      <c r="I109" s="538"/>
      <c r="J109" s="517"/>
      <c r="K109" s="537"/>
      <c r="L109" s="538"/>
      <c r="M109" s="515"/>
      <c r="N109" s="516"/>
      <c r="O109" s="517"/>
      <c r="P109" s="537"/>
      <c r="Q109" s="538"/>
      <c r="R109" s="515"/>
      <c r="S109" s="516"/>
      <c r="T109" s="481"/>
      <c r="U109" s="481"/>
      <c r="V109" s="481"/>
      <c r="W109" s="481"/>
      <c r="X109" s="481"/>
      <c r="Y109" s="481"/>
      <c r="Z109" s="481"/>
      <c r="AA109" s="481"/>
      <c r="AB109" s="481"/>
      <c r="AC109" s="481"/>
      <c r="AD109" s="481"/>
      <c r="AE109" s="481"/>
      <c r="AF109" s="481"/>
      <c r="AG109" s="481"/>
      <c r="AH109" s="481"/>
      <c r="AI109" s="481"/>
      <c r="AJ109" s="481"/>
      <c r="AK109" s="481"/>
      <c r="AL109" s="481"/>
      <c r="AM109" s="481"/>
      <c r="AN109" s="481"/>
    </row>
    <row r="110" spans="1:40" ht="15.75" customHeight="1">
      <c r="A110" s="490" t="s">
        <v>291</v>
      </c>
      <c r="B110" s="481" t="s">
        <v>73</v>
      </c>
      <c r="C110" s="539" t="s">
        <v>30</v>
      </c>
      <c r="D110" s="481"/>
      <c r="E110" s="540"/>
      <c r="F110" s="524"/>
      <c r="G110" s="498"/>
      <c r="H110" s="540"/>
      <c r="I110" s="524"/>
      <c r="J110" s="498"/>
      <c r="K110" s="540"/>
      <c r="L110" s="508"/>
      <c r="M110" s="498"/>
      <c r="N110" s="508"/>
      <c r="O110" s="498"/>
      <c r="P110" s="540"/>
      <c r="Q110" s="508"/>
      <c r="R110" s="498"/>
      <c r="S110" s="508"/>
      <c r="T110" s="481"/>
      <c r="U110" s="481"/>
      <c r="V110" s="481"/>
      <c r="W110" s="481"/>
      <c r="X110" s="481"/>
      <c r="Y110" s="481"/>
      <c r="Z110" s="481"/>
      <c r="AA110" s="481"/>
      <c r="AB110" s="481"/>
      <c r="AC110" s="481"/>
      <c r="AD110" s="481"/>
      <c r="AE110" s="481"/>
      <c r="AF110" s="481"/>
      <c r="AG110" s="481"/>
      <c r="AH110" s="481"/>
      <c r="AI110" s="481"/>
      <c r="AJ110" s="481"/>
      <c r="AK110" s="481"/>
      <c r="AL110" s="481"/>
      <c r="AM110" s="481"/>
      <c r="AN110" s="481"/>
    </row>
    <row r="111" spans="1:40" ht="15.75" customHeight="1">
      <c r="A111" s="490" t="s">
        <v>292</v>
      </c>
      <c r="B111" s="481" t="s">
        <v>73</v>
      </c>
      <c r="C111" s="498" t="s">
        <v>31</v>
      </c>
      <c r="D111" s="608">
        <v>0.31175995694294939</v>
      </c>
      <c r="E111" s="542">
        <v>579.25</v>
      </c>
      <c r="F111" s="499">
        <v>23170</v>
      </c>
      <c r="G111" s="543"/>
      <c r="H111" s="542"/>
      <c r="I111" s="499"/>
      <c r="J111" s="543">
        <v>0.62041204769485592</v>
      </c>
      <c r="K111" s="542">
        <v>592.15055555555546</v>
      </c>
      <c r="L111" s="501">
        <v>21317.42</v>
      </c>
      <c r="M111" s="498"/>
      <c r="N111" s="524">
        <v>-1852.5800000000017</v>
      </c>
      <c r="O111" s="498"/>
      <c r="P111" s="542">
        <v>694.88081081081077</v>
      </c>
      <c r="Q111" s="501">
        <v>25710.59</v>
      </c>
      <c r="R111" s="498"/>
      <c r="S111" s="524">
        <v>-4393.1700000000019</v>
      </c>
      <c r="T111" s="481"/>
      <c r="U111" s="481"/>
      <c r="V111" s="481"/>
      <c r="W111" s="481"/>
      <c r="X111" s="481"/>
      <c r="Y111" s="481"/>
      <c r="Z111" s="481"/>
      <c r="AA111" s="481"/>
      <c r="AB111" s="481"/>
      <c r="AC111" s="481"/>
      <c r="AD111" s="481"/>
      <c r="AE111" s="481"/>
      <c r="AF111" s="481"/>
      <c r="AG111" s="481"/>
      <c r="AH111" s="481"/>
      <c r="AI111" s="481"/>
      <c r="AJ111" s="481"/>
      <c r="AK111" s="481"/>
      <c r="AL111" s="481"/>
      <c r="AM111" s="481"/>
      <c r="AN111" s="481"/>
    </row>
    <row r="112" spans="1:40" ht="15.75" customHeight="1">
      <c r="A112" s="490" t="s">
        <v>293</v>
      </c>
      <c r="B112" s="481" t="s">
        <v>73</v>
      </c>
      <c r="C112" s="491" t="s">
        <v>32</v>
      </c>
      <c r="D112" s="609">
        <v>0.27777777777777779</v>
      </c>
      <c r="E112" s="545">
        <v>630</v>
      </c>
      <c r="F112" s="493">
        <v>25200</v>
      </c>
      <c r="G112" s="546"/>
      <c r="H112" s="545"/>
      <c r="I112" s="493"/>
      <c r="J112" s="546">
        <v>0.27357024026746296</v>
      </c>
      <c r="K112" s="545">
        <v>672.88833333333332</v>
      </c>
      <c r="L112" s="501">
        <v>24223.98</v>
      </c>
      <c r="M112" s="491"/>
      <c r="N112" s="547">
        <v>-976.02000000000044</v>
      </c>
      <c r="O112" s="491"/>
      <c r="P112" s="545">
        <v>743.71675675675681</v>
      </c>
      <c r="Q112" s="501">
        <v>27517.52</v>
      </c>
      <c r="R112" s="491"/>
      <c r="S112" s="547">
        <v>-3293.5400000000009</v>
      </c>
      <c r="T112" s="481"/>
      <c r="U112" s="481"/>
      <c r="V112" s="481"/>
      <c r="W112" s="481"/>
      <c r="X112" s="481"/>
      <c r="Y112" s="481"/>
      <c r="Z112" s="481"/>
      <c r="AA112" s="481"/>
      <c r="AB112" s="481"/>
      <c r="AC112" s="481"/>
      <c r="AD112" s="481"/>
      <c r="AE112" s="481"/>
      <c r="AF112" s="481"/>
      <c r="AG112" s="481"/>
      <c r="AH112" s="481"/>
      <c r="AI112" s="481"/>
      <c r="AJ112" s="481"/>
      <c r="AK112" s="481"/>
      <c r="AL112" s="481"/>
      <c r="AM112" s="481"/>
      <c r="AN112" s="481"/>
    </row>
    <row r="113" spans="1:40" ht="15.75" customHeight="1">
      <c r="A113" s="490" t="s">
        <v>294</v>
      </c>
      <c r="B113" s="481" t="s">
        <v>73</v>
      </c>
      <c r="C113" s="498" t="s">
        <v>33</v>
      </c>
      <c r="D113" s="550"/>
      <c r="E113" s="542">
        <v>43.638219139208324</v>
      </c>
      <c r="F113" s="499">
        <v>1745.528765568333</v>
      </c>
      <c r="G113" s="551"/>
      <c r="H113" s="542"/>
      <c r="I113" s="499"/>
      <c r="J113" s="498"/>
      <c r="K113" s="542">
        <v>2.4216666666666669</v>
      </c>
      <c r="L113" s="520">
        <v>87.18</v>
      </c>
      <c r="M113" s="498"/>
      <c r="N113" s="524">
        <v>-1658.348765568333</v>
      </c>
      <c r="O113" s="498"/>
      <c r="P113" s="542">
        <v>9.9956756756756757</v>
      </c>
      <c r="Q113" s="520">
        <v>369.84</v>
      </c>
      <c r="R113" s="498"/>
      <c r="S113" s="524">
        <v>-282.65999999999997</v>
      </c>
      <c r="T113" s="481"/>
      <c r="U113" s="481"/>
      <c r="V113" s="481"/>
      <c r="W113" s="499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481"/>
      <c r="AL113" s="481"/>
      <c r="AM113" s="481"/>
      <c r="AN113" s="481"/>
    </row>
    <row r="114" spans="1:40" ht="15.75" customHeight="1">
      <c r="A114" s="490" t="s">
        <v>295</v>
      </c>
      <c r="B114" s="481" t="s">
        <v>73</v>
      </c>
      <c r="C114" s="498" t="s">
        <v>34</v>
      </c>
      <c r="D114" s="550"/>
      <c r="E114" s="542">
        <v>15.731566240051018</v>
      </c>
      <c r="F114" s="499">
        <v>629.26264960204071</v>
      </c>
      <c r="G114" s="551"/>
      <c r="H114" s="542"/>
      <c r="I114" s="499"/>
      <c r="J114" s="498"/>
      <c r="K114" s="542">
        <v>4.4291666666666663</v>
      </c>
      <c r="L114" s="501">
        <v>159.44999999999999</v>
      </c>
      <c r="M114" s="498"/>
      <c r="N114" s="524">
        <v>-469.81264960204072</v>
      </c>
      <c r="O114" s="498"/>
      <c r="P114" s="542">
        <v>4.2067567567567572</v>
      </c>
      <c r="Q114" s="501">
        <v>155.65</v>
      </c>
      <c r="R114" s="498"/>
      <c r="S114" s="524">
        <v>3.7999999999999829</v>
      </c>
      <c r="T114" s="481"/>
      <c r="U114" s="481"/>
      <c r="V114" s="481"/>
      <c r="W114" s="499"/>
      <c r="X114" s="481"/>
      <c r="Y114" s="481"/>
      <c r="Z114" s="481"/>
      <c r="AA114" s="481"/>
      <c r="AB114" s="481"/>
      <c r="AC114" s="481"/>
      <c r="AD114" s="481"/>
      <c r="AE114" s="481"/>
      <c r="AF114" s="481"/>
      <c r="AG114" s="481"/>
      <c r="AH114" s="481"/>
      <c r="AI114" s="481"/>
      <c r="AJ114" s="481"/>
      <c r="AK114" s="481"/>
      <c r="AL114" s="481"/>
      <c r="AM114" s="481"/>
      <c r="AN114" s="481"/>
    </row>
    <row r="115" spans="1:40" ht="15.75" customHeight="1">
      <c r="A115" s="490" t="s">
        <v>296</v>
      </c>
      <c r="B115" s="481" t="s">
        <v>73</v>
      </c>
      <c r="C115" s="491" t="s">
        <v>35</v>
      </c>
      <c r="D115" s="552"/>
      <c r="E115" s="545">
        <v>125.42456696334298</v>
      </c>
      <c r="F115" s="493">
        <v>5016.9826785337191</v>
      </c>
      <c r="G115" s="553"/>
      <c r="H115" s="545"/>
      <c r="I115" s="493"/>
      <c r="J115" s="491"/>
      <c r="K115" s="545">
        <v>126.47638888888888</v>
      </c>
      <c r="L115" s="493">
        <v>4553.1499999999996</v>
      </c>
      <c r="M115" s="491"/>
      <c r="N115" s="547">
        <v>-463.83267853371945</v>
      </c>
      <c r="O115" s="491"/>
      <c r="P115" s="545">
        <v>164.03918918918919</v>
      </c>
      <c r="Q115" s="493">
        <v>6069.45</v>
      </c>
      <c r="R115" s="491"/>
      <c r="S115" s="547">
        <v>-1516.3000000000002</v>
      </c>
      <c r="T115" s="481"/>
      <c r="U115" s="542"/>
      <c r="V115" s="481"/>
      <c r="W115" s="499"/>
      <c r="X115" s="481"/>
      <c r="Y115" s="481"/>
      <c r="Z115" s="481"/>
      <c r="AA115" s="481"/>
      <c r="AB115" s="481"/>
      <c r="AC115" s="481"/>
      <c r="AD115" s="481"/>
      <c r="AE115" s="481"/>
      <c r="AF115" s="481"/>
      <c r="AG115" s="481"/>
      <c r="AH115" s="481"/>
      <c r="AI115" s="481"/>
      <c r="AJ115" s="481"/>
      <c r="AK115" s="481"/>
      <c r="AL115" s="481"/>
      <c r="AM115" s="481"/>
      <c r="AN115" s="481"/>
    </row>
    <row r="116" spans="1:40" ht="19.5" customHeight="1">
      <c r="A116" s="490" t="s">
        <v>297</v>
      </c>
      <c r="B116" s="481" t="s">
        <v>73</v>
      </c>
      <c r="C116" s="498" t="s">
        <v>36</v>
      </c>
      <c r="D116" s="550"/>
      <c r="E116" s="542">
        <v>69.006410256410248</v>
      </c>
      <c r="F116" s="499">
        <v>2760.2564102564102</v>
      </c>
      <c r="G116" s="551"/>
      <c r="H116" s="542"/>
      <c r="I116" s="499"/>
      <c r="J116" s="498"/>
      <c r="K116" s="542">
        <v>301.05361111111114</v>
      </c>
      <c r="L116" s="501">
        <v>10837.93</v>
      </c>
      <c r="M116" s="498"/>
      <c r="N116" s="524">
        <v>8077.6735897435901</v>
      </c>
      <c r="O116" s="498"/>
      <c r="P116" s="542">
        <v>199.10702702702702</v>
      </c>
      <c r="Q116" s="501">
        <v>7366.9599999999991</v>
      </c>
      <c r="R116" s="498"/>
      <c r="S116" s="524">
        <v>3470.9700000000012</v>
      </c>
      <c r="T116" s="481"/>
      <c r="U116" s="481"/>
      <c r="V116" s="481"/>
      <c r="W116" s="499"/>
      <c r="Z116" s="481"/>
      <c r="AA116" s="481"/>
      <c r="AB116" s="481"/>
      <c r="AC116" s="481"/>
      <c r="AD116" s="481"/>
      <c r="AE116" s="481"/>
      <c r="AF116" s="481"/>
      <c r="AG116" s="481"/>
      <c r="AH116" s="481"/>
      <c r="AI116" s="481"/>
      <c r="AJ116" s="481"/>
      <c r="AK116" s="481"/>
      <c r="AL116" s="481"/>
      <c r="AM116" s="481"/>
      <c r="AN116" s="481"/>
    </row>
    <row r="117" spans="1:40" ht="15.75" customHeight="1">
      <c r="A117" s="490" t="s">
        <v>298</v>
      </c>
      <c r="B117" s="481" t="s">
        <v>73</v>
      </c>
      <c r="C117" s="498" t="s">
        <v>37</v>
      </c>
      <c r="D117" s="550"/>
      <c r="E117" s="542">
        <v>169.13710410958902</v>
      </c>
      <c r="F117" s="499">
        <v>6765.4841643835607</v>
      </c>
      <c r="G117" s="551"/>
      <c r="H117" s="542"/>
      <c r="I117" s="499"/>
      <c r="J117" s="498"/>
      <c r="K117" s="542">
        <v>201.38499999999999</v>
      </c>
      <c r="L117" s="501">
        <v>7249.86</v>
      </c>
      <c r="M117" s="498"/>
      <c r="N117" s="524">
        <v>484.37583561643896</v>
      </c>
      <c r="O117" s="498"/>
      <c r="P117" s="542">
        <v>104.4645945945946</v>
      </c>
      <c r="Q117" s="501">
        <v>3865.19</v>
      </c>
      <c r="R117" s="498"/>
      <c r="S117" s="524">
        <v>3384.6699999999996</v>
      </c>
      <c r="T117" s="481"/>
      <c r="U117" s="481"/>
      <c r="V117" s="481"/>
      <c r="W117" s="499"/>
      <c r="X117" s="481"/>
      <c r="Y117" s="481"/>
      <c r="Z117" s="481"/>
      <c r="AA117" s="481"/>
      <c r="AB117" s="481"/>
      <c r="AC117" s="481"/>
      <c r="AD117" s="481"/>
      <c r="AE117" s="481"/>
      <c r="AF117" s="481"/>
      <c r="AG117" s="481"/>
      <c r="AH117" s="481"/>
      <c r="AI117" s="481"/>
      <c r="AJ117" s="481"/>
      <c r="AK117" s="481"/>
      <c r="AL117" s="481"/>
      <c r="AM117" s="481"/>
      <c r="AN117" s="481"/>
    </row>
    <row r="118" spans="1:40" ht="15.75" hidden="1" customHeight="1">
      <c r="A118" s="490" t="s">
        <v>299</v>
      </c>
      <c r="B118" s="481" t="s">
        <v>73</v>
      </c>
      <c r="C118" s="498" t="s">
        <v>20</v>
      </c>
      <c r="D118" s="550"/>
      <c r="E118" s="542">
        <v>0</v>
      </c>
      <c r="F118" s="499">
        <v>0</v>
      </c>
      <c r="G118" s="551"/>
      <c r="H118" s="542"/>
      <c r="I118" s="499"/>
      <c r="J118" s="498"/>
      <c r="K118" s="542">
        <v>0</v>
      </c>
      <c r="L118" s="501">
        <v>0</v>
      </c>
      <c r="M118" s="498"/>
      <c r="N118" s="524">
        <v>0</v>
      </c>
      <c r="O118" s="498"/>
      <c r="P118" s="542">
        <v>0</v>
      </c>
      <c r="Q118" s="501">
        <v>0</v>
      </c>
      <c r="R118" s="498"/>
      <c r="S118" s="524">
        <v>0</v>
      </c>
      <c r="T118" s="481"/>
      <c r="U118" s="481"/>
      <c r="V118" s="481"/>
      <c r="W118" s="481"/>
      <c r="X118" s="481"/>
      <c r="Y118" s="481"/>
      <c r="Z118" s="481"/>
      <c r="AA118" s="481"/>
      <c r="AB118" s="481"/>
      <c r="AC118" s="481"/>
      <c r="AD118" s="481"/>
      <c r="AE118" s="481"/>
      <c r="AF118" s="481"/>
      <c r="AG118" s="481"/>
      <c r="AH118" s="481"/>
      <c r="AI118" s="481"/>
      <c r="AJ118" s="481"/>
      <c r="AK118" s="481"/>
      <c r="AL118" s="481"/>
      <c r="AM118" s="481"/>
      <c r="AN118" s="481"/>
    </row>
    <row r="119" spans="1:40" ht="15.75" hidden="1" customHeight="1">
      <c r="A119" s="490" t="s">
        <v>299</v>
      </c>
      <c r="B119" s="481" t="s">
        <v>73</v>
      </c>
      <c r="C119" s="498" t="s">
        <v>20</v>
      </c>
      <c r="D119" s="550"/>
      <c r="E119" s="542">
        <v>0</v>
      </c>
      <c r="F119" s="499">
        <v>0</v>
      </c>
      <c r="G119" s="551"/>
      <c r="H119" s="542"/>
      <c r="I119" s="499"/>
      <c r="J119" s="498"/>
      <c r="K119" s="542">
        <v>0</v>
      </c>
      <c r="L119" s="501">
        <v>0</v>
      </c>
      <c r="M119" s="498"/>
      <c r="N119" s="524">
        <v>0</v>
      </c>
      <c r="O119" s="498"/>
      <c r="P119" s="542">
        <v>0</v>
      </c>
      <c r="Q119" s="501">
        <v>0</v>
      </c>
      <c r="R119" s="498"/>
      <c r="S119" s="524">
        <v>0</v>
      </c>
      <c r="T119" s="481"/>
      <c r="U119" s="481"/>
      <c r="V119" s="481"/>
      <c r="W119" s="481"/>
      <c r="X119" s="481"/>
      <c r="Y119" s="481"/>
      <c r="Z119" s="481"/>
      <c r="AA119" s="481"/>
      <c r="AB119" s="481"/>
      <c r="AC119" s="481"/>
      <c r="AD119" s="481"/>
      <c r="AE119" s="481"/>
      <c r="AF119" s="481"/>
      <c r="AG119" s="481"/>
      <c r="AH119" s="481"/>
      <c r="AI119" s="481"/>
      <c r="AJ119" s="481"/>
      <c r="AK119" s="481"/>
      <c r="AL119" s="481"/>
      <c r="AM119" s="481"/>
      <c r="AN119" s="481"/>
    </row>
    <row r="120" spans="1:40" ht="15.75" hidden="1" customHeight="1">
      <c r="A120" s="490" t="s">
        <v>299</v>
      </c>
      <c r="B120" s="481" t="s">
        <v>73</v>
      </c>
      <c r="C120" s="498" t="s">
        <v>20</v>
      </c>
      <c r="D120" s="550"/>
      <c r="E120" s="542">
        <v>0</v>
      </c>
      <c r="F120" s="499">
        <v>0</v>
      </c>
      <c r="G120" s="551"/>
      <c r="H120" s="542"/>
      <c r="I120" s="499"/>
      <c r="J120" s="498"/>
      <c r="K120" s="542">
        <v>0</v>
      </c>
      <c r="L120" s="501">
        <v>0</v>
      </c>
      <c r="M120" s="498"/>
      <c r="N120" s="524">
        <v>0</v>
      </c>
      <c r="O120" s="498"/>
      <c r="P120" s="542">
        <v>0</v>
      </c>
      <c r="Q120" s="501">
        <v>0</v>
      </c>
      <c r="R120" s="498"/>
      <c r="S120" s="524">
        <v>0</v>
      </c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</row>
    <row r="121" spans="1:40" ht="15.75" customHeight="1">
      <c r="A121" s="490" t="s">
        <v>300</v>
      </c>
      <c r="B121" s="481" t="s">
        <v>73</v>
      </c>
      <c r="C121" s="557" t="s">
        <v>38</v>
      </c>
      <c r="D121" s="558" t="s">
        <v>39</v>
      </c>
      <c r="E121" s="559">
        <v>0.37996601663971885</v>
      </c>
      <c r="F121" s="560">
        <v>65287.514668344062</v>
      </c>
      <c r="G121" s="561"/>
      <c r="H121" s="559"/>
      <c r="I121" s="560"/>
      <c r="J121" s="561" t="s">
        <v>39</v>
      </c>
      <c r="K121" s="559">
        <v>0.59517959029492151</v>
      </c>
      <c r="L121" s="560">
        <v>68428.969999999987</v>
      </c>
      <c r="M121" s="564"/>
      <c r="N121" s="560">
        <v>3141.455331655925</v>
      </c>
      <c r="O121" s="561" t="s">
        <v>39</v>
      </c>
      <c r="P121" s="559">
        <v>0.45402187618269452</v>
      </c>
      <c r="Q121" s="560">
        <v>71055.199999999997</v>
      </c>
      <c r="R121" s="564"/>
      <c r="S121" s="560">
        <v>-2626.2300000000105</v>
      </c>
      <c r="T121" s="481"/>
      <c r="U121" s="481"/>
      <c r="X121" s="481"/>
      <c r="Y121" s="481"/>
      <c r="Z121" s="481"/>
      <c r="AA121" s="481"/>
      <c r="AB121" s="481"/>
      <c r="AC121" s="481"/>
      <c r="AD121" s="481"/>
      <c r="AE121" s="481"/>
      <c r="AF121" s="481"/>
      <c r="AG121" s="481"/>
      <c r="AH121" s="481"/>
      <c r="AI121" s="481"/>
      <c r="AJ121" s="481"/>
      <c r="AK121" s="481"/>
      <c r="AL121" s="481"/>
      <c r="AM121" s="481"/>
      <c r="AN121" s="481"/>
    </row>
    <row r="122" spans="1:40" ht="15.75" customHeight="1">
      <c r="A122" s="490" t="s">
        <v>301</v>
      </c>
      <c r="B122" s="481" t="s">
        <v>73</v>
      </c>
      <c r="C122" s="565" t="s">
        <v>41</v>
      </c>
      <c r="D122" s="481"/>
      <c r="E122" s="481"/>
      <c r="F122" s="499">
        <v>10057.767432950193</v>
      </c>
      <c r="G122" s="498"/>
      <c r="H122" s="481"/>
      <c r="I122" s="499"/>
      <c r="J122" s="498"/>
      <c r="K122" s="481"/>
      <c r="L122" s="501">
        <v>13011.74</v>
      </c>
      <c r="M122" s="498"/>
      <c r="N122" s="524">
        <v>2953.9725670498065</v>
      </c>
      <c r="O122" s="498"/>
      <c r="P122" s="481"/>
      <c r="Q122" s="501">
        <v>10443.5</v>
      </c>
      <c r="R122" s="498"/>
      <c r="S122" s="524">
        <v>2568.2399999999998</v>
      </c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</row>
    <row r="123" spans="1:40" ht="15.75" customHeight="1">
      <c r="A123" s="490" t="s">
        <v>302</v>
      </c>
      <c r="B123" s="481" t="s">
        <v>73</v>
      </c>
      <c r="C123" s="566" t="s">
        <v>42</v>
      </c>
      <c r="D123" s="550"/>
      <c r="E123" s="481"/>
      <c r="F123" s="493">
        <v>2272.1416091954025</v>
      </c>
      <c r="G123" s="551"/>
      <c r="H123" s="481"/>
      <c r="I123" s="493"/>
      <c r="J123" s="498"/>
      <c r="K123" s="481"/>
      <c r="L123" s="493">
        <v>6264</v>
      </c>
      <c r="M123" s="498"/>
      <c r="N123" s="524">
        <v>3991.8583908045975</v>
      </c>
      <c r="O123" s="498"/>
      <c r="P123" s="481"/>
      <c r="Q123" s="493">
        <v>1645.01</v>
      </c>
      <c r="R123" s="498"/>
      <c r="S123" s="524">
        <v>4618.99</v>
      </c>
      <c r="T123" s="481"/>
      <c r="U123" s="481"/>
      <c r="V123" s="481"/>
      <c r="W123" s="481"/>
      <c r="X123" s="481"/>
      <c r="Y123" s="481"/>
      <c r="Z123" s="481"/>
      <c r="AA123" s="481"/>
      <c r="AB123" s="481"/>
      <c r="AC123" s="481"/>
      <c r="AD123" s="481"/>
      <c r="AE123" s="481"/>
      <c r="AF123" s="481"/>
      <c r="AG123" s="481"/>
      <c r="AH123" s="481"/>
      <c r="AI123" s="481"/>
      <c r="AJ123" s="481"/>
      <c r="AK123" s="481"/>
      <c r="AL123" s="481"/>
      <c r="AM123" s="481"/>
      <c r="AN123" s="481"/>
    </row>
    <row r="124" spans="1:40" ht="15.75" customHeight="1">
      <c r="A124" s="490" t="s">
        <v>303</v>
      </c>
      <c r="B124" s="481" t="s">
        <v>73</v>
      </c>
      <c r="C124" s="565" t="s">
        <v>43</v>
      </c>
      <c r="D124" s="567"/>
      <c r="E124" s="568"/>
      <c r="F124" s="499">
        <v>7779.2674329501933</v>
      </c>
      <c r="G124" s="569"/>
      <c r="H124" s="568"/>
      <c r="I124" s="499"/>
      <c r="J124" s="485"/>
      <c r="K124" s="568"/>
      <c r="L124" s="501">
        <v>12249.22</v>
      </c>
      <c r="M124" s="485"/>
      <c r="N124" s="570">
        <v>4469.952567049806</v>
      </c>
      <c r="O124" s="485"/>
      <c r="P124" s="568"/>
      <c r="Q124" s="501">
        <v>7295.31</v>
      </c>
      <c r="R124" s="485"/>
      <c r="S124" s="570">
        <v>4953.9099999999989</v>
      </c>
      <c r="T124" s="481"/>
      <c r="U124" s="481"/>
      <c r="V124" s="481"/>
      <c r="W124" s="481"/>
      <c r="X124" s="481"/>
      <c r="Y124" s="481"/>
      <c r="Z124" s="481"/>
      <c r="AA124" s="481"/>
      <c r="AB124" s="481"/>
      <c r="AC124" s="481"/>
      <c r="AD124" s="481"/>
      <c r="AE124" s="481"/>
      <c r="AF124" s="481"/>
      <c r="AG124" s="481"/>
      <c r="AH124" s="481"/>
      <c r="AI124" s="481"/>
      <c r="AJ124" s="481"/>
      <c r="AK124" s="481"/>
      <c r="AL124" s="481"/>
      <c r="AM124" s="481"/>
      <c r="AN124" s="481"/>
    </row>
    <row r="125" spans="1:40" ht="15.75" customHeight="1">
      <c r="A125" s="490" t="s">
        <v>304</v>
      </c>
      <c r="B125" s="481" t="s">
        <v>73</v>
      </c>
      <c r="C125" s="565" t="s">
        <v>44</v>
      </c>
      <c r="D125" s="550"/>
      <c r="E125" s="481"/>
      <c r="F125" s="499">
        <v>0</v>
      </c>
      <c r="G125" s="551"/>
      <c r="H125" s="481"/>
      <c r="I125" s="499"/>
      <c r="J125" s="498"/>
      <c r="K125" s="481"/>
      <c r="L125" s="501">
        <v>0</v>
      </c>
      <c r="M125" s="498"/>
      <c r="N125" s="524">
        <v>0</v>
      </c>
      <c r="O125" s="498"/>
      <c r="P125" s="481"/>
      <c r="Q125" s="501">
        <v>0</v>
      </c>
      <c r="R125" s="498"/>
      <c r="S125" s="524">
        <v>0</v>
      </c>
      <c r="T125" s="481"/>
      <c r="U125" s="481"/>
      <c r="V125" s="481"/>
      <c r="W125" s="481"/>
      <c r="X125" s="481"/>
      <c r="Y125" s="481"/>
      <c r="Z125" s="481"/>
      <c r="AA125" s="481"/>
      <c r="AB125" s="481"/>
      <c r="AC125" s="481"/>
      <c r="AD125" s="481"/>
      <c r="AE125" s="481"/>
      <c r="AF125" s="481"/>
      <c r="AG125" s="481"/>
      <c r="AH125" s="481"/>
      <c r="AI125" s="481"/>
      <c r="AJ125" s="481"/>
      <c r="AK125" s="481"/>
      <c r="AL125" s="481"/>
      <c r="AM125" s="481"/>
      <c r="AN125" s="481"/>
    </row>
    <row r="126" spans="1:40" ht="15.75" hidden="1" customHeight="1">
      <c r="A126" s="490" t="s">
        <v>299</v>
      </c>
      <c r="B126" s="481" t="s">
        <v>73</v>
      </c>
      <c r="C126" s="565" t="s">
        <v>20</v>
      </c>
      <c r="D126" s="550"/>
      <c r="E126" s="481"/>
      <c r="F126" s="499">
        <v>0</v>
      </c>
      <c r="G126" s="551"/>
      <c r="H126" s="481"/>
      <c r="I126" s="499"/>
      <c r="J126" s="498"/>
      <c r="K126" s="481"/>
      <c r="L126" s="501">
        <v>0</v>
      </c>
      <c r="M126" s="498"/>
      <c r="N126" s="524">
        <v>0</v>
      </c>
      <c r="O126" s="498"/>
      <c r="P126" s="481"/>
      <c r="Q126" s="501">
        <v>0</v>
      </c>
      <c r="R126" s="498"/>
      <c r="S126" s="524">
        <v>0</v>
      </c>
      <c r="T126" s="481"/>
      <c r="U126" s="481"/>
      <c r="V126" s="481"/>
      <c r="W126" s="481"/>
      <c r="X126" s="481"/>
      <c r="Y126" s="481"/>
      <c r="Z126" s="481"/>
      <c r="AA126" s="481"/>
      <c r="AB126" s="481"/>
      <c r="AC126" s="481"/>
      <c r="AD126" s="481"/>
      <c r="AE126" s="481"/>
      <c r="AF126" s="481"/>
      <c r="AG126" s="481"/>
      <c r="AH126" s="481"/>
      <c r="AI126" s="481"/>
      <c r="AJ126" s="481"/>
      <c r="AK126" s="481"/>
      <c r="AL126" s="481"/>
      <c r="AM126" s="481"/>
      <c r="AN126" s="481"/>
    </row>
    <row r="127" spans="1:40" ht="15.75" hidden="1" customHeight="1">
      <c r="A127" s="490" t="s">
        <v>299</v>
      </c>
      <c r="B127" s="481" t="s">
        <v>73</v>
      </c>
      <c r="C127" s="565" t="s">
        <v>20</v>
      </c>
      <c r="D127" s="550"/>
      <c r="E127" s="481"/>
      <c r="F127" s="499">
        <v>0</v>
      </c>
      <c r="G127" s="551"/>
      <c r="H127" s="481"/>
      <c r="I127" s="499"/>
      <c r="J127" s="498"/>
      <c r="K127" s="481"/>
      <c r="L127" s="501">
        <v>0</v>
      </c>
      <c r="M127" s="498"/>
      <c r="N127" s="524">
        <v>0</v>
      </c>
      <c r="O127" s="498"/>
      <c r="P127" s="481"/>
      <c r="Q127" s="501">
        <v>0</v>
      </c>
      <c r="R127" s="498"/>
      <c r="S127" s="524">
        <v>0</v>
      </c>
      <c r="T127" s="481"/>
      <c r="U127" s="481"/>
      <c r="V127" s="481"/>
      <c r="W127" s="481"/>
      <c r="X127" s="481"/>
      <c r="Y127" s="481"/>
      <c r="Z127" s="481"/>
      <c r="AA127" s="481"/>
      <c r="AB127" s="481"/>
      <c r="AC127" s="481"/>
      <c r="AD127" s="481"/>
      <c r="AE127" s="481"/>
      <c r="AF127" s="481"/>
      <c r="AG127" s="481"/>
      <c r="AH127" s="481"/>
      <c r="AI127" s="481"/>
      <c r="AJ127" s="481"/>
      <c r="AK127" s="481"/>
      <c r="AL127" s="481"/>
      <c r="AM127" s="481"/>
      <c r="AN127" s="481"/>
    </row>
    <row r="128" spans="1:40" ht="15.75" hidden="1" customHeight="1">
      <c r="A128" s="490" t="s">
        <v>299</v>
      </c>
      <c r="B128" s="481" t="s">
        <v>73</v>
      </c>
      <c r="C128" s="565" t="s">
        <v>20</v>
      </c>
      <c r="D128" s="550"/>
      <c r="E128" s="481"/>
      <c r="F128" s="499">
        <v>0</v>
      </c>
      <c r="G128" s="551"/>
      <c r="H128" s="481"/>
      <c r="I128" s="499"/>
      <c r="J128" s="498"/>
      <c r="K128" s="481"/>
      <c r="L128" s="501">
        <v>0</v>
      </c>
      <c r="M128" s="498"/>
      <c r="N128" s="524">
        <v>0</v>
      </c>
      <c r="O128" s="498"/>
      <c r="P128" s="481"/>
      <c r="Q128" s="501">
        <v>0</v>
      </c>
      <c r="R128" s="498"/>
      <c r="S128" s="524">
        <v>0</v>
      </c>
      <c r="T128" s="481"/>
      <c r="U128" s="481"/>
      <c r="V128" s="481"/>
      <c r="W128" s="481"/>
      <c r="X128" s="481"/>
      <c r="Y128" s="481"/>
      <c r="Z128" s="481"/>
      <c r="AA128" s="481"/>
      <c r="AB128" s="481"/>
      <c r="AC128" s="481"/>
      <c r="AD128" s="481"/>
      <c r="AE128" s="481"/>
      <c r="AF128" s="481"/>
      <c r="AG128" s="481"/>
      <c r="AH128" s="481"/>
      <c r="AI128" s="481"/>
      <c r="AJ128" s="481"/>
      <c r="AK128" s="481"/>
      <c r="AL128" s="481"/>
      <c r="AM128" s="481"/>
      <c r="AN128" s="481"/>
    </row>
    <row r="129" spans="1:40" ht="15.75" customHeight="1">
      <c r="A129" s="490" t="s">
        <v>305</v>
      </c>
      <c r="B129" s="481" t="s">
        <v>73</v>
      </c>
      <c r="C129" s="566" t="s">
        <v>45</v>
      </c>
      <c r="D129" s="550"/>
      <c r="E129" s="481"/>
      <c r="F129" s="499">
        <v>7905.8922480357178</v>
      </c>
      <c r="G129" s="551"/>
      <c r="H129" s="481"/>
      <c r="I129" s="499"/>
      <c r="J129" s="498"/>
      <c r="K129" s="481"/>
      <c r="L129" s="501">
        <v>3209.54</v>
      </c>
      <c r="M129" s="498"/>
      <c r="N129" s="524">
        <v>-4696.3522480357178</v>
      </c>
      <c r="O129" s="498"/>
      <c r="P129" s="481"/>
      <c r="Q129" s="501">
        <v>2800.34</v>
      </c>
      <c r="R129" s="498"/>
      <c r="S129" s="524">
        <v>409.19999999999982</v>
      </c>
      <c r="T129" s="481"/>
      <c r="U129" s="481"/>
      <c r="V129" s="481"/>
      <c r="W129" s="481"/>
      <c r="X129" s="481"/>
      <c r="Y129" s="481"/>
      <c r="Z129" s="481"/>
      <c r="AA129" s="481"/>
      <c r="AB129" s="481"/>
      <c r="AC129" s="481"/>
      <c r="AD129" s="481"/>
      <c r="AE129" s="481"/>
      <c r="AF129" s="481"/>
      <c r="AG129" s="481"/>
      <c r="AH129" s="481"/>
      <c r="AI129" s="481"/>
      <c r="AJ129" s="481"/>
      <c r="AK129" s="481"/>
      <c r="AL129" s="481"/>
      <c r="AM129" s="481"/>
      <c r="AN129" s="481"/>
    </row>
    <row r="130" spans="1:40" ht="15.75" customHeight="1">
      <c r="A130" s="490" t="s">
        <v>306</v>
      </c>
      <c r="B130" s="481" t="s">
        <v>73</v>
      </c>
      <c r="C130" s="565" t="s">
        <v>46</v>
      </c>
      <c r="D130" s="567"/>
      <c r="E130" s="568"/>
      <c r="F130" s="519">
        <v>7859.2352873049313</v>
      </c>
      <c r="G130" s="569"/>
      <c r="H130" s="568"/>
      <c r="I130" s="519"/>
      <c r="J130" s="485"/>
      <c r="K130" s="568"/>
      <c r="L130" s="520">
        <v>7828.03</v>
      </c>
      <c r="M130" s="485"/>
      <c r="N130" s="570">
        <v>-31.205287304931517</v>
      </c>
      <c r="O130" s="485"/>
      <c r="P130" s="568"/>
      <c r="Q130" s="520">
        <v>2944.08</v>
      </c>
      <c r="R130" s="485"/>
      <c r="S130" s="570">
        <v>4883.95</v>
      </c>
      <c r="T130" s="481"/>
      <c r="U130" s="481"/>
      <c r="V130" s="481"/>
      <c r="W130" s="481"/>
      <c r="X130" s="481"/>
      <c r="Y130" s="481"/>
      <c r="Z130" s="481"/>
      <c r="AA130" s="481"/>
      <c r="AB130" s="481"/>
      <c r="AC130" s="481"/>
      <c r="AD130" s="481"/>
      <c r="AE130" s="481"/>
      <c r="AF130" s="481"/>
      <c r="AG130" s="481"/>
      <c r="AH130" s="481"/>
      <c r="AI130" s="481"/>
      <c r="AJ130" s="481"/>
      <c r="AK130" s="481"/>
      <c r="AL130" s="481"/>
      <c r="AM130" s="481"/>
      <c r="AN130" s="481"/>
    </row>
    <row r="131" spans="1:40" ht="15.75" customHeight="1">
      <c r="A131" s="490" t="s">
        <v>307</v>
      </c>
      <c r="B131" s="481" t="s">
        <v>73</v>
      </c>
      <c r="C131" s="565" t="s">
        <v>47</v>
      </c>
      <c r="D131" s="550"/>
      <c r="E131" s="481"/>
      <c r="F131" s="499">
        <v>5503.4926504654441</v>
      </c>
      <c r="G131" s="551"/>
      <c r="H131" s="481"/>
      <c r="I131" s="499"/>
      <c r="J131" s="498"/>
      <c r="K131" s="481"/>
      <c r="L131" s="501">
        <v>3804.14</v>
      </c>
      <c r="M131" s="498"/>
      <c r="N131" s="524">
        <v>-1699.3526504654442</v>
      </c>
      <c r="O131" s="498"/>
      <c r="P131" s="481"/>
      <c r="Q131" s="501">
        <v>2633.09</v>
      </c>
      <c r="R131" s="498"/>
      <c r="S131" s="524">
        <v>1171.0499999999997</v>
      </c>
      <c r="T131" s="481"/>
      <c r="U131" s="481"/>
      <c r="V131" s="481"/>
      <c r="W131" s="481"/>
      <c r="X131" s="481"/>
      <c r="Y131" s="481"/>
      <c r="Z131" s="481"/>
      <c r="AA131" s="481"/>
      <c r="AB131" s="481"/>
      <c r="AC131" s="481"/>
      <c r="AD131" s="481"/>
      <c r="AE131" s="481"/>
      <c r="AF131" s="481"/>
      <c r="AG131" s="481"/>
      <c r="AH131" s="481"/>
      <c r="AI131" s="481"/>
      <c r="AJ131" s="481"/>
      <c r="AK131" s="481"/>
      <c r="AL131" s="481"/>
      <c r="AM131" s="481"/>
      <c r="AN131" s="481"/>
    </row>
    <row r="132" spans="1:40" ht="15.75" customHeight="1">
      <c r="A132" s="490" t="s">
        <v>308</v>
      </c>
      <c r="B132" s="481" t="s">
        <v>73</v>
      </c>
      <c r="C132" s="565" t="s">
        <v>48</v>
      </c>
      <c r="D132" s="550"/>
      <c r="E132" s="481"/>
      <c r="F132" s="499">
        <v>2629.177069204517</v>
      </c>
      <c r="G132" s="551"/>
      <c r="H132" s="481"/>
      <c r="I132" s="499"/>
      <c r="J132" s="498"/>
      <c r="K132" s="481"/>
      <c r="L132" s="501">
        <v>1534.35</v>
      </c>
      <c r="M132" s="498"/>
      <c r="N132" s="524">
        <v>-1094.8270692045171</v>
      </c>
      <c r="O132" s="498"/>
      <c r="P132" s="481"/>
      <c r="Q132" s="501">
        <v>1012</v>
      </c>
      <c r="R132" s="498"/>
      <c r="S132" s="524">
        <v>522.34999999999991</v>
      </c>
      <c r="T132" s="481"/>
      <c r="U132" s="481"/>
      <c r="V132" s="481"/>
      <c r="W132" s="481"/>
      <c r="X132" s="481"/>
      <c r="Y132" s="481"/>
      <c r="Z132" s="481"/>
      <c r="AA132" s="481"/>
      <c r="AB132" s="481"/>
      <c r="AC132" s="481"/>
      <c r="AD132" s="481"/>
      <c r="AE132" s="481"/>
      <c r="AF132" s="481"/>
      <c r="AG132" s="481"/>
      <c r="AH132" s="481"/>
      <c r="AI132" s="481"/>
      <c r="AJ132" s="481"/>
      <c r="AK132" s="481"/>
      <c r="AL132" s="481"/>
      <c r="AM132" s="481"/>
      <c r="AN132" s="481"/>
    </row>
    <row r="133" spans="1:40" ht="15.75" hidden="1" customHeight="1">
      <c r="A133" s="490" t="s">
        <v>299</v>
      </c>
      <c r="B133" s="481" t="s">
        <v>73</v>
      </c>
      <c r="C133" s="498" t="s">
        <v>20</v>
      </c>
      <c r="D133" s="552"/>
      <c r="E133" s="571"/>
      <c r="F133" s="499">
        <v>0</v>
      </c>
      <c r="G133" s="553"/>
      <c r="H133" s="571"/>
      <c r="I133" s="499"/>
      <c r="J133" s="491"/>
      <c r="K133" s="571"/>
      <c r="L133" s="501">
        <v>0</v>
      </c>
      <c r="M133" s="491"/>
      <c r="N133" s="547">
        <v>0</v>
      </c>
      <c r="O133" s="491"/>
      <c r="P133" s="571"/>
      <c r="Q133" s="501">
        <v>0</v>
      </c>
      <c r="R133" s="491"/>
      <c r="S133" s="547">
        <v>0</v>
      </c>
      <c r="T133" s="481"/>
      <c r="U133" s="481"/>
      <c r="V133" s="481"/>
      <c r="W133" s="481"/>
      <c r="X133" s="481"/>
      <c r="Y133" s="481"/>
      <c r="Z133" s="481"/>
      <c r="AA133" s="481"/>
      <c r="AB133" s="481"/>
      <c r="AC133" s="481"/>
      <c r="AD133" s="481"/>
      <c r="AE133" s="481"/>
      <c r="AF133" s="481"/>
      <c r="AG133" s="481"/>
      <c r="AH133" s="481"/>
      <c r="AI133" s="481"/>
      <c r="AJ133" s="481"/>
      <c r="AK133" s="481"/>
      <c r="AL133" s="481"/>
      <c r="AM133" s="481"/>
      <c r="AN133" s="481"/>
    </row>
    <row r="134" spans="1:40" ht="15.75" customHeight="1">
      <c r="A134" s="490" t="s">
        <v>309</v>
      </c>
      <c r="B134" s="481" t="s">
        <v>73</v>
      </c>
      <c r="C134" s="557" t="s">
        <v>49</v>
      </c>
      <c r="D134" s="558" t="s">
        <v>39</v>
      </c>
      <c r="E134" s="559">
        <v>0.25611565392770047</v>
      </c>
      <c r="F134" s="560">
        <v>44006.973730106394</v>
      </c>
      <c r="G134" s="561"/>
      <c r="H134" s="559"/>
      <c r="I134" s="560"/>
      <c r="J134" s="561" t="s">
        <v>39</v>
      </c>
      <c r="K134" s="559">
        <v>0.41663215825561661</v>
      </c>
      <c r="L134" s="560">
        <v>47901.02</v>
      </c>
      <c r="M134" s="610"/>
      <c r="N134" s="573">
        <v>3894.0462698936026</v>
      </c>
      <c r="O134" s="561" t="s">
        <v>39</v>
      </c>
      <c r="P134" s="559">
        <v>0.18385313489545888</v>
      </c>
      <c r="Q134" s="560">
        <v>28773.329999999998</v>
      </c>
      <c r="R134" s="610"/>
      <c r="S134" s="573">
        <v>19127.689999999999</v>
      </c>
      <c r="T134" s="481"/>
      <c r="U134" s="481"/>
      <c r="V134" s="481"/>
      <c r="W134" s="481"/>
      <c r="X134" s="481"/>
      <c r="Y134" s="481"/>
      <c r="Z134" s="481"/>
      <c r="AA134" s="481"/>
      <c r="AB134" s="481"/>
      <c r="AC134" s="481"/>
      <c r="AD134" s="481"/>
      <c r="AE134" s="481"/>
      <c r="AF134" s="481"/>
      <c r="AG134" s="481"/>
      <c r="AH134" s="481"/>
      <c r="AI134" s="481"/>
      <c r="AJ134" s="481"/>
      <c r="AK134" s="481"/>
      <c r="AL134" s="481"/>
      <c r="AM134" s="481"/>
      <c r="AN134" s="481"/>
    </row>
    <row r="135" spans="1:40" ht="15.75" hidden="1" customHeight="1">
      <c r="A135" s="490" t="s">
        <v>310</v>
      </c>
      <c r="B135" s="481" t="s">
        <v>73</v>
      </c>
      <c r="C135" s="498" t="s">
        <v>50</v>
      </c>
      <c r="D135" s="550"/>
      <c r="E135" s="481"/>
      <c r="F135" s="499">
        <v>0</v>
      </c>
      <c r="G135" s="551"/>
      <c r="H135" s="481"/>
      <c r="I135" s="499"/>
      <c r="J135" s="498"/>
      <c r="K135" s="481"/>
      <c r="L135" s="501">
        <v>0</v>
      </c>
      <c r="M135" s="498"/>
      <c r="N135" s="524">
        <v>0</v>
      </c>
      <c r="O135" s="498"/>
      <c r="P135" s="481"/>
      <c r="Q135" s="501">
        <v>0</v>
      </c>
      <c r="R135" s="498"/>
      <c r="S135" s="524">
        <v>0</v>
      </c>
      <c r="T135" s="481"/>
      <c r="U135" s="481"/>
      <c r="V135" s="481"/>
      <c r="W135" s="481"/>
      <c r="X135" s="481"/>
      <c r="Y135" s="481"/>
      <c r="Z135" s="481"/>
      <c r="AA135" s="481"/>
      <c r="AB135" s="481"/>
      <c r="AC135" s="481"/>
      <c r="AD135" s="481"/>
      <c r="AE135" s="481"/>
      <c r="AF135" s="481"/>
      <c r="AG135" s="481"/>
      <c r="AH135" s="481"/>
      <c r="AI135" s="481"/>
      <c r="AJ135" s="481"/>
      <c r="AK135" s="481"/>
      <c r="AL135" s="481"/>
      <c r="AM135" s="481"/>
      <c r="AN135" s="481"/>
    </row>
    <row r="136" spans="1:40" ht="15.75" hidden="1" customHeight="1">
      <c r="A136" s="490" t="s">
        <v>311</v>
      </c>
      <c r="B136" s="481" t="s">
        <v>73</v>
      </c>
      <c r="C136" s="498" t="s">
        <v>51</v>
      </c>
      <c r="D136" s="550"/>
      <c r="E136" s="481"/>
      <c r="F136" s="499">
        <v>0</v>
      </c>
      <c r="G136" s="551"/>
      <c r="H136" s="481"/>
      <c r="I136" s="499"/>
      <c r="J136" s="498"/>
      <c r="K136" s="481"/>
      <c r="L136" s="501">
        <v>0</v>
      </c>
      <c r="M136" s="498"/>
      <c r="N136" s="524">
        <v>0</v>
      </c>
      <c r="O136" s="498"/>
      <c r="P136" s="481"/>
      <c r="Q136" s="501">
        <v>0</v>
      </c>
      <c r="R136" s="498"/>
      <c r="S136" s="524">
        <v>0</v>
      </c>
      <c r="T136" s="481"/>
      <c r="U136" s="481"/>
      <c r="V136" s="481"/>
      <c r="W136" s="481"/>
      <c r="X136" s="481"/>
      <c r="Y136" s="481"/>
      <c r="Z136" s="481"/>
      <c r="AA136" s="481"/>
      <c r="AB136" s="481"/>
      <c r="AC136" s="481"/>
      <c r="AD136" s="481"/>
      <c r="AE136" s="481"/>
      <c r="AF136" s="481"/>
      <c r="AG136" s="481"/>
      <c r="AH136" s="481"/>
      <c r="AI136" s="481"/>
      <c r="AJ136" s="481"/>
      <c r="AK136" s="481"/>
      <c r="AL136" s="481"/>
      <c r="AM136" s="481"/>
      <c r="AN136" s="481"/>
    </row>
    <row r="137" spans="1:40" ht="15.75" customHeight="1">
      <c r="A137" s="490" t="s">
        <v>312</v>
      </c>
      <c r="B137" s="481" t="s">
        <v>73</v>
      </c>
      <c r="C137" s="491" t="s">
        <v>52</v>
      </c>
      <c r="D137" s="552"/>
      <c r="E137" s="571"/>
      <c r="F137" s="493">
        <v>180</v>
      </c>
      <c r="G137" s="553"/>
      <c r="H137" s="571"/>
      <c r="I137" s="493"/>
      <c r="J137" s="491"/>
      <c r="K137" s="571"/>
      <c r="L137" s="493">
        <v>1347.45</v>
      </c>
      <c r="M137" s="491"/>
      <c r="N137" s="547">
        <v>1167.45</v>
      </c>
      <c r="O137" s="491"/>
      <c r="P137" s="571"/>
      <c r="Q137" s="493">
        <v>132.36000000000001</v>
      </c>
      <c r="R137" s="491"/>
      <c r="S137" s="547">
        <v>1215.0900000000001</v>
      </c>
      <c r="T137" s="481"/>
      <c r="U137" s="481"/>
      <c r="V137" s="481"/>
      <c r="W137" s="481"/>
      <c r="X137" s="481"/>
      <c r="Y137" s="481"/>
      <c r="Z137" s="481"/>
      <c r="AA137" s="481"/>
      <c r="AB137" s="481"/>
      <c r="AC137" s="481"/>
      <c r="AD137" s="481"/>
      <c r="AE137" s="481"/>
      <c r="AF137" s="481"/>
      <c r="AG137" s="481"/>
      <c r="AH137" s="481"/>
      <c r="AI137" s="481"/>
      <c r="AJ137" s="481"/>
      <c r="AK137" s="481"/>
      <c r="AL137" s="481"/>
      <c r="AM137" s="481"/>
      <c r="AN137" s="481"/>
    </row>
    <row r="138" spans="1:40" ht="15.75" customHeight="1">
      <c r="A138" s="490" t="s">
        <v>313</v>
      </c>
      <c r="B138" s="481" t="s">
        <v>73</v>
      </c>
      <c r="C138" s="498" t="s">
        <v>53</v>
      </c>
      <c r="D138" s="550"/>
      <c r="E138" s="481"/>
      <c r="F138" s="499">
        <v>2754.3646119999999</v>
      </c>
      <c r="G138" s="551"/>
      <c r="H138" s="481"/>
      <c r="I138" s="499"/>
      <c r="J138" s="498"/>
      <c r="K138" s="481"/>
      <c r="L138" s="501">
        <v>3469.08</v>
      </c>
      <c r="M138" s="498"/>
      <c r="N138" s="524">
        <v>714.71538800000008</v>
      </c>
      <c r="O138" s="498"/>
      <c r="P138" s="481"/>
      <c r="Q138" s="501">
        <v>2724.57</v>
      </c>
      <c r="R138" s="498"/>
      <c r="S138" s="524">
        <v>744.50999999999976</v>
      </c>
      <c r="T138" s="481"/>
      <c r="U138" s="481"/>
      <c r="V138" s="481"/>
      <c r="W138" s="481"/>
      <c r="X138" s="481"/>
      <c r="Y138" s="481"/>
      <c r="Z138" s="481"/>
      <c r="AA138" s="481"/>
      <c r="AB138" s="481"/>
      <c r="AC138" s="481"/>
      <c r="AD138" s="481"/>
      <c r="AE138" s="481"/>
      <c r="AF138" s="481"/>
      <c r="AG138" s="481"/>
      <c r="AH138" s="481"/>
      <c r="AI138" s="481"/>
      <c r="AJ138" s="481"/>
      <c r="AK138" s="481"/>
      <c r="AL138" s="481"/>
      <c r="AM138" s="481"/>
      <c r="AN138" s="481"/>
    </row>
    <row r="139" spans="1:40" ht="15.75" customHeight="1">
      <c r="A139" s="490" t="s">
        <v>314</v>
      </c>
      <c r="B139" s="481" t="s">
        <v>73</v>
      </c>
      <c r="C139" s="498" t="s">
        <v>54</v>
      </c>
      <c r="D139" s="550"/>
      <c r="E139" s="481"/>
      <c r="F139" s="499">
        <v>375.03301674999994</v>
      </c>
      <c r="G139" s="551"/>
      <c r="H139" s="481"/>
      <c r="I139" s="499"/>
      <c r="J139" s="498"/>
      <c r="K139" s="481"/>
      <c r="L139" s="501">
        <v>725.33</v>
      </c>
      <c r="M139" s="498"/>
      <c r="N139" s="524">
        <v>350.2969832500001</v>
      </c>
      <c r="O139" s="498"/>
      <c r="P139" s="481"/>
      <c r="Q139" s="501">
        <v>324.92</v>
      </c>
      <c r="R139" s="498"/>
      <c r="S139" s="524">
        <v>400.41</v>
      </c>
      <c r="T139" s="608"/>
      <c r="U139" s="481"/>
      <c r="V139" s="481"/>
      <c r="W139" s="481"/>
      <c r="X139" s="481"/>
      <c r="Y139" s="481"/>
      <c r="Z139" s="481"/>
      <c r="AA139" s="481"/>
      <c r="AB139" s="481"/>
      <c r="AC139" s="481"/>
      <c r="AD139" s="481"/>
      <c r="AE139" s="481"/>
      <c r="AF139" s="481"/>
      <c r="AG139" s="481"/>
      <c r="AH139" s="481"/>
      <c r="AI139" s="481"/>
      <c r="AJ139" s="481"/>
      <c r="AK139" s="481"/>
      <c r="AL139" s="481"/>
      <c r="AM139" s="481"/>
      <c r="AN139" s="481"/>
    </row>
    <row r="140" spans="1:40" ht="15.75" customHeight="1">
      <c r="A140" s="490" t="s">
        <v>315</v>
      </c>
      <c r="B140" s="481" t="s">
        <v>73</v>
      </c>
      <c r="C140" s="491" t="s">
        <v>55</v>
      </c>
      <c r="D140" s="552"/>
      <c r="E140" s="571"/>
      <c r="F140" s="493">
        <v>1436.8411866666665</v>
      </c>
      <c r="G140" s="553"/>
      <c r="H140" s="571"/>
      <c r="I140" s="493"/>
      <c r="J140" s="491"/>
      <c r="K140" s="571"/>
      <c r="L140" s="493">
        <v>879.44</v>
      </c>
      <c r="M140" s="491"/>
      <c r="N140" s="547">
        <v>-557.40118666666649</v>
      </c>
      <c r="O140" s="491"/>
      <c r="P140" s="571"/>
      <c r="Q140" s="493">
        <v>921.36</v>
      </c>
      <c r="R140" s="491"/>
      <c r="S140" s="547">
        <v>-41.919999999999959</v>
      </c>
      <c r="T140" s="481"/>
      <c r="U140" s="481"/>
      <c r="V140" s="481"/>
      <c r="W140" s="481"/>
      <c r="X140" s="481"/>
      <c r="Y140" s="481"/>
      <c r="Z140" s="481"/>
      <c r="AA140" s="481"/>
      <c r="AB140" s="481"/>
      <c r="AC140" s="481"/>
      <c r="AD140" s="481"/>
      <c r="AE140" s="481"/>
      <c r="AF140" s="481"/>
      <c r="AG140" s="481"/>
      <c r="AH140" s="481"/>
      <c r="AI140" s="481"/>
      <c r="AJ140" s="481"/>
      <c r="AK140" s="481"/>
      <c r="AL140" s="481"/>
      <c r="AM140" s="481"/>
      <c r="AN140" s="481"/>
    </row>
    <row r="141" spans="1:40" ht="15.75" customHeight="1">
      <c r="A141" s="490" t="s">
        <v>316</v>
      </c>
      <c r="B141" s="481" t="s">
        <v>73</v>
      </c>
      <c r="C141" s="498" t="s">
        <v>56</v>
      </c>
      <c r="D141" s="550"/>
      <c r="E141" s="481"/>
      <c r="F141" s="499">
        <v>124.83089991785656</v>
      </c>
      <c r="G141" s="551"/>
      <c r="H141" s="481"/>
      <c r="I141" s="499"/>
      <c r="J141" s="498"/>
      <c r="K141" s="481"/>
      <c r="L141" s="501">
        <v>0</v>
      </c>
      <c r="M141" s="498"/>
      <c r="N141" s="524">
        <v>-124.83089991785656</v>
      </c>
      <c r="O141" s="498"/>
      <c r="P141" s="481"/>
      <c r="Q141" s="501">
        <v>620.41</v>
      </c>
      <c r="R141" s="498"/>
      <c r="S141" s="524">
        <v>-620.41</v>
      </c>
      <c r="T141" s="481"/>
      <c r="U141" s="481"/>
      <c r="V141" s="481"/>
      <c r="W141" s="481"/>
      <c r="X141" s="481"/>
      <c r="Y141" s="481"/>
      <c r="Z141" s="481"/>
      <c r="AA141" s="481"/>
      <c r="AB141" s="481"/>
      <c r="AC141" s="481"/>
      <c r="AD141" s="481"/>
      <c r="AE141" s="481"/>
      <c r="AF141" s="481"/>
      <c r="AG141" s="481"/>
      <c r="AH141" s="481"/>
      <c r="AI141" s="481"/>
      <c r="AJ141" s="481"/>
      <c r="AK141" s="481"/>
      <c r="AL141" s="481"/>
      <c r="AM141" s="481"/>
      <c r="AN141" s="481"/>
    </row>
    <row r="142" spans="1:40" ht="15.75" customHeight="1">
      <c r="A142" s="490" t="s">
        <v>317</v>
      </c>
      <c r="B142" s="481" t="s">
        <v>73</v>
      </c>
      <c r="C142" s="498" t="s">
        <v>57</v>
      </c>
      <c r="D142" s="550"/>
      <c r="E142" s="481"/>
      <c r="F142" s="499">
        <v>64.46125345154239</v>
      </c>
      <c r="G142" s="551"/>
      <c r="H142" s="481"/>
      <c r="I142" s="499"/>
      <c r="J142" s="498"/>
      <c r="K142" s="481"/>
      <c r="L142" s="501">
        <v>0</v>
      </c>
      <c r="M142" s="498"/>
      <c r="N142" s="524">
        <v>-64.46125345154239</v>
      </c>
      <c r="O142" s="498"/>
      <c r="P142" s="481"/>
      <c r="Q142" s="501">
        <v>0</v>
      </c>
      <c r="R142" s="498"/>
      <c r="S142" s="524">
        <v>0</v>
      </c>
      <c r="T142" s="481"/>
      <c r="U142" s="481"/>
      <c r="V142" s="481"/>
      <c r="W142" s="481"/>
      <c r="X142" s="481"/>
      <c r="Y142" s="481"/>
      <c r="Z142" s="481"/>
      <c r="AA142" s="481"/>
      <c r="AB142" s="481"/>
      <c r="AC142" s="481"/>
      <c r="AD142" s="481"/>
      <c r="AE142" s="481"/>
      <c r="AF142" s="481"/>
      <c r="AG142" s="481"/>
      <c r="AH142" s="481"/>
      <c r="AI142" s="481"/>
      <c r="AJ142" s="481"/>
      <c r="AK142" s="481"/>
      <c r="AL142" s="481"/>
      <c r="AM142" s="481"/>
      <c r="AN142" s="481"/>
    </row>
    <row r="143" spans="1:40" ht="15.75" customHeight="1">
      <c r="A143" s="490" t="s">
        <v>318</v>
      </c>
      <c r="B143" s="481" t="s">
        <v>73</v>
      </c>
      <c r="C143" s="498" t="s">
        <v>58</v>
      </c>
      <c r="D143" s="550"/>
      <c r="E143" s="481"/>
      <c r="F143" s="499">
        <v>286.29413819999991</v>
      </c>
      <c r="G143" s="551"/>
      <c r="H143" s="481"/>
      <c r="I143" s="499"/>
      <c r="J143" s="498"/>
      <c r="K143" s="481"/>
      <c r="L143" s="501">
        <v>417.81</v>
      </c>
      <c r="M143" s="498"/>
      <c r="N143" s="524">
        <v>131.5158618000001</v>
      </c>
      <c r="O143" s="498"/>
      <c r="P143" s="481"/>
      <c r="Q143" s="501">
        <v>260.38</v>
      </c>
      <c r="R143" s="498"/>
      <c r="S143" s="524">
        <v>157.43</v>
      </c>
      <c r="T143" s="481"/>
      <c r="U143" s="481"/>
      <c r="V143" s="481"/>
      <c r="W143" s="481"/>
      <c r="X143" s="481"/>
      <c r="Y143" s="481"/>
      <c r="Z143" s="481"/>
      <c r="AA143" s="481"/>
      <c r="AB143" s="481"/>
      <c r="AC143" s="481"/>
      <c r="AD143" s="481"/>
      <c r="AE143" s="481"/>
      <c r="AF143" s="481"/>
      <c r="AG143" s="481"/>
      <c r="AH143" s="481"/>
      <c r="AI143" s="481"/>
      <c r="AJ143" s="481"/>
      <c r="AK143" s="481"/>
      <c r="AL143" s="481"/>
      <c r="AM143" s="481"/>
      <c r="AN143" s="481"/>
    </row>
    <row r="144" spans="1:40" ht="15.75" customHeight="1">
      <c r="A144" s="490" t="s">
        <v>319</v>
      </c>
      <c r="B144" s="481" t="s">
        <v>73</v>
      </c>
      <c r="C144" s="498" t="s">
        <v>59</v>
      </c>
      <c r="D144" s="550"/>
      <c r="E144" s="481"/>
      <c r="F144" s="499">
        <v>97.020093808333328</v>
      </c>
      <c r="G144" s="551"/>
      <c r="H144" s="481"/>
      <c r="I144" s="499"/>
      <c r="J144" s="498"/>
      <c r="K144" s="481"/>
      <c r="L144" s="501">
        <v>168.64</v>
      </c>
      <c r="M144" s="498"/>
      <c r="N144" s="524">
        <v>71.619906191666658</v>
      </c>
      <c r="O144" s="498"/>
      <c r="P144" s="481"/>
      <c r="Q144" s="501">
        <v>41.68</v>
      </c>
      <c r="R144" s="498"/>
      <c r="S144" s="524">
        <v>126.95999999999998</v>
      </c>
      <c r="T144" s="481"/>
      <c r="U144" s="481"/>
      <c r="V144" s="481"/>
      <c r="W144" s="481"/>
      <c r="X144" s="481"/>
      <c r="Y144" s="481"/>
      <c r="Z144" s="481"/>
      <c r="AA144" s="481"/>
      <c r="AB144" s="481"/>
      <c r="AC144" s="481"/>
      <c r="AD144" s="481"/>
      <c r="AE144" s="481"/>
      <c r="AF144" s="481"/>
      <c r="AG144" s="481"/>
      <c r="AH144" s="481"/>
      <c r="AI144" s="481"/>
      <c r="AJ144" s="481"/>
      <c r="AK144" s="481"/>
      <c r="AL144" s="481"/>
      <c r="AM144" s="481"/>
      <c r="AN144" s="481"/>
    </row>
    <row r="145" spans="1:40" ht="15.75" customHeight="1">
      <c r="A145" s="490" t="s">
        <v>320</v>
      </c>
      <c r="B145" s="481" t="s">
        <v>73</v>
      </c>
      <c r="C145" s="498" t="s">
        <v>60</v>
      </c>
      <c r="D145" s="550"/>
      <c r="E145" s="481"/>
      <c r="F145" s="499">
        <v>46.404110191666653</v>
      </c>
      <c r="G145" s="551"/>
      <c r="H145" s="481"/>
      <c r="I145" s="499"/>
      <c r="J145" s="498"/>
      <c r="K145" s="481"/>
      <c r="L145" s="501">
        <v>56.38</v>
      </c>
      <c r="M145" s="498"/>
      <c r="N145" s="524">
        <v>9.9758898083333492</v>
      </c>
      <c r="O145" s="498"/>
      <c r="P145" s="481"/>
      <c r="Q145" s="501">
        <v>50.1</v>
      </c>
      <c r="R145" s="498"/>
      <c r="S145" s="524">
        <v>6.2800000000000011</v>
      </c>
      <c r="T145" s="481"/>
      <c r="U145" s="481"/>
      <c r="V145" s="481"/>
      <c r="W145" s="481"/>
      <c r="X145" s="481"/>
      <c r="Y145" s="481"/>
      <c r="Z145" s="481"/>
      <c r="AA145" s="481"/>
      <c r="AB145" s="481"/>
      <c r="AC145" s="481"/>
      <c r="AD145" s="481"/>
      <c r="AE145" s="481"/>
      <c r="AF145" s="481"/>
      <c r="AG145" s="481"/>
      <c r="AH145" s="481"/>
      <c r="AI145" s="481"/>
      <c r="AJ145" s="481"/>
      <c r="AK145" s="481"/>
      <c r="AL145" s="481"/>
      <c r="AM145" s="481"/>
      <c r="AN145" s="481"/>
    </row>
    <row r="146" spans="1:40" ht="15.75" customHeight="1">
      <c r="A146" s="490" t="s">
        <v>321</v>
      </c>
      <c r="B146" s="481" t="s">
        <v>73</v>
      </c>
      <c r="C146" s="498" t="s">
        <v>61</v>
      </c>
      <c r="D146" s="550"/>
      <c r="E146" s="481"/>
      <c r="F146" s="499">
        <v>176.31838614166665</v>
      </c>
      <c r="G146" s="551"/>
      <c r="H146" s="481"/>
      <c r="I146" s="499"/>
      <c r="J146" s="498"/>
      <c r="K146" s="481"/>
      <c r="L146" s="501">
        <v>42.26</v>
      </c>
      <c r="M146" s="498"/>
      <c r="N146" s="524">
        <v>-134.05838614166666</v>
      </c>
      <c r="O146" s="498"/>
      <c r="P146" s="481"/>
      <c r="Q146" s="501">
        <v>23.52</v>
      </c>
      <c r="R146" s="498"/>
      <c r="S146" s="524">
        <v>18.739999999999998</v>
      </c>
      <c r="T146" s="481"/>
      <c r="U146" s="481"/>
      <c r="V146" s="481"/>
      <c r="W146" s="481"/>
      <c r="X146" s="481"/>
      <c r="Y146" s="481"/>
      <c r="Z146" s="481"/>
      <c r="AA146" s="481"/>
      <c r="AB146" s="481"/>
      <c r="AC146" s="481"/>
      <c r="AD146" s="481"/>
      <c r="AE146" s="481"/>
      <c r="AF146" s="481"/>
      <c r="AG146" s="481"/>
      <c r="AH146" s="481"/>
      <c r="AI146" s="481"/>
      <c r="AJ146" s="481"/>
      <c r="AK146" s="481"/>
      <c r="AL146" s="481"/>
      <c r="AM146" s="481"/>
      <c r="AN146" s="481"/>
    </row>
    <row r="147" spans="1:40" ht="15.75" customHeight="1">
      <c r="A147" s="490" t="s">
        <v>322</v>
      </c>
      <c r="B147" s="481" t="s">
        <v>73</v>
      </c>
      <c r="C147" s="498" t="s">
        <v>62</v>
      </c>
      <c r="D147" s="550"/>
      <c r="E147" s="481"/>
      <c r="F147" s="499">
        <v>310.58430909104328</v>
      </c>
      <c r="G147" s="551"/>
      <c r="H147" s="481"/>
      <c r="I147" s="499"/>
      <c r="J147" s="498"/>
      <c r="K147" s="481"/>
      <c r="L147" s="501">
        <v>151.21</v>
      </c>
      <c r="M147" s="498"/>
      <c r="N147" s="524">
        <v>-159.37430909104327</v>
      </c>
      <c r="O147" s="498"/>
      <c r="P147" s="481"/>
      <c r="Q147" s="501">
        <v>278.27999999999997</v>
      </c>
      <c r="R147" s="498"/>
      <c r="S147" s="524">
        <v>-127.06999999999996</v>
      </c>
      <c r="T147" s="481"/>
      <c r="X147" s="481"/>
      <c r="Y147" s="481"/>
      <c r="Z147" s="481"/>
      <c r="AA147" s="481"/>
      <c r="AB147" s="481"/>
      <c r="AC147" s="481"/>
      <c r="AD147" s="481"/>
      <c r="AE147" s="481"/>
      <c r="AF147" s="481"/>
      <c r="AG147" s="481"/>
      <c r="AH147" s="481"/>
      <c r="AI147" s="481"/>
      <c r="AJ147" s="481"/>
      <c r="AK147" s="481"/>
      <c r="AL147" s="481"/>
      <c r="AM147" s="481"/>
      <c r="AN147" s="481"/>
    </row>
    <row r="148" spans="1:40" ht="15.75" customHeight="1">
      <c r="A148" s="490" t="s">
        <v>323</v>
      </c>
      <c r="B148" s="481" t="s">
        <v>73</v>
      </c>
      <c r="C148" s="498" t="s">
        <v>63</v>
      </c>
      <c r="D148" s="550"/>
      <c r="E148" s="481"/>
      <c r="F148" s="499">
        <v>636.35231224195923</v>
      </c>
      <c r="G148" s="551"/>
      <c r="H148" s="481"/>
      <c r="I148" s="499"/>
      <c r="J148" s="498"/>
      <c r="K148" s="481"/>
      <c r="L148" s="501">
        <v>591.07000000000005</v>
      </c>
      <c r="M148" s="498"/>
      <c r="N148" s="524">
        <v>-45.282312241959175</v>
      </c>
      <c r="O148" s="498"/>
      <c r="P148" s="481"/>
      <c r="Q148" s="501">
        <v>908.40599999999995</v>
      </c>
      <c r="R148" s="498"/>
      <c r="S148" s="524">
        <v>-317.3359999999999</v>
      </c>
      <c r="T148" s="542"/>
      <c r="X148" s="481"/>
      <c r="Y148" s="481"/>
      <c r="Z148" s="481"/>
      <c r="AA148" s="481"/>
      <c r="AB148" s="481"/>
      <c r="AC148" s="481"/>
      <c r="AD148" s="481"/>
      <c r="AE148" s="481"/>
      <c r="AF148" s="481"/>
      <c r="AG148" s="481"/>
      <c r="AH148" s="481"/>
      <c r="AI148" s="481"/>
      <c r="AJ148" s="481"/>
      <c r="AK148" s="481"/>
      <c r="AL148" s="481"/>
      <c r="AM148" s="481"/>
      <c r="AN148" s="481"/>
    </row>
    <row r="149" spans="1:40" ht="15.75" hidden="1" customHeight="1">
      <c r="A149" s="490" t="s">
        <v>299</v>
      </c>
      <c r="B149" s="481" t="s">
        <v>73</v>
      </c>
      <c r="C149" s="498" t="s">
        <v>20</v>
      </c>
      <c r="D149" s="550"/>
      <c r="E149" s="481"/>
      <c r="F149" s="499">
        <v>0</v>
      </c>
      <c r="G149" s="551"/>
      <c r="H149" s="481"/>
      <c r="I149" s="499"/>
      <c r="J149" s="498"/>
      <c r="K149" s="481"/>
      <c r="L149" s="501">
        <v>0</v>
      </c>
      <c r="M149" s="498"/>
      <c r="N149" s="524">
        <v>0</v>
      </c>
      <c r="O149" s="498"/>
      <c r="P149" s="481"/>
      <c r="Q149" s="501">
        <v>0</v>
      </c>
      <c r="R149" s="498"/>
      <c r="S149" s="524">
        <v>0</v>
      </c>
      <c r="T149" s="481"/>
      <c r="X149" s="481"/>
      <c r="Y149" s="481"/>
      <c r="Z149" s="481"/>
      <c r="AA149" s="481"/>
      <c r="AB149" s="481"/>
      <c r="AC149" s="481"/>
      <c r="AD149" s="481"/>
      <c r="AE149" s="481"/>
      <c r="AF149" s="481"/>
      <c r="AG149" s="481"/>
      <c r="AH149" s="481"/>
      <c r="AI149" s="481"/>
      <c r="AJ149" s="481"/>
      <c r="AK149" s="481"/>
      <c r="AL149" s="481"/>
      <c r="AM149" s="481"/>
      <c r="AN149" s="481"/>
    </row>
    <row r="150" spans="1:40" ht="15.75" hidden="1" customHeight="1">
      <c r="A150" s="490" t="s">
        <v>299</v>
      </c>
      <c r="B150" s="481" t="s">
        <v>73</v>
      </c>
      <c r="C150" s="498" t="s">
        <v>20</v>
      </c>
      <c r="D150" s="550"/>
      <c r="E150" s="481"/>
      <c r="F150" s="499">
        <v>0</v>
      </c>
      <c r="G150" s="551"/>
      <c r="H150" s="481"/>
      <c r="I150" s="499"/>
      <c r="J150" s="498"/>
      <c r="K150" s="481"/>
      <c r="L150" s="501">
        <v>0</v>
      </c>
      <c r="M150" s="498"/>
      <c r="N150" s="524">
        <v>0</v>
      </c>
      <c r="O150" s="498"/>
      <c r="P150" s="481"/>
      <c r="Q150" s="501">
        <v>0</v>
      </c>
      <c r="R150" s="498"/>
      <c r="S150" s="524">
        <v>0</v>
      </c>
      <c r="T150" s="481"/>
      <c r="X150" s="481"/>
      <c r="Y150" s="481"/>
      <c r="Z150" s="481"/>
      <c r="AA150" s="481"/>
      <c r="AB150" s="481"/>
      <c r="AC150" s="481"/>
      <c r="AD150" s="481"/>
      <c r="AE150" s="481"/>
      <c r="AF150" s="481"/>
      <c r="AG150" s="481"/>
      <c r="AH150" s="481"/>
      <c r="AI150" s="481"/>
      <c r="AJ150" s="481"/>
      <c r="AK150" s="481"/>
      <c r="AL150" s="481"/>
      <c r="AM150" s="481"/>
      <c r="AN150" s="481"/>
    </row>
    <row r="151" spans="1:40" ht="15.75" hidden="1" customHeight="1">
      <c r="A151" s="490" t="s">
        <v>299</v>
      </c>
      <c r="B151" s="481" t="s">
        <v>73</v>
      </c>
      <c r="C151" s="498" t="s">
        <v>20</v>
      </c>
      <c r="D151" s="550"/>
      <c r="E151" s="481"/>
      <c r="F151" s="499">
        <v>0</v>
      </c>
      <c r="G151" s="551"/>
      <c r="H151" s="481"/>
      <c r="I151" s="499"/>
      <c r="J151" s="498"/>
      <c r="K151" s="481"/>
      <c r="L151" s="501">
        <v>0</v>
      </c>
      <c r="M151" s="498"/>
      <c r="N151" s="524">
        <v>0</v>
      </c>
      <c r="O151" s="498"/>
      <c r="P151" s="481"/>
      <c r="Q151" s="501">
        <v>0</v>
      </c>
      <c r="R151" s="498"/>
      <c r="S151" s="524">
        <v>0</v>
      </c>
      <c r="T151" s="542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</row>
    <row r="152" spans="1:40" ht="15.75" customHeight="1">
      <c r="A152" s="490" t="s">
        <v>324</v>
      </c>
      <c r="B152" s="481" t="s">
        <v>73</v>
      </c>
      <c r="C152" s="557" t="s">
        <v>64</v>
      </c>
      <c r="D152" s="558" t="s">
        <v>39</v>
      </c>
      <c r="E152" s="559">
        <v>3.776236777214223E-2</v>
      </c>
      <c r="F152" s="560">
        <v>6488.5043184607339</v>
      </c>
      <c r="G152" s="561"/>
      <c r="H152" s="559"/>
      <c r="I152" s="560"/>
      <c r="J152" s="561" t="s">
        <v>39</v>
      </c>
      <c r="K152" s="559">
        <v>6.8265943429515918E-2</v>
      </c>
      <c r="L152" s="560">
        <v>7848.67</v>
      </c>
      <c r="M152" s="564"/>
      <c r="N152" s="560">
        <v>1360.1656815392662</v>
      </c>
      <c r="O152" s="561" t="s">
        <v>39</v>
      </c>
      <c r="P152" s="559">
        <v>4.0165605858236295E-2</v>
      </c>
      <c r="Q152" s="560">
        <v>6285.9860000000008</v>
      </c>
      <c r="R152" s="564"/>
      <c r="S152" s="560">
        <v>1562.6839999999993</v>
      </c>
      <c r="T152" s="572"/>
      <c r="X152" s="481"/>
      <c r="Y152" s="481"/>
      <c r="Z152" s="481"/>
      <c r="AA152" s="481"/>
      <c r="AB152" s="481"/>
      <c r="AC152" s="481"/>
      <c r="AD152" s="481"/>
      <c r="AE152" s="481"/>
      <c r="AF152" s="481"/>
      <c r="AG152" s="481"/>
      <c r="AH152" s="481"/>
      <c r="AI152" s="481"/>
      <c r="AJ152" s="481"/>
      <c r="AK152" s="481"/>
      <c r="AL152" s="481"/>
      <c r="AM152" s="481"/>
      <c r="AN152" s="481"/>
    </row>
    <row r="153" spans="1:40" ht="15.75" customHeight="1">
      <c r="A153" s="490" t="s">
        <v>73</v>
      </c>
      <c r="B153" s="481" t="s">
        <v>73</v>
      </c>
      <c r="C153" s="491"/>
      <c r="D153" s="552"/>
      <c r="E153" s="571"/>
      <c r="F153" s="524"/>
      <c r="G153" s="553"/>
      <c r="H153" s="571"/>
      <c r="I153" s="524"/>
      <c r="J153" s="491"/>
      <c r="K153" s="571"/>
      <c r="L153" s="547"/>
      <c r="M153" s="491"/>
      <c r="N153" s="547"/>
      <c r="O153" s="491"/>
      <c r="P153" s="571"/>
      <c r="Q153" s="547"/>
      <c r="R153" s="491"/>
      <c r="S153" s="547"/>
      <c r="T153" s="572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</row>
    <row r="154" spans="1:40" ht="15.75" customHeight="1">
      <c r="A154" s="490" t="s">
        <v>325</v>
      </c>
      <c r="B154" s="481" t="s">
        <v>73</v>
      </c>
      <c r="C154" s="557" t="s">
        <v>65</v>
      </c>
      <c r="D154" s="558" t="s">
        <v>39</v>
      </c>
      <c r="E154" s="559">
        <v>0.67384403833956164</v>
      </c>
      <c r="F154" s="560">
        <v>115782.99271691119</v>
      </c>
      <c r="G154" s="561"/>
      <c r="H154" s="559"/>
      <c r="I154" s="560"/>
      <c r="J154" s="561" t="s">
        <v>39</v>
      </c>
      <c r="K154" s="559">
        <v>1.0800776919800541</v>
      </c>
      <c r="L154" s="560">
        <v>124178.65999999999</v>
      </c>
      <c r="M154" s="564"/>
      <c r="N154" s="573">
        <v>8395.6672830887983</v>
      </c>
      <c r="O154" s="561" t="s">
        <v>39</v>
      </c>
      <c r="P154" s="559">
        <v>0.67804061693638973</v>
      </c>
      <c r="Q154" s="560">
        <v>106114.516</v>
      </c>
      <c r="R154" s="564"/>
      <c r="S154" s="573">
        <v>18064.143999999986</v>
      </c>
      <c r="T154" s="572"/>
      <c r="U154" s="481"/>
      <c r="V154" s="481"/>
      <c r="W154" s="481"/>
      <c r="X154" s="481"/>
      <c r="Y154" s="481"/>
      <c r="Z154" s="481"/>
      <c r="AA154" s="481"/>
      <c r="AB154" s="481"/>
      <c r="AC154" s="481"/>
      <c r="AD154" s="481"/>
      <c r="AE154" s="481"/>
      <c r="AF154" s="481"/>
      <c r="AG154" s="481"/>
      <c r="AH154" s="481"/>
      <c r="AI154" s="481"/>
      <c r="AJ154" s="481"/>
      <c r="AK154" s="481"/>
      <c r="AL154" s="481"/>
      <c r="AM154" s="481"/>
      <c r="AN154" s="481"/>
    </row>
    <row r="155" spans="1:40" ht="15.75" customHeight="1">
      <c r="A155" s="490" t="s">
        <v>326</v>
      </c>
      <c r="B155" s="481" t="s">
        <v>73</v>
      </c>
      <c r="C155" s="498" t="s">
        <v>211</v>
      </c>
      <c r="D155" s="611"/>
      <c r="E155" s="612"/>
      <c r="F155" s="499">
        <v>0</v>
      </c>
      <c r="G155" s="613"/>
      <c r="H155" s="612"/>
      <c r="I155" s="499"/>
      <c r="J155" s="613"/>
      <c r="K155" s="612"/>
      <c r="L155" s="501">
        <v>0</v>
      </c>
      <c r="M155" s="498"/>
      <c r="N155" s="524">
        <v>0</v>
      </c>
      <c r="O155" s="613"/>
      <c r="P155" s="612"/>
      <c r="Q155" s="501">
        <v>0</v>
      </c>
      <c r="R155" s="498"/>
      <c r="S155" s="524">
        <v>0</v>
      </c>
      <c r="T155" s="572"/>
      <c r="U155" s="481"/>
      <c r="V155" s="481"/>
      <c r="W155" s="481"/>
      <c r="X155" s="481"/>
      <c r="Y155" s="481"/>
      <c r="Z155" s="481"/>
      <c r="AA155" s="481"/>
      <c r="AB155" s="481"/>
      <c r="AC155" s="481"/>
      <c r="AD155" s="481"/>
      <c r="AE155" s="481"/>
      <c r="AF155" s="481"/>
      <c r="AG155" s="481"/>
      <c r="AH155" s="481"/>
      <c r="AI155" s="481"/>
      <c r="AJ155" s="481"/>
      <c r="AK155" s="481"/>
      <c r="AL155" s="481"/>
      <c r="AM155" s="481"/>
      <c r="AN155" s="481"/>
    </row>
    <row r="156" spans="1:40" ht="15.75" customHeight="1">
      <c r="A156" s="490" t="s">
        <v>327</v>
      </c>
      <c r="B156" s="481" t="s">
        <v>73</v>
      </c>
      <c r="C156" s="498" t="s">
        <v>81</v>
      </c>
      <c r="D156" s="611"/>
      <c r="E156" s="612"/>
      <c r="F156" s="499">
        <v>0</v>
      </c>
      <c r="G156" s="613"/>
      <c r="H156" s="612"/>
      <c r="I156" s="499"/>
      <c r="J156" s="613"/>
      <c r="K156" s="612"/>
      <c r="L156" s="501">
        <v>0</v>
      </c>
      <c r="M156" s="498"/>
      <c r="N156" s="524">
        <v>0</v>
      </c>
      <c r="O156" s="613"/>
      <c r="P156" s="612"/>
      <c r="Q156" s="501">
        <v>0</v>
      </c>
      <c r="R156" s="498"/>
      <c r="S156" s="524">
        <v>0</v>
      </c>
      <c r="T156" s="572"/>
      <c r="U156" s="481"/>
      <c r="V156" s="481"/>
      <c r="W156" s="481"/>
      <c r="X156" s="481"/>
      <c r="Y156" s="481"/>
      <c r="Z156" s="481"/>
      <c r="AA156" s="481"/>
      <c r="AB156" s="481"/>
      <c r="AC156" s="481"/>
      <c r="AD156" s="481"/>
      <c r="AE156" s="481"/>
      <c r="AF156" s="481"/>
      <c r="AG156" s="481"/>
      <c r="AH156" s="481"/>
      <c r="AI156" s="481"/>
      <c r="AJ156" s="481"/>
      <c r="AK156" s="481"/>
      <c r="AL156" s="481"/>
      <c r="AM156" s="481"/>
      <c r="AN156" s="481"/>
    </row>
    <row r="157" spans="1:40" ht="15.75" customHeight="1">
      <c r="A157" s="490" t="s">
        <v>328</v>
      </c>
      <c r="B157" s="481" t="s">
        <v>73</v>
      </c>
      <c r="C157" s="498" t="s">
        <v>82</v>
      </c>
      <c r="D157" s="550"/>
      <c r="E157" s="481"/>
      <c r="F157" s="499">
        <v>0</v>
      </c>
      <c r="G157" s="551"/>
      <c r="H157" s="481"/>
      <c r="I157" s="499"/>
      <c r="J157" s="498"/>
      <c r="K157" s="481"/>
      <c r="L157" s="501">
        <v>0</v>
      </c>
      <c r="M157" s="498"/>
      <c r="N157" s="524">
        <v>0</v>
      </c>
      <c r="O157" s="498"/>
      <c r="P157" s="481"/>
      <c r="Q157" s="501">
        <v>0</v>
      </c>
      <c r="R157" s="498"/>
      <c r="S157" s="524">
        <v>0</v>
      </c>
      <c r="T157" s="572"/>
      <c r="U157" s="481"/>
      <c r="V157" s="481"/>
      <c r="W157" s="481"/>
      <c r="X157" s="481"/>
      <c r="Y157" s="481"/>
      <c r="Z157" s="481"/>
      <c r="AA157" s="481"/>
      <c r="AB157" s="481"/>
      <c r="AC157" s="481"/>
      <c r="AD157" s="481"/>
      <c r="AE157" s="481"/>
      <c r="AF157" s="481"/>
      <c r="AG157" s="481"/>
      <c r="AH157" s="481"/>
      <c r="AI157" s="481"/>
      <c r="AJ157" s="481"/>
      <c r="AK157" s="481"/>
      <c r="AL157" s="481"/>
      <c r="AM157" s="481"/>
      <c r="AN157" s="481"/>
    </row>
    <row r="158" spans="1:40" ht="15.75" customHeight="1">
      <c r="A158" s="490" t="s">
        <v>329</v>
      </c>
      <c r="B158" s="481" t="s">
        <v>73</v>
      </c>
      <c r="C158" s="498" t="s">
        <v>70</v>
      </c>
      <c r="D158" s="614">
        <v>40</v>
      </c>
      <c r="E158" s="578">
        <v>359.1</v>
      </c>
      <c r="F158" s="499">
        <v>14364</v>
      </c>
      <c r="G158" s="551"/>
      <c r="H158" s="481"/>
      <c r="I158" s="499"/>
      <c r="J158" s="577">
        <v>36</v>
      </c>
      <c r="K158" s="578">
        <v>467.63888888888891</v>
      </c>
      <c r="L158" s="501">
        <v>16835</v>
      </c>
      <c r="M158" s="498"/>
      <c r="N158" s="524">
        <v>2471</v>
      </c>
      <c r="O158" s="498"/>
      <c r="P158" s="481"/>
      <c r="Q158" s="501">
        <v>13076</v>
      </c>
      <c r="R158" s="498"/>
      <c r="S158" s="524">
        <v>3759</v>
      </c>
      <c r="T158" s="572"/>
      <c r="U158" s="481"/>
      <c r="V158" s="481"/>
      <c r="W158" s="481"/>
      <c r="X158" s="481"/>
      <c r="Y158" s="481"/>
      <c r="Z158" s="481"/>
      <c r="AA158" s="481"/>
      <c r="AB158" s="481"/>
      <c r="AC158" s="481"/>
      <c r="AD158" s="481"/>
      <c r="AE158" s="481"/>
      <c r="AF158" s="481"/>
      <c r="AG158" s="481"/>
      <c r="AH158" s="481"/>
      <c r="AI158" s="481"/>
      <c r="AJ158" s="481"/>
      <c r="AK158" s="481"/>
      <c r="AL158" s="481"/>
      <c r="AM158" s="481"/>
      <c r="AN158" s="481"/>
    </row>
    <row r="159" spans="1:40" ht="15.75" hidden="1" customHeight="1">
      <c r="A159" s="490" t="s">
        <v>299</v>
      </c>
      <c r="B159" s="481" t="s">
        <v>73</v>
      </c>
      <c r="C159" s="498" t="s">
        <v>20</v>
      </c>
      <c r="D159" s="550"/>
      <c r="E159" s="481"/>
      <c r="F159" s="499">
        <v>0</v>
      </c>
      <c r="G159" s="551"/>
      <c r="H159" s="481"/>
      <c r="I159" s="499"/>
      <c r="J159" s="498"/>
      <c r="K159" s="481"/>
      <c r="L159" s="501">
        <v>0</v>
      </c>
      <c r="M159" s="498"/>
      <c r="N159" s="524">
        <v>0</v>
      </c>
      <c r="O159" s="498"/>
      <c r="P159" s="481"/>
      <c r="Q159" s="501">
        <v>0</v>
      </c>
      <c r="R159" s="498"/>
      <c r="S159" s="524">
        <v>0</v>
      </c>
      <c r="T159" s="572"/>
      <c r="U159" s="481"/>
      <c r="V159" s="481"/>
      <c r="W159" s="481"/>
      <c r="X159" s="481"/>
      <c r="Y159" s="481"/>
      <c r="Z159" s="481"/>
      <c r="AA159" s="481"/>
      <c r="AB159" s="481"/>
      <c r="AC159" s="481"/>
      <c r="AD159" s="481"/>
      <c r="AE159" s="481"/>
      <c r="AF159" s="481"/>
      <c r="AG159" s="481"/>
      <c r="AH159" s="481"/>
      <c r="AI159" s="481"/>
      <c r="AJ159" s="481"/>
      <c r="AK159" s="481"/>
      <c r="AL159" s="481"/>
      <c r="AM159" s="481"/>
      <c r="AN159" s="481"/>
    </row>
    <row r="160" spans="1:40" ht="15.75" hidden="1" customHeight="1">
      <c r="A160" s="490" t="s">
        <v>299</v>
      </c>
      <c r="B160" s="481" t="s">
        <v>73</v>
      </c>
      <c r="C160" s="498" t="s">
        <v>20</v>
      </c>
      <c r="D160" s="550"/>
      <c r="E160" s="481"/>
      <c r="F160" s="499">
        <v>0</v>
      </c>
      <c r="G160" s="551"/>
      <c r="H160" s="481"/>
      <c r="I160" s="499"/>
      <c r="J160" s="498"/>
      <c r="K160" s="481"/>
      <c r="L160" s="501">
        <v>0</v>
      </c>
      <c r="M160" s="498"/>
      <c r="N160" s="524">
        <v>0</v>
      </c>
      <c r="O160" s="498"/>
      <c r="P160" s="481"/>
      <c r="Q160" s="501">
        <v>0</v>
      </c>
      <c r="R160" s="498"/>
      <c r="S160" s="524">
        <v>0</v>
      </c>
      <c r="T160" s="572"/>
      <c r="U160" s="481"/>
      <c r="V160" s="481"/>
      <c r="W160" s="481"/>
      <c r="X160" s="481"/>
      <c r="Y160" s="481"/>
      <c r="Z160" s="481"/>
      <c r="AA160" s="481"/>
      <c r="AB160" s="481"/>
      <c r="AC160" s="481"/>
      <c r="AD160" s="481"/>
      <c r="AE160" s="481"/>
      <c r="AF160" s="481"/>
      <c r="AG160" s="481"/>
      <c r="AH160" s="481"/>
      <c r="AI160" s="481"/>
      <c r="AJ160" s="481"/>
      <c r="AK160" s="481"/>
      <c r="AL160" s="481"/>
      <c r="AM160" s="481"/>
      <c r="AN160" s="481"/>
    </row>
    <row r="161" spans="1:40" ht="15.75" hidden="1" customHeight="1">
      <c r="A161" s="490" t="s">
        <v>299</v>
      </c>
      <c r="B161" s="481" t="s">
        <v>73</v>
      </c>
      <c r="C161" s="491" t="s">
        <v>20</v>
      </c>
      <c r="D161" s="552"/>
      <c r="E161" s="571"/>
      <c r="F161" s="499">
        <v>0</v>
      </c>
      <c r="G161" s="551"/>
      <c r="H161" s="481"/>
      <c r="I161" s="499"/>
      <c r="J161" s="498"/>
      <c r="K161" s="481"/>
      <c r="L161" s="501">
        <v>0</v>
      </c>
      <c r="M161" s="498"/>
      <c r="N161" s="524">
        <v>0</v>
      </c>
      <c r="O161" s="498"/>
      <c r="P161" s="481"/>
      <c r="Q161" s="501">
        <v>0</v>
      </c>
      <c r="R161" s="498"/>
      <c r="S161" s="524">
        <v>0</v>
      </c>
      <c r="T161" s="572"/>
      <c r="U161" s="481"/>
      <c r="V161" s="481"/>
      <c r="W161" s="481"/>
      <c r="X161" s="481"/>
      <c r="Y161" s="481"/>
      <c r="Z161" s="481"/>
      <c r="AA161" s="481"/>
      <c r="AB161" s="481"/>
      <c r="AC161" s="481"/>
      <c r="AD161" s="481"/>
      <c r="AE161" s="481"/>
      <c r="AF161" s="481"/>
      <c r="AG161" s="481"/>
      <c r="AH161" s="481"/>
      <c r="AI161" s="481"/>
      <c r="AJ161" s="481"/>
      <c r="AK161" s="481"/>
      <c r="AL161" s="481"/>
      <c r="AM161" s="481"/>
      <c r="AN161" s="481"/>
    </row>
    <row r="162" spans="1:40" ht="15.75" customHeight="1">
      <c r="B162" s="481"/>
      <c r="C162" s="557" t="s">
        <v>71</v>
      </c>
      <c r="D162" s="558"/>
      <c r="E162" s="559"/>
      <c r="F162" s="560">
        <v>14364</v>
      </c>
      <c r="G162" s="561"/>
      <c r="H162" s="559"/>
      <c r="I162" s="560"/>
      <c r="J162" s="561"/>
      <c r="K162" s="559"/>
      <c r="L162" s="560">
        <v>16835</v>
      </c>
      <c r="M162" s="564"/>
      <c r="N162" s="560">
        <v>2471</v>
      </c>
      <c r="O162" s="561"/>
      <c r="P162" s="559"/>
      <c r="Q162" s="560">
        <v>13076</v>
      </c>
      <c r="R162" s="564"/>
      <c r="S162" s="560">
        <v>3759</v>
      </c>
      <c r="T162" s="572"/>
      <c r="U162" s="481"/>
      <c r="V162" s="481"/>
      <c r="W162" s="481"/>
      <c r="X162" s="481"/>
      <c r="Y162" s="481"/>
      <c r="Z162" s="481"/>
      <c r="AA162" s="481"/>
      <c r="AB162" s="481"/>
      <c r="AC162" s="481"/>
      <c r="AD162" s="481"/>
      <c r="AE162" s="481"/>
      <c r="AF162" s="481"/>
      <c r="AG162" s="481"/>
      <c r="AH162" s="481"/>
      <c r="AI162" s="481"/>
      <c r="AJ162" s="481"/>
      <c r="AK162" s="481"/>
      <c r="AL162" s="481"/>
      <c r="AM162" s="481"/>
      <c r="AN162" s="481"/>
    </row>
    <row r="163" spans="1:40" ht="15.75" customHeight="1">
      <c r="B163" s="481"/>
      <c r="C163" s="498"/>
      <c r="D163" s="550"/>
      <c r="E163" s="481"/>
      <c r="F163" s="524"/>
      <c r="G163" s="551"/>
      <c r="H163" s="481"/>
      <c r="I163" s="524"/>
      <c r="J163" s="498"/>
      <c r="K163" s="481"/>
      <c r="L163" s="524"/>
      <c r="M163" s="498"/>
      <c r="N163" s="524"/>
      <c r="O163" s="498"/>
      <c r="P163" s="481"/>
      <c r="Q163" s="524"/>
      <c r="R163" s="498"/>
      <c r="S163" s="524"/>
      <c r="T163" s="612"/>
      <c r="U163" s="481"/>
      <c r="V163" s="481"/>
      <c r="W163" s="481"/>
      <c r="X163" s="481"/>
      <c r="Y163" s="481"/>
      <c r="Z163" s="481"/>
      <c r="AA163" s="481"/>
      <c r="AB163" s="481"/>
      <c r="AC163" s="481"/>
      <c r="AD163" s="481"/>
      <c r="AE163" s="481"/>
      <c r="AF163" s="481"/>
      <c r="AG163" s="481"/>
      <c r="AH163" s="481"/>
      <c r="AI163" s="481"/>
      <c r="AJ163" s="481"/>
      <c r="AK163" s="481"/>
      <c r="AL163" s="481"/>
      <c r="AM163" s="481"/>
      <c r="AN163" s="481"/>
    </row>
    <row r="164" spans="1:40" ht="15.75" customHeight="1" thickBot="1">
      <c r="B164" s="481"/>
      <c r="C164" s="587" t="s">
        <v>72</v>
      </c>
      <c r="D164" s="615"/>
      <c r="E164" s="588"/>
      <c r="F164" s="590">
        <v>70405.622667704185</v>
      </c>
      <c r="G164" s="616"/>
      <c r="H164" s="588"/>
      <c r="I164" s="590"/>
      <c r="J164" s="587"/>
      <c r="K164" s="589"/>
      <c r="L164" s="590">
        <v>7628.3099999999831</v>
      </c>
      <c r="M164" s="587"/>
      <c r="N164" s="590">
        <v>-62777.312667704202</v>
      </c>
      <c r="O164" s="587"/>
      <c r="P164" s="589"/>
      <c r="Q164" s="590">
        <v>63463.194000000076</v>
      </c>
      <c r="R164" s="587"/>
      <c r="S164" s="590">
        <v>-55834.884000000093</v>
      </c>
      <c r="T164" s="542"/>
      <c r="U164" s="481"/>
      <c r="V164" s="481"/>
      <c r="W164" s="481"/>
      <c r="X164" s="481"/>
      <c r="Y164" s="481"/>
      <c r="Z164" s="481"/>
      <c r="AA164" s="481"/>
      <c r="AB164" s="481"/>
      <c r="AC164" s="481"/>
      <c r="AD164" s="481"/>
      <c r="AE164" s="481"/>
      <c r="AF164" s="481"/>
      <c r="AG164" s="481"/>
      <c r="AH164" s="481"/>
      <c r="AI164" s="481"/>
      <c r="AJ164" s="481"/>
      <c r="AK164" s="481"/>
      <c r="AL164" s="481"/>
      <c r="AM164" s="481"/>
      <c r="AN164" s="481"/>
    </row>
    <row r="165" spans="1:40" ht="15.75" customHeight="1" thickTop="1">
      <c r="B165" s="481"/>
      <c r="C165" s="478"/>
      <c r="D165" s="478"/>
      <c r="E165" s="478"/>
      <c r="F165" s="478"/>
      <c r="G165" s="478"/>
      <c r="H165" s="478"/>
      <c r="I165" s="478"/>
      <c r="J165" s="478"/>
      <c r="K165" s="478"/>
      <c r="L165" s="617"/>
      <c r="M165" s="478"/>
      <c r="N165" s="478"/>
      <c r="O165" s="478"/>
      <c r="P165" s="478"/>
      <c r="Q165" s="478"/>
      <c r="R165" s="478"/>
      <c r="S165" s="478"/>
      <c r="T165" s="617"/>
      <c r="U165" s="478"/>
      <c r="V165" s="481"/>
      <c r="W165" s="481"/>
      <c r="X165" s="481"/>
      <c r="Y165" s="481"/>
      <c r="Z165" s="481"/>
      <c r="AA165" s="481"/>
      <c r="AB165" s="481"/>
      <c r="AC165" s="481"/>
      <c r="AD165" s="481"/>
      <c r="AE165" s="481"/>
      <c r="AF165" s="481"/>
      <c r="AG165" s="481"/>
      <c r="AH165" s="481"/>
      <c r="AI165" s="481"/>
      <c r="AJ165" s="481"/>
      <c r="AK165" s="481"/>
      <c r="AL165" s="481"/>
      <c r="AM165" s="481"/>
      <c r="AN165" s="481"/>
    </row>
    <row r="166" spans="1:40" ht="8.25" customHeight="1">
      <c r="B166" s="481"/>
      <c r="C166" s="478"/>
      <c r="D166" s="478"/>
      <c r="E166" s="478"/>
      <c r="F166" s="478"/>
      <c r="G166" s="478"/>
      <c r="H166" s="478"/>
      <c r="I166" s="478"/>
      <c r="J166" s="478"/>
      <c r="K166" s="478"/>
      <c r="L166" s="478"/>
      <c r="M166" s="478"/>
      <c r="N166" s="478"/>
      <c r="O166" s="478"/>
      <c r="P166" s="478"/>
      <c r="Q166" s="478"/>
      <c r="R166" s="478"/>
      <c r="S166" s="478"/>
      <c r="T166" s="617"/>
      <c r="U166" s="478"/>
      <c r="V166" s="478"/>
      <c r="W166" s="478"/>
      <c r="X166" s="478"/>
      <c r="Y166" s="478"/>
      <c r="Z166" s="478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  <c r="AL166" s="478"/>
      <c r="AM166" s="478"/>
      <c r="AN166" s="478"/>
    </row>
    <row r="167" spans="1:40" ht="33.75" customHeight="1">
      <c r="B167" s="481"/>
      <c r="C167" s="595" t="s">
        <v>223</v>
      </c>
      <c r="D167" s="469"/>
      <c r="E167" s="469"/>
      <c r="F167" s="469"/>
      <c r="G167" s="469"/>
      <c r="H167" s="467"/>
      <c r="I167" s="467"/>
      <c r="J167" s="467"/>
      <c r="K167" s="471" t="s">
        <v>83</v>
      </c>
      <c r="L167" s="469"/>
      <c r="M167" s="469"/>
      <c r="N167" s="467"/>
      <c r="O167" s="467"/>
      <c r="P167" s="469"/>
      <c r="Q167" s="467"/>
      <c r="R167" s="469"/>
      <c r="S167" s="596" t="s">
        <v>483</v>
      </c>
      <c r="T167" s="469"/>
      <c r="U167" s="467"/>
      <c r="V167" s="478"/>
      <c r="W167" s="478"/>
      <c r="X167" s="478"/>
      <c r="Y167" s="478"/>
      <c r="Z167" s="478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  <c r="AL167" s="478"/>
      <c r="AM167" s="478"/>
      <c r="AN167" s="478"/>
    </row>
    <row r="168" spans="1:40" ht="15.75" customHeight="1" thickBot="1">
      <c r="B168" s="481"/>
      <c r="C168" s="476"/>
      <c r="D168" s="478"/>
      <c r="E168" s="478"/>
      <c r="F168" s="478"/>
      <c r="G168" s="478"/>
      <c r="H168" s="478"/>
      <c r="I168" s="478"/>
      <c r="J168" s="478"/>
      <c r="K168" s="478"/>
      <c r="L168" s="478"/>
      <c r="M168" s="478"/>
      <c r="N168" s="478"/>
      <c r="O168" s="478"/>
      <c r="P168" s="478"/>
      <c r="Q168" s="478"/>
      <c r="R168" s="478"/>
      <c r="S168" s="478"/>
      <c r="T168" s="478"/>
      <c r="U168" s="478"/>
      <c r="V168" s="467"/>
      <c r="W168" s="467"/>
      <c r="X168" s="467"/>
      <c r="Y168" s="467"/>
      <c r="Z168" s="467"/>
      <c r="AA168" s="467"/>
      <c r="AB168" s="467"/>
      <c r="AC168" s="467"/>
      <c r="AD168" s="467"/>
      <c r="AE168" s="467"/>
      <c r="AF168" s="467"/>
      <c r="AG168" s="467"/>
      <c r="AH168" s="467"/>
      <c r="AI168" s="467"/>
      <c r="AJ168" s="467"/>
      <c r="AK168" s="467"/>
      <c r="AL168" s="467"/>
      <c r="AM168" s="467"/>
      <c r="AN168" s="467"/>
    </row>
    <row r="169" spans="1:40" ht="15.75" customHeight="1" thickTop="1">
      <c r="B169" s="481"/>
      <c r="C169" s="482"/>
      <c r="D169" s="864" t="s">
        <v>5</v>
      </c>
      <c r="E169" s="865"/>
      <c r="F169" s="866"/>
      <c r="G169" s="867"/>
      <c r="H169" s="865"/>
      <c r="I169" s="866"/>
      <c r="J169" s="867" t="s">
        <v>7</v>
      </c>
      <c r="K169" s="865"/>
      <c r="L169" s="866"/>
      <c r="M169" s="867" t="s">
        <v>472</v>
      </c>
      <c r="N169" s="866"/>
      <c r="O169" s="864" t="s">
        <v>9</v>
      </c>
      <c r="P169" s="865"/>
      <c r="Q169" s="866"/>
      <c r="R169" s="867" t="s">
        <v>473</v>
      </c>
      <c r="S169" s="866"/>
      <c r="T169" s="611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  <c r="AL169" s="478"/>
      <c r="AM169" s="478"/>
      <c r="AN169" s="478"/>
    </row>
    <row r="170" spans="1:40" ht="15.75" customHeight="1">
      <c r="A170" s="490" t="s">
        <v>83</v>
      </c>
      <c r="B170" s="481" t="s">
        <v>83</v>
      </c>
      <c r="C170" s="498"/>
      <c r="D170" s="540" t="s">
        <v>40</v>
      </c>
      <c r="E170" s="540" t="s">
        <v>84</v>
      </c>
      <c r="F170" s="618" t="s">
        <v>13</v>
      </c>
      <c r="G170" s="619"/>
      <c r="H170" s="540"/>
      <c r="I170" s="618"/>
      <c r="J170" s="619" t="s">
        <v>40</v>
      </c>
      <c r="K170" s="540" t="s">
        <v>84</v>
      </c>
      <c r="L170" s="618" t="s">
        <v>13</v>
      </c>
      <c r="M170" s="619" t="s">
        <v>468</v>
      </c>
      <c r="N170" s="618" t="s">
        <v>475</v>
      </c>
      <c r="O170" s="540" t="s">
        <v>40</v>
      </c>
      <c r="P170" s="540" t="s">
        <v>84</v>
      </c>
      <c r="Q170" s="618" t="s">
        <v>13</v>
      </c>
      <c r="R170" s="619" t="s">
        <v>85</v>
      </c>
      <c r="S170" s="618" t="s">
        <v>13</v>
      </c>
      <c r="T170" s="540"/>
      <c r="AA170" s="481"/>
      <c r="AB170" s="481"/>
      <c r="AC170" s="481"/>
      <c r="AD170" s="481"/>
      <c r="AE170" s="481"/>
      <c r="AF170" s="481"/>
      <c r="AG170" s="481"/>
      <c r="AH170" s="481"/>
      <c r="AI170" s="481"/>
      <c r="AJ170" s="481"/>
      <c r="AK170" s="481"/>
      <c r="AL170" s="481"/>
      <c r="AM170" s="481"/>
      <c r="AN170" s="481"/>
    </row>
    <row r="171" spans="1:40" ht="15.75" customHeight="1">
      <c r="A171" s="490" t="s">
        <v>330</v>
      </c>
      <c r="B171" s="481" t="s">
        <v>83</v>
      </c>
      <c r="C171" s="498" t="s">
        <v>86</v>
      </c>
      <c r="D171" s="542">
        <v>371.28867871346142</v>
      </c>
      <c r="E171" s="542">
        <v>109530.16022047112</v>
      </c>
      <c r="F171" s="542">
        <v>83242.921767558058</v>
      </c>
      <c r="G171" s="525"/>
      <c r="H171" s="542"/>
      <c r="I171" s="542"/>
      <c r="J171" s="525">
        <v>346</v>
      </c>
      <c r="K171" s="499">
        <v>124231.09000000001</v>
      </c>
      <c r="L171" s="501">
        <v>94401.340000000026</v>
      </c>
      <c r="M171" s="543">
        <v>0.1342180980100611</v>
      </c>
      <c r="N171" s="524">
        <v>11158.418232441967</v>
      </c>
      <c r="O171" s="525">
        <v>368</v>
      </c>
      <c r="P171" s="499">
        <v>118455.02</v>
      </c>
      <c r="Q171" s="501">
        <v>92939.24</v>
      </c>
      <c r="R171" s="543">
        <v>0.94021739130434778</v>
      </c>
      <c r="S171" s="524">
        <v>1462.1000000000204</v>
      </c>
      <c r="T171" s="542"/>
      <c r="AA171" s="481"/>
      <c r="AB171" s="481"/>
      <c r="AC171" s="481"/>
      <c r="AD171" s="481"/>
      <c r="AE171" s="481"/>
      <c r="AF171" s="481"/>
      <c r="AG171" s="481"/>
      <c r="AH171" s="481"/>
      <c r="AI171" s="481"/>
      <c r="AJ171" s="481"/>
      <c r="AK171" s="481"/>
      <c r="AL171" s="481"/>
      <c r="AM171" s="481"/>
      <c r="AN171" s="481"/>
    </row>
    <row r="172" spans="1:40" ht="15.75" customHeight="1">
      <c r="A172" s="490" t="s">
        <v>331</v>
      </c>
      <c r="B172" s="481" t="s">
        <v>83</v>
      </c>
      <c r="C172" s="498" t="s">
        <v>87</v>
      </c>
      <c r="D172" s="542"/>
      <c r="E172" s="604"/>
      <c r="F172" s="620">
        <v>0.76</v>
      </c>
      <c r="G172" s="525"/>
      <c r="H172" s="604"/>
      <c r="I172" s="620"/>
      <c r="J172" s="525"/>
      <c r="K172" s="481"/>
      <c r="L172" s="620">
        <v>0.75988498531245297</v>
      </c>
      <c r="M172" s="543"/>
      <c r="N172" s="524"/>
      <c r="O172" s="525"/>
      <c r="P172" s="481"/>
      <c r="Q172" s="620">
        <v>0.78459519908907194</v>
      </c>
      <c r="R172" s="525"/>
      <c r="S172" s="524"/>
      <c r="T172" s="542"/>
      <c r="AA172" s="481"/>
      <c r="AB172" s="481"/>
      <c r="AC172" s="481"/>
      <c r="AD172" s="481"/>
      <c r="AE172" s="481"/>
      <c r="AF172" s="481"/>
      <c r="AG172" s="481"/>
      <c r="AH172" s="481"/>
      <c r="AI172" s="481"/>
      <c r="AJ172" s="481"/>
      <c r="AK172" s="481"/>
      <c r="AL172" s="481"/>
      <c r="AM172" s="481"/>
      <c r="AN172" s="481"/>
    </row>
    <row r="173" spans="1:40" ht="15.75" customHeight="1">
      <c r="A173" s="490" t="s">
        <v>83</v>
      </c>
      <c r="B173" s="481" t="s">
        <v>83</v>
      </c>
      <c r="C173" s="491"/>
      <c r="D173" s="545"/>
      <c r="E173" s="621">
        <v>295</v>
      </c>
      <c r="F173" s="622"/>
      <c r="G173" s="623"/>
      <c r="H173" s="621"/>
      <c r="I173" s="622"/>
      <c r="J173" s="623"/>
      <c r="K173" s="621">
        <v>359.04939306358386</v>
      </c>
      <c r="L173" s="622"/>
      <c r="M173" s="546"/>
      <c r="N173" s="547"/>
      <c r="O173" s="623"/>
      <c r="P173" s="621">
        <v>321.88864130434786</v>
      </c>
      <c r="Q173" s="622"/>
      <c r="R173" s="623"/>
      <c r="S173" s="547"/>
      <c r="T173" s="542"/>
      <c r="AA173" s="481"/>
      <c r="AB173" s="481"/>
      <c r="AC173" s="481"/>
      <c r="AD173" s="481"/>
      <c r="AE173" s="481"/>
      <c r="AF173" s="481"/>
      <c r="AG173" s="481"/>
      <c r="AH173" s="481"/>
      <c r="AI173" s="481"/>
      <c r="AJ173" s="481"/>
      <c r="AK173" s="481"/>
      <c r="AL173" s="481"/>
      <c r="AM173" s="481"/>
      <c r="AN173" s="481"/>
    </row>
    <row r="174" spans="1:40" ht="18" customHeight="1">
      <c r="A174" s="490" t="s">
        <v>332</v>
      </c>
      <c r="B174" s="481" t="s">
        <v>83</v>
      </c>
      <c r="C174" s="485" t="s">
        <v>88</v>
      </c>
      <c r="D174" s="624">
        <v>289.65507910197891</v>
      </c>
      <c r="E174" s="542">
        <v>49241.363447336415</v>
      </c>
      <c r="F174" s="542">
        <v>33484.127144188766</v>
      </c>
      <c r="G174" s="625"/>
      <c r="H174" s="542"/>
      <c r="I174" s="542"/>
      <c r="J174" s="625">
        <v>112</v>
      </c>
      <c r="K174" s="519">
        <v>47082.720000000001</v>
      </c>
      <c r="L174" s="501">
        <v>28555.800000000003</v>
      </c>
      <c r="M174" s="543">
        <v>-4.383801130212571E-2</v>
      </c>
      <c r="N174" s="570">
        <v>-4928.3271441887628</v>
      </c>
      <c r="O174" s="625">
        <v>185</v>
      </c>
      <c r="P174" s="519">
        <v>41385.769999999997</v>
      </c>
      <c r="Q174" s="501">
        <v>27741.39</v>
      </c>
      <c r="R174" s="543">
        <v>0.60540540540540544</v>
      </c>
      <c r="S174" s="524">
        <v>814.41000000000349</v>
      </c>
      <c r="T174" s="542"/>
      <c r="U174" s="481" t="s">
        <v>470</v>
      </c>
      <c r="V174" s="499">
        <v>128345.18000000001</v>
      </c>
      <c r="W174" s="481"/>
      <c r="AA174" s="481"/>
      <c r="AB174" s="481"/>
      <c r="AC174" s="481"/>
      <c r="AD174" s="481"/>
      <c r="AE174" s="481"/>
      <c r="AF174" s="481"/>
      <c r="AG174" s="481"/>
      <c r="AH174" s="481"/>
      <c r="AI174" s="481"/>
      <c r="AJ174" s="481"/>
      <c r="AK174" s="481"/>
      <c r="AL174" s="481"/>
      <c r="AM174" s="481"/>
      <c r="AN174" s="481"/>
    </row>
    <row r="175" spans="1:40" ht="15.75" customHeight="1">
      <c r="A175" s="490" t="s">
        <v>331</v>
      </c>
      <c r="B175" s="481" t="s">
        <v>83</v>
      </c>
      <c r="C175" s="498" t="s">
        <v>87</v>
      </c>
      <c r="D175" s="481"/>
      <c r="E175" s="481"/>
      <c r="F175" s="620">
        <v>0.68</v>
      </c>
      <c r="G175" s="498"/>
      <c r="H175" s="481"/>
      <c r="I175" s="620"/>
      <c r="J175" s="498"/>
      <c r="K175" s="481"/>
      <c r="L175" s="620">
        <v>0.60650276789446322</v>
      </c>
      <c r="M175" s="515"/>
      <c r="N175" s="516"/>
      <c r="O175" s="498"/>
      <c r="P175" s="481"/>
      <c r="Q175" s="620">
        <v>0.67031228366658402</v>
      </c>
      <c r="R175" s="515"/>
      <c r="S175" s="516"/>
      <c r="T175" s="481"/>
      <c r="U175" s="481" t="s">
        <v>471</v>
      </c>
      <c r="V175" s="499">
        <v>47332.73000000001</v>
      </c>
      <c r="W175" s="626">
        <v>0.36879242368120102</v>
      </c>
      <c r="AA175" s="481"/>
      <c r="AB175" s="481"/>
      <c r="AC175" s="481"/>
      <c r="AD175" s="481"/>
      <c r="AE175" s="481"/>
      <c r="AF175" s="481"/>
      <c r="AG175" s="481"/>
      <c r="AH175" s="481"/>
      <c r="AI175" s="481"/>
      <c r="AJ175" s="481"/>
      <c r="AK175" s="481"/>
      <c r="AL175" s="481"/>
      <c r="AM175" s="481"/>
      <c r="AN175" s="481"/>
    </row>
    <row r="176" spans="1:40" ht="15.75" customHeight="1">
      <c r="A176" s="490" t="s">
        <v>83</v>
      </c>
      <c r="B176" s="481" t="s">
        <v>83</v>
      </c>
      <c r="C176" s="491"/>
      <c r="D176" s="571"/>
      <c r="E176" s="621">
        <v>170</v>
      </c>
      <c r="F176" s="622"/>
      <c r="G176" s="623"/>
      <c r="H176" s="621"/>
      <c r="I176" s="622"/>
      <c r="J176" s="623"/>
      <c r="K176" s="621">
        <v>420.38142857142856</v>
      </c>
      <c r="L176" s="622"/>
      <c r="M176" s="546"/>
      <c r="N176" s="547"/>
      <c r="O176" s="623"/>
      <c r="P176" s="621">
        <v>223.70686486486485</v>
      </c>
      <c r="Q176" s="622"/>
      <c r="R176" s="627"/>
      <c r="S176" s="628"/>
      <c r="T176" s="481"/>
      <c r="AA176" s="481"/>
      <c r="AB176" s="481"/>
      <c r="AC176" s="481"/>
      <c r="AD176" s="481"/>
      <c r="AE176" s="481"/>
      <c r="AF176" s="481"/>
      <c r="AG176" s="481"/>
      <c r="AH176" s="481"/>
      <c r="AI176" s="481"/>
      <c r="AJ176" s="481"/>
      <c r="AK176" s="481"/>
      <c r="AL176" s="481"/>
      <c r="AM176" s="481"/>
      <c r="AN176" s="481"/>
    </row>
    <row r="177" spans="1:40" ht="15.75" customHeight="1">
      <c r="A177" s="490" t="s">
        <v>333</v>
      </c>
      <c r="B177" s="481" t="s">
        <v>83</v>
      </c>
      <c r="C177" s="498" t="s">
        <v>89</v>
      </c>
      <c r="D177" s="542">
        <v>211.39475113008589</v>
      </c>
      <c r="E177" s="542">
        <v>47563.819004269331</v>
      </c>
      <c r="F177" s="542">
        <v>35197.226063159302</v>
      </c>
      <c r="G177" s="525"/>
      <c r="H177" s="542"/>
      <c r="I177" s="542"/>
      <c r="J177" s="525">
        <v>207</v>
      </c>
      <c r="K177" s="519">
        <v>64628.659999999996</v>
      </c>
      <c r="L177" s="501">
        <v>40631.67</v>
      </c>
      <c r="M177" s="543">
        <v>0.35877777169656883</v>
      </c>
      <c r="N177" s="524">
        <v>5434.4439368406966</v>
      </c>
      <c r="O177" s="525">
        <v>230</v>
      </c>
      <c r="P177" s="519">
        <v>50943.62</v>
      </c>
      <c r="Q177" s="501">
        <v>37676.03</v>
      </c>
      <c r="R177" s="543">
        <v>0.9</v>
      </c>
      <c r="S177" s="524">
        <v>2955.6399999999994</v>
      </c>
      <c r="T177" s="542"/>
      <c r="AA177" s="481"/>
      <c r="AB177" s="481"/>
      <c r="AC177" s="481"/>
      <c r="AD177" s="481"/>
      <c r="AE177" s="481"/>
      <c r="AF177" s="481"/>
      <c r="AG177" s="481"/>
      <c r="AH177" s="481"/>
      <c r="AI177" s="481"/>
      <c r="AJ177" s="481"/>
      <c r="AK177" s="481"/>
      <c r="AL177" s="481"/>
      <c r="AM177" s="481"/>
      <c r="AN177" s="481"/>
    </row>
    <row r="178" spans="1:40" ht="15.75" customHeight="1">
      <c r="A178" s="490" t="s">
        <v>331</v>
      </c>
      <c r="B178" s="481" t="s">
        <v>83</v>
      </c>
      <c r="C178" s="498" t="s">
        <v>87</v>
      </c>
      <c r="D178" s="542"/>
      <c r="E178" s="604"/>
      <c r="F178" s="620">
        <v>0.73999999999999988</v>
      </c>
      <c r="G178" s="525"/>
      <c r="H178" s="604"/>
      <c r="I178" s="620"/>
      <c r="J178" s="525"/>
      <c r="K178" s="604"/>
      <c r="L178" s="620">
        <v>0.62869429754539241</v>
      </c>
      <c r="M178" s="543"/>
      <c r="N178" s="524">
        <v>-0.11130570245460747</v>
      </c>
      <c r="O178" s="525"/>
      <c r="P178" s="604"/>
      <c r="Q178" s="620">
        <v>0.73956326621468982</v>
      </c>
      <c r="R178" s="525">
        <v>0</v>
      </c>
      <c r="S178" s="524"/>
      <c r="T178" s="542"/>
      <c r="AA178" s="481"/>
      <c r="AB178" s="481"/>
      <c r="AC178" s="481"/>
      <c r="AD178" s="481"/>
      <c r="AE178" s="481"/>
      <c r="AF178" s="481"/>
      <c r="AG178" s="481"/>
      <c r="AH178" s="481"/>
      <c r="AI178" s="481"/>
      <c r="AJ178" s="481"/>
      <c r="AK178" s="481"/>
      <c r="AL178" s="481"/>
      <c r="AM178" s="481"/>
      <c r="AN178" s="481"/>
    </row>
    <row r="179" spans="1:40" ht="15.75" customHeight="1">
      <c r="A179" s="490" t="s">
        <v>83</v>
      </c>
      <c r="B179" s="481" t="s">
        <v>83</v>
      </c>
      <c r="C179" s="498"/>
      <c r="D179" s="542"/>
      <c r="E179" s="621">
        <v>225.00000000000003</v>
      </c>
      <c r="F179" s="622"/>
      <c r="G179" s="623"/>
      <c r="H179" s="621"/>
      <c r="I179" s="622"/>
      <c r="J179" s="623"/>
      <c r="K179" s="621">
        <v>312.21574879227052</v>
      </c>
      <c r="L179" s="622"/>
      <c r="M179" s="546"/>
      <c r="N179" s="547"/>
      <c r="O179" s="623"/>
      <c r="P179" s="621">
        <v>221.494</v>
      </c>
      <c r="Q179" s="620"/>
      <c r="R179" s="623"/>
      <c r="S179" s="524"/>
      <c r="T179" s="542"/>
      <c r="U179" s="518">
        <v>64628.659999999996</v>
      </c>
      <c r="V179" s="466">
        <v>65</v>
      </c>
      <c r="X179" s="466">
        <v>35</v>
      </c>
      <c r="AA179" s="481"/>
      <c r="AB179" s="481"/>
      <c r="AC179" s="481"/>
      <c r="AD179" s="481"/>
      <c r="AE179" s="481"/>
      <c r="AF179" s="481"/>
      <c r="AG179" s="481"/>
      <c r="AH179" s="481"/>
      <c r="AI179" s="481"/>
      <c r="AJ179" s="481"/>
      <c r="AK179" s="481"/>
      <c r="AL179" s="481"/>
      <c r="AM179" s="481"/>
      <c r="AN179" s="481"/>
    </row>
    <row r="180" spans="1:40" ht="15.75" customHeight="1">
      <c r="A180" s="490" t="s">
        <v>334</v>
      </c>
      <c r="B180" s="481" t="s">
        <v>83</v>
      </c>
      <c r="C180" s="485" t="s">
        <v>90</v>
      </c>
      <c r="D180" s="624">
        <v>5.1391913593072509</v>
      </c>
      <c r="E180" s="542">
        <v>513.91913593072513</v>
      </c>
      <c r="F180" s="542">
        <v>359.74339515150757</v>
      </c>
      <c r="G180" s="625"/>
      <c r="H180" s="542"/>
      <c r="I180" s="542"/>
      <c r="J180" s="625">
        <v>0</v>
      </c>
      <c r="K180" s="519">
        <v>16369.69</v>
      </c>
      <c r="L180" s="520">
        <v>14346.630000000001</v>
      </c>
      <c r="M180" s="629">
        <v>30.852657072895198</v>
      </c>
      <c r="N180" s="570">
        <v>13986.886604848494</v>
      </c>
      <c r="O180" s="625">
        <v>0</v>
      </c>
      <c r="P180" s="519">
        <v>203.19</v>
      </c>
      <c r="Q180" s="520">
        <v>101.49</v>
      </c>
      <c r="R180" s="543">
        <v>0</v>
      </c>
      <c r="S180" s="570">
        <v>14245.140000000001</v>
      </c>
      <c r="T180" s="542"/>
      <c r="U180" s="518">
        <v>23996.989999999998</v>
      </c>
      <c r="V180" s="466">
        <v>30</v>
      </c>
      <c r="X180" s="466">
        <v>35</v>
      </c>
      <c r="AA180" s="481"/>
      <c r="AB180" s="481"/>
      <c r="AC180" s="481"/>
      <c r="AD180" s="481"/>
      <c r="AE180" s="481"/>
      <c r="AF180" s="481"/>
      <c r="AG180" s="481"/>
      <c r="AH180" s="481"/>
      <c r="AI180" s="481"/>
      <c r="AJ180" s="481"/>
      <c r="AK180" s="481"/>
      <c r="AL180" s="481"/>
      <c r="AM180" s="481"/>
      <c r="AN180" s="481"/>
    </row>
    <row r="181" spans="1:40" ht="15.75" customHeight="1">
      <c r="A181" s="490" t="s">
        <v>331</v>
      </c>
      <c r="B181" s="481" t="s">
        <v>83</v>
      </c>
      <c r="C181" s="498" t="s">
        <v>87</v>
      </c>
      <c r="D181" s="537"/>
      <c r="E181" s="630"/>
      <c r="F181" s="620">
        <v>0.7</v>
      </c>
      <c r="G181" s="517"/>
      <c r="H181" s="630"/>
      <c r="I181" s="620"/>
      <c r="J181" s="631"/>
      <c r="K181" s="630">
        <v>0</v>
      </c>
      <c r="L181" s="620">
        <v>0.87641427540778116</v>
      </c>
      <c r="M181" s="525">
        <v>0</v>
      </c>
      <c r="N181" s="632"/>
      <c r="O181" s="631"/>
      <c r="P181" s="630">
        <v>0</v>
      </c>
      <c r="Q181" s="620">
        <v>0.49948324228554553</v>
      </c>
      <c r="R181" s="498"/>
      <c r="S181" s="632"/>
      <c r="T181" s="572"/>
      <c r="U181" s="518">
        <v>40631.67</v>
      </c>
      <c r="X181" s="466">
        <v>0</v>
      </c>
      <c r="AA181" s="481"/>
      <c r="AB181" s="481"/>
      <c r="AC181" s="481"/>
      <c r="AD181" s="481"/>
      <c r="AE181" s="481"/>
      <c r="AF181" s="481"/>
      <c r="AG181" s="481"/>
      <c r="AH181" s="481"/>
      <c r="AI181" s="481"/>
      <c r="AJ181" s="481"/>
      <c r="AK181" s="481"/>
      <c r="AL181" s="481"/>
      <c r="AM181" s="481"/>
      <c r="AN181" s="481"/>
    </row>
    <row r="182" spans="1:40" ht="15.75" customHeight="1">
      <c r="A182" s="490" t="s">
        <v>83</v>
      </c>
      <c r="B182" s="481" t="s">
        <v>83</v>
      </c>
      <c r="C182" s="491"/>
      <c r="D182" s="633"/>
      <c r="E182" s="634"/>
      <c r="F182" s="622"/>
      <c r="G182" s="511"/>
      <c r="H182" s="634"/>
      <c r="I182" s="622"/>
      <c r="J182" s="635"/>
      <c r="K182" s="495"/>
      <c r="L182" s="622"/>
      <c r="M182" s="623"/>
      <c r="N182" s="636"/>
      <c r="O182" s="635"/>
      <c r="P182" s="495"/>
      <c r="Q182" s="622"/>
      <c r="R182" s="491"/>
      <c r="S182" s="636"/>
      <c r="T182" s="572"/>
      <c r="AA182" s="481"/>
      <c r="AB182" s="481"/>
      <c r="AC182" s="481"/>
      <c r="AD182" s="481"/>
      <c r="AE182" s="481"/>
      <c r="AF182" s="481"/>
      <c r="AG182" s="481"/>
      <c r="AH182" s="481"/>
      <c r="AI182" s="481"/>
      <c r="AJ182" s="481"/>
      <c r="AK182" s="481"/>
      <c r="AL182" s="481"/>
      <c r="AM182" s="481"/>
      <c r="AN182" s="481"/>
    </row>
    <row r="183" spans="1:40" ht="26.25" customHeight="1" thickBot="1">
      <c r="A183" s="490" t="s">
        <v>335</v>
      </c>
      <c r="B183" s="481" t="s">
        <v>83</v>
      </c>
      <c r="C183" s="498" t="s">
        <v>91</v>
      </c>
      <c r="D183" s="481"/>
      <c r="E183" s="481"/>
      <c r="F183" s="524">
        <v>-2598.4209338480641</v>
      </c>
      <c r="G183" s="498"/>
      <c r="H183" s="542"/>
      <c r="I183" s="542"/>
      <c r="J183" s="525"/>
      <c r="K183" s="542"/>
      <c r="L183" s="542">
        <v>-1755.16</v>
      </c>
      <c r="M183" s="631"/>
      <c r="N183" s="524">
        <v>843.26093384806404</v>
      </c>
      <c r="O183" s="525"/>
      <c r="P183" s="542"/>
      <c r="Q183" s="501">
        <v>-227.12</v>
      </c>
      <c r="R183" s="637"/>
      <c r="S183" s="524">
        <v>-1528.04</v>
      </c>
      <c r="T183" s="481"/>
      <c r="U183" s="481"/>
      <c r="V183" s="481"/>
      <c r="W183" s="481"/>
      <c r="X183" s="481"/>
      <c r="Y183" s="481"/>
      <c r="Z183" s="481"/>
      <c r="AA183" s="481"/>
      <c r="AB183" s="481"/>
      <c r="AC183" s="481"/>
      <c r="AD183" s="481"/>
      <c r="AE183" s="481"/>
      <c r="AF183" s="481"/>
      <c r="AG183" s="481"/>
      <c r="AH183" s="481"/>
      <c r="AI183" s="481"/>
      <c r="AJ183" s="481"/>
      <c r="AK183" s="481"/>
      <c r="AL183" s="481"/>
      <c r="AM183" s="481"/>
      <c r="AN183" s="481"/>
    </row>
    <row r="184" spans="1:40" ht="15.75" customHeight="1" thickTop="1">
      <c r="A184" s="490" t="s">
        <v>336</v>
      </c>
      <c r="B184" s="481" t="s">
        <v>83</v>
      </c>
      <c r="C184" s="638" t="s">
        <v>92</v>
      </c>
      <c r="D184" s="639">
        <v>877.47770030483343</v>
      </c>
      <c r="E184" s="639">
        <v>206849.26180800761</v>
      </c>
      <c r="F184" s="640">
        <v>149685.59743620956</v>
      </c>
      <c r="G184" s="641"/>
      <c r="H184" s="639"/>
      <c r="I184" s="640"/>
      <c r="J184" s="641">
        <v>665</v>
      </c>
      <c r="K184" s="639">
        <v>252312.16</v>
      </c>
      <c r="L184" s="640">
        <v>176180.28000000003</v>
      </c>
      <c r="M184" s="642">
        <v>0.21978757765251267</v>
      </c>
      <c r="N184" s="640">
        <v>26494.682563790469</v>
      </c>
      <c r="O184" s="641">
        <v>783</v>
      </c>
      <c r="P184" s="639">
        <v>210987.6</v>
      </c>
      <c r="Q184" s="640">
        <v>158231.03</v>
      </c>
      <c r="R184" s="515">
        <v>0.84929757343550449</v>
      </c>
      <c r="S184" s="640">
        <v>17949.250000000029</v>
      </c>
      <c r="T184" s="572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</row>
    <row r="185" spans="1:40" ht="15.75" customHeight="1">
      <c r="A185" s="490" t="s">
        <v>337</v>
      </c>
      <c r="B185" s="481" t="s">
        <v>83</v>
      </c>
      <c r="C185" s="643" t="s">
        <v>93</v>
      </c>
      <c r="D185" s="644"/>
      <c r="E185" s="645">
        <v>235.73164507331492</v>
      </c>
      <c r="F185" s="646">
        <v>0.72364578982710626</v>
      </c>
      <c r="G185" s="647"/>
      <c r="H185" s="645"/>
      <c r="I185" s="516"/>
      <c r="J185" s="647"/>
      <c r="K185" s="645">
        <v>379.4167819548872</v>
      </c>
      <c r="L185" s="516">
        <v>0.69826313563325693</v>
      </c>
      <c r="M185" s="647"/>
      <c r="N185" s="646">
        <v>0.17700221676358355</v>
      </c>
      <c r="O185" s="647"/>
      <c r="P185" s="645">
        <v>269.46053639846747</v>
      </c>
      <c r="Q185" s="516">
        <v>0.74995416792266467</v>
      </c>
      <c r="R185" s="647"/>
      <c r="S185" s="516">
        <v>0.11343697882773075</v>
      </c>
      <c r="T185" s="572"/>
      <c r="U185" s="481"/>
      <c r="V185" s="481"/>
      <c r="W185" s="481"/>
      <c r="X185" s="481"/>
      <c r="Y185" s="481"/>
      <c r="Z185" s="481"/>
      <c r="AA185" s="481"/>
      <c r="AB185" s="481"/>
      <c r="AC185" s="481"/>
      <c r="AD185" s="481"/>
      <c r="AE185" s="481"/>
      <c r="AF185" s="481"/>
      <c r="AG185" s="481"/>
      <c r="AH185" s="481"/>
      <c r="AI185" s="481"/>
      <c r="AJ185" s="481"/>
      <c r="AK185" s="481"/>
      <c r="AL185" s="481"/>
      <c r="AM185" s="481"/>
      <c r="AN185" s="481"/>
    </row>
    <row r="186" spans="1:40" ht="15.75" customHeight="1">
      <c r="A186" s="490" t="s">
        <v>83</v>
      </c>
      <c r="B186" s="481" t="s">
        <v>83</v>
      </c>
      <c r="C186" s="504"/>
      <c r="D186" s="648"/>
      <c r="E186" s="649"/>
      <c r="F186" s="650"/>
      <c r="G186" s="651"/>
      <c r="H186" s="649"/>
      <c r="I186" s="650"/>
      <c r="J186" s="651"/>
      <c r="K186" s="649"/>
      <c r="L186" s="650">
        <v>76131.879999999976</v>
      </c>
      <c r="M186" s="651"/>
      <c r="N186" s="650"/>
      <c r="O186" s="651"/>
      <c r="P186" s="649"/>
      <c r="Q186" s="650"/>
      <c r="R186" s="651"/>
      <c r="S186" s="650"/>
      <c r="T186" s="572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</row>
    <row r="187" spans="1:40" ht="19.5" customHeight="1">
      <c r="A187" s="490" t="s">
        <v>338</v>
      </c>
      <c r="B187" s="481" t="s">
        <v>83</v>
      </c>
      <c r="C187" s="498" t="s">
        <v>94</v>
      </c>
      <c r="D187" s="542"/>
      <c r="E187" s="542">
        <v>19669.068665404768</v>
      </c>
      <c r="F187" s="542">
        <v>4327.1951063890492</v>
      </c>
      <c r="G187" s="525"/>
      <c r="H187" s="542"/>
      <c r="I187" s="542"/>
      <c r="J187" s="525"/>
      <c r="K187" s="499">
        <v>14003.68</v>
      </c>
      <c r="L187" s="501">
        <v>2238.2400000000016</v>
      </c>
      <c r="M187" s="543">
        <v>-0.28803543074560617</v>
      </c>
      <c r="N187" s="524">
        <v>-2088.9551063890476</v>
      </c>
      <c r="O187" s="525"/>
      <c r="P187" s="499">
        <v>16685.939999999999</v>
      </c>
      <c r="Q187" s="501">
        <v>3967.1299999999992</v>
      </c>
      <c r="R187" s="543">
        <v>0</v>
      </c>
      <c r="S187" s="524">
        <v>-1728.8899999999976</v>
      </c>
      <c r="T187" s="572"/>
      <c r="U187" s="481"/>
      <c r="V187" s="481"/>
      <c r="W187" s="481"/>
      <c r="X187" s="481"/>
      <c r="Y187" s="481"/>
      <c r="Z187" s="481"/>
      <c r="AA187" s="481"/>
      <c r="AB187" s="481"/>
      <c r="AC187" s="481"/>
      <c r="AD187" s="481"/>
      <c r="AE187" s="481"/>
      <c r="AF187" s="481"/>
      <c r="AG187" s="481"/>
      <c r="AH187" s="481"/>
      <c r="AI187" s="481"/>
      <c r="AJ187" s="481"/>
      <c r="AK187" s="481"/>
      <c r="AL187" s="481"/>
      <c r="AM187" s="481"/>
      <c r="AN187" s="481"/>
    </row>
    <row r="188" spans="1:40" ht="21" customHeight="1">
      <c r="A188" s="490" t="s">
        <v>331</v>
      </c>
      <c r="B188" s="481" t="s">
        <v>83</v>
      </c>
      <c r="C188" s="498" t="s">
        <v>87</v>
      </c>
      <c r="D188" s="481"/>
      <c r="E188" s="604"/>
      <c r="F188" s="620">
        <v>0.22000000000000003</v>
      </c>
      <c r="G188" s="498"/>
      <c r="H188" s="604"/>
      <c r="I188" s="620"/>
      <c r="J188" s="631"/>
      <c r="K188" s="630"/>
      <c r="L188" s="620">
        <v>0.15983227265975811</v>
      </c>
      <c r="M188" s="631"/>
      <c r="N188" s="632"/>
      <c r="O188" s="631"/>
      <c r="P188" s="630"/>
      <c r="Q188" s="620">
        <v>0.23775286258970124</v>
      </c>
      <c r="R188" s="631"/>
      <c r="S188" s="632"/>
      <c r="T188" s="572"/>
      <c r="U188" s="481"/>
      <c r="V188" s="481"/>
      <c r="W188" s="481"/>
      <c r="X188" s="481"/>
      <c r="Y188" s="481"/>
      <c r="Z188" s="481"/>
      <c r="AA188" s="481"/>
      <c r="AB188" s="481"/>
      <c r="AC188" s="481"/>
      <c r="AD188" s="481"/>
      <c r="AE188" s="481"/>
      <c r="AF188" s="481"/>
      <c r="AG188" s="481"/>
      <c r="AH188" s="481"/>
      <c r="AI188" s="481"/>
      <c r="AJ188" s="481"/>
      <c r="AK188" s="481"/>
      <c r="AL188" s="481"/>
      <c r="AM188" s="481"/>
      <c r="AN188" s="481"/>
    </row>
    <row r="189" spans="1:40" ht="15.75" customHeight="1">
      <c r="A189" s="490" t="s">
        <v>83</v>
      </c>
      <c r="B189" s="481" t="s">
        <v>83</v>
      </c>
      <c r="C189" s="498"/>
      <c r="D189" s="481"/>
      <c r="E189" s="604"/>
      <c r="F189" s="620"/>
      <c r="G189" s="498"/>
      <c r="H189" s="604"/>
      <c r="I189" s="620"/>
      <c r="J189" s="631"/>
      <c r="K189" s="630"/>
      <c r="L189" s="620"/>
      <c r="M189" s="631"/>
      <c r="N189" s="632"/>
      <c r="O189" s="631"/>
      <c r="P189" s="630"/>
      <c r="Q189" s="620"/>
      <c r="R189" s="631"/>
      <c r="S189" s="632"/>
      <c r="T189" s="572"/>
      <c r="U189" s="481"/>
      <c r="V189" s="481"/>
      <c r="W189" s="481"/>
      <c r="X189" s="481"/>
      <c r="Y189" s="481"/>
      <c r="Z189" s="481"/>
      <c r="AA189" s="481"/>
      <c r="AB189" s="481"/>
      <c r="AC189" s="481"/>
      <c r="AD189" s="481"/>
      <c r="AE189" s="481"/>
      <c r="AF189" s="481"/>
      <c r="AG189" s="481"/>
      <c r="AH189" s="481"/>
      <c r="AI189" s="481"/>
      <c r="AJ189" s="481"/>
      <c r="AK189" s="481"/>
      <c r="AL189" s="481"/>
      <c r="AM189" s="481"/>
      <c r="AN189" s="481"/>
    </row>
    <row r="190" spans="1:40" ht="15.75" customHeight="1">
      <c r="A190" s="490" t="s">
        <v>339</v>
      </c>
      <c r="B190" s="481" t="s">
        <v>83</v>
      </c>
      <c r="C190" s="498" t="s">
        <v>95</v>
      </c>
      <c r="D190" s="481"/>
      <c r="E190" s="542">
        <v>0</v>
      </c>
      <c r="F190" s="542">
        <v>0</v>
      </c>
      <c r="G190" s="498"/>
      <c r="H190" s="542"/>
      <c r="I190" s="542"/>
      <c r="J190" s="625">
        <v>67</v>
      </c>
      <c r="K190" s="499">
        <v>10767.44</v>
      </c>
      <c r="L190" s="501">
        <v>7120.630000000001</v>
      </c>
      <c r="M190" s="631"/>
      <c r="N190" s="632"/>
      <c r="O190" s="631"/>
      <c r="P190" s="499">
        <v>0</v>
      </c>
      <c r="Q190" s="620"/>
      <c r="R190" s="631"/>
      <c r="S190" s="632"/>
      <c r="T190" s="572"/>
      <c r="U190" s="481"/>
      <c r="V190" s="481"/>
      <c r="W190" s="481"/>
      <c r="X190" s="481"/>
      <c r="Y190" s="481"/>
      <c r="Z190" s="481"/>
      <c r="AA190" s="481"/>
      <c r="AB190" s="481"/>
      <c r="AC190" s="481"/>
      <c r="AD190" s="481"/>
      <c r="AE190" s="481"/>
      <c r="AF190" s="481"/>
      <c r="AG190" s="481"/>
      <c r="AH190" s="481"/>
      <c r="AI190" s="481"/>
      <c r="AJ190" s="481"/>
      <c r="AK190" s="481"/>
      <c r="AL190" s="481"/>
      <c r="AM190" s="481"/>
      <c r="AN190" s="481"/>
    </row>
    <row r="191" spans="1:40" ht="15.75" customHeight="1">
      <c r="A191" s="490" t="s">
        <v>331</v>
      </c>
      <c r="B191" s="481" t="s">
        <v>83</v>
      </c>
      <c r="C191" s="498" t="s">
        <v>87</v>
      </c>
      <c r="D191" s="481"/>
      <c r="E191" s="604"/>
      <c r="F191" s="620">
        <v>0</v>
      </c>
      <c r="G191" s="498"/>
      <c r="H191" s="604"/>
      <c r="I191" s="620"/>
      <c r="J191" s="631"/>
      <c r="K191" s="630"/>
      <c r="L191" s="620">
        <v>0.66131132376869528</v>
      </c>
      <c r="M191" s="631"/>
      <c r="N191" s="632"/>
      <c r="O191" s="631"/>
      <c r="P191" s="630"/>
      <c r="Q191" s="620">
        <v>0</v>
      </c>
      <c r="R191" s="631"/>
      <c r="S191" s="632"/>
      <c r="T191" s="572"/>
      <c r="U191" s="481"/>
      <c r="V191" s="481"/>
      <c r="W191" s="481"/>
      <c r="X191" s="481"/>
      <c r="Y191" s="481"/>
      <c r="Z191" s="481"/>
      <c r="AA191" s="481"/>
      <c r="AB191" s="481"/>
      <c r="AC191" s="481"/>
      <c r="AD191" s="481"/>
      <c r="AE191" s="481"/>
      <c r="AF191" s="481"/>
      <c r="AG191" s="481"/>
      <c r="AH191" s="481"/>
      <c r="AI191" s="481"/>
      <c r="AJ191" s="481"/>
      <c r="AK191" s="481"/>
      <c r="AL191" s="481"/>
      <c r="AM191" s="481"/>
      <c r="AN191" s="481"/>
    </row>
    <row r="192" spans="1:40" ht="15.75" customHeight="1" thickBot="1">
      <c r="A192" s="490" t="s">
        <v>83</v>
      </c>
      <c r="B192" s="481" t="s">
        <v>83</v>
      </c>
      <c r="C192" s="652"/>
      <c r="D192" s="653"/>
      <c r="E192" s="654"/>
      <c r="F192" s="655"/>
      <c r="G192" s="656"/>
      <c r="H192" s="654"/>
      <c r="I192" s="655"/>
      <c r="J192" s="656"/>
      <c r="K192" s="654"/>
      <c r="L192" s="655"/>
      <c r="M192" s="656"/>
      <c r="N192" s="655"/>
      <c r="O192" s="656"/>
      <c r="P192" s="654"/>
      <c r="Q192" s="655"/>
      <c r="R192" s="656"/>
      <c r="S192" s="655"/>
      <c r="T192" s="572"/>
      <c r="U192" s="481"/>
      <c r="V192" s="481"/>
      <c r="W192" s="481"/>
      <c r="X192" s="481"/>
      <c r="Y192" s="481"/>
      <c r="Z192" s="481"/>
      <c r="AA192" s="481"/>
      <c r="AB192" s="481"/>
      <c r="AC192" s="481"/>
      <c r="AD192" s="481"/>
      <c r="AE192" s="481"/>
      <c r="AF192" s="481"/>
      <c r="AG192" s="481"/>
      <c r="AH192" s="481"/>
      <c r="AI192" s="481"/>
      <c r="AJ192" s="481"/>
      <c r="AK192" s="481"/>
      <c r="AL192" s="481"/>
      <c r="AM192" s="481"/>
      <c r="AN192" s="481"/>
    </row>
    <row r="193" spans="1:40" ht="24.75" customHeight="1" thickTop="1">
      <c r="A193" s="490" t="s">
        <v>340</v>
      </c>
      <c r="B193" s="481" t="s">
        <v>83</v>
      </c>
      <c r="C193" s="526" t="s">
        <v>96</v>
      </c>
      <c r="D193" s="527"/>
      <c r="E193" s="527">
        <v>226518.33047341238</v>
      </c>
      <c r="F193" s="529">
        <v>154012.79254259862</v>
      </c>
      <c r="G193" s="530"/>
      <c r="H193" s="527"/>
      <c r="I193" s="529"/>
      <c r="J193" s="530"/>
      <c r="K193" s="527">
        <v>277083.28000000003</v>
      </c>
      <c r="L193" s="529">
        <v>185539.15000000002</v>
      </c>
      <c r="M193" s="657">
        <v>-1.0298047807601463E-2</v>
      </c>
      <c r="N193" s="529">
        <v>31526.357457401406</v>
      </c>
      <c r="O193" s="530"/>
      <c r="P193" s="527">
        <v>227673.54</v>
      </c>
      <c r="Q193" s="529">
        <v>162198.16</v>
      </c>
      <c r="R193" s="657"/>
      <c r="S193" s="529">
        <v>23340.99000000002</v>
      </c>
      <c r="T193" s="572"/>
      <c r="U193" s="481"/>
      <c r="V193" s="481"/>
      <c r="W193" s="481"/>
      <c r="X193" s="481"/>
      <c r="Y193" s="481"/>
      <c r="Z193" s="481"/>
      <c r="AA193" s="481"/>
      <c r="AB193" s="481"/>
      <c r="AC193" s="481"/>
      <c r="AD193" s="481"/>
      <c r="AE193" s="481"/>
      <c r="AF193" s="481"/>
      <c r="AG193" s="481"/>
      <c r="AH193" s="481"/>
      <c r="AI193" s="481"/>
      <c r="AJ193" s="481"/>
      <c r="AK193" s="481"/>
      <c r="AL193" s="481"/>
      <c r="AM193" s="481"/>
      <c r="AN193" s="481"/>
    </row>
    <row r="194" spans="1:40" ht="24" customHeight="1" thickBot="1">
      <c r="A194" s="490" t="s">
        <v>83</v>
      </c>
      <c r="B194" s="481" t="s">
        <v>83</v>
      </c>
      <c r="C194" s="531"/>
      <c r="D194" s="532"/>
      <c r="E194" s="532"/>
      <c r="F194" s="536">
        <v>0.67991315413953168</v>
      </c>
      <c r="G194" s="531"/>
      <c r="H194" s="532"/>
      <c r="I194" s="536"/>
      <c r="J194" s="531"/>
      <c r="K194" s="532"/>
      <c r="L194" s="536">
        <v>0.66961510633193022</v>
      </c>
      <c r="M194" s="535"/>
      <c r="N194" s="536">
        <v>0.20469960278579771</v>
      </c>
      <c r="O194" s="531"/>
      <c r="P194" s="532"/>
      <c r="Q194" s="536">
        <v>0.71241550511315455</v>
      </c>
      <c r="R194" s="535"/>
      <c r="S194" s="536">
        <v>7.9490694267895181</v>
      </c>
      <c r="T194" s="537"/>
      <c r="U194" s="481"/>
      <c r="V194" s="481"/>
      <c r="W194" s="481"/>
      <c r="X194" s="481"/>
      <c r="Y194" s="481"/>
      <c r="Z194" s="481"/>
      <c r="AA194" s="481"/>
      <c r="AB194" s="481"/>
      <c r="AC194" s="481"/>
      <c r="AD194" s="481"/>
      <c r="AE194" s="481"/>
      <c r="AF194" s="481"/>
      <c r="AG194" s="481"/>
      <c r="AH194" s="481"/>
      <c r="AI194" s="481"/>
      <c r="AJ194" s="481"/>
      <c r="AK194" s="481"/>
      <c r="AL194" s="481"/>
      <c r="AM194" s="481"/>
      <c r="AN194" s="481"/>
    </row>
    <row r="195" spans="1:40" ht="15.75" customHeight="1" thickTop="1">
      <c r="A195" s="490" t="s">
        <v>83</v>
      </c>
      <c r="B195" s="481" t="s">
        <v>83</v>
      </c>
      <c r="C195" s="517"/>
      <c r="D195" s="537"/>
      <c r="E195" s="537"/>
      <c r="F195" s="516"/>
      <c r="G195" s="517"/>
      <c r="H195" s="537"/>
      <c r="I195" s="516"/>
      <c r="J195" s="517"/>
      <c r="K195" s="572"/>
      <c r="L195" s="516"/>
      <c r="M195" s="515"/>
      <c r="N195" s="516"/>
      <c r="O195" s="517"/>
      <c r="P195" s="537"/>
      <c r="Q195" s="516"/>
      <c r="R195" s="515"/>
      <c r="S195" s="516"/>
      <c r="T195" s="537"/>
      <c r="U195" s="481"/>
      <c r="V195" s="481"/>
      <c r="W195" s="481"/>
      <c r="X195" s="481"/>
      <c r="Y195" s="481"/>
      <c r="Z195" s="481"/>
      <c r="AA195" s="481"/>
      <c r="AB195" s="481"/>
      <c r="AC195" s="481"/>
      <c r="AD195" s="481"/>
      <c r="AE195" s="481"/>
      <c r="AF195" s="481"/>
      <c r="AG195" s="481"/>
      <c r="AH195" s="481"/>
      <c r="AI195" s="481"/>
      <c r="AJ195" s="481"/>
      <c r="AK195" s="481"/>
      <c r="AL195" s="481"/>
      <c r="AM195" s="481"/>
      <c r="AN195" s="481"/>
    </row>
    <row r="196" spans="1:40" ht="15.75" customHeight="1">
      <c r="A196" s="490" t="s">
        <v>341</v>
      </c>
      <c r="B196" s="481" t="s">
        <v>83</v>
      </c>
      <c r="C196" s="539" t="s">
        <v>30</v>
      </c>
      <c r="D196" s="481"/>
      <c r="E196" s="481"/>
      <c r="F196" s="524"/>
      <c r="G196" s="498"/>
      <c r="H196" s="481"/>
      <c r="I196" s="524"/>
      <c r="J196" s="498"/>
      <c r="K196" s="481"/>
      <c r="L196" s="508"/>
      <c r="M196" s="498"/>
      <c r="N196" s="508"/>
      <c r="O196" s="498"/>
      <c r="P196" s="481"/>
      <c r="Q196" s="508"/>
      <c r="R196" s="498"/>
      <c r="S196" s="508"/>
      <c r="T196" s="481"/>
      <c r="U196" s="481"/>
      <c r="V196" s="481"/>
      <c r="W196" s="481"/>
      <c r="X196" s="481"/>
      <c r="Y196" s="481"/>
      <c r="Z196" s="481"/>
      <c r="AA196" s="481"/>
      <c r="AB196" s="481"/>
      <c r="AC196" s="481"/>
      <c r="AD196" s="481"/>
      <c r="AE196" s="481"/>
      <c r="AF196" s="481"/>
      <c r="AG196" s="481"/>
      <c r="AH196" s="481"/>
      <c r="AI196" s="481"/>
      <c r="AJ196" s="481"/>
      <c r="AK196" s="481"/>
      <c r="AL196" s="481"/>
      <c r="AM196" s="481"/>
      <c r="AN196" s="481"/>
    </row>
    <row r="197" spans="1:40" ht="15.75" customHeight="1">
      <c r="A197" s="490" t="s">
        <v>342</v>
      </c>
      <c r="B197" s="481" t="s">
        <v>83</v>
      </c>
      <c r="C197" s="565" t="s">
        <v>41</v>
      </c>
      <c r="D197" s="481"/>
      <c r="E197" s="481"/>
      <c r="F197" s="499">
        <v>12721.539463601532</v>
      </c>
      <c r="G197" s="498"/>
      <c r="H197" s="481"/>
      <c r="I197" s="499"/>
      <c r="J197" s="498"/>
      <c r="K197" s="481"/>
      <c r="L197" s="501">
        <v>8860.06</v>
      </c>
      <c r="M197" s="498"/>
      <c r="N197" s="524">
        <v>-3861.4794636015322</v>
      </c>
      <c r="O197" s="498"/>
      <c r="P197" s="481"/>
      <c r="Q197" s="501">
        <v>14142.37</v>
      </c>
      <c r="R197" s="498"/>
      <c r="S197" s="501">
        <v>-5282.3100000000013</v>
      </c>
      <c r="T197" s="481"/>
      <c r="U197" s="481"/>
      <c r="V197" s="481"/>
      <c r="W197" s="481"/>
      <c r="X197" s="481"/>
      <c r="Y197" s="481"/>
      <c r="Z197" s="481"/>
      <c r="AA197" s="481"/>
      <c r="AB197" s="481"/>
      <c r="AC197" s="481"/>
      <c r="AD197" s="481"/>
      <c r="AE197" s="481"/>
      <c r="AF197" s="481"/>
      <c r="AG197" s="481"/>
      <c r="AH197" s="481"/>
      <c r="AI197" s="481"/>
      <c r="AJ197" s="481"/>
      <c r="AK197" s="481"/>
      <c r="AL197" s="481"/>
      <c r="AM197" s="481"/>
      <c r="AN197" s="481"/>
    </row>
    <row r="198" spans="1:40" ht="15.75" customHeight="1">
      <c r="A198" s="490" t="s">
        <v>343</v>
      </c>
      <c r="B198" s="481" t="s">
        <v>83</v>
      </c>
      <c r="C198" s="566" t="s">
        <v>42</v>
      </c>
      <c r="D198" s="550"/>
      <c r="E198" s="481"/>
      <c r="F198" s="493">
        <v>10086.291954022989</v>
      </c>
      <c r="G198" s="551"/>
      <c r="H198" s="481"/>
      <c r="I198" s="493"/>
      <c r="J198" s="498"/>
      <c r="K198" s="481"/>
      <c r="L198" s="501">
        <v>8762.59</v>
      </c>
      <c r="M198" s="498"/>
      <c r="N198" s="524">
        <v>-1323.7019540229885</v>
      </c>
      <c r="O198" s="498"/>
      <c r="P198" s="481"/>
      <c r="Q198" s="501">
        <v>8076.79</v>
      </c>
      <c r="R198" s="498"/>
      <c r="S198" s="524">
        <v>685.80000000000018</v>
      </c>
      <c r="T198" s="481"/>
      <c r="U198" s="481"/>
      <c r="V198" s="481"/>
      <c r="W198" s="481"/>
      <c r="X198" s="481"/>
      <c r="Y198" s="481"/>
      <c r="Z198" s="481"/>
      <c r="AA198" s="481"/>
      <c r="AB198" s="481"/>
      <c r="AC198" s="481"/>
      <c r="AD198" s="481"/>
      <c r="AE198" s="481"/>
      <c r="AF198" s="481"/>
      <c r="AG198" s="481"/>
      <c r="AH198" s="481"/>
      <c r="AI198" s="481"/>
      <c r="AJ198" s="481"/>
      <c r="AK198" s="481"/>
      <c r="AL198" s="481"/>
      <c r="AM198" s="481"/>
      <c r="AN198" s="481"/>
    </row>
    <row r="199" spans="1:40" ht="20.399999999999999">
      <c r="A199" s="490" t="s">
        <v>344</v>
      </c>
      <c r="B199" s="481" t="s">
        <v>83</v>
      </c>
      <c r="C199" s="565" t="s">
        <v>43</v>
      </c>
      <c r="D199" s="567"/>
      <c r="E199" s="568"/>
      <c r="F199" s="499">
        <v>12981.605363984674</v>
      </c>
      <c r="G199" s="569"/>
      <c r="H199" s="568"/>
      <c r="I199" s="499"/>
      <c r="J199" s="485"/>
      <c r="K199" s="568"/>
      <c r="L199" s="520">
        <v>3894</v>
      </c>
      <c r="M199" s="485"/>
      <c r="N199" s="570">
        <v>-9087.6053639846741</v>
      </c>
      <c r="O199" s="485"/>
      <c r="P199" s="568"/>
      <c r="Q199" s="520">
        <v>19633.009999999998</v>
      </c>
      <c r="R199" s="485"/>
      <c r="S199" s="570">
        <v>-15739.009999999998</v>
      </c>
      <c r="T199" s="481"/>
      <c r="U199" s="481"/>
      <c r="V199" s="481"/>
      <c r="W199" s="481"/>
      <c r="X199" s="481"/>
      <c r="Y199" s="481">
        <v>4875</v>
      </c>
      <c r="Z199" s="481"/>
      <c r="AA199" s="481"/>
      <c r="AB199" s="481"/>
      <c r="AC199" s="481"/>
      <c r="AD199" s="481"/>
      <c r="AE199" s="481"/>
      <c r="AF199" s="481"/>
      <c r="AG199" s="481"/>
      <c r="AH199" s="481"/>
      <c r="AI199" s="481"/>
      <c r="AJ199" s="481"/>
      <c r="AK199" s="481"/>
      <c r="AL199" s="481"/>
      <c r="AM199" s="481"/>
      <c r="AN199" s="481"/>
    </row>
    <row r="200" spans="1:40" ht="21.75" customHeight="1">
      <c r="A200" s="490" t="s">
        <v>345</v>
      </c>
      <c r="B200" s="481" t="s">
        <v>83</v>
      </c>
      <c r="C200" s="565" t="s">
        <v>44</v>
      </c>
      <c r="D200" s="550"/>
      <c r="E200" s="481"/>
      <c r="F200" s="499">
        <v>30520.212766503933</v>
      </c>
      <c r="G200" s="551"/>
      <c r="H200" s="481"/>
      <c r="I200" s="499"/>
      <c r="J200" s="498"/>
      <c r="K200" s="481"/>
      <c r="L200" s="501">
        <v>23569.11</v>
      </c>
      <c r="M200" s="498"/>
      <c r="N200" s="524">
        <v>-6951.1027665039328</v>
      </c>
      <c r="O200" s="498"/>
      <c r="P200" s="481"/>
      <c r="Q200" s="501">
        <v>24096.36</v>
      </c>
      <c r="R200" s="498"/>
      <c r="S200" s="524">
        <v>-527.25</v>
      </c>
      <c r="T200" s="481"/>
      <c r="U200" s="481"/>
      <c r="V200" s="481"/>
      <c r="W200" s="481"/>
      <c r="X200" s="481"/>
      <c r="Y200" s="481"/>
      <c r="Z200" s="481"/>
      <c r="AA200" s="481"/>
      <c r="AB200" s="481"/>
      <c r="AC200" s="481"/>
      <c r="AD200" s="481"/>
      <c r="AE200" s="481"/>
      <c r="AF200" s="481"/>
      <c r="AG200" s="481"/>
      <c r="AH200" s="481"/>
      <c r="AI200" s="481"/>
      <c r="AJ200" s="481"/>
      <c r="AK200" s="481"/>
      <c r="AL200" s="481"/>
      <c r="AM200" s="481"/>
      <c r="AN200" s="481"/>
    </row>
    <row r="201" spans="1:40" ht="15.75" hidden="1" customHeight="1">
      <c r="A201" s="490" t="s">
        <v>346</v>
      </c>
      <c r="B201" s="481" t="s">
        <v>83</v>
      </c>
      <c r="C201" s="498" t="s">
        <v>20</v>
      </c>
      <c r="D201" s="550"/>
      <c r="E201" s="481"/>
      <c r="F201" s="499">
        <v>0</v>
      </c>
      <c r="G201" s="551"/>
      <c r="H201" s="481"/>
      <c r="I201" s="499"/>
      <c r="J201" s="498"/>
      <c r="K201" s="481"/>
      <c r="L201" s="501">
        <v>0</v>
      </c>
      <c r="M201" s="498"/>
      <c r="N201" s="524">
        <v>0</v>
      </c>
      <c r="O201" s="498"/>
      <c r="P201" s="481"/>
      <c r="Q201" s="501">
        <v>0</v>
      </c>
      <c r="R201" s="498"/>
      <c r="S201" s="524">
        <v>0</v>
      </c>
      <c r="T201" s="481"/>
      <c r="U201" s="481"/>
      <c r="V201" s="481"/>
      <c r="W201" s="481"/>
      <c r="X201" s="481"/>
      <c r="Y201" s="481"/>
      <c r="Z201" s="481"/>
      <c r="AA201" s="481"/>
      <c r="AB201" s="481"/>
      <c r="AC201" s="481"/>
      <c r="AD201" s="481"/>
      <c r="AE201" s="481"/>
      <c r="AF201" s="481"/>
      <c r="AG201" s="481"/>
      <c r="AH201" s="481"/>
      <c r="AI201" s="481"/>
      <c r="AJ201" s="481"/>
      <c r="AK201" s="481"/>
      <c r="AL201" s="481"/>
      <c r="AM201" s="481"/>
      <c r="AN201" s="481"/>
    </row>
    <row r="202" spans="1:40" ht="15.75" hidden="1" customHeight="1">
      <c r="A202" s="490" t="s">
        <v>346</v>
      </c>
      <c r="B202" s="481" t="s">
        <v>83</v>
      </c>
      <c r="C202" s="498" t="s">
        <v>20</v>
      </c>
      <c r="D202" s="550"/>
      <c r="E202" s="481"/>
      <c r="F202" s="499">
        <v>0</v>
      </c>
      <c r="G202" s="551"/>
      <c r="H202" s="481"/>
      <c r="I202" s="499"/>
      <c r="J202" s="498"/>
      <c r="K202" s="481"/>
      <c r="L202" s="501">
        <v>0</v>
      </c>
      <c r="M202" s="498"/>
      <c r="N202" s="524">
        <v>0</v>
      </c>
      <c r="O202" s="498"/>
      <c r="P202" s="481"/>
      <c r="Q202" s="501">
        <v>0</v>
      </c>
      <c r="R202" s="498"/>
      <c r="S202" s="524">
        <v>0</v>
      </c>
      <c r="T202" s="481"/>
      <c r="U202" s="481"/>
      <c r="V202" s="481"/>
      <c r="W202" s="481"/>
      <c r="X202" s="481"/>
      <c r="Y202" s="481"/>
      <c r="Z202" s="481"/>
      <c r="AA202" s="481"/>
      <c r="AB202" s="481"/>
      <c r="AC202" s="481"/>
      <c r="AD202" s="481"/>
      <c r="AE202" s="481"/>
      <c r="AF202" s="481"/>
      <c r="AG202" s="481"/>
      <c r="AH202" s="481"/>
      <c r="AI202" s="481"/>
      <c r="AJ202" s="481"/>
      <c r="AK202" s="481"/>
      <c r="AL202" s="481"/>
      <c r="AM202" s="481"/>
      <c r="AN202" s="481"/>
    </row>
    <row r="203" spans="1:40" ht="15.75" hidden="1" customHeight="1">
      <c r="A203" s="490" t="s">
        <v>346</v>
      </c>
      <c r="B203" s="481" t="s">
        <v>83</v>
      </c>
      <c r="C203" s="498" t="s">
        <v>20</v>
      </c>
      <c r="D203" s="550"/>
      <c r="E203" s="481"/>
      <c r="F203" s="499">
        <v>0</v>
      </c>
      <c r="G203" s="551"/>
      <c r="H203" s="481"/>
      <c r="I203" s="499"/>
      <c r="J203" s="498"/>
      <c r="K203" s="481"/>
      <c r="L203" s="501">
        <v>0</v>
      </c>
      <c r="M203" s="498"/>
      <c r="N203" s="524">
        <v>0</v>
      </c>
      <c r="O203" s="498"/>
      <c r="P203" s="481"/>
      <c r="Q203" s="501">
        <v>0</v>
      </c>
      <c r="R203" s="498"/>
      <c r="S203" s="524">
        <v>0</v>
      </c>
      <c r="T203" s="481"/>
      <c r="U203" s="481"/>
      <c r="V203" s="481"/>
      <c r="W203" s="481"/>
      <c r="X203" s="481"/>
      <c r="Y203" s="481"/>
      <c r="Z203" s="481"/>
      <c r="AA203" s="481"/>
      <c r="AB203" s="481"/>
      <c r="AC203" s="481"/>
      <c r="AD203" s="481"/>
      <c r="AE203" s="481"/>
      <c r="AF203" s="481"/>
      <c r="AG203" s="481"/>
      <c r="AH203" s="481"/>
      <c r="AI203" s="481"/>
      <c r="AJ203" s="481"/>
      <c r="AK203" s="481"/>
      <c r="AL203" s="481"/>
      <c r="AM203" s="481"/>
      <c r="AN203" s="481"/>
    </row>
    <row r="204" spans="1:40" ht="21.75" customHeight="1">
      <c r="A204" s="490" t="s">
        <v>347</v>
      </c>
      <c r="B204" s="481" t="s">
        <v>83</v>
      </c>
      <c r="C204" s="566" t="s">
        <v>45</v>
      </c>
      <c r="D204" s="550"/>
      <c r="E204" s="481"/>
      <c r="F204" s="499">
        <v>14334.260881105194</v>
      </c>
      <c r="G204" s="551"/>
      <c r="H204" s="481"/>
      <c r="I204" s="499"/>
      <c r="J204" s="498"/>
      <c r="K204" s="481"/>
      <c r="L204" s="501">
        <v>14383.58</v>
      </c>
      <c r="M204" s="498"/>
      <c r="N204" s="524">
        <v>49.319118894805797</v>
      </c>
      <c r="O204" s="498"/>
      <c r="P204" s="481"/>
      <c r="Q204" s="501">
        <v>11831.95</v>
      </c>
      <c r="R204" s="498"/>
      <c r="S204" s="524">
        <v>2551.6299999999992</v>
      </c>
      <c r="T204" s="481"/>
      <c r="U204" s="481"/>
      <c r="V204" s="481"/>
      <c r="W204" s="481"/>
      <c r="X204" s="481"/>
      <c r="Y204" s="481"/>
      <c r="Z204" s="481"/>
      <c r="AA204" s="481"/>
      <c r="AB204" s="481"/>
      <c r="AC204" s="481"/>
      <c r="AD204" s="481"/>
      <c r="AE204" s="481"/>
      <c r="AF204" s="481"/>
      <c r="AG204" s="481"/>
      <c r="AH204" s="481"/>
      <c r="AI204" s="481"/>
      <c r="AJ204" s="481"/>
      <c r="AK204" s="481"/>
      <c r="AL204" s="481"/>
      <c r="AM204" s="481"/>
      <c r="AN204" s="481"/>
    </row>
    <row r="205" spans="1:40" ht="15.75" customHeight="1">
      <c r="A205" s="490" t="s">
        <v>348</v>
      </c>
      <c r="B205" s="481" t="s">
        <v>83</v>
      </c>
      <c r="C205" s="565" t="s">
        <v>46</v>
      </c>
      <c r="D205" s="567"/>
      <c r="E205" s="568"/>
      <c r="F205" s="520">
        <v>14249.666628356463</v>
      </c>
      <c r="G205" s="569"/>
      <c r="H205" s="568"/>
      <c r="I205" s="520"/>
      <c r="J205" s="485"/>
      <c r="K205" s="568"/>
      <c r="L205" s="520">
        <v>18817.25</v>
      </c>
      <c r="M205" s="485"/>
      <c r="N205" s="570">
        <v>4567.5833716435372</v>
      </c>
      <c r="O205" s="485"/>
      <c r="P205" s="568"/>
      <c r="Q205" s="520">
        <v>14261.96</v>
      </c>
      <c r="R205" s="485"/>
      <c r="S205" s="570">
        <v>4555.2900000000009</v>
      </c>
      <c r="T205" s="481"/>
      <c r="U205" s="481"/>
      <c r="V205" s="481">
        <v>1869.3333333333333</v>
      </c>
      <c r="W205" s="481"/>
      <c r="X205" s="481"/>
      <c r="Y205" s="481"/>
      <c r="Z205" s="481"/>
      <c r="AA205" s="481"/>
      <c r="AB205" s="481"/>
      <c r="AC205" s="481"/>
      <c r="AD205" s="481"/>
      <c r="AE205" s="481"/>
      <c r="AF205" s="481"/>
      <c r="AG205" s="481"/>
      <c r="AH205" s="481"/>
      <c r="AI205" s="481"/>
      <c r="AJ205" s="481"/>
      <c r="AK205" s="481"/>
      <c r="AL205" s="481"/>
      <c r="AM205" s="481"/>
      <c r="AN205" s="481"/>
    </row>
    <row r="206" spans="1:40" ht="15.75" customHeight="1">
      <c r="A206" s="490" t="s">
        <v>349</v>
      </c>
      <c r="B206" s="481" t="s">
        <v>83</v>
      </c>
      <c r="C206" s="565" t="s">
        <v>47</v>
      </c>
      <c r="D206" s="550"/>
      <c r="E206" s="481"/>
      <c r="F206" s="499">
        <v>9978.4435373018441</v>
      </c>
      <c r="G206" s="551"/>
      <c r="H206" s="481"/>
      <c r="I206" s="499"/>
      <c r="J206" s="498"/>
      <c r="K206" s="481"/>
      <c r="L206" s="501">
        <v>8987.86</v>
      </c>
      <c r="M206" s="498"/>
      <c r="N206" s="524">
        <v>-990.58353730184353</v>
      </c>
      <c r="O206" s="498"/>
      <c r="P206" s="481"/>
      <c r="Q206" s="501">
        <v>5527.1900000000005</v>
      </c>
      <c r="R206" s="498"/>
      <c r="S206" s="524">
        <v>3460.67</v>
      </c>
      <c r="T206" s="481"/>
      <c r="U206" s="481"/>
      <c r="V206" s="481"/>
      <c r="W206" s="481"/>
      <c r="X206" s="481"/>
      <c r="Y206" s="481"/>
      <c r="Z206" s="481"/>
      <c r="AA206" s="481"/>
      <c r="AB206" s="481"/>
      <c r="AC206" s="481"/>
      <c r="AD206" s="481"/>
      <c r="AE206" s="481"/>
      <c r="AF206" s="481"/>
      <c r="AG206" s="481"/>
      <c r="AH206" s="481"/>
      <c r="AI206" s="481"/>
      <c r="AJ206" s="481"/>
      <c r="AK206" s="481"/>
      <c r="AL206" s="481"/>
      <c r="AM206" s="481"/>
      <c r="AN206" s="481"/>
    </row>
    <row r="207" spans="1:40" ht="15.75" customHeight="1">
      <c r="A207" s="490" t="s">
        <v>350</v>
      </c>
      <c r="B207" s="481" t="s">
        <v>83</v>
      </c>
      <c r="C207" s="565" t="s">
        <v>48</v>
      </c>
      <c r="D207" s="550"/>
      <c r="E207" s="481"/>
      <c r="F207" s="499">
        <v>4766.9900917206187</v>
      </c>
      <c r="G207" s="551"/>
      <c r="H207" s="481"/>
      <c r="I207" s="499"/>
      <c r="J207" s="498"/>
      <c r="K207" s="481"/>
      <c r="L207" s="501">
        <v>6530.55</v>
      </c>
      <c r="M207" s="498"/>
      <c r="N207" s="524">
        <v>1763.5599082793815</v>
      </c>
      <c r="O207" s="498"/>
      <c r="P207" s="481"/>
      <c r="Q207" s="501">
        <v>3423</v>
      </c>
      <c r="R207" s="498"/>
      <c r="S207" s="524">
        <v>3107.55</v>
      </c>
      <c r="T207" s="481"/>
      <c r="U207" s="481"/>
      <c r="V207" s="481"/>
      <c r="W207" s="481"/>
      <c r="X207" s="481"/>
      <c r="Y207" s="481"/>
      <c r="Z207" s="481"/>
      <c r="AA207" s="481"/>
      <c r="AB207" s="481"/>
      <c r="AC207" s="481"/>
      <c r="AD207" s="481"/>
      <c r="AE207" s="481"/>
      <c r="AF207" s="481"/>
      <c r="AG207" s="481"/>
      <c r="AH207" s="481"/>
      <c r="AI207" s="481"/>
      <c r="AJ207" s="481"/>
      <c r="AK207" s="481"/>
      <c r="AL207" s="481"/>
      <c r="AM207" s="481"/>
      <c r="AN207" s="481"/>
    </row>
    <row r="208" spans="1:40" ht="15.75" hidden="1" customHeight="1">
      <c r="A208" s="490" t="s">
        <v>346</v>
      </c>
      <c r="B208" s="481" t="s">
        <v>83</v>
      </c>
      <c r="C208" s="498" t="s">
        <v>20</v>
      </c>
      <c r="D208" s="552"/>
      <c r="E208" s="571"/>
      <c r="F208" s="499">
        <v>0</v>
      </c>
      <c r="G208" s="553"/>
      <c r="H208" s="571"/>
      <c r="I208" s="499"/>
      <c r="J208" s="491"/>
      <c r="K208" s="571"/>
      <c r="L208" s="501">
        <v>0</v>
      </c>
      <c r="M208" s="491"/>
      <c r="N208" s="547">
        <v>0</v>
      </c>
      <c r="O208" s="491"/>
      <c r="P208" s="571"/>
      <c r="Q208" s="501">
        <v>0</v>
      </c>
      <c r="R208" s="491"/>
      <c r="S208" s="547">
        <v>0</v>
      </c>
      <c r="T208" s="481"/>
      <c r="U208" s="481"/>
      <c r="V208" s="481"/>
      <c r="W208" s="481"/>
      <c r="X208" s="481"/>
      <c r="Y208" s="481"/>
      <c r="Z208" s="481"/>
      <c r="AA208" s="481"/>
      <c r="AB208" s="481"/>
      <c r="AC208" s="481"/>
      <c r="AD208" s="481"/>
      <c r="AE208" s="481"/>
      <c r="AF208" s="481"/>
      <c r="AG208" s="481"/>
      <c r="AH208" s="481"/>
      <c r="AI208" s="481"/>
      <c r="AJ208" s="481"/>
      <c r="AK208" s="481"/>
      <c r="AL208" s="481"/>
      <c r="AM208" s="481"/>
      <c r="AN208" s="481"/>
    </row>
    <row r="209" spans="1:40" ht="15.75" customHeight="1">
      <c r="A209" s="490" t="s">
        <v>351</v>
      </c>
      <c r="B209" s="481" t="s">
        <v>83</v>
      </c>
      <c r="C209" s="557" t="s">
        <v>49</v>
      </c>
      <c r="D209" s="558" t="s">
        <v>97</v>
      </c>
      <c r="E209" s="559">
        <v>0.71188249285378069</v>
      </c>
      <c r="F209" s="560">
        <v>109639.01068659726</v>
      </c>
      <c r="G209" s="561"/>
      <c r="H209" s="559"/>
      <c r="I209" s="560"/>
      <c r="J209" s="561" t="s">
        <v>97</v>
      </c>
      <c r="K209" s="559">
        <v>0.505580628131583</v>
      </c>
      <c r="L209" s="560">
        <v>93805</v>
      </c>
      <c r="M209" s="610"/>
      <c r="N209" s="573">
        <v>-15834.010686597263</v>
      </c>
      <c r="O209" s="561" t="s">
        <v>97</v>
      </c>
      <c r="P209" s="559">
        <v>0.62264966507634856</v>
      </c>
      <c r="Q209" s="560">
        <v>100992.63</v>
      </c>
      <c r="R209" s="610"/>
      <c r="S209" s="573">
        <v>-7187.6300000000047</v>
      </c>
      <c r="T209" s="481"/>
      <c r="U209" s="481"/>
      <c r="V209" s="481"/>
      <c r="W209" s="481"/>
      <c r="X209" s="481"/>
      <c r="Y209" s="481"/>
      <c r="Z209" s="481"/>
      <c r="AA209" s="481"/>
      <c r="AB209" s="481"/>
      <c r="AC209" s="481"/>
      <c r="AD209" s="481"/>
      <c r="AE209" s="481"/>
      <c r="AF209" s="481"/>
      <c r="AG209" s="481"/>
      <c r="AH209" s="481"/>
      <c r="AI209" s="481"/>
      <c r="AJ209" s="481"/>
      <c r="AK209" s="481"/>
      <c r="AL209" s="481"/>
      <c r="AM209" s="481"/>
      <c r="AN209" s="481"/>
    </row>
    <row r="210" spans="1:40" ht="15.75" customHeight="1">
      <c r="A210" s="490" t="s">
        <v>352</v>
      </c>
      <c r="B210" s="481" t="s">
        <v>83</v>
      </c>
      <c r="C210" s="498" t="s">
        <v>50</v>
      </c>
      <c r="D210" s="550"/>
      <c r="E210" s="481"/>
      <c r="F210" s="499">
        <v>8429.5936020833342</v>
      </c>
      <c r="G210" s="551"/>
      <c r="H210" s="481"/>
      <c r="I210" s="499"/>
      <c r="J210" s="498"/>
      <c r="K210" s="481"/>
      <c r="L210" s="501">
        <v>11909.29</v>
      </c>
      <c r="M210" s="498"/>
      <c r="N210" s="524">
        <v>3479.6963979166667</v>
      </c>
      <c r="O210" s="498"/>
      <c r="P210" s="481"/>
      <c r="Q210" s="501">
        <v>9751.5400000000009</v>
      </c>
      <c r="R210" s="498"/>
      <c r="S210" s="524">
        <v>2157.75</v>
      </c>
      <c r="T210" s="481"/>
      <c r="U210" s="481"/>
      <c r="V210" s="481"/>
      <c r="W210" s="481"/>
      <c r="X210" s="481"/>
      <c r="Y210" s="481"/>
      <c r="Z210" s="481"/>
      <c r="AA210" s="481"/>
      <c r="AB210" s="481"/>
      <c r="AC210" s="481"/>
      <c r="AD210" s="481"/>
      <c r="AE210" s="481"/>
      <c r="AF210" s="481"/>
      <c r="AG210" s="481"/>
      <c r="AH210" s="481"/>
      <c r="AI210" s="481"/>
      <c r="AJ210" s="481"/>
      <c r="AK210" s="481"/>
      <c r="AL210" s="481"/>
      <c r="AM210" s="481"/>
      <c r="AN210" s="481"/>
    </row>
    <row r="211" spans="1:40" ht="15.75" customHeight="1">
      <c r="A211" s="490" t="s">
        <v>353</v>
      </c>
      <c r="B211" s="481" t="s">
        <v>83</v>
      </c>
      <c r="C211" s="498" t="s">
        <v>51</v>
      </c>
      <c r="D211" s="550"/>
      <c r="E211" s="481"/>
      <c r="F211" s="499">
        <v>2271.4963553892117</v>
      </c>
      <c r="G211" s="551"/>
      <c r="H211" s="481"/>
      <c r="I211" s="499"/>
      <c r="J211" s="498"/>
      <c r="K211" s="481"/>
      <c r="L211" s="501">
        <v>6855.65</v>
      </c>
      <c r="M211" s="498"/>
      <c r="N211" s="524">
        <v>4584.1536446107875</v>
      </c>
      <c r="O211" s="498"/>
      <c r="P211" s="481"/>
      <c r="Q211" s="501">
        <v>5511.26</v>
      </c>
      <c r="R211" s="498"/>
      <c r="S211" s="524">
        <v>1344.3899999999994</v>
      </c>
      <c r="T211" s="481"/>
      <c r="U211" s="481"/>
      <c r="V211" s="481"/>
      <c r="W211" s="481"/>
      <c r="X211" s="481"/>
      <c r="Y211" s="481"/>
      <c r="Z211" s="481"/>
      <c r="AA211" s="481"/>
      <c r="AB211" s="481"/>
      <c r="AC211" s="481"/>
      <c r="AD211" s="481"/>
      <c r="AE211" s="481"/>
      <c r="AF211" s="481"/>
      <c r="AG211" s="481"/>
      <c r="AH211" s="481"/>
      <c r="AI211" s="481"/>
      <c r="AJ211" s="481"/>
      <c r="AK211" s="481"/>
      <c r="AL211" s="481"/>
      <c r="AM211" s="481"/>
      <c r="AN211" s="481"/>
    </row>
    <row r="212" spans="1:40" ht="15.75" customHeight="1">
      <c r="A212" s="490" t="s">
        <v>354</v>
      </c>
      <c r="B212" s="481" t="s">
        <v>83</v>
      </c>
      <c r="C212" s="491" t="s">
        <v>52</v>
      </c>
      <c r="D212" s="552"/>
      <c r="E212" s="571"/>
      <c r="F212" s="493">
        <v>13231.666666666666</v>
      </c>
      <c r="G212" s="553"/>
      <c r="H212" s="571"/>
      <c r="I212" s="493"/>
      <c r="J212" s="491"/>
      <c r="K212" s="571"/>
      <c r="L212" s="501">
        <v>9564.31</v>
      </c>
      <c r="M212" s="491"/>
      <c r="N212" s="547">
        <v>-3667.3566666666666</v>
      </c>
      <c r="O212" s="491"/>
      <c r="P212" s="571"/>
      <c r="Q212" s="501">
        <v>16110.84</v>
      </c>
      <c r="R212" s="491"/>
      <c r="S212" s="547">
        <v>-6546.5300000000007</v>
      </c>
      <c r="T212" s="481"/>
      <c r="U212" s="481"/>
      <c r="V212" s="481"/>
      <c r="W212" s="481"/>
      <c r="X212" s="481"/>
      <c r="Y212" s="481"/>
      <c r="Z212" s="481"/>
      <c r="AA212" s="481"/>
      <c r="AB212" s="481"/>
      <c r="AC212" s="481"/>
      <c r="AD212" s="481"/>
      <c r="AE212" s="481"/>
      <c r="AF212" s="481"/>
      <c r="AG212" s="481"/>
      <c r="AH212" s="481"/>
      <c r="AI212" s="481"/>
      <c r="AJ212" s="481"/>
      <c r="AK212" s="481"/>
      <c r="AL212" s="481"/>
      <c r="AM212" s="481"/>
      <c r="AN212" s="481"/>
    </row>
    <row r="213" spans="1:40" ht="15.75" customHeight="1">
      <c r="A213" s="490" t="s">
        <v>355</v>
      </c>
      <c r="B213" s="481" t="s">
        <v>83</v>
      </c>
      <c r="C213" s="498" t="s">
        <v>53</v>
      </c>
      <c r="D213" s="550"/>
      <c r="E213" s="481"/>
      <c r="F213" s="499">
        <v>6003.0056239999994</v>
      </c>
      <c r="G213" s="551"/>
      <c r="H213" s="481"/>
      <c r="I213" s="499"/>
      <c r="J213" s="498"/>
      <c r="K213" s="481"/>
      <c r="L213" s="520">
        <v>4019.67</v>
      </c>
      <c r="M213" s="498"/>
      <c r="N213" s="524">
        <v>-1983.3356239999994</v>
      </c>
      <c r="O213" s="498"/>
      <c r="P213" s="481"/>
      <c r="Q213" s="520">
        <v>3977.4</v>
      </c>
      <c r="R213" s="498"/>
      <c r="S213" s="524">
        <v>42.269999999999982</v>
      </c>
      <c r="T213" s="481"/>
      <c r="U213" s="481"/>
      <c r="V213" s="481"/>
      <c r="W213" s="481"/>
      <c r="X213" s="481"/>
      <c r="Y213" s="481"/>
      <c r="Z213" s="481"/>
      <c r="AA213" s="481"/>
      <c r="AB213" s="481"/>
      <c r="AC213" s="481"/>
      <c r="AD213" s="481"/>
      <c r="AE213" s="481"/>
      <c r="AF213" s="481"/>
      <c r="AG213" s="481"/>
      <c r="AH213" s="481"/>
      <c r="AI213" s="481"/>
      <c r="AJ213" s="481"/>
      <c r="AK213" s="481"/>
      <c r="AL213" s="481"/>
      <c r="AM213" s="481"/>
      <c r="AN213" s="481"/>
    </row>
    <row r="214" spans="1:40" ht="15.75" customHeight="1">
      <c r="A214" s="490" t="s">
        <v>356</v>
      </c>
      <c r="B214" s="481" t="s">
        <v>83</v>
      </c>
      <c r="C214" s="498" t="s">
        <v>54</v>
      </c>
      <c r="D214" s="550"/>
      <c r="E214" s="481"/>
      <c r="F214" s="499">
        <v>750.06603349999989</v>
      </c>
      <c r="G214" s="551"/>
      <c r="H214" s="481"/>
      <c r="I214" s="499"/>
      <c r="J214" s="498"/>
      <c r="K214" s="481"/>
      <c r="L214" s="501">
        <v>1234.68</v>
      </c>
      <c r="M214" s="498"/>
      <c r="N214" s="524">
        <v>484.61396650000017</v>
      </c>
      <c r="O214" s="498"/>
      <c r="P214" s="481"/>
      <c r="Q214" s="501">
        <v>1046.6500000000001</v>
      </c>
      <c r="R214" s="498"/>
      <c r="S214" s="524">
        <v>188.02999999999997</v>
      </c>
      <c r="T214" s="481"/>
      <c r="U214" s="481"/>
      <c r="V214" s="481"/>
      <c r="W214" s="481"/>
      <c r="X214" s="481"/>
      <c r="Y214" s="481"/>
      <c r="Z214" s="481"/>
      <c r="AA214" s="481"/>
      <c r="AB214" s="481"/>
      <c r="AC214" s="481"/>
      <c r="AD214" s="481"/>
      <c r="AE214" s="481"/>
      <c r="AF214" s="481"/>
      <c r="AG214" s="481"/>
      <c r="AH214" s="481"/>
      <c r="AI214" s="481"/>
      <c r="AJ214" s="481"/>
      <c r="AK214" s="481"/>
      <c r="AL214" s="481"/>
      <c r="AM214" s="481"/>
      <c r="AN214" s="481"/>
    </row>
    <row r="215" spans="1:40" ht="15.75" customHeight="1">
      <c r="A215" s="490" t="s">
        <v>357</v>
      </c>
      <c r="B215" s="481" t="s">
        <v>83</v>
      </c>
      <c r="C215" s="491" t="s">
        <v>55</v>
      </c>
      <c r="D215" s="552"/>
      <c r="E215" s="571"/>
      <c r="F215" s="493">
        <v>2873.6823733333331</v>
      </c>
      <c r="G215" s="553"/>
      <c r="H215" s="571"/>
      <c r="I215" s="493"/>
      <c r="J215" s="491"/>
      <c r="K215" s="571"/>
      <c r="L215" s="501">
        <v>1928.3</v>
      </c>
      <c r="M215" s="491"/>
      <c r="N215" s="547">
        <v>-945.38237333333313</v>
      </c>
      <c r="O215" s="491"/>
      <c r="P215" s="571"/>
      <c r="Q215" s="501">
        <v>2123.8000000000002</v>
      </c>
      <c r="R215" s="491"/>
      <c r="S215" s="547">
        <v>-195.50000000000023</v>
      </c>
      <c r="T215" s="481"/>
      <c r="U215" s="481"/>
      <c r="V215" s="481"/>
      <c r="W215" s="481"/>
      <c r="X215" s="481"/>
      <c r="Y215" s="481"/>
      <c r="Z215" s="481"/>
      <c r="AA215" s="481"/>
      <c r="AB215" s="481"/>
      <c r="AC215" s="481"/>
      <c r="AD215" s="481"/>
      <c r="AE215" s="481"/>
      <c r="AF215" s="481"/>
      <c r="AG215" s="481"/>
      <c r="AH215" s="481"/>
      <c r="AI215" s="481"/>
      <c r="AJ215" s="481"/>
      <c r="AK215" s="481"/>
      <c r="AL215" s="481"/>
      <c r="AM215" s="481"/>
      <c r="AN215" s="481"/>
    </row>
    <row r="216" spans="1:40" ht="15.75" customHeight="1">
      <c r="A216" s="490" t="s">
        <v>358</v>
      </c>
      <c r="B216" s="481" t="s">
        <v>83</v>
      </c>
      <c r="C216" s="498" t="s">
        <v>98</v>
      </c>
      <c r="D216" s="550"/>
      <c r="E216" s="481"/>
      <c r="F216" s="499"/>
      <c r="G216" s="551"/>
      <c r="H216" s="481"/>
      <c r="I216" s="499"/>
      <c r="J216" s="498"/>
      <c r="K216" s="481"/>
      <c r="L216" s="520">
        <v>0</v>
      </c>
      <c r="M216" s="498"/>
      <c r="N216" s="524">
        <v>0</v>
      </c>
      <c r="O216" s="498"/>
      <c r="P216" s="481"/>
      <c r="Q216" s="520">
        <v>0</v>
      </c>
      <c r="R216" s="498"/>
      <c r="S216" s="524">
        <v>0</v>
      </c>
      <c r="T216" s="481"/>
      <c r="U216" s="481"/>
      <c r="V216" s="481"/>
      <c r="W216" s="481"/>
      <c r="X216" s="481"/>
      <c r="Y216" s="481"/>
      <c r="Z216" s="481"/>
      <c r="AA216" s="481"/>
      <c r="AB216" s="481"/>
      <c r="AC216" s="481"/>
      <c r="AD216" s="481"/>
      <c r="AE216" s="481"/>
      <c r="AF216" s="481"/>
      <c r="AG216" s="481"/>
      <c r="AH216" s="481"/>
      <c r="AI216" s="481"/>
      <c r="AJ216" s="481"/>
      <c r="AK216" s="481"/>
      <c r="AL216" s="481"/>
      <c r="AM216" s="481"/>
      <c r="AN216" s="481"/>
    </row>
    <row r="217" spans="1:40" ht="15.75" customHeight="1">
      <c r="A217" s="490" t="s">
        <v>359</v>
      </c>
      <c r="B217" s="481" t="s">
        <v>83</v>
      </c>
      <c r="C217" s="498" t="s">
        <v>56</v>
      </c>
      <c r="D217" s="550"/>
      <c r="E217" s="481"/>
      <c r="F217" s="499">
        <v>1671.6485728130358</v>
      </c>
      <c r="G217" s="551"/>
      <c r="H217" s="481"/>
      <c r="I217" s="499"/>
      <c r="J217" s="498"/>
      <c r="K217" s="481"/>
      <c r="L217" s="501">
        <v>5618.51</v>
      </c>
      <c r="M217" s="498"/>
      <c r="N217" s="524">
        <v>3946.8614271869646</v>
      </c>
      <c r="O217" s="498"/>
      <c r="P217" s="481"/>
      <c r="Q217" s="501">
        <v>1532.52</v>
      </c>
      <c r="R217" s="498"/>
      <c r="S217" s="524">
        <v>4085.9900000000002</v>
      </c>
      <c r="T217" s="481"/>
      <c r="U217" s="481"/>
      <c r="V217" s="481"/>
      <c r="W217" s="481"/>
      <c r="X217" s="481"/>
      <c r="Y217" s="481"/>
      <c r="Z217" s="481"/>
      <c r="AA217" s="481"/>
      <c r="AB217" s="481"/>
      <c r="AC217" s="481"/>
      <c r="AD217" s="481"/>
      <c r="AE217" s="481"/>
      <c r="AF217" s="481"/>
      <c r="AG217" s="481"/>
      <c r="AH217" s="481"/>
      <c r="AI217" s="481"/>
      <c r="AJ217" s="481"/>
      <c r="AK217" s="481"/>
      <c r="AL217" s="481"/>
      <c r="AM217" s="481"/>
      <c r="AN217" s="481"/>
    </row>
    <row r="218" spans="1:40" ht="15.75" customHeight="1">
      <c r="A218" s="490" t="s">
        <v>360</v>
      </c>
      <c r="B218" s="481" t="s">
        <v>83</v>
      </c>
      <c r="C218" s="498" t="s">
        <v>57</v>
      </c>
      <c r="D218" s="550"/>
      <c r="E218" s="481"/>
      <c r="F218" s="499">
        <v>863.22026361195901</v>
      </c>
      <c r="G218" s="551"/>
      <c r="H218" s="481"/>
      <c r="I218" s="499"/>
      <c r="J218" s="498"/>
      <c r="K218" s="481"/>
      <c r="L218" s="501">
        <v>460.85</v>
      </c>
      <c r="M218" s="498"/>
      <c r="N218" s="524">
        <v>-402.37026361195899</v>
      </c>
      <c r="O218" s="498"/>
      <c r="P218" s="481"/>
      <c r="Q218" s="501">
        <v>632.98</v>
      </c>
      <c r="R218" s="498"/>
      <c r="S218" s="524">
        <v>-172.13</v>
      </c>
      <c r="T218" s="481"/>
      <c r="U218" s="481"/>
      <c r="V218" s="481"/>
      <c r="W218" s="481"/>
      <c r="X218" s="481"/>
      <c r="Y218" s="481"/>
      <c r="Z218" s="481"/>
      <c r="AA218" s="481"/>
      <c r="AB218" s="481"/>
      <c r="AC218" s="481"/>
      <c r="AD218" s="481"/>
      <c r="AE218" s="481"/>
      <c r="AF218" s="481"/>
      <c r="AG218" s="481"/>
      <c r="AH218" s="481"/>
      <c r="AI218" s="481"/>
      <c r="AJ218" s="481"/>
      <c r="AK218" s="481"/>
      <c r="AL218" s="481"/>
      <c r="AM218" s="481"/>
      <c r="AN218" s="481"/>
    </row>
    <row r="219" spans="1:40" ht="15.75" customHeight="1">
      <c r="A219" s="490" t="s">
        <v>361</v>
      </c>
      <c r="B219" s="481" t="s">
        <v>83</v>
      </c>
      <c r="C219" s="498" t="s">
        <v>58</v>
      </c>
      <c r="D219" s="550"/>
      <c r="E219" s="481"/>
      <c r="F219" s="499">
        <v>572.58827639999981</v>
      </c>
      <c r="G219" s="551"/>
      <c r="H219" s="481"/>
      <c r="I219" s="499"/>
      <c r="J219" s="498"/>
      <c r="K219" s="481"/>
      <c r="L219" s="501">
        <v>982.57</v>
      </c>
      <c r="M219" s="498"/>
      <c r="N219" s="524">
        <v>409.98172360000024</v>
      </c>
      <c r="O219" s="498"/>
      <c r="P219" s="481"/>
      <c r="Q219" s="501">
        <v>520.73</v>
      </c>
      <c r="R219" s="498"/>
      <c r="S219" s="524">
        <v>461.84000000000003</v>
      </c>
      <c r="T219" s="481"/>
      <c r="U219" s="481"/>
      <c r="V219" s="481"/>
      <c r="W219" s="481"/>
      <c r="X219" s="481"/>
      <c r="Y219" s="481"/>
      <c r="Z219" s="481"/>
      <c r="AA219" s="481"/>
      <c r="AB219" s="481"/>
      <c r="AC219" s="481"/>
      <c r="AD219" s="481"/>
      <c r="AE219" s="481"/>
      <c r="AF219" s="481"/>
      <c r="AG219" s="481"/>
      <c r="AH219" s="481"/>
      <c r="AI219" s="481"/>
      <c r="AJ219" s="481"/>
      <c r="AK219" s="481"/>
      <c r="AL219" s="481"/>
      <c r="AM219" s="481"/>
      <c r="AN219" s="481"/>
    </row>
    <row r="220" spans="1:40" ht="15.75" customHeight="1">
      <c r="A220" s="490" t="s">
        <v>362</v>
      </c>
      <c r="B220" s="481" t="s">
        <v>83</v>
      </c>
      <c r="C220" s="498" t="s">
        <v>59</v>
      </c>
      <c r="D220" s="550"/>
      <c r="E220" s="481"/>
      <c r="F220" s="499">
        <v>194.04018761666666</v>
      </c>
      <c r="G220" s="551"/>
      <c r="H220" s="481"/>
      <c r="I220" s="499"/>
      <c r="J220" s="498"/>
      <c r="K220" s="481"/>
      <c r="L220" s="501">
        <v>222.93</v>
      </c>
      <c r="M220" s="498"/>
      <c r="N220" s="524">
        <v>28.88981238333335</v>
      </c>
      <c r="O220" s="498"/>
      <c r="P220" s="481"/>
      <c r="Q220" s="501">
        <v>540.80999999999995</v>
      </c>
      <c r="R220" s="498"/>
      <c r="S220" s="524">
        <v>-317.87999999999994</v>
      </c>
      <c r="T220" s="481"/>
      <c r="U220" s="481"/>
      <c r="V220" s="481"/>
      <c r="W220" s="481"/>
      <c r="X220" s="481"/>
      <c r="Y220" s="481"/>
      <c r="Z220" s="481"/>
      <c r="AA220" s="481"/>
      <c r="AB220" s="481"/>
      <c r="AC220" s="481"/>
      <c r="AD220" s="481"/>
      <c r="AE220" s="481"/>
      <c r="AF220" s="481"/>
      <c r="AG220" s="481"/>
      <c r="AH220" s="481"/>
      <c r="AI220" s="481"/>
      <c r="AJ220" s="481"/>
      <c r="AK220" s="481"/>
      <c r="AL220" s="481"/>
      <c r="AM220" s="481"/>
      <c r="AN220" s="481"/>
    </row>
    <row r="221" spans="1:40" ht="15.75" customHeight="1">
      <c r="A221" s="490" t="s">
        <v>363</v>
      </c>
      <c r="B221" s="481" t="s">
        <v>83</v>
      </c>
      <c r="C221" s="498" t="s">
        <v>60</v>
      </c>
      <c r="D221" s="550"/>
      <c r="E221" s="481"/>
      <c r="F221" s="499">
        <v>92.808220383333307</v>
      </c>
      <c r="G221" s="551"/>
      <c r="H221" s="481"/>
      <c r="I221" s="499"/>
      <c r="J221" s="498"/>
      <c r="K221" s="481"/>
      <c r="L221" s="501">
        <v>77.650000000000006</v>
      </c>
      <c r="M221" s="498"/>
      <c r="N221" s="524">
        <v>-15.158220383333301</v>
      </c>
      <c r="O221" s="498"/>
      <c r="P221" s="481"/>
      <c r="Q221" s="501">
        <v>100.2</v>
      </c>
      <c r="R221" s="498"/>
      <c r="S221" s="524">
        <v>-22.549999999999997</v>
      </c>
      <c r="T221" s="481"/>
      <c r="U221" s="481"/>
      <c r="V221" s="481"/>
      <c r="W221" s="481"/>
      <c r="X221" s="481"/>
      <c r="Y221" s="481"/>
      <c r="Z221" s="481"/>
      <c r="AA221" s="481"/>
      <c r="AB221" s="481"/>
      <c r="AC221" s="481"/>
      <c r="AD221" s="481"/>
      <c r="AE221" s="481"/>
      <c r="AF221" s="481"/>
      <c r="AG221" s="481"/>
      <c r="AH221" s="481"/>
      <c r="AI221" s="481"/>
      <c r="AJ221" s="481"/>
      <c r="AK221" s="481"/>
      <c r="AL221" s="481"/>
      <c r="AM221" s="481"/>
      <c r="AN221" s="481"/>
    </row>
    <row r="222" spans="1:40" ht="15.75" customHeight="1">
      <c r="A222" s="490" t="s">
        <v>364</v>
      </c>
      <c r="B222" s="481" t="s">
        <v>83</v>
      </c>
      <c r="C222" s="498" t="s">
        <v>61</v>
      </c>
      <c r="D222" s="550"/>
      <c r="E222" s="481"/>
      <c r="F222" s="499">
        <v>352.6367722833333</v>
      </c>
      <c r="G222" s="551"/>
      <c r="H222" s="481"/>
      <c r="I222" s="499"/>
      <c r="J222" s="498"/>
      <c r="K222" s="481"/>
      <c r="L222" s="501">
        <v>84.53</v>
      </c>
      <c r="M222" s="498"/>
      <c r="N222" s="524">
        <v>-268.10677228333327</v>
      </c>
      <c r="O222" s="498"/>
      <c r="P222" s="481"/>
      <c r="Q222" s="501">
        <v>47.04</v>
      </c>
      <c r="R222" s="498"/>
      <c r="S222" s="524">
        <v>37.49</v>
      </c>
      <c r="T222" s="481"/>
      <c r="U222" s="481"/>
      <c r="V222" s="481"/>
      <c r="W222" s="481"/>
      <c r="X222" s="481"/>
      <c r="Y222" s="481"/>
      <c r="Z222" s="481"/>
      <c r="AA222" s="481"/>
      <c r="AB222" s="481"/>
      <c r="AC222" s="481"/>
      <c r="AD222" s="481"/>
      <c r="AE222" s="481"/>
      <c r="AF222" s="481"/>
      <c r="AG222" s="481"/>
      <c r="AH222" s="481"/>
      <c r="AI222" s="481"/>
      <c r="AJ222" s="481"/>
      <c r="AK222" s="481"/>
      <c r="AL222" s="481"/>
      <c r="AM222" s="481"/>
      <c r="AN222" s="481"/>
    </row>
    <row r="223" spans="1:40" ht="15.75" customHeight="1">
      <c r="A223" s="490" t="s">
        <v>365</v>
      </c>
      <c r="B223" s="481" t="s">
        <v>83</v>
      </c>
      <c r="C223" s="498" t="s">
        <v>62</v>
      </c>
      <c r="D223" s="550"/>
      <c r="E223" s="481"/>
      <c r="F223" s="499">
        <v>1972.9836663454639</v>
      </c>
      <c r="G223" s="551"/>
      <c r="H223" s="481"/>
      <c r="I223" s="499"/>
      <c r="J223" s="498"/>
      <c r="K223" s="481"/>
      <c r="L223" s="501">
        <v>4247.2700000000004</v>
      </c>
      <c r="M223" s="498"/>
      <c r="N223" s="524">
        <v>2274.2863336545365</v>
      </c>
      <c r="O223" s="498"/>
      <c r="P223" s="481"/>
      <c r="Q223" s="501">
        <v>580.24</v>
      </c>
      <c r="R223" s="498"/>
      <c r="S223" s="524">
        <v>3667.0300000000007</v>
      </c>
      <c r="T223" s="481"/>
      <c r="X223" s="481"/>
      <c r="Y223" s="481"/>
      <c r="Z223" s="481"/>
      <c r="AA223" s="481"/>
      <c r="AB223" s="481"/>
      <c r="AC223" s="481"/>
      <c r="AD223" s="481"/>
      <c r="AE223" s="481"/>
      <c r="AF223" s="481"/>
      <c r="AG223" s="481"/>
      <c r="AH223" s="481"/>
      <c r="AI223" s="481"/>
      <c r="AJ223" s="481"/>
      <c r="AK223" s="481"/>
      <c r="AL223" s="481"/>
      <c r="AM223" s="481"/>
      <c r="AN223" s="481"/>
    </row>
    <row r="224" spans="1:40" ht="15.75" customHeight="1">
      <c r="A224" s="490" t="s">
        <v>366</v>
      </c>
      <c r="B224" s="481" t="s">
        <v>83</v>
      </c>
      <c r="C224" s="498" t="s">
        <v>63</v>
      </c>
      <c r="D224" s="550"/>
      <c r="E224" s="481"/>
      <c r="F224" s="499">
        <v>4042.4215948607985</v>
      </c>
      <c r="G224" s="551"/>
      <c r="H224" s="481"/>
      <c r="I224" s="499"/>
      <c r="J224" s="498"/>
      <c r="K224" s="481"/>
      <c r="L224" s="501">
        <v>1329.91</v>
      </c>
      <c r="M224" s="498"/>
      <c r="N224" s="524">
        <v>-2712.5115948607981</v>
      </c>
      <c r="O224" s="498"/>
      <c r="P224" s="481"/>
      <c r="Q224" s="501">
        <v>2043.9134999999999</v>
      </c>
      <c r="R224" s="498"/>
      <c r="S224" s="524">
        <v>-714.0034999999998</v>
      </c>
      <c r="T224" s="481"/>
      <c r="X224" s="481"/>
      <c r="Y224" s="481"/>
      <c r="Z224" s="481"/>
      <c r="AA224" s="481"/>
      <c r="AB224" s="481"/>
      <c r="AC224" s="481"/>
      <c r="AD224" s="481"/>
      <c r="AE224" s="481"/>
      <c r="AF224" s="481"/>
      <c r="AG224" s="481"/>
      <c r="AH224" s="481"/>
      <c r="AI224" s="481"/>
      <c r="AJ224" s="481"/>
      <c r="AK224" s="481"/>
      <c r="AL224" s="481"/>
      <c r="AM224" s="481"/>
      <c r="AN224" s="481"/>
    </row>
    <row r="225" spans="1:40" ht="15.75" hidden="1" customHeight="1">
      <c r="A225" s="490" t="s">
        <v>346</v>
      </c>
      <c r="B225" s="481" t="s">
        <v>83</v>
      </c>
      <c r="C225" s="498" t="s">
        <v>20</v>
      </c>
      <c r="D225" s="550"/>
      <c r="E225" s="481"/>
      <c r="F225" s="499">
        <v>0</v>
      </c>
      <c r="G225" s="551"/>
      <c r="H225" s="481"/>
      <c r="I225" s="499"/>
      <c r="J225" s="498"/>
      <c r="K225" s="481"/>
      <c r="L225" s="501">
        <v>0</v>
      </c>
      <c r="M225" s="498"/>
      <c r="N225" s="524">
        <v>0</v>
      </c>
      <c r="O225" s="498"/>
      <c r="P225" s="481"/>
      <c r="Q225" s="501">
        <v>0</v>
      </c>
      <c r="R225" s="498"/>
      <c r="S225" s="524">
        <v>0</v>
      </c>
      <c r="T225" s="481"/>
      <c r="U225" s="481"/>
      <c r="V225" s="481"/>
      <c r="W225" s="481"/>
      <c r="X225" s="481"/>
      <c r="Y225" s="481"/>
      <c r="Z225" s="481"/>
      <c r="AA225" s="481"/>
      <c r="AB225" s="481"/>
      <c r="AC225" s="481"/>
      <c r="AD225" s="481"/>
      <c r="AE225" s="481"/>
      <c r="AF225" s="481"/>
      <c r="AG225" s="481"/>
      <c r="AH225" s="481"/>
      <c r="AI225" s="481"/>
      <c r="AJ225" s="481"/>
      <c r="AK225" s="481"/>
      <c r="AL225" s="481"/>
      <c r="AM225" s="481"/>
      <c r="AN225" s="481"/>
    </row>
    <row r="226" spans="1:40" ht="15.75" hidden="1" customHeight="1">
      <c r="A226" s="490" t="s">
        <v>346</v>
      </c>
      <c r="B226" s="481" t="s">
        <v>83</v>
      </c>
      <c r="C226" s="498" t="s">
        <v>20</v>
      </c>
      <c r="D226" s="550"/>
      <c r="E226" s="481"/>
      <c r="F226" s="499">
        <v>0</v>
      </c>
      <c r="G226" s="551"/>
      <c r="H226" s="481"/>
      <c r="I226" s="499"/>
      <c r="J226" s="498"/>
      <c r="K226" s="481"/>
      <c r="L226" s="501">
        <v>0</v>
      </c>
      <c r="M226" s="498"/>
      <c r="N226" s="524">
        <v>0</v>
      </c>
      <c r="O226" s="498"/>
      <c r="P226" s="481"/>
      <c r="Q226" s="501">
        <v>0</v>
      </c>
      <c r="R226" s="498"/>
      <c r="S226" s="524">
        <v>0</v>
      </c>
      <c r="T226" s="481"/>
      <c r="U226" s="481"/>
      <c r="V226" s="481"/>
      <c r="W226" s="481"/>
      <c r="X226" s="481"/>
      <c r="Y226" s="481"/>
      <c r="Z226" s="481"/>
      <c r="AA226" s="481"/>
      <c r="AB226" s="481"/>
      <c r="AC226" s="481"/>
      <c r="AD226" s="481"/>
      <c r="AE226" s="481"/>
      <c r="AF226" s="481"/>
      <c r="AG226" s="481"/>
      <c r="AH226" s="481"/>
      <c r="AI226" s="481"/>
      <c r="AJ226" s="481"/>
      <c r="AK226" s="481"/>
      <c r="AL226" s="481"/>
      <c r="AM226" s="481"/>
      <c r="AN226" s="481"/>
    </row>
    <row r="227" spans="1:40" ht="15.75" hidden="1" customHeight="1">
      <c r="A227" s="490" t="s">
        <v>346</v>
      </c>
      <c r="B227" s="481" t="s">
        <v>83</v>
      </c>
      <c r="C227" s="498" t="s">
        <v>20</v>
      </c>
      <c r="D227" s="550"/>
      <c r="E227" s="481"/>
      <c r="F227" s="499">
        <v>0</v>
      </c>
      <c r="G227" s="551"/>
      <c r="H227" s="481"/>
      <c r="I227" s="499"/>
      <c r="J227" s="498"/>
      <c r="K227" s="481"/>
      <c r="L227" s="501">
        <v>0</v>
      </c>
      <c r="M227" s="498"/>
      <c r="N227" s="524">
        <v>0</v>
      </c>
      <c r="O227" s="498"/>
      <c r="P227" s="481"/>
      <c r="Q227" s="501">
        <v>0</v>
      </c>
      <c r="R227" s="498"/>
      <c r="S227" s="524">
        <v>0</v>
      </c>
      <c r="T227" s="481"/>
      <c r="U227" s="481"/>
      <c r="V227" s="481"/>
      <c r="W227" s="481"/>
      <c r="X227" s="481"/>
      <c r="Y227" s="481"/>
      <c r="Z227" s="481"/>
      <c r="AA227" s="481"/>
      <c r="AB227" s="481"/>
      <c r="AC227" s="481"/>
      <c r="AD227" s="481"/>
      <c r="AE227" s="481"/>
      <c r="AF227" s="481"/>
      <c r="AG227" s="481"/>
      <c r="AH227" s="481"/>
      <c r="AI227" s="481"/>
      <c r="AJ227" s="481"/>
      <c r="AK227" s="481"/>
      <c r="AL227" s="481"/>
      <c r="AM227" s="481"/>
      <c r="AN227" s="481"/>
    </row>
    <row r="228" spans="1:40" ht="15.75" customHeight="1">
      <c r="B228" s="481"/>
      <c r="C228" s="557" t="s">
        <v>64</v>
      </c>
      <c r="D228" s="558" t="s">
        <v>97</v>
      </c>
      <c r="E228" s="559">
        <v>0.28128740148195597</v>
      </c>
      <c r="F228" s="560">
        <v>43321.858209287129</v>
      </c>
      <c r="G228" s="561"/>
      <c r="H228" s="559"/>
      <c r="I228" s="560"/>
      <c r="J228" s="561" t="s">
        <v>97</v>
      </c>
      <c r="K228" s="559">
        <v>0.26159503263866413</v>
      </c>
      <c r="L228" s="560">
        <v>48536.12000000001</v>
      </c>
      <c r="M228" s="564"/>
      <c r="N228" s="560">
        <v>5214.2617907128806</v>
      </c>
      <c r="O228" s="561" t="s">
        <v>97</v>
      </c>
      <c r="P228" s="559">
        <v>0.27447859766103389</v>
      </c>
      <c r="Q228" s="560">
        <v>44519.923500000004</v>
      </c>
      <c r="R228" s="564"/>
      <c r="S228" s="560">
        <v>4016.1965000000055</v>
      </c>
      <c r="T228" s="481"/>
      <c r="U228" s="481"/>
      <c r="V228" s="481"/>
      <c r="W228" s="481"/>
      <c r="X228" s="481"/>
      <c r="Y228" s="481"/>
      <c r="Z228" s="481"/>
      <c r="AA228" s="481"/>
      <c r="AB228" s="481"/>
      <c r="AC228" s="481"/>
      <c r="AD228" s="481"/>
      <c r="AE228" s="481"/>
      <c r="AF228" s="481"/>
      <c r="AG228" s="481"/>
      <c r="AH228" s="481"/>
      <c r="AI228" s="481"/>
      <c r="AJ228" s="481"/>
      <c r="AK228" s="481"/>
      <c r="AL228" s="481"/>
      <c r="AM228" s="481"/>
      <c r="AN228" s="481"/>
    </row>
    <row r="229" spans="1:40" ht="15.75" customHeight="1">
      <c r="B229" s="481"/>
      <c r="C229" s="491"/>
      <c r="D229" s="552"/>
      <c r="E229" s="571"/>
      <c r="F229" s="524"/>
      <c r="G229" s="553"/>
      <c r="H229" s="571"/>
      <c r="I229" s="524"/>
      <c r="J229" s="491"/>
      <c r="K229" s="571"/>
      <c r="L229" s="547"/>
      <c r="M229" s="491"/>
      <c r="N229" s="547"/>
      <c r="O229" s="491"/>
      <c r="P229" s="571"/>
      <c r="Q229" s="547"/>
      <c r="R229" s="491"/>
      <c r="S229" s="547"/>
      <c r="T229" s="481"/>
      <c r="U229" s="481"/>
      <c r="V229" s="481"/>
      <c r="W229" s="481"/>
      <c r="X229" s="481"/>
      <c r="Y229" s="481"/>
      <c r="Z229" s="481"/>
      <c r="AA229" s="481"/>
      <c r="AB229" s="481"/>
      <c r="AC229" s="481"/>
      <c r="AD229" s="481"/>
      <c r="AE229" s="481"/>
      <c r="AF229" s="481"/>
      <c r="AG229" s="481"/>
      <c r="AH229" s="481"/>
      <c r="AI229" s="481"/>
      <c r="AJ229" s="481"/>
      <c r="AK229" s="481"/>
      <c r="AL229" s="481"/>
      <c r="AM229" s="481"/>
      <c r="AN229" s="481"/>
    </row>
    <row r="230" spans="1:40" ht="15.75" customHeight="1">
      <c r="B230" s="481"/>
      <c r="C230" s="557" t="s">
        <v>65</v>
      </c>
      <c r="D230" s="558" t="s">
        <v>39</v>
      </c>
      <c r="E230" s="559">
        <v>0.99316989433573666</v>
      </c>
      <c r="F230" s="560">
        <v>152960.8688958844</v>
      </c>
      <c r="G230" s="561"/>
      <c r="H230" s="559"/>
      <c r="I230" s="560"/>
      <c r="J230" s="561" t="s">
        <v>39</v>
      </c>
      <c r="K230" s="559">
        <v>0.76717566077024701</v>
      </c>
      <c r="L230" s="560">
        <v>142341.12</v>
      </c>
      <c r="M230" s="564"/>
      <c r="N230" s="573">
        <v>-10619.748895884404</v>
      </c>
      <c r="O230" s="561" t="s">
        <v>39</v>
      </c>
      <c r="P230" s="559">
        <v>0.89712826273738255</v>
      </c>
      <c r="Q230" s="560">
        <v>145512.55350000001</v>
      </c>
      <c r="R230" s="564"/>
      <c r="S230" s="573">
        <v>-3171.4335000000137</v>
      </c>
      <c r="T230" s="481"/>
      <c r="U230" s="481"/>
      <c r="V230" s="481"/>
      <c r="W230" s="481"/>
      <c r="X230" s="481"/>
      <c r="Y230" s="481"/>
      <c r="Z230" s="481"/>
      <c r="AA230" s="481"/>
      <c r="AB230" s="481"/>
      <c r="AC230" s="481"/>
      <c r="AD230" s="481"/>
      <c r="AE230" s="481"/>
      <c r="AF230" s="481"/>
      <c r="AG230" s="481"/>
      <c r="AH230" s="481"/>
      <c r="AI230" s="481"/>
      <c r="AJ230" s="481"/>
      <c r="AK230" s="481"/>
      <c r="AL230" s="481"/>
      <c r="AM230" s="481"/>
      <c r="AN230" s="481"/>
    </row>
    <row r="231" spans="1:40" ht="15.75" customHeight="1">
      <c r="B231" s="481"/>
      <c r="C231" s="498"/>
      <c r="D231" s="550"/>
      <c r="E231" s="481"/>
      <c r="F231" s="524"/>
      <c r="G231" s="551"/>
      <c r="H231" s="481"/>
      <c r="I231" s="524"/>
      <c r="J231" s="498"/>
      <c r="K231" s="481"/>
      <c r="L231" s="524"/>
      <c r="M231" s="498"/>
      <c r="N231" s="524">
        <v>0</v>
      </c>
      <c r="O231" s="498"/>
      <c r="P231" s="481"/>
      <c r="Q231" s="524"/>
      <c r="R231" s="498"/>
      <c r="S231" s="524"/>
      <c r="T231" s="481"/>
      <c r="U231" s="481"/>
      <c r="V231" s="481"/>
      <c r="W231" s="481"/>
      <c r="X231" s="481"/>
      <c r="Y231" s="481"/>
      <c r="Z231" s="481"/>
      <c r="AA231" s="481"/>
      <c r="AB231" s="481"/>
      <c r="AC231" s="481"/>
      <c r="AD231" s="481"/>
      <c r="AE231" s="481"/>
      <c r="AF231" s="481"/>
      <c r="AG231" s="481"/>
      <c r="AH231" s="481"/>
      <c r="AI231" s="481"/>
      <c r="AJ231" s="481"/>
      <c r="AK231" s="481"/>
      <c r="AL231" s="481"/>
      <c r="AM231" s="481"/>
      <c r="AN231" s="481"/>
    </row>
    <row r="232" spans="1:40" ht="15.75" customHeight="1" thickBot="1">
      <c r="B232" s="481"/>
      <c r="C232" s="587" t="s">
        <v>72</v>
      </c>
      <c r="D232" s="615"/>
      <c r="E232" s="588"/>
      <c r="F232" s="590">
        <v>1051.9236467142182</v>
      </c>
      <c r="G232" s="616"/>
      <c r="H232" s="588"/>
      <c r="I232" s="590"/>
      <c r="J232" s="587"/>
      <c r="K232" s="589"/>
      <c r="L232" s="590">
        <v>43198.030000000028</v>
      </c>
      <c r="M232" s="587"/>
      <c r="N232" s="590">
        <v>42146.10635328581</v>
      </c>
      <c r="O232" s="587"/>
      <c r="P232" s="589"/>
      <c r="Q232" s="590">
        <v>16685.606499999994</v>
      </c>
      <c r="R232" s="587"/>
      <c r="S232" s="590">
        <v>26512.423500000034</v>
      </c>
      <c r="T232" s="481"/>
      <c r="U232" s="481"/>
      <c r="V232" s="481"/>
      <c r="W232" s="481"/>
      <c r="X232" s="481"/>
      <c r="Y232" s="481"/>
      <c r="Z232" s="481"/>
      <c r="AA232" s="481"/>
      <c r="AB232" s="481"/>
      <c r="AC232" s="481"/>
      <c r="AD232" s="481"/>
      <c r="AE232" s="481"/>
      <c r="AF232" s="481"/>
      <c r="AG232" s="481"/>
      <c r="AH232" s="481"/>
      <c r="AI232" s="481"/>
      <c r="AJ232" s="481"/>
      <c r="AK232" s="481"/>
      <c r="AL232" s="481"/>
      <c r="AM232" s="481"/>
      <c r="AN232" s="481"/>
    </row>
    <row r="233" spans="1:40" ht="15.75" customHeight="1" thickTop="1">
      <c r="B233" s="481"/>
      <c r="C233" s="481"/>
      <c r="D233" s="481"/>
      <c r="E233" s="481"/>
      <c r="F233" s="481"/>
      <c r="G233" s="481"/>
      <c r="H233" s="481"/>
      <c r="I233" s="481"/>
      <c r="J233" s="481"/>
      <c r="K233" s="481"/>
      <c r="L233" s="542"/>
      <c r="M233" s="542"/>
      <c r="N233" s="481"/>
      <c r="O233" s="542"/>
      <c r="P233" s="481"/>
      <c r="Q233" s="542"/>
      <c r="R233" s="481"/>
      <c r="S233" s="481"/>
      <c r="T233" s="481"/>
      <c r="U233" s="481"/>
      <c r="V233" s="481"/>
      <c r="W233" s="481"/>
      <c r="X233" s="481"/>
      <c r="Y233" s="481"/>
      <c r="Z233" s="481"/>
      <c r="AA233" s="481"/>
      <c r="AB233" s="481"/>
      <c r="AC233" s="481"/>
      <c r="AD233" s="481"/>
      <c r="AE233" s="481"/>
      <c r="AF233" s="481"/>
      <c r="AG233" s="481"/>
      <c r="AH233" s="481"/>
      <c r="AI233" s="481"/>
      <c r="AJ233" s="481"/>
      <c r="AK233" s="481"/>
      <c r="AL233" s="481"/>
      <c r="AM233" s="481"/>
      <c r="AN233" s="481"/>
    </row>
    <row r="234" spans="1:40" ht="15.75" customHeight="1">
      <c r="B234" s="481"/>
      <c r="C234" s="478"/>
      <c r="D234" s="478"/>
      <c r="E234" s="478"/>
      <c r="F234" s="478"/>
      <c r="G234" s="478"/>
      <c r="H234" s="478"/>
      <c r="I234" s="478"/>
      <c r="J234" s="478"/>
      <c r="K234" s="478"/>
      <c r="L234" s="617"/>
      <c r="M234" s="617"/>
      <c r="N234" s="478"/>
      <c r="O234" s="617"/>
      <c r="P234" s="478"/>
      <c r="Q234" s="617"/>
      <c r="R234" s="478"/>
      <c r="S234" s="478"/>
      <c r="T234" s="478"/>
      <c r="U234" s="478"/>
      <c r="V234" s="481"/>
      <c r="W234" s="481"/>
      <c r="X234" s="481"/>
      <c r="Y234" s="481"/>
      <c r="Z234" s="481"/>
      <c r="AA234" s="481"/>
      <c r="AB234" s="481"/>
      <c r="AC234" s="481"/>
      <c r="AD234" s="481"/>
      <c r="AE234" s="481"/>
      <c r="AF234" s="481"/>
      <c r="AG234" s="481"/>
      <c r="AH234" s="481"/>
      <c r="AI234" s="481"/>
      <c r="AJ234" s="481"/>
      <c r="AK234" s="481"/>
      <c r="AL234" s="481"/>
      <c r="AM234" s="481"/>
      <c r="AN234" s="481"/>
    </row>
    <row r="235" spans="1:40" ht="33" customHeight="1">
      <c r="B235" s="481"/>
      <c r="C235" s="595" t="s">
        <v>223</v>
      </c>
      <c r="D235" s="469"/>
      <c r="E235" s="469"/>
      <c r="F235" s="469"/>
      <c r="G235" s="469"/>
      <c r="H235" s="467"/>
      <c r="I235" s="467"/>
      <c r="J235" s="467"/>
      <c r="K235" s="471" t="s">
        <v>99</v>
      </c>
      <c r="L235" s="469"/>
      <c r="M235" s="469"/>
      <c r="N235" s="467"/>
      <c r="O235" s="467"/>
      <c r="P235" s="469"/>
      <c r="Q235" s="467"/>
      <c r="R235" s="469"/>
      <c r="S235" s="596" t="s">
        <v>483</v>
      </c>
      <c r="T235" s="469"/>
      <c r="U235" s="467"/>
      <c r="V235" s="478"/>
      <c r="W235" s="478"/>
      <c r="X235" s="478"/>
      <c r="Y235" s="478"/>
      <c r="Z235" s="478"/>
      <c r="AA235" s="478"/>
      <c r="AB235" s="478"/>
      <c r="AC235" s="478"/>
      <c r="AD235" s="478"/>
      <c r="AE235" s="478"/>
      <c r="AF235" s="478"/>
      <c r="AG235" s="478"/>
      <c r="AH235" s="478"/>
      <c r="AI235" s="478"/>
      <c r="AJ235" s="478"/>
      <c r="AK235" s="478"/>
      <c r="AL235" s="478"/>
      <c r="AM235" s="478"/>
      <c r="AN235" s="478"/>
    </row>
    <row r="236" spans="1:40" ht="24" customHeight="1" thickBot="1">
      <c r="B236" s="481"/>
      <c r="C236" s="476"/>
      <c r="D236" s="478"/>
      <c r="E236" s="478"/>
      <c r="F236" s="478"/>
      <c r="G236" s="478"/>
      <c r="H236" s="478"/>
      <c r="I236" s="478"/>
      <c r="J236" s="478"/>
      <c r="K236" s="478"/>
      <c r="L236" s="478"/>
      <c r="M236" s="478"/>
      <c r="N236" s="478"/>
      <c r="O236" s="478"/>
      <c r="P236" s="478"/>
      <c r="Q236" s="478"/>
      <c r="R236" s="478"/>
      <c r="S236" s="478"/>
      <c r="T236" s="478"/>
      <c r="U236" s="478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7"/>
      <c r="AG236" s="467"/>
      <c r="AH236" s="467"/>
      <c r="AI236" s="467"/>
      <c r="AJ236" s="467"/>
      <c r="AK236" s="467"/>
      <c r="AL236" s="467"/>
      <c r="AM236" s="467"/>
      <c r="AN236" s="467"/>
    </row>
    <row r="237" spans="1:40" ht="15.75" customHeight="1" thickTop="1">
      <c r="B237" s="481"/>
      <c r="C237" s="482"/>
      <c r="D237" s="864" t="s">
        <v>5</v>
      </c>
      <c r="E237" s="865"/>
      <c r="F237" s="866"/>
      <c r="G237" s="867"/>
      <c r="H237" s="865"/>
      <c r="I237" s="866"/>
      <c r="J237" s="867" t="s">
        <v>7</v>
      </c>
      <c r="K237" s="865"/>
      <c r="L237" s="866"/>
      <c r="M237" s="867" t="s">
        <v>472</v>
      </c>
      <c r="N237" s="866"/>
      <c r="O237" s="864" t="s">
        <v>9</v>
      </c>
      <c r="P237" s="865"/>
      <c r="Q237" s="866"/>
      <c r="R237" s="867" t="s">
        <v>473</v>
      </c>
      <c r="S237" s="866"/>
      <c r="T237" s="611"/>
      <c r="U237" s="481"/>
      <c r="V237" s="478"/>
      <c r="W237" s="478"/>
      <c r="X237" s="478"/>
      <c r="Y237" s="478"/>
      <c r="Z237" s="478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  <c r="AL237" s="478"/>
      <c r="AM237" s="478"/>
      <c r="AN237" s="478"/>
    </row>
    <row r="238" spans="1:40" ht="15.75" customHeight="1">
      <c r="A238" s="490" t="s">
        <v>99</v>
      </c>
      <c r="B238" s="481" t="s">
        <v>99</v>
      </c>
      <c r="C238" s="498"/>
      <c r="D238" s="540" t="s">
        <v>40</v>
      </c>
      <c r="E238" s="540" t="s">
        <v>84</v>
      </c>
      <c r="F238" s="618" t="s">
        <v>13</v>
      </c>
      <c r="G238" s="619"/>
      <c r="H238" s="540"/>
      <c r="I238" s="618"/>
      <c r="J238" s="619" t="s">
        <v>40</v>
      </c>
      <c r="K238" s="540" t="s">
        <v>84</v>
      </c>
      <c r="L238" s="618" t="s">
        <v>13</v>
      </c>
      <c r="M238" s="619" t="s">
        <v>40</v>
      </c>
      <c r="N238" s="618" t="s">
        <v>475</v>
      </c>
      <c r="O238" s="540" t="s">
        <v>40</v>
      </c>
      <c r="P238" s="540" t="s">
        <v>84</v>
      </c>
      <c r="Q238" s="618" t="s">
        <v>13</v>
      </c>
      <c r="R238" s="619" t="s">
        <v>85</v>
      </c>
      <c r="S238" s="618" t="s">
        <v>13</v>
      </c>
      <c r="T238" s="540"/>
      <c r="U238" s="481"/>
      <c r="V238" s="481"/>
      <c r="W238" s="481"/>
      <c r="X238" s="481"/>
      <c r="Y238" s="481"/>
      <c r="Z238" s="481"/>
      <c r="AA238" s="481"/>
      <c r="AB238" s="481"/>
      <c r="AC238" s="481"/>
      <c r="AD238" s="481"/>
      <c r="AE238" s="481"/>
      <c r="AF238" s="481"/>
      <c r="AG238" s="481"/>
      <c r="AH238" s="481"/>
      <c r="AI238" s="481"/>
      <c r="AJ238" s="481"/>
      <c r="AK238" s="481"/>
      <c r="AL238" s="481"/>
      <c r="AM238" s="481"/>
      <c r="AN238" s="481"/>
    </row>
    <row r="239" spans="1:40" ht="15.75" customHeight="1">
      <c r="A239" s="490" t="s">
        <v>99</v>
      </c>
      <c r="B239" s="481" t="s">
        <v>99</v>
      </c>
      <c r="C239" s="498"/>
      <c r="D239" s="540"/>
      <c r="E239" s="540"/>
      <c r="F239" s="618"/>
      <c r="G239" s="619"/>
      <c r="H239" s="540"/>
      <c r="I239" s="618"/>
      <c r="J239" s="619"/>
      <c r="K239" s="499"/>
      <c r="L239" s="501"/>
      <c r="M239" s="619"/>
      <c r="N239" s="618"/>
      <c r="O239" s="540"/>
      <c r="P239" s="540"/>
      <c r="Q239" s="618"/>
      <c r="R239" s="619"/>
      <c r="S239" s="618"/>
      <c r="T239" s="540"/>
      <c r="U239" s="481"/>
      <c r="V239" s="481"/>
      <c r="W239" s="481"/>
      <c r="X239" s="481"/>
      <c r="Y239" s="481"/>
      <c r="Z239" s="481"/>
      <c r="AA239" s="481"/>
      <c r="AB239" s="481"/>
      <c r="AC239" s="481"/>
      <c r="AD239" s="481"/>
      <c r="AE239" s="481"/>
      <c r="AF239" s="481"/>
      <c r="AG239" s="481"/>
      <c r="AH239" s="481"/>
      <c r="AI239" s="481"/>
      <c r="AJ239" s="481"/>
      <c r="AK239" s="481"/>
      <c r="AL239" s="481"/>
      <c r="AM239" s="481"/>
      <c r="AN239" s="481"/>
    </row>
    <row r="240" spans="1:40" ht="15.75" customHeight="1">
      <c r="A240" s="490" t="s">
        <v>367</v>
      </c>
      <c r="B240" s="481" t="s">
        <v>99</v>
      </c>
      <c r="C240" s="498" t="s">
        <v>100</v>
      </c>
      <c r="D240" s="658">
        <v>0</v>
      </c>
      <c r="E240" s="542">
        <v>99362.912856790354</v>
      </c>
      <c r="F240" s="542">
        <v>23359.624182365002</v>
      </c>
      <c r="G240" s="577"/>
      <c r="H240" s="542"/>
      <c r="I240" s="542"/>
      <c r="J240" s="525">
        <v>61</v>
      </c>
      <c r="K240" s="499">
        <v>123808.12999999999</v>
      </c>
      <c r="L240" s="501">
        <v>26996.329999999998</v>
      </c>
      <c r="M240" s="543">
        <v>0.24601953022896991</v>
      </c>
      <c r="N240" s="524">
        <v>3636.7058176349965</v>
      </c>
      <c r="O240" s="525">
        <v>51</v>
      </c>
      <c r="P240" s="499">
        <v>90885.119999999995</v>
      </c>
      <c r="Q240" s="501">
        <v>19885.989999999994</v>
      </c>
      <c r="R240" s="543">
        <v>1.196078431372549</v>
      </c>
      <c r="S240" s="524">
        <v>7110.3400000000038</v>
      </c>
      <c r="T240" s="540"/>
      <c r="U240" s="481"/>
      <c r="V240" s="481"/>
      <c r="W240" s="481"/>
      <c r="X240" s="481"/>
      <c r="Y240" s="481"/>
      <c r="Z240" s="481"/>
      <c r="AA240" s="481"/>
      <c r="AB240" s="481"/>
      <c r="AC240" s="481"/>
      <c r="AD240" s="481"/>
      <c r="AE240" s="481"/>
      <c r="AF240" s="481"/>
      <c r="AG240" s="481"/>
      <c r="AH240" s="481"/>
      <c r="AI240" s="481"/>
      <c r="AJ240" s="481"/>
      <c r="AK240" s="481"/>
      <c r="AL240" s="481"/>
      <c r="AM240" s="481"/>
      <c r="AN240" s="481"/>
    </row>
    <row r="241" spans="1:40" ht="15.75" customHeight="1">
      <c r="A241" s="490" t="s">
        <v>368</v>
      </c>
      <c r="B241" s="481" t="s">
        <v>99</v>
      </c>
      <c r="C241" s="498" t="s">
        <v>87</v>
      </c>
      <c r="D241" s="540"/>
      <c r="E241" s="604"/>
      <c r="F241" s="620">
        <v>0.23509399544307572</v>
      </c>
      <c r="G241" s="498"/>
      <c r="H241" s="604"/>
      <c r="I241" s="620"/>
      <c r="J241" s="525"/>
      <c r="K241" s="481"/>
      <c r="L241" s="620">
        <v>0.21804973550606088</v>
      </c>
      <c r="M241" s="543"/>
      <c r="N241" s="524">
        <v>14782.18340735112</v>
      </c>
      <c r="O241" s="525"/>
      <c r="P241" s="481"/>
      <c r="Q241" s="620">
        <v>0.21880358412906309</v>
      </c>
      <c r="R241" s="525"/>
      <c r="S241" s="524">
        <v>5944.7104918032819</v>
      </c>
      <c r="T241" s="540"/>
      <c r="U241" s="481"/>
      <c r="V241" s="481"/>
      <c r="W241" s="481"/>
      <c r="X241" s="481"/>
      <c r="Y241" s="481"/>
      <c r="Z241" s="481"/>
      <c r="AA241" s="481"/>
      <c r="AB241" s="481"/>
      <c r="AC241" s="481"/>
      <c r="AD241" s="481"/>
      <c r="AE241" s="481"/>
      <c r="AF241" s="481"/>
      <c r="AG241" s="481"/>
      <c r="AH241" s="481"/>
      <c r="AI241" s="481"/>
      <c r="AJ241" s="481"/>
      <c r="AK241" s="481"/>
      <c r="AL241" s="481"/>
      <c r="AM241" s="481"/>
      <c r="AN241" s="481"/>
    </row>
    <row r="242" spans="1:40" ht="15.75" customHeight="1">
      <c r="A242" s="490" t="s">
        <v>99</v>
      </c>
      <c r="B242" s="481" t="s">
        <v>99</v>
      </c>
      <c r="C242" s="498"/>
      <c r="D242" s="540"/>
      <c r="E242" s="659"/>
      <c r="F242" s="598"/>
      <c r="G242" s="619"/>
      <c r="H242" s="659"/>
      <c r="I242" s="598"/>
      <c r="J242" s="619"/>
      <c r="K242" s="540"/>
      <c r="L242" s="618"/>
      <c r="M242" s="619"/>
      <c r="N242" s="618"/>
      <c r="O242" s="619"/>
      <c r="P242" s="540"/>
      <c r="Q242" s="618"/>
      <c r="R242" s="597"/>
      <c r="S242" s="618"/>
      <c r="T242" s="540"/>
      <c r="U242" s="481"/>
      <c r="V242" s="481"/>
      <c r="W242" s="481"/>
      <c r="X242" s="481"/>
      <c r="Y242" s="481"/>
      <c r="Z242" s="481"/>
      <c r="AA242" s="481"/>
      <c r="AB242" s="481"/>
      <c r="AC242" s="481"/>
      <c r="AD242" s="481"/>
      <c r="AE242" s="481"/>
      <c r="AF242" s="481"/>
      <c r="AG242" s="481"/>
      <c r="AH242" s="481"/>
      <c r="AI242" s="481"/>
      <c r="AJ242" s="481"/>
      <c r="AK242" s="481"/>
      <c r="AL242" s="481"/>
      <c r="AM242" s="481"/>
      <c r="AN242" s="481"/>
    </row>
    <row r="243" spans="1:40" ht="15.75" customHeight="1">
      <c r="A243" s="490" t="s">
        <v>369</v>
      </c>
      <c r="B243" s="481" t="s">
        <v>99</v>
      </c>
      <c r="C243" s="485" t="s">
        <v>101</v>
      </c>
      <c r="D243" s="624">
        <v>0</v>
      </c>
      <c r="E243" s="542">
        <v>0</v>
      </c>
      <c r="F243" s="542">
        <v>0</v>
      </c>
      <c r="G243" s="660"/>
      <c r="H243" s="542"/>
      <c r="I243" s="542"/>
      <c r="J243" s="625">
        <v>0</v>
      </c>
      <c r="K243" s="519">
        <v>0</v>
      </c>
      <c r="L243" s="520">
        <v>0</v>
      </c>
      <c r="M243" s="629">
        <v>0</v>
      </c>
      <c r="N243" s="570">
        <v>0</v>
      </c>
      <c r="O243" s="625">
        <v>0</v>
      </c>
      <c r="P243" s="519">
        <v>0</v>
      </c>
      <c r="Q243" s="520">
        <v>0</v>
      </c>
      <c r="R243" s="543">
        <v>0</v>
      </c>
      <c r="S243" s="570">
        <v>0</v>
      </c>
      <c r="T243" s="608"/>
      <c r="U243" s="481"/>
      <c r="V243" s="481"/>
      <c r="W243" s="481"/>
      <c r="X243" s="481"/>
      <c r="Y243" s="481"/>
      <c r="Z243" s="481"/>
      <c r="AA243" s="481"/>
      <c r="AB243" s="481"/>
      <c r="AC243" s="481"/>
      <c r="AD243" s="481"/>
      <c r="AE243" s="481"/>
      <c r="AF243" s="481"/>
      <c r="AG243" s="481"/>
      <c r="AH243" s="481"/>
      <c r="AI243" s="481"/>
      <c r="AJ243" s="481"/>
      <c r="AK243" s="481"/>
      <c r="AL243" s="481"/>
      <c r="AM243" s="481"/>
      <c r="AN243" s="481"/>
    </row>
    <row r="244" spans="1:40" ht="15.75" customHeight="1">
      <c r="A244" s="490" t="s">
        <v>368</v>
      </c>
      <c r="B244" s="481" t="s">
        <v>99</v>
      </c>
      <c r="C244" s="498" t="s">
        <v>87</v>
      </c>
      <c r="D244" s="481"/>
      <c r="E244" s="604"/>
      <c r="F244" s="620">
        <v>0</v>
      </c>
      <c r="G244" s="498"/>
      <c r="H244" s="604"/>
      <c r="I244" s="620"/>
      <c r="J244" s="525"/>
      <c r="K244" s="481"/>
      <c r="L244" s="620">
        <v>0</v>
      </c>
      <c r="M244" s="543"/>
      <c r="N244" s="524">
        <v>0</v>
      </c>
      <c r="O244" s="525"/>
      <c r="P244" s="481"/>
      <c r="Q244" s="620">
        <v>0</v>
      </c>
      <c r="R244" s="525"/>
      <c r="S244" s="524">
        <v>0</v>
      </c>
      <c r="T244" s="608"/>
      <c r="U244" s="481"/>
      <c r="V244" s="481"/>
      <c r="W244" s="481"/>
      <c r="X244" s="481"/>
      <c r="Y244" s="481"/>
      <c r="Z244" s="481"/>
      <c r="AA244" s="481"/>
      <c r="AB244" s="481"/>
      <c r="AC244" s="481"/>
      <c r="AD244" s="481"/>
      <c r="AE244" s="481"/>
      <c r="AF244" s="481"/>
      <c r="AG244" s="481"/>
      <c r="AH244" s="481"/>
      <c r="AI244" s="481"/>
      <c r="AJ244" s="481"/>
      <c r="AK244" s="481"/>
      <c r="AL244" s="481"/>
      <c r="AM244" s="481"/>
      <c r="AN244" s="481"/>
    </row>
    <row r="245" spans="1:40" ht="15.75" customHeight="1">
      <c r="A245" s="490" t="s">
        <v>99</v>
      </c>
      <c r="B245" s="481" t="s">
        <v>99</v>
      </c>
      <c r="C245" s="491"/>
      <c r="D245" s="571"/>
      <c r="E245" s="661"/>
      <c r="F245" s="622"/>
      <c r="G245" s="491"/>
      <c r="H245" s="661"/>
      <c r="I245" s="622"/>
      <c r="J245" s="623"/>
      <c r="K245" s="662"/>
      <c r="L245" s="622"/>
      <c r="M245" s="546"/>
      <c r="N245" s="547"/>
      <c r="O245" s="623"/>
      <c r="P245" s="662"/>
      <c r="Q245" s="622"/>
      <c r="R245" s="623"/>
      <c r="S245" s="547"/>
      <c r="T245" s="608"/>
      <c r="U245" s="481"/>
      <c r="V245" s="481"/>
      <c r="W245" s="481"/>
      <c r="X245" s="481"/>
      <c r="Y245" s="481"/>
      <c r="Z245" s="481"/>
      <c r="AA245" s="481"/>
      <c r="AB245" s="481"/>
      <c r="AC245" s="481"/>
      <c r="AD245" s="481"/>
      <c r="AE245" s="481"/>
      <c r="AF245" s="481"/>
      <c r="AG245" s="481"/>
      <c r="AH245" s="481"/>
      <c r="AI245" s="481"/>
      <c r="AJ245" s="481"/>
      <c r="AK245" s="481"/>
      <c r="AL245" s="481"/>
      <c r="AM245" s="481"/>
      <c r="AN245" s="481"/>
    </row>
    <row r="246" spans="1:40" ht="15.75" customHeight="1">
      <c r="A246" s="490" t="s">
        <v>370</v>
      </c>
      <c r="B246" s="481" t="s">
        <v>99</v>
      </c>
      <c r="C246" s="485" t="s">
        <v>102</v>
      </c>
      <c r="D246" s="624">
        <v>0</v>
      </c>
      <c r="E246" s="542">
        <v>0</v>
      </c>
      <c r="F246" s="542">
        <v>0</v>
      </c>
      <c r="G246" s="625"/>
      <c r="H246" s="542"/>
      <c r="I246" s="542"/>
      <c r="J246" s="625">
        <v>0</v>
      </c>
      <c r="K246" s="499">
        <v>0</v>
      </c>
      <c r="L246" s="501">
        <v>0</v>
      </c>
      <c r="M246" s="543">
        <v>0</v>
      </c>
      <c r="N246" s="570">
        <v>0</v>
      </c>
      <c r="O246" s="625">
        <v>0</v>
      </c>
      <c r="P246" s="499">
        <v>0</v>
      </c>
      <c r="Q246" s="501">
        <v>0</v>
      </c>
      <c r="R246" s="543">
        <v>0</v>
      </c>
      <c r="S246" s="524">
        <v>0</v>
      </c>
      <c r="T246" s="608"/>
      <c r="U246" s="481"/>
      <c r="V246" s="481"/>
      <c r="W246" s="481"/>
      <c r="X246" s="481"/>
      <c r="Y246" s="481"/>
      <c r="Z246" s="481"/>
      <c r="AA246" s="481"/>
      <c r="AB246" s="481"/>
      <c r="AC246" s="481"/>
      <c r="AD246" s="481"/>
      <c r="AE246" s="481"/>
      <c r="AF246" s="481"/>
      <c r="AG246" s="481"/>
      <c r="AH246" s="481"/>
      <c r="AI246" s="481"/>
      <c r="AJ246" s="481"/>
      <c r="AK246" s="481"/>
      <c r="AL246" s="481"/>
      <c r="AM246" s="481"/>
      <c r="AN246" s="481"/>
    </row>
    <row r="247" spans="1:40" ht="15.75" customHeight="1">
      <c r="A247" s="490" t="s">
        <v>368</v>
      </c>
      <c r="B247" s="481" t="s">
        <v>99</v>
      </c>
      <c r="C247" s="498" t="s">
        <v>87</v>
      </c>
      <c r="D247" s="481"/>
      <c r="E247" s="481"/>
      <c r="F247" s="620">
        <v>0</v>
      </c>
      <c r="G247" s="498"/>
      <c r="H247" s="481"/>
      <c r="I247" s="620"/>
      <c r="J247" s="498"/>
      <c r="K247" s="481"/>
      <c r="L247" s="620">
        <v>0</v>
      </c>
      <c r="M247" s="515"/>
      <c r="N247" s="516">
        <v>0</v>
      </c>
      <c r="O247" s="498"/>
      <c r="P247" s="481"/>
      <c r="Q247" s="620">
        <v>0</v>
      </c>
      <c r="R247" s="515"/>
      <c r="S247" s="516">
        <v>0</v>
      </c>
      <c r="T247" s="608"/>
      <c r="U247" s="481"/>
      <c r="V247" s="481"/>
      <c r="W247" s="481"/>
      <c r="X247" s="481"/>
      <c r="Y247" s="481"/>
      <c r="Z247" s="481"/>
      <c r="AA247" s="481"/>
      <c r="AB247" s="481"/>
      <c r="AC247" s="481"/>
      <c r="AD247" s="481"/>
      <c r="AE247" s="481"/>
      <c r="AF247" s="481"/>
      <c r="AG247" s="481"/>
      <c r="AH247" s="481"/>
      <c r="AI247" s="481"/>
      <c r="AJ247" s="481"/>
      <c r="AK247" s="481"/>
      <c r="AL247" s="481"/>
      <c r="AM247" s="481"/>
      <c r="AN247" s="481"/>
    </row>
    <row r="248" spans="1:40" ht="15.75" customHeight="1" thickBot="1">
      <c r="A248" s="490" t="s">
        <v>99</v>
      </c>
      <c r="B248" s="481" t="s">
        <v>99</v>
      </c>
      <c r="C248" s="498"/>
      <c r="D248" s="481"/>
      <c r="E248" s="481"/>
      <c r="F248" s="620"/>
      <c r="G248" s="498"/>
      <c r="H248" s="481"/>
      <c r="I248" s="620"/>
      <c r="J248" s="498"/>
      <c r="K248" s="481"/>
      <c r="L248" s="620"/>
      <c r="M248" s="515"/>
      <c r="N248" s="516"/>
      <c r="O248" s="498"/>
      <c r="P248" s="481"/>
      <c r="Q248" s="620"/>
      <c r="R248" s="515"/>
      <c r="S248" s="516"/>
      <c r="T248" s="608"/>
      <c r="U248" s="481"/>
      <c r="V248" s="481"/>
      <c r="W248" s="481"/>
      <c r="X248" s="481"/>
      <c r="Y248" s="481"/>
      <c r="Z248" s="481"/>
      <c r="AA248" s="481"/>
      <c r="AB248" s="481"/>
      <c r="AC248" s="481"/>
      <c r="AD248" s="481"/>
      <c r="AE248" s="481"/>
      <c r="AF248" s="481"/>
      <c r="AG248" s="481"/>
      <c r="AH248" s="481"/>
      <c r="AI248" s="481"/>
      <c r="AJ248" s="481"/>
      <c r="AK248" s="481"/>
      <c r="AL248" s="481"/>
      <c r="AM248" s="481"/>
      <c r="AN248" s="481"/>
    </row>
    <row r="249" spans="1:40" ht="15.75" customHeight="1" thickTop="1">
      <c r="A249" s="490" t="s">
        <v>371</v>
      </c>
      <c r="B249" s="481" t="s">
        <v>99</v>
      </c>
      <c r="C249" s="526" t="s">
        <v>96</v>
      </c>
      <c r="D249" s="527"/>
      <c r="E249" s="527">
        <v>99362.912856790354</v>
      </c>
      <c r="F249" s="529">
        <v>23359.624182365002</v>
      </c>
      <c r="G249" s="530"/>
      <c r="H249" s="527"/>
      <c r="I249" s="529"/>
      <c r="J249" s="530"/>
      <c r="K249" s="527">
        <v>123808.12999999999</v>
      </c>
      <c r="L249" s="529">
        <v>26996.329999999998</v>
      </c>
      <c r="M249" s="657">
        <v>-1.7044259937014833E-2</v>
      </c>
      <c r="N249" s="529">
        <v>3636.7058176349965</v>
      </c>
      <c r="O249" s="530"/>
      <c r="P249" s="527">
        <v>90885.119999999995</v>
      </c>
      <c r="Q249" s="529">
        <v>19885.989999999994</v>
      </c>
      <c r="R249" s="663">
        <v>-7.5384862300220679E-4</v>
      </c>
      <c r="S249" s="529">
        <v>7110.3400000000038</v>
      </c>
      <c r="T249" s="608"/>
      <c r="U249" s="481"/>
      <c r="V249" s="481"/>
      <c r="W249" s="481"/>
      <c r="X249" s="481"/>
      <c r="Y249" s="481"/>
      <c r="Z249" s="481"/>
      <c r="AA249" s="481"/>
      <c r="AB249" s="481"/>
      <c r="AC249" s="481"/>
      <c r="AD249" s="481"/>
      <c r="AE249" s="481"/>
      <c r="AF249" s="481"/>
      <c r="AG249" s="481"/>
      <c r="AH249" s="481"/>
      <c r="AI249" s="481"/>
      <c r="AJ249" s="481"/>
      <c r="AK249" s="481"/>
      <c r="AL249" s="481"/>
      <c r="AM249" s="481"/>
      <c r="AN249" s="481"/>
    </row>
    <row r="250" spans="1:40" ht="23.25" customHeight="1" thickBot="1">
      <c r="A250" s="490" t="s">
        <v>99</v>
      </c>
      <c r="B250" s="481" t="s">
        <v>99</v>
      </c>
      <c r="C250" s="531"/>
      <c r="D250" s="532"/>
      <c r="E250" s="532"/>
      <c r="F250" s="536">
        <v>0.23509399544307572</v>
      </c>
      <c r="G250" s="531"/>
      <c r="H250" s="532"/>
      <c r="I250" s="536"/>
      <c r="J250" s="531"/>
      <c r="K250" s="532"/>
      <c r="L250" s="536">
        <v>0.21804973550606088</v>
      </c>
      <c r="M250" s="535"/>
      <c r="N250" s="536">
        <v>0.15568340437516426</v>
      </c>
      <c r="O250" s="531"/>
      <c r="P250" s="532"/>
      <c r="Q250" s="536">
        <v>0.21880358412906309</v>
      </c>
      <c r="R250" s="535"/>
      <c r="S250" s="536">
        <v>0.35755524366652131</v>
      </c>
      <c r="T250" s="608"/>
      <c r="U250" s="481"/>
      <c r="V250" s="481"/>
      <c r="W250" s="481"/>
      <c r="X250" s="481"/>
      <c r="Y250" s="481"/>
      <c r="Z250" s="481"/>
      <c r="AA250" s="481"/>
      <c r="AB250" s="481"/>
      <c r="AC250" s="481"/>
      <c r="AD250" s="481"/>
      <c r="AE250" s="481"/>
      <c r="AF250" s="481"/>
      <c r="AG250" s="481"/>
      <c r="AH250" s="481"/>
      <c r="AI250" s="481"/>
      <c r="AJ250" s="481"/>
      <c r="AK250" s="481"/>
      <c r="AL250" s="481"/>
      <c r="AM250" s="481"/>
      <c r="AN250" s="481"/>
    </row>
    <row r="251" spans="1:40" ht="15.75" customHeight="1" thickTop="1">
      <c r="A251" s="490" t="s">
        <v>99</v>
      </c>
      <c r="B251" s="481" t="s">
        <v>99</v>
      </c>
      <c r="C251" s="498"/>
      <c r="D251" s="481"/>
      <c r="E251" s="481"/>
      <c r="F251" s="524"/>
      <c r="G251" s="498"/>
      <c r="H251" s="481"/>
      <c r="I251" s="524"/>
      <c r="J251" s="498"/>
      <c r="K251" s="481"/>
      <c r="L251" s="508"/>
      <c r="M251" s="498"/>
      <c r="N251" s="508"/>
      <c r="O251" s="498"/>
      <c r="P251" s="481"/>
      <c r="Q251" s="508"/>
      <c r="R251" s="498"/>
      <c r="S251" s="508"/>
      <c r="T251" s="481"/>
      <c r="U251" s="481"/>
      <c r="V251" s="481"/>
      <c r="W251" s="481"/>
      <c r="X251" s="481"/>
      <c r="Y251" s="481"/>
      <c r="Z251" s="481"/>
      <c r="AA251" s="481"/>
      <c r="AB251" s="481"/>
      <c r="AC251" s="481"/>
      <c r="AD251" s="481"/>
      <c r="AE251" s="481"/>
      <c r="AF251" s="481"/>
      <c r="AG251" s="481"/>
      <c r="AH251" s="481"/>
      <c r="AI251" s="481"/>
      <c r="AJ251" s="481"/>
      <c r="AK251" s="481"/>
      <c r="AL251" s="481"/>
      <c r="AM251" s="481"/>
      <c r="AN251" s="481"/>
    </row>
    <row r="252" spans="1:40" ht="15.75" customHeight="1">
      <c r="A252" s="490" t="s">
        <v>372</v>
      </c>
      <c r="B252" s="481" t="s">
        <v>99</v>
      </c>
      <c r="C252" s="539" t="s">
        <v>30</v>
      </c>
      <c r="D252" s="481"/>
      <c r="E252" s="481"/>
      <c r="F252" s="524"/>
      <c r="G252" s="498"/>
      <c r="H252" s="481"/>
      <c r="I252" s="524"/>
      <c r="J252" s="498"/>
      <c r="K252" s="481"/>
      <c r="L252" s="508"/>
      <c r="M252" s="498"/>
      <c r="N252" s="508"/>
      <c r="O252" s="498"/>
      <c r="P252" s="481"/>
      <c r="Q252" s="508"/>
      <c r="R252" s="498"/>
      <c r="S252" s="508"/>
      <c r="T252" s="481"/>
      <c r="U252" s="481"/>
      <c r="V252" s="481"/>
      <c r="W252" s="481"/>
      <c r="X252" s="481"/>
      <c r="Y252" s="481"/>
      <c r="Z252" s="481"/>
      <c r="AA252" s="481"/>
      <c r="AB252" s="481"/>
      <c r="AC252" s="481"/>
      <c r="AD252" s="481"/>
      <c r="AE252" s="481"/>
      <c r="AF252" s="481"/>
      <c r="AG252" s="481"/>
      <c r="AH252" s="481"/>
      <c r="AI252" s="481"/>
      <c r="AJ252" s="481"/>
      <c r="AK252" s="481"/>
      <c r="AL252" s="481"/>
      <c r="AM252" s="481"/>
      <c r="AN252" s="481"/>
    </row>
    <row r="253" spans="1:40" ht="15.75" customHeight="1">
      <c r="A253" s="490" t="s">
        <v>373</v>
      </c>
      <c r="B253" s="481" t="s">
        <v>99</v>
      </c>
      <c r="C253" s="565" t="s">
        <v>41</v>
      </c>
      <c r="D253" s="481"/>
      <c r="E253" s="481"/>
      <c r="F253" s="499">
        <v>325.80440613026821</v>
      </c>
      <c r="G253" s="498"/>
      <c r="H253" s="481"/>
      <c r="I253" s="499"/>
      <c r="J253" s="498"/>
      <c r="K253" s="481"/>
      <c r="L253" s="501">
        <v>1401.88</v>
      </c>
      <c r="M253" s="498"/>
      <c r="N253" s="524">
        <v>1076.0755938697318</v>
      </c>
      <c r="O253" s="498"/>
      <c r="P253" s="481"/>
      <c r="Q253" s="501">
        <v>901.88</v>
      </c>
      <c r="R253" s="498"/>
      <c r="S253" s="501">
        <v>500.00000000000011</v>
      </c>
      <c r="T253" s="481"/>
      <c r="U253" s="481"/>
      <c r="V253" s="481"/>
      <c r="W253" s="481"/>
      <c r="X253" s="481"/>
      <c r="Y253" s="481"/>
      <c r="Z253" s="481"/>
      <c r="AA253" s="481"/>
      <c r="AB253" s="481"/>
      <c r="AC253" s="481"/>
      <c r="AD253" s="481"/>
      <c r="AE253" s="481"/>
      <c r="AF253" s="481"/>
      <c r="AG253" s="481"/>
      <c r="AH253" s="481"/>
      <c r="AI253" s="481"/>
      <c r="AJ253" s="481"/>
      <c r="AK253" s="481"/>
      <c r="AL253" s="481"/>
      <c r="AM253" s="481"/>
      <c r="AN253" s="481"/>
    </row>
    <row r="254" spans="1:40" ht="15.75" customHeight="1">
      <c r="A254" s="490" t="s">
        <v>374</v>
      </c>
      <c r="B254" s="481" t="s">
        <v>99</v>
      </c>
      <c r="C254" s="566" t="s">
        <v>42</v>
      </c>
      <c r="D254" s="550"/>
      <c r="E254" s="481"/>
      <c r="F254" s="493">
        <v>568.03540229885061</v>
      </c>
      <c r="G254" s="551"/>
      <c r="H254" s="481"/>
      <c r="I254" s="493"/>
      <c r="J254" s="498"/>
      <c r="K254" s="481"/>
      <c r="L254" s="501">
        <v>0</v>
      </c>
      <c r="M254" s="498"/>
      <c r="N254" s="524">
        <v>-568.03540229885061</v>
      </c>
      <c r="O254" s="498"/>
      <c r="P254" s="481"/>
      <c r="Q254" s="501">
        <v>0</v>
      </c>
      <c r="R254" s="498"/>
      <c r="S254" s="524">
        <v>0</v>
      </c>
      <c r="T254" s="481"/>
      <c r="U254" s="481"/>
      <c r="V254" s="481"/>
      <c r="W254" s="481"/>
      <c r="X254" s="481"/>
      <c r="Y254" s="481"/>
      <c r="Z254" s="481"/>
      <c r="AA254" s="481"/>
      <c r="AB254" s="481"/>
      <c r="AC254" s="481"/>
      <c r="AD254" s="481"/>
      <c r="AE254" s="481"/>
      <c r="AF254" s="481"/>
      <c r="AG254" s="481"/>
      <c r="AH254" s="481"/>
      <c r="AI254" s="481"/>
      <c r="AJ254" s="481"/>
      <c r="AK254" s="481"/>
      <c r="AL254" s="481"/>
      <c r="AM254" s="481"/>
      <c r="AN254" s="481"/>
    </row>
    <row r="255" spans="1:40" ht="15.75" customHeight="1">
      <c r="A255" s="490" t="s">
        <v>375</v>
      </c>
      <c r="B255" s="481" t="s">
        <v>99</v>
      </c>
      <c r="C255" s="565" t="s">
        <v>43</v>
      </c>
      <c r="D255" s="567"/>
      <c r="E255" s="568"/>
      <c r="F255" s="499">
        <v>371.30268199233717</v>
      </c>
      <c r="G255" s="569"/>
      <c r="H255" s="568"/>
      <c r="I255" s="499"/>
      <c r="J255" s="485"/>
      <c r="K255" s="568"/>
      <c r="L255" s="520">
        <v>0.08</v>
      </c>
      <c r="M255" s="485"/>
      <c r="N255" s="570">
        <v>-371.22268199233719</v>
      </c>
      <c r="O255" s="485"/>
      <c r="P255" s="568"/>
      <c r="Q255" s="520">
        <v>1.32</v>
      </c>
      <c r="R255" s="485"/>
      <c r="S255" s="570">
        <v>-1.24</v>
      </c>
      <c r="T255" s="481"/>
      <c r="U255" s="481"/>
      <c r="V255" s="481"/>
      <c r="W255" s="481"/>
      <c r="X255" s="481"/>
      <c r="Y255" s="481"/>
      <c r="Z255" s="481"/>
      <c r="AA255" s="481"/>
      <c r="AB255" s="481"/>
      <c r="AC255" s="481"/>
      <c r="AD255" s="481"/>
      <c r="AE255" s="481"/>
      <c r="AF255" s="481"/>
      <c r="AG255" s="481"/>
      <c r="AH255" s="481"/>
      <c r="AI255" s="481"/>
      <c r="AJ255" s="481"/>
      <c r="AK255" s="481"/>
      <c r="AL255" s="481"/>
      <c r="AM255" s="481"/>
      <c r="AN255" s="481"/>
    </row>
    <row r="256" spans="1:40" ht="15.75" customHeight="1">
      <c r="A256" s="490" t="s">
        <v>376</v>
      </c>
      <c r="B256" s="481" t="s">
        <v>99</v>
      </c>
      <c r="C256" s="565" t="s">
        <v>44</v>
      </c>
      <c r="D256" s="550"/>
      <c r="E256" s="481"/>
      <c r="F256" s="499">
        <v>3655.8620689655172</v>
      </c>
      <c r="G256" s="551"/>
      <c r="H256" s="481"/>
      <c r="I256" s="499"/>
      <c r="J256" s="498"/>
      <c r="K256" s="481"/>
      <c r="L256" s="501">
        <v>4343.3599999999997</v>
      </c>
      <c r="M256" s="498"/>
      <c r="N256" s="524">
        <v>687.49793103448246</v>
      </c>
      <c r="O256" s="498"/>
      <c r="P256" s="481"/>
      <c r="Q256" s="501">
        <v>5415.15</v>
      </c>
      <c r="R256" s="498"/>
      <c r="S256" s="524">
        <v>-1071.79</v>
      </c>
      <c r="T256" s="481"/>
      <c r="U256" s="481"/>
      <c r="V256" s="481"/>
      <c r="W256" s="481"/>
      <c r="X256" s="481"/>
      <c r="Y256" s="481"/>
      <c r="Z256" s="481"/>
      <c r="AA256" s="481"/>
      <c r="AB256" s="481"/>
      <c r="AC256" s="481"/>
      <c r="AD256" s="481"/>
      <c r="AE256" s="481"/>
      <c r="AF256" s="481"/>
      <c r="AG256" s="481"/>
      <c r="AH256" s="481"/>
      <c r="AI256" s="481"/>
      <c r="AJ256" s="481"/>
      <c r="AK256" s="481"/>
      <c r="AL256" s="481"/>
      <c r="AM256" s="481"/>
      <c r="AN256" s="481"/>
    </row>
    <row r="257" spans="1:40" ht="15.75" hidden="1" customHeight="1">
      <c r="A257" s="490" t="s">
        <v>377</v>
      </c>
      <c r="B257" s="481" t="s">
        <v>99</v>
      </c>
      <c r="C257" s="498" t="s">
        <v>20</v>
      </c>
      <c r="D257" s="550"/>
      <c r="E257" s="481"/>
      <c r="F257" s="499">
        <v>0</v>
      </c>
      <c r="G257" s="551"/>
      <c r="H257" s="481"/>
      <c r="I257" s="499"/>
      <c r="J257" s="498"/>
      <c r="K257" s="481"/>
      <c r="L257" s="501">
        <v>0</v>
      </c>
      <c r="M257" s="498"/>
      <c r="N257" s="524">
        <v>0</v>
      </c>
      <c r="O257" s="498"/>
      <c r="P257" s="481"/>
      <c r="Q257" s="501">
        <v>0</v>
      </c>
      <c r="R257" s="498"/>
      <c r="S257" s="524">
        <v>0</v>
      </c>
      <c r="T257" s="481"/>
      <c r="U257" s="481"/>
      <c r="V257" s="481"/>
      <c r="W257" s="481"/>
      <c r="X257" s="481"/>
      <c r="Y257" s="481"/>
      <c r="Z257" s="481"/>
      <c r="AA257" s="481"/>
      <c r="AB257" s="481"/>
      <c r="AC257" s="481"/>
      <c r="AD257" s="481"/>
      <c r="AE257" s="481"/>
      <c r="AF257" s="481"/>
      <c r="AG257" s="481"/>
      <c r="AH257" s="481"/>
      <c r="AI257" s="481"/>
      <c r="AJ257" s="481"/>
      <c r="AK257" s="481"/>
      <c r="AL257" s="481"/>
      <c r="AM257" s="481"/>
      <c r="AN257" s="481"/>
    </row>
    <row r="258" spans="1:40" ht="15.75" hidden="1" customHeight="1">
      <c r="A258" s="490" t="s">
        <v>377</v>
      </c>
      <c r="B258" s="481" t="s">
        <v>99</v>
      </c>
      <c r="C258" s="498" t="s">
        <v>20</v>
      </c>
      <c r="D258" s="550"/>
      <c r="E258" s="481"/>
      <c r="F258" s="499">
        <v>0</v>
      </c>
      <c r="G258" s="551"/>
      <c r="H258" s="481"/>
      <c r="I258" s="499"/>
      <c r="J258" s="498"/>
      <c r="K258" s="481"/>
      <c r="L258" s="501">
        <v>0</v>
      </c>
      <c r="M258" s="498"/>
      <c r="N258" s="524">
        <v>0</v>
      </c>
      <c r="O258" s="498"/>
      <c r="P258" s="481"/>
      <c r="Q258" s="501">
        <v>0</v>
      </c>
      <c r="R258" s="498"/>
      <c r="S258" s="524">
        <v>0</v>
      </c>
      <c r="T258" s="481"/>
      <c r="U258" s="481"/>
      <c r="V258" s="481"/>
      <c r="W258" s="481"/>
      <c r="X258" s="481"/>
      <c r="Y258" s="481"/>
      <c r="Z258" s="481"/>
      <c r="AA258" s="481"/>
      <c r="AB258" s="481"/>
      <c r="AC258" s="481"/>
      <c r="AD258" s="481"/>
      <c r="AE258" s="481"/>
      <c r="AF258" s="481"/>
      <c r="AG258" s="481"/>
      <c r="AH258" s="481"/>
      <c r="AI258" s="481"/>
      <c r="AJ258" s="481"/>
      <c r="AK258" s="481"/>
      <c r="AL258" s="481"/>
      <c r="AM258" s="481"/>
      <c r="AN258" s="481"/>
    </row>
    <row r="259" spans="1:40" ht="15.75" hidden="1" customHeight="1">
      <c r="A259" s="490" t="s">
        <v>377</v>
      </c>
      <c r="B259" s="481" t="s">
        <v>99</v>
      </c>
      <c r="C259" s="498" t="s">
        <v>20</v>
      </c>
      <c r="D259" s="550"/>
      <c r="E259" s="481"/>
      <c r="F259" s="499">
        <v>0</v>
      </c>
      <c r="G259" s="551"/>
      <c r="H259" s="481"/>
      <c r="I259" s="499"/>
      <c r="J259" s="498"/>
      <c r="K259" s="481"/>
      <c r="L259" s="501">
        <v>0</v>
      </c>
      <c r="M259" s="498"/>
      <c r="N259" s="524">
        <v>0</v>
      </c>
      <c r="O259" s="498"/>
      <c r="P259" s="481"/>
      <c r="Q259" s="501">
        <v>0</v>
      </c>
      <c r="R259" s="498"/>
      <c r="S259" s="524">
        <v>0</v>
      </c>
      <c r="T259" s="481"/>
      <c r="U259" s="481"/>
      <c r="V259" s="481"/>
      <c r="W259" s="481"/>
      <c r="X259" s="481"/>
      <c r="Y259" s="481"/>
      <c r="Z259" s="481"/>
      <c r="AA259" s="481"/>
      <c r="AB259" s="481"/>
      <c r="AC259" s="481"/>
      <c r="AD259" s="481"/>
      <c r="AE259" s="481"/>
      <c r="AF259" s="481"/>
      <c r="AG259" s="481"/>
      <c r="AH259" s="481"/>
      <c r="AI259" s="481"/>
      <c r="AJ259" s="481"/>
      <c r="AK259" s="481"/>
      <c r="AL259" s="481"/>
      <c r="AM259" s="481"/>
      <c r="AN259" s="481"/>
    </row>
    <row r="260" spans="1:40" ht="15.75" customHeight="1">
      <c r="A260" s="490" t="s">
        <v>378</v>
      </c>
      <c r="B260" s="481" t="s">
        <v>99</v>
      </c>
      <c r="C260" s="566" t="s">
        <v>45</v>
      </c>
      <c r="D260" s="550"/>
      <c r="E260" s="481"/>
      <c r="F260" s="493">
        <v>599.74349788961297</v>
      </c>
      <c r="G260" s="551"/>
      <c r="H260" s="481"/>
      <c r="I260" s="493"/>
      <c r="J260" s="498"/>
      <c r="K260" s="481"/>
      <c r="L260" s="501">
        <v>240.79</v>
      </c>
      <c r="M260" s="498"/>
      <c r="N260" s="524">
        <v>-358.953497889613</v>
      </c>
      <c r="O260" s="498"/>
      <c r="P260" s="481"/>
      <c r="Q260" s="501">
        <v>741.24</v>
      </c>
      <c r="R260" s="498"/>
      <c r="S260" s="524">
        <v>-500.45000000000005</v>
      </c>
      <c r="T260" s="481"/>
      <c r="U260" s="481"/>
      <c r="V260" s="481"/>
      <c r="W260" s="481"/>
      <c r="X260" s="481"/>
      <c r="Y260" s="481"/>
      <c r="Z260" s="481"/>
      <c r="AA260" s="481"/>
      <c r="AB260" s="481"/>
      <c r="AC260" s="481"/>
      <c r="AD260" s="481"/>
      <c r="AE260" s="481"/>
      <c r="AF260" s="481"/>
      <c r="AG260" s="481"/>
      <c r="AH260" s="481"/>
      <c r="AI260" s="481"/>
      <c r="AJ260" s="481"/>
      <c r="AK260" s="481"/>
      <c r="AL260" s="481"/>
      <c r="AM260" s="481"/>
      <c r="AN260" s="481"/>
    </row>
    <row r="261" spans="1:40" ht="15.75" customHeight="1">
      <c r="A261" s="490" t="s">
        <v>379</v>
      </c>
      <c r="B261" s="481" t="s">
        <v>99</v>
      </c>
      <c r="C261" s="565" t="s">
        <v>46</v>
      </c>
      <c r="D261" s="567"/>
      <c r="E261" s="568"/>
      <c r="F261" s="499">
        <v>596.20408602417399</v>
      </c>
      <c r="G261" s="569"/>
      <c r="H261" s="568"/>
      <c r="I261" s="499"/>
      <c r="J261" s="485"/>
      <c r="K261" s="568"/>
      <c r="L261" s="520">
        <v>1254.0999999999999</v>
      </c>
      <c r="M261" s="485"/>
      <c r="N261" s="570">
        <v>657.89591397582592</v>
      </c>
      <c r="O261" s="485"/>
      <c r="P261" s="568"/>
      <c r="Q261" s="520">
        <v>1567.3</v>
      </c>
      <c r="R261" s="485"/>
      <c r="S261" s="570">
        <v>-313.20000000000005</v>
      </c>
      <c r="T261" s="481"/>
      <c r="U261" s="481"/>
      <c r="V261" s="481"/>
      <c r="W261" s="481"/>
      <c r="X261" s="481"/>
      <c r="Y261" s="481"/>
      <c r="Z261" s="481"/>
      <c r="AA261" s="481"/>
      <c r="AB261" s="481"/>
      <c r="AC261" s="481"/>
      <c r="AD261" s="481"/>
      <c r="AE261" s="481"/>
      <c r="AF261" s="481"/>
      <c r="AG261" s="481"/>
      <c r="AH261" s="481"/>
      <c r="AI261" s="481"/>
      <c r="AJ261" s="481"/>
      <c r="AK261" s="481"/>
      <c r="AL261" s="481"/>
      <c r="AM261" s="481"/>
      <c r="AN261" s="481"/>
    </row>
    <row r="262" spans="1:40" ht="15.75" customHeight="1">
      <c r="A262" s="490" t="s">
        <v>380</v>
      </c>
      <c r="B262" s="481" t="s">
        <v>99</v>
      </c>
      <c r="C262" s="565" t="s">
        <v>47</v>
      </c>
      <c r="D262" s="550"/>
      <c r="E262" s="481"/>
      <c r="F262" s="499">
        <v>417.4967010991079</v>
      </c>
      <c r="G262" s="551"/>
      <c r="H262" s="481"/>
      <c r="I262" s="499"/>
      <c r="J262" s="498"/>
      <c r="K262" s="481"/>
      <c r="L262" s="501">
        <v>896.14</v>
      </c>
      <c r="M262" s="498"/>
      <c r="N262" s="524">
        <v>478.64329890089209</v>
      </c>
      <c r="O262" s="498"/>
      <c r="P262" s="481"/>
      <c r="Q262" s="501">
        <v>1535.97</v>
      </c>
      <c r="R262" s="498"/>
      <c r="S262" s="524">
        <v>-639.83000000000004</v>
      </c>
      <c r="T262" s="481"/>
      <c r="U262" s="481"/>
      <c r="V262" s="481"/>
      <c r="W262" s="481"/>
      <c r="X262" s="481"/>
      <c r="Y262" s="481"/>
      <c r="Z262" s="481"/>
      <c r="AA262" s="481"/>
      <c r="AB262" s="481"/>
      <c r="AC262" s="481"/>
      <c r="AD262" s="481"/>
      <c r="AE262" s="481"/>
      <c r="AF262" s="481"/>
      <c r="AG262" s="481"/>
      <c r="AH262" s="481"/>
      <c r="AI262" s="481"/>
      <c r="AJ262" s="481"/>
      <c r="AK262" s="481"/>
      <c r="AL262" s="481"/>
      <c r="AM262" s="481"/>
      <c r="AN262" s="481"/>
    </row>
    <row r="263" spans="1:40" ht="15.75" customHeight="1">
      <c r="A263" s="490" t="s">
        <v>381</v>
      </c>
      <c r="B263" s="481" t="s">
        <v>99</v>
      </c>
      <c r="C263" s="565" t="s">
        <v>48</v>
      </c>
      <c r="D263" s="550"/>
      <c r="E263" s="481"/>
      <c r="F263" s="499">
        <v>199.45020784310012</v>
      </c>
      <c r="G263" s="551"/>
      <c r="H263" s="481"/>
      <c r="I263" s="499"/>
      <c r="J263" s="498"/>
      <c r="K263" s="481"/>
      <c r="L263" s="501">
        <v>117.7</v>
      </c>
      <c r="M263" s="498"/>
      <c r="N263" s="524">
        <v>-81.750207843100114</v>
      </c>
      <c r="O263" s="498"/>
      <c r="P263" s="481"/>
      <c r="Q263" s="501">
        <v>219</v>
      </c>
      <c r="R263" s="498"/>
      <c r="S263" s="524">
        <v>-101.3</v>
      </c>
      <c r="T263" s="481"/>
      <c r="U263" s="481"/>
      <c r="V263" s="481"/>
      <c r="W263" s="481"/>
      <c r="X263" s="481"/>
      <c r="Y263" s="481"/>
      <c r="Z263" s="481"/>
      <c r="AA263" s="481"/>
      <c r="AB263" s="481"/>
      <c r="AC263" s="481"/>
      <c r="AD263" s="481"/>
      <c r="AE263" s="481"/>
      <c r="AF263" s="481"/>
      <c r="AG263" s="481"/>
      <c r="AH263" s="481"/>
      <c r="AI263" s="481"/>
      <c r="AJ263" s="481"/>
      <c r="AK263" s="481"/>
      <c r="AL263" s="481"/>
      <c r="AM263" s="481"/>
      <c r="AN263" s="481"/>
    </row>
    <row r="264" spans="1:40" ht="15.75" hidden="1" customHeight="1">
      <c r="A264" s="490" t="s">
        <v>377</v>
      </c>
      <c r="B264" s="481" t="s">
        <v>99</v>
      </c>
      <c r="C264" s="498" t="s">
        <v>20</v>
      </c>
      <c r="D264" s="552"/>
      <c r="E264" s="571"/>
      <c r="F264" s="499">
        <v>0</v>
      </c>
      <c r="G264" s="553"/>
      <c r="H264" s="571"/>
      <c r="I264" s="499"/>
      <c r="J264" s="491"/>
      <c r="K264" s="571"/>
      <c r="L264" s="501">
        <v>0</v>
      </c>
      <c r="M264" s="491"/>
      <c r="N264" s="547">
        <v>0</v>
      </c>
      <c r="O264" s="491"/>
      <c r="P264" s="571"/>
      <c r="Q264" s="501">
        <v>0</v>
      </c>
      <c r="R264" s="491"/>
      <c r="S264" s="547">
        <v>0</v>
      </c>
      <c r="T264" s="481"/>
      <c r="U264" s="481"/>
      <c r="V264" s="481"/>
      <c r="W264" s="481"/>
      <c r="X264" s="481"/>
      <c r="Y264" s="481"/>
      <c r="Z264" s="481"/>
      <c r="AA264" s="481"/>
      <c r="AB264" s="481"/>
      <c r="AC264" s="481"/>
      <c r="AD264" s="481"/>
      <c r="AE264" s="481"/>
      <c r="AF264" s="481"/>
      <c r="AG264" s="481"/>
      <c r="AH264" s="481"/>
      <c r="AI264" s="481"/>
      <c r="AJ264" s="481"/>
      <c r="AK264" s="481"/>
      <c r="AL264" s="481"/>
      <c r="AM264" s="481"/>
      <c r="AN264" s="481"/>
    </row>
    <row r="265" spans="1:40" ht="15.75" customHeight="1">
      <c r="A265" s="490" t="s">
        <v>382</v>
      </c>
      <c r="B265" s="481" t="s">
        <v>99</v>
      </c>
      <c r="C265" s="557" t="s">
        <v>49</v>
      </c>
      <c r="D265" s="558" t="s">
        <v>39</v>
      </c>
      <c r="E265" s="559">
        <v>0.28827086427728676</v>
      </c>
      <c r="F265" s="560">
        <v>6733.8990522429676</v>
      </c>
      <c r="G265" s="561"/>
      <c r="H265" s="559"/>
      <c r="I265" s="560"/>
      <c r="J265" s="561" t="s">
        <v>39</v>
      </c>
      <c r="K265" s="559">
        <v>0.30574711451519521</v>
      </c>
      <c r="L265" s="560">
        <v>8254.0499999999993</v>
      </c>
      <c r="M265" s="610"/>
      <c r="N265" s="573">
        <v>1520.1509477570316</v>
      </c>
      <c r="O265" s="561" t="s">
        <v>39</v>
      </c>
      <c r="P265" s="559">
        <v>0.52206905464600961</v>
      </c>
      <c r="Q265" s="560">
        <v>10381.859999999999</v>
      </c>
      <c r="R265" s="610"/>
      <c r="S265" s="573">
        <v>-2127.8099999999995</v>
      </c>
      <c r="T265" s="481"/>
      <c r="U265" s="481"/>
      <c r="V265" s="481"/>
      <c r="W265" s="481"/>
      <c r="X265" s="481"/>
      <c r="Y265" s="481"/>
      <c r="Z265" s="481"/>
      <c r="AA265" s="481"/>
      <c r="AB265" s="481"/>
      <c r="AC265" s="481"/>
      <c r="AD265" s="481"/>
      <c r="AE265" s="481"/>
      <c r="AF265" s="481"/>
      <c r="AG265" s="481"/>
      <c r="AH265" s="481"/>
      <c r="AI265" s="481"/>
      <c r="AJ265" s="481"/>
      <c r="AK265" s="481"/>
      <c r="AL265" s="481"/>
      <c r="AM265" s="481"/>
      <c r="AN265" s="481"/>
    </row>
    <row r="266" spans="1:40" ht="15.75" customHeight="1">
      <c r="A266" s="490" t="s">
        <v>383</v>
      </c>
      <c r="B266" s="481" t="s">
        <v>99</v>
      </c>
      <c r="C266" s="664" t="s">
        <v>50</v>
      </c>
      <c r="D266" s="550"/>
      <c r="E266" s="481"/>
      <c r="F266" s="499">
        <v>0</v>
      </c>
      <c r="G266" s="551"/>
      <c r="H266" s="481"/>
      <c r="I266" s="499"/>
      <c r="J266" s="498"/>
      <c r="K266" s="481"/>
      <c r="L266" s="501">
        <v>117.3</v>
      </c>
      <c r="M266" s="498"/>
      <c r="N266" s="524">
        <v>117.3</v>
      </c>
      <c r="O266" s="498"/>
      <c r="P266" s="481"/>
      <c r="Q266" s="501">
        <v>7.0000000000000007E-2</v>
      </c>
      <c r="R266" s="498"/>
      <c r="S266" s="524">
        <v>117.23</v>
      </c>
      <c r="T266" s="481"/>
      <c r="U266" s="481"/>
      <c r="V266" s="481"/>
      <c r="W266" s="481"/>
      <c r="X266" s="481"/>
      <c r="Y266" s="481"/>
      <c r="Z266" s="481"/>
      <c r="AA266" s="481"/>
      <c r="AB266" s="481"/>
      <c r="AC266" s="481"/>
      <c r="AD266" s="481"/>
      <c r="AE266" s="481"/>
      <c r="AF266" s="481"/>
      <c r="AG266" s="481"/>
      <c r="AH266" s="481"/>
      <c r="AI266" s="481"/>
      <c r="AJ266" s="481"/>
      <c r="AK266" s="481"/>
      <c r="AL266" s="481"/>
      <c r="AM266" s="481"/>
      <c r="AN266" s="481"/>
    </row>
    <row r="267" spans="1:40" ht="15.75" customHeight="1">
      <c r="A267" s="490" t="s">
        <v>384</v>
      </c>
      <c r="B267" s="481" t="s">
        <v>99</v>
      </c>
      <c r="C267" s="565" t="s">
        <v>51</v>
      </c>
      <c r="D267" s="550"/>
      <c r="E267" s="481"/>
      <c r="F267" s="499">
        <v>302.14635497876844</v>
      </c>
      <c r="G267" s="551"/>
      <c r="H267" s="481"/>
      <c r="I267" s="499"/>
      <c r="J267" s="498"/>
      <c r="K267" s="481"/>
      <c r="L267" s="501">
        <v>1948.41</v>
      </c>
      <c r="M267" s="498"/>
      <c r="N267" s="524">
        <v>1646.2636450212317</v>
      </c>
      <c r="O267" s="498"/>
      <c r="P267" s="481"/>
      <c r="Q267" s="501">
        <v>653.67999999999995</v>
      </c>
      <c r="R267" s="498"/>
      <c r="S267" s="524">
        <v>1294.73</v>
      </c>
      <c r="T267" s="481"/>
      <c r="U267" s="481"/>
      <c r="V267" s="481"/>
      <c r="W267" s="481"/>
      <c r="X267" s="481"/>
      <c r="Y267" s="481"/>
      <c r="Z267" s="481"/>
      <c r="AA267" s="481"/>
      <c r="AB267" s="481"/>
      <c r="AC267" s="481"/>
      <c r="AD267" s="481"/>
      <c r="AE267" s="481"/>
      <c r="AF267" s="481"/>
      <c r="AG267" s="481"/>
      <c r="AH267" s="481"/>
      <c r="AI267" s="481"/>
      <c r="AJ267" s="481"/>
      <c r="AK267" s="481"/>
      <c r="AL267" s="481"/>
      <c r="AM267" s="481"/>
      <c r="AN267" s="481"/>
    </row>
    <row r="268" spans="1:40" ht="15.75" customHeight="1">
      <c r="A268" s="490" t="s">
        <v>385</v>
      </c>
      <c r="B268" s="481" t="s">
        <v>99</v>
      </c>
      <c r="C268" s="566" t="s">
        <v>52</v>
      </c>
      <c r="D268" s="552"/>
      <c r="E268" s="571"/>
      <c r="F268" s="493">
        <v>458.33333333333331</v>
      </c>
      <c r="G268" s="553"/>
      <c r="H268" s="571"/>
      <c r="I268" s="493"/>
      <c r="J268" s="491"/>
      <c r="K268" s="571"/>
      <c r="L268" s="501">
        <v>609.21</v>
      </c>
      <c r="M268" s="491"/>
      <c r="N268" s="547">
        <v>150.87666666666672</v>
      </c>
      <c r="O268" s="491"/>
      <c r="P268" s="571"/>
      <c r="Q268" s="501">
        <v>297.20999999999998</v>
      </c>
      <c r="R268" s="491"/>
      <c r="S268" s="547">
        <v>312.00000000000006</v>
      </c>
      <c r="T268" s="481"/>
      <c r="U268" s="481"/>
      <c r="V268" s="481"/>
      <c r="W268" s="481"/>
      <c r="X268" s="481"/>
      <c r="Y268" s="481"/>
      <c r="Z268" s="481"/>
      <c r="AA268" s="481"/>
      <c r="AB268" s="481"/>
      <c r="AC268" s="481"/>
      <c r="AD268" s="481"/>
      <c r="AE268" s="481"/>
      <c r="AF268" s="481"/>
      <c r="AG268" s="481"/>
      <c r="AH268" s="481"/>
      <c r="AI268" s="481"/>
      <c r="AJ268" s="481"/>
      <c r="AK268" s="481"/>
      <c r="AL268" s="481"/>
      <c r="AM268" s="481"/>
      <c r="AN268" s="481"/>
    </row>
    <row r="269" spans="1:40" ht="15.75" customHeight="1">
      <c r="A269" s="490" t="s">
        <v>386</v>
      </c>
      <c r="B269" s="481" t="s">
        <v>99</v>
      </c>
      <c r="C269" s="565" t="s">
        <v>53</v>
      </c>
      <c r="D269" s="550"/>
      <c r="E269" s="481"/>
      <c r="F269" s="499">
        <v>1324.9767903333334</v>
      </c>
      <c r="G269" s="551"/>
      <c r="H269" s="481"/>
      <c r="I269" s="499"/>
      <c r="J269" s="498"/>
      <c r="K269" s="481"/>
      <c r="L269" s="520">
        <v>1015.93</v>
      </c>
      <c r="M269" s="498"/>
      <c r="N269" s="524">
        <v>-309.04679033333343</v>
      </c>
      <c r="O269" s="498"/>
      <c r="P269" s="481"/>
      <c r="Q269" s="520">
        <v>1455.16</v>
      </c>
      <c r="R269" s="498"/>
      <c r="S269" s="524">
        <v>-439.23000000000013</v>
      </c>
      <c r="T269" s="481"/>
      <c r="U269" s="481"/>
      <c r="V269" s="481"/>
      <c r="W269" s="481"/>
      <c r="X269" s="481"/>
      <c r="Y269" s="481"/>
      <c r="Z269" s="481"/>
      <c r="AA269" s="481"/>
      <c r="AB269" s="481"/>
      <c r="AC269" s="481"/>
      <c r="AD269" s="481"/>
      <c r="AE269" s="481"/>
      <c r="AF269" s="481"/>
      <c r="AG269" s="481"/>
      <c r="AH269" s="481"/>
      <c r="AI269" s="481"/>
      <c r="AJ269" s="481"/>
      <c r="AK269" s="481"/>
      <c r="AL269" s="481"/>
      <c r="AM269" s="481"/>
      <c r="AN269" s="481"/>
    </row>
    <row r="270" spans="1:40" ht="15.75" customHeight="1">
      <c r="A270" s="490" t="s">
        <v>387</v>
      </c>
      <c r="B270" s="481" t="s">
        <v>99</v>
      </c>
      <c r="C270" s="565" t="s">
        <v>54</v>
      </c>
      <c r="D270" s="550"/>
      <c r="E270" s="481"/>
      <c r="F270" s="499">
        <v>218.76925977083332</v>
      </c>
      <c r="G270" s="551"/>
      <c r="H270" s="481"/>
      <c r="I270" s="499"/>
      <c r="J270" s="498"/>
      <c r="K270" s="481"/>
      <c r="L270" s="501">
        <v>218.31</v>
      </c>
      <c r="M270" s="498"/>
      <c r="N270" s="524">
        <v>-0.45925977083331304</v>
      </c>
      <c r="O270" s="498"/>
      <c r="P270" s="481"/>
      <c r="Q270" s="501">
        <v>150.79</v>
      </c>
      <c r="R270" s="498"/>
      <c r="S270" s="524">
        <v>67.52000000000001</v>
      </c>
      <c r="T270" s="481"/>
      <c r="U270" s="481"/>
      <c r="V270" s="481"/>
      <c r="W270" s="481"/>
      <c r="X270" s="481"/>
      <c r="Y270" s="481"/>
      <c r="Z270" s="481"/>
      <c r="AA270" s="481"/>
      <c r="AB270" s="481"/>
      <c r="AC270" s="481"/>
      <c r="AD270" s="481"/>
      <c r="AE270" s="481"/>
      <c r="AF270" s="481"/>
      <c r="AG270" s="481"/>
      <c r="AH270" s="481"/>
      <c r="AI270" s="481"/>
      <c r="AJ270" s="481"/>
      <c r="AK270" s="481"/>
      <c r="AL270" s="481"/>
      <c r="AM270" s="481"/>
      <c r="AN270" s="481"/>
    </row>
    <row r="271" spans="1:40" ht="15.75" customHeight="1">
      <c r="A271" s="490" t="s">
        <v>388</v>
      </c>
      <c r="B271" s="481" t="s">
        <v>99</v>
      </c>
      <c r="C271" s="565" t="s">
        <v>55</v>
      </c>
      <c r="D271" s="552"/>
      <c r="E271" s="571"/>
      <c r="F271" s="493">
        <v>838.15735888888889</v>
      </c>
      <c r="G271" s="553"/>
      <c r="H271" s="571"/>
      <c r="I271" s="493"/>
      <c r="J271" s="491"/>
      <c r="K271" s="571"/>
      <c r="L271" s="501">
        <v>493.23</v>
      </c>
      <c r="M271" s="491"/>
      <c r="N271" s="547">
        <v>-344.92735888888888</v>
      </c>
      <c r="O271" s="491"/>
      <c r="P271" s="571"/>
      <c r="Q271" s="501">
        <v>537.47</v>
      </c>
      <c r="R271" s="491"/>
      <c r="S271" s="547">
        <v>-44.240000000000009</v>
      </c>
      <c r="T271" s="481"/>
      <c r="U271" s="481"/>
      <c r="V271" s="481"/>
      <c r="W271" s="481"/>
      <c r="X271" s="481"/>
      <c r="Y271" s="481"/>
      <c r="Z271" s="481"/>
      <c r="AA271" s="481"/>
      <c r="AB271" s="481"/>
      <c r="AC271" s="481"/>
      <c r="AD271" s="481"/>
      <c r="AE271" s="481"/>
      <c r="AF271" s="481"/>
      <c r="AG271" s="481"/>
      <c r="AH271" s="481"/>
      <c r="AI271" s="481"/>
      <c r="AJ271" s="481"/>
      <c r="AK271" s="481"/>
      <c r="AL271" s="481"/>
      <c r="AM271" s="481"/>
      <c r="AN271" s="481"/>
    </row>
    <row r="272" spans="1:40" ht="15.75" customHeight="1">
      <c r="A272" s="490" t="s">
        <v>389</v>
      </c>
      <c r="B272" s="481" t="s">
        <v>99</v>
      </c>
      <c r="C272" s="664" t="s">
        <v>98</v>
      </c>
      <c r="D272" s="550"/>
      <c r="E272" s="481"/>
      <c r="F272" s="499"/>
      <c r="G272" s="551"/>
      <c r="H272" s="481"/>
      <c r="I272" s="499"/>
      <c r="J272" s="498"/>
      <c r="K272" s="481"/>
      <c r="L272" s="520">
        <v>0</v>
      </c>
      <c r="M272" s="498"/>
      <c r="N272" s="524">
        <v>0</v>
      </c>
      <c r="O272" s="498"/>
      <c r="P272" s="481"/>
      <c r="Q272" s="501">
        <v>0</v>
      </c>
      <c r="R272" s="498"/>
      <c r="S272" s="524">
        <v>0</v>
      </c>
      <c r="T272" s="481"/>
      <c r="U272" s="481"/>
      <c r="V272" s="481"/>
      <c r="W272" s="481"/>
      <c r="X272" s="481"/>
      <c r="Y272" s="481"/>
      <c r="Z272" s="481"/>
      <c r="AA272" s="481"/>
      <c r="AB272" s="481"/>
      <c r="AC272" s="481"/>
      <c r="AD272" s="481"/>
      <c r="AE272" s="481"/>
      <c r="AF272" s="481"/>
      <c r="AG272" s="481"/>
      <c r="AH272" s="481"/>
      <c r="AI272" s="481"/>
      <c r="AJ272" s="481"/>
      <c r="AK272" s="481"/>
      <c r="AL272" s="481"/>
      <c r="AM272" s="481"/>
      <c r="AN272" s="481"/>
    </row>
    <row r="273" spans="1:40" ht="15.75" customHeight="1">
      <c r="A273" s="490" t="s">
        <v>390</v>
      </c>
      <c r="B273" s="481" t="s">
        <v>99</v>
      </c>
      <c r="C273" s="565" t="s">
        <v>56</v>
      </c>
      <c r="D273" s="550"/>
      <c r="E273" s="481"/>
      <c r="F273" s="499">
        <v>124.83089991785656</v>
      </c>
      <c r="G273" s="551"/>
      <c r="H273" s="481"/>
      <c r="I273" s="499"/>
      <c r="J273" s="498"/>
      <c r="K273" s="481"/>
      <c r="L273" s="501">
        <v>0</v>
      </c>
      <c r="M273" s="498"/>
      <c r="N273" s="524">
        <v>-124.83089991785656</v>
      </c>
      <c r="O273" s="498"/>
      <c r="P273" s="481"/>
      <c r="Q273" s="501">
        <v>3.81</v>
      </c>
      <c r="R273" s="498"/>
      <c r="S273" s="524">
        <v>-3.81</v>
      </c>
      <c r="T273" s="481"/>
      <c r="U273" s="481"/>
      <c r="V273" s="481"/>
      <c r="W273" s="481"/>
      <c r="X273" s="481"/>
      <c r="Y273" s="481"/>
      <c r="Z273" s="481"/>
      <c r="AA273" s="481"/>
      <c r="AB273" s="481"/>
      <c r="AC273" s="481"/>
      <c r="AD273" s="481"/>
      <c r="AE273" s="481"/>
      <c r="AF273" s="481"/>
      <c r="AG273" s="481"/>
      <c r="AH273" s="481"/>
      <c r="AI273" s="481"/>
      <c r="AJ273" s="481"/>
      <c r="AK273" s="481"/>
      <c r="AL273" s="481"/>
      <c r="AM273" s="481"/>
      <c r="AN273" s="481"/>
    </row>
    <row r="274" spans="1:40" ht="15.75" customHeight="1">
      <c r="A274" s="490" t="s">
        <v>391</v>
      </c>
      <c r="B274" s="481" t="s">
        <v>99</v>
      </c>
      <c r="C274" s="565" t="s">
        <v>57</v>
      </c>
      <c r="D274" s="550"/>
      <c r="E274" s="481"/>
      <c r="F274" s="499">
        <v>64.46125345154239</v>
      </c>
      <c r="G274" s="551"/>
      <c r="H274" s="481"/>
      <c r="I274" s="499"/>
      <c r="J274" s="498"/>
      <c r="K274" s="481"/>
      <c r="L274" s="501">
        <v>0</v>
      </c>
      <c r="M274" s="498"/>
      <c r="N274" s="524">
        <v>-64.46125345154239</v>
      </c>
      <c r="O274" s="498"/>
      <c r="P274" s="481"/>
      <c r="Q274" s="501">
        <v>0</v>
      </c>
      <c r="R274" s="498"/>
      <c r="S274" s="524">
        <v>0</v>
      </c>
      <c r="T274" s="481"/>
      <c r="U274" s="481"/>
      <c r="V274" s="481"/>
      <c r="W274" s="481"/>
      <c r="X274" s="481"/>
      <c r="Y274" s="481"/>
      <c r="Z274" s="481"/>
      <c r="AA274" s="481"/>
      <c r="AB274" s="481"/>
      <c r="AC274" s="481"/>
      <c r="AD274" s="481"/>
      <c r="AE274" s="481"/>
      <c r="AF274" s="481"/>
      <c r="AG274" s="481"/>
      <c r="AH274" s="481"/>
      <c r="AI274" s="481"/>
      <c r="AJ274" s="481"/>
      <c r="AK274" s="481"/>
      <c r="AL274" s="481"/>
      <c r="AM274" s="481"/>
      <c r="AN274" s="481"/>
    </row>
    <row r="275" spans="1:40" ht="15.75" customHeight="1">
      <c r="A275" s="490" t="s">
        <v>392</v>
      </c>
      <c r="B275" s="481" t="s">
        <v>99</v>
      </c>
      <c r="C275" s="565" t="s">
        <v>58</v>
      </c>
      <c r="D275" s="550"/>
      <c r="E275" s="481"/>
      <c r="F275" s="499">
        <v>167.00491394999997</v>
      </c>
      <c r="G275" s="551"/>
      <c r="H275" s="481"/>
      <c r="I275" s="499"/>
      <c r="J275" s="498"/>
      <c r="K275" s="481"/>
      <c r="L275" s="501">
        <v>243.74</v>
      </c>
      <c r="M275" s="498"/>
      <c r="N275" s="524">
        <v>76.735086050000035</v>
      </c>
      <c r="O275" s="498"/>
      <c r="P275" s="481"/>
      <c r="Q275" s="501">
        <v>151.88</v>
      </c>
      <c r="R275" s="498"/>
      <c r="S275" s="524">
        <v>91.860000000000014</v>
      </c>
      <c r="T275" s="481"/>
      <c r="U275" s="481"/>
      <c r="V275" s="481"/>
      <c r="W275" s="481"/>
      <c r="X275" s="481"/>
      <c r="Y275" s="481"/>
      <c r="Z275" s="481"/>
      <c r="AA275" s="481"/>
      <c r="AB275" s="481"/>
      <c r="AC275" s="481"/>
      <c r="AD275" s="481"/>
      <c r="AE275" s="481"/>
      <c r="AF275" s="481"/>
      <c r="AG275" s="481"/>
      <c r="AH275" s="481"/>
      <c r="AI275" s="481"/>
      <c r="AJ275" s="481"/>
      <c r="AK275" s="481"/>
      <c r="AL275" s="481"/>
      <c r="AM275" s="481"/>
      <c r="AN275" s="481"/>
    </row>
    <row r="276" spans="1:40" ht="15.75" customHeight="1">
      <c r="A276" s="490" t="s">
        <v>393</v>
      </c>
      <c r="B276" s="481" t="s">
        <v>99</v>
      </c>
      <c r="C276" s="565" t="s">
        <v>59</v>
      </c>
      <c r="D276" s="550"/>
      <c r="E276" s="481"/>
      <c r="F276" s="499">
        <v>56.595054721527781</v>
      </c>
      <c r="G276" s="551"/>
      <c r="H276" s="481"/>
      <c r="I276" s="499"/>
      <c r="J276" s="498"/>
      <c r="K276" s="481"/>
      <c r="L276" s="501">
        <v>53.9</v>
      </c>
      <c r="M276" s="498"/>
      <c r="N276" s="524">
        <v>-2.6950547215277822</v>
      </c>
      <c r="O276" s="498"/>
      <c r="P276" s="481"/>
      <c r="Q276" s="501">
        <v>24.32</v>
      </c>
      <c r="R276" s="498"/>
      <c r="S276" s="524">
        <v>29.58</v>
      </c>
      <c r="T276" s="481"/>
      <c r="U276" s="481"/>
      <c r="V276" s="481"/>
      <c r="W276" s="481"/>
      <c r="X276" s="481"/>
      <c r="Y276" s="481"/>
      <c r="Z276" s="481"/>
      <c r="AA276" s="481"/>
      <c r="AB276" s="481"/>
      <c r="AC276" s="481"/>
      <c r="AD276" s="481"/>
      <c r="AE276" s="481"/>
      <c r="AF276" s="481"/>
      <c r="AG276" s="481"/>
      <c r="AH276" s="481"/>
      <c r="AI276" s="481"/>
      <c r="AJ276" s="481"/>
      <c r="AK276" s="481"/>
      <c r="AL276" s="481"/>
      <c r="AM276" s="481"/>
      <c r="AN276" s="481"/>
    </row>
    <row r="277" spans="1:40" ht="15.75" customHeight="1">
      <c r="A277" s="490" t="s">
        <v>394</v>
      </c>
      <c r="B277" s="481" t="s">
        <v>99</v>
      </c>
      <c r="C277" s="565" t="s">
        <v>60</v>
      </c>
      <c r="D277" s="550"/>
      <c r="E277" s="481"/>
      <c r="F277" s="499">
        <v>27.069064278472219</v>
      </c>
      <c r="G277" s="551"/>
      <c r="H277" s="481"/>
      <c r="I277" s="499"/>
      <c r="J277" s="498"/>
      <c r="K277" s="481"/>
      <c r="L277" s="501">
        <v>22.65</v>
      </c>
      <c r="M277" s="498"/>
      <c r="N277" s="524">
        <v>-4.4190642784722201</v>
      </c>
      <c r="O277" s="498"/>
      <c r="P277" s="481"/>
      <c r="Q277" s="501">
        <v>29.23</v>
      </c>
      <c r="R277" s="498"/>
      <c r="S277" s="524">
        <v>-6.5800000000000018</v>
      </c>
      <c r="T277" s="481"/>
      <c r="U277" s="481"/>
      <c r="V277" s="481"/>
      <c r="W277" s="481"/>
      <c r="X277" s="481"/>
      <c r="Y277" s="481"/>
      <c r="Z277" s="481"/>
      <c r="AA277" s="481"/>
      <c r="AB277" s="481"/>
      <c r="AC277" s="481"/>
      <c r="AD277" s="481"/>
      <c r="AE277" s="481"/>
      <c r="AF277" s="481"/>
      <c r="AG277" s="481"/>
      <c r="AH277" s="481"/>
      <c r="AI277" s="481"/>
      <c r="AJ277" s="481"/>
      <c r="AK277" s="481"/>
      <c r="AL277" s="481"/>
      <c r="AM277" s="481"/>
      <c r="AN277" s="481"/>
    </row>
    <row r="278" spans="1:40" ht="15.75" customHeight="1">
      <c r="A278" s="490" t="s">
        <v>395</v>
      </c>
      <c r="B278" s="481" t="s">
        <v>99</v>
      </c>
      <c r="C278" s="565" t="s">
        <v>61</v>
      </c>
      <c r="D278" s="550"/>
      <c r="E278" s="481"/>
      <c r="F278" s="499">
        <v>102.85239191597223</v>
      </c>
      <c r="G278" s="551"/>
      <c r="H278" s="481"/>
      <c r="I278" s="499"/>
      <c r="J278" s="498"/>
      <c r="K278" s="481"/>
      <c r="L278" s="501">
        <v>24.65</v>
      </c>
      <c r="M278" s="498"/>
      <c r="N278" s="524">
        <v>-78.202391915972242</v>
      </c>
      <c r="O278" s="498"/>
      <c r="P278" s="481"/>
      <c r="Q278" s="501">
        <v>13.72</v>
      </c>
      <c r="R278" s="498"/>
      <c r="S278" s="524">
        <v>10.929999999999998</v>
      </c>
      <c r="T278" s="481"/>
      <c r="U278" s="481"/>
      <c r="V278" s="481"/>
      <c r="W278" s="481"/>
      <c r="X278" s="481"/>
      <c r="Y278" s="481"/>
      <c r="Z278" s="481"/>
      <c r="AA278" s="481"/>
      <c r="AB278" s="481"/>
      <c r="AC278" s="481"/>
      <c r="AD278" s="481"/>
      <c r="AE278" s="481"/>
      <c r="AF278" s="481"/>
      <c r="AG278" s="481"/>
      <c r="AH278" s="481"/>
      <c r="AI278" s="481"/>
      <c r="AJ278" s="481"/>
      <c r="AK278" s="481"/>
      <c r="AL278" s="481"/>
      <c r="AM278" s="481"/>
      <c r="AN278" s="481"/>
    </row>
    <row r="279" spans="1:40" ht="15.75" customHeight="1">
      <c r="A279" s="490" t="s">
        <v>396</v>
      </c>
      <c r="B279" s="481" t="s">
        <v>99</v>
      </c>
      <c r="C279" s="565" t="s">
        <v>62</v>
      </c>
      <c r="D279" s="550"/>
      <c r="E279" s="481"/>
      <c r="F279" s="499">
        <v>88.272956943963109</v>
      </c>
      <c r="G279" s="551"/>
      <c r="H279" s="481"/>
      <c r="I279" s="499"/>
      <c r="J279" s="498"/>
      <c r="K279" s="481"/>
      <c r="L279" s="501">
        <v>2627.11</v>
      </c>
      <c r="M279" s="498"/>
      <c r="N279" s="524">
        <v>2538.8370430560371</v>
      </c>
      <c r="O279" s="498"/>
      <c r="P279" s="481"/>
      <c r="Q279" s="501">
        <v>22.33</v>
      </c>
      <c r="R279" s="498"/>
      <c r="S279" s="524">
        <v>2604.7800000000002</v>
      </c>
      <c r="T279" s="481"/>
      <c r="X279" s="481"/>
      <c r="Y279" s="481"/>
      <c r="Z279" s="481"/>
      <c r="AA279" s="481"/>
      <c r="AB279" s="481"/>
      <c r="AC279" s="481"/>
      <c r="AD279" s="481"/>
      <c r="AE279" s="481"/>
      <c r="AF279" s="481"/>
      <c r="AG279" s="481"/>
      <c r="AH279" s="481"/>
      <c r="AI279" s="481"/>
      <c r="AJ279" s="481"/>
      <c r="AK279" s="481"/>
      <c r="AL279" s="481"/>
      <c r="AM279" s="481"/>
      <c r="AN279" s="481"/>
    </row>
    <row r="280" spans="1:40" ht="15.75" customHeight="1">
      <c r="A280" s="490" t="s">
        <v>397</v>
      </c>
      <c r="B280" s="481" t="s">
        <v>99</v>
      </c>
      <c r="C280" s="565" t="s">
        <v>63</v>
      </c>
      <c r="D280" s="550"/>
      <c r="E280" s="481"/>
      <c r="F280" s="499">
        <v>180.86135910767996</v>
      </c>
      <c r="G280" s="551"/>
      <c r="H280" s="481"/>
      <c r="I280" s="499"/>
      <c r="J280" s="498"/>
      <c r="K280" s="481"/>
      <c r="L280" s="501">
        <v>147.77000000000001</v>
      </c>
      <c r="M280" s="498"/>
      <c r="N280" s="524">
        <v>-33.091359107679949</v>
      </c>
      <c r="O280" s="498"/>
      <c r="P280" s="481"/>
      <c r="Q280" s="501">
        <v>227.10149999999999</v>
      </c>
      <c r="R280" s="498"/>
      <c r="S280" s="524">
        <v>-79.331499999999977</v>
      </c>
      <c r="T280" s="481"/>
      <c r="X280" s="481"/>
      <c r="Y280" s="481"/>
      <c r="Z280" s="481"/>
      <c r="AA280" s="481"/>
      <c r="AB280" s="481"/>
      <c r="AC280" s="481"/>
      <c r="AD280" s="481"/>
      <c r="AE280" s="481"/>
      <c r="AF280" s="481"/>
      <c r="AG280" s="481"/>
      <c r="AH280" s="481"/>
      <c r="AI280" s="481"/>
      <c r="AJ280" s="481"/>
      <c r="AK280" s="481"/>
      <c r="AL280" s="481"/>
      <c r="AM280" s="481"/>
      <c r="AN280" s="481"/>
    </row>
    <row r="281" spans="1:40" ht="15.75" hidden="1" customHeight="1">
      <c r="A281" s="490" t="s">
        <v>377</v>
      </c>
      <c r="B281" s="481" t="s">
        <v>99</v>
      </c>
      <c r="C281" s="565" t="s">
        <v>20</v>
      </c>
      <c r="D281" s="550"/>
      <c r="E281" s="481"/>
      <c r="F281" s="499">
        <v>0</v>
      </c>
      <c r="G281" s="551"/>
      <c r="H281" s="481"/>
      <c r="I281" s="499"/>
      <c r="J281" s="498"/>
      <c r="K281" s="481"/>
      <c r="L281" s="501">
        <v>0</v>
      </c>
      <c r="M281" s="498"/>
      <c r="N281" s="524">
        <v>0</v>
      </c>
      <c r="O281" s="498"/>
      <c r="P281" s="481"/>
      <c r="Q281" s="501">
        <v>0</v>
      </c>
      <c r="R281" s="498"/>
      <c r="S281" s="524">
        <v>0</v>
      </c>
      <c r="T281" s="481"/>
      <c r="X281" s="481"/>
      <c r="Y281" s="481"/>
      <c r="Z281" s="481"/>
      <c r="AA281" s="481"/>
      <c r="AB281" s="481"/>
      <c r="AC281" s="481"/>
      <c r="AD281" s="481"/>
      <c r="AE281" s="481"/>
      <c r="AF281" s="481"/>
      <c r="AG281" s="481"/>
      <c r="AH281" s="481"/>
      <c r="AI281" s="481"/>
      <c r="AJ281" s="481"/>
      <c r="AK281" s="481"/>
      <c r="AL281" s="481"/>
      <c r="AM281" s="481"/>
      <c r="AN281" s="481"/>
    </row>
    <row r="282" spans="1:40" ht="15.75" hidden="1" customHeight="1">
      <c r="A282" s="490" t="s">
        <v>377</v>
      </c>
      <c r="B282" s="481" t="s">
        <v>99</v>
      </c>
      <c r="C282" s="565" t="s">
        <v>20</v>
      </c>
      <c r="D282" s="550"/>
      <c r="E282" s="481"/>
      <c r="F282" s="499">
        <v>0</v>
      </c>
      <c r="G282" s="551"/>
      <c r="H282" s="481"/>
      <c r="I282" s="499"/>
      <c r="J282" s="498"/>
      <c r="K282" s="481"/>
      <c r="L282" s="501">
        <v>0</v>
      </c>
      <c r="M282" s="498"/>
      <c r="N282" s="524">
        <v>0</v>
      </c>
      <c r="O282" s="498"/>
      <c r="P282" s="481"/>
      <c r="Q282" s="501">
        <v>0</v>
      </c>
      <c r="R282" s="498"/>
      <c r="S282" s="524">
        <v>0</v>
      </c>
      <c r="T282" s="481"/>
      <c r="X282" s="481"/>
      <c r="Y282" s="481"/>
      <c r="Z282" s="481"/>
      <c r="AA282" s="481"/>
      <c r="AB282" s="481"/>
      <c r="AC282" s="481"/>
      <c r="AD282" s="481"/>
      <c r="AE282" s="481"/>
      <c r="AF282" s="481"/>
      <c r="AG282" s="481"/>
      <c r="AH282" s="481"/>
      <c r="AI282" s="481"/>
      <c r="AJ282" s="481"/>
      <c r="AK282" s="481"/>
      <c r="AL282" s="481"/>
      <c r="AM282" s="481"/>
      <c r="AN282" s="481"/>
    </row>
    <row r="283" spans="1:40" ht="15.75" hidden="1" customHeight="1">
      <c r="A283" s="490" t="s">
        <v>377</v>
      </c>
      <c r="B283" s="481" t="s">
        <v>99</v>
      </c>
      <c r="C283" s="565" t="s">
        <v>20</v>
      </c>
      <c r="D283" s="550"/>
      <c r="E283" s="481"/>
      <c r="F283" s="499">
        <v>0</v>
      </c>
      <c r="G283" s="551"/>
      <c r="H283" s="481"/>
      <c r="I283" s="499"/>
      <c r="J283" s="498"/>
      <c r="K283" s="481"/>
      <c r="L283" s="501">
        <v>0</v>
      </c>
      <c r="M283" s="498"/>
      <c r="N283" s="524">
        <v>0</v>
      </c>
      <c r="O283" s="498"/>
      <c r="P283" s="481"/>
      <c r="Q283" s="501">
        <v>0</v>
      </c>
      <c r="R283" s="498"/>
      <c r="S283" s="524">
        <v>0</v>
      </c>
      <c r="T283" s="481"/>
      <c r="X283" s="481"/>
      <c r="Y283" s="481"/>
      <c r="Z283" s="481"/>
      <c r="AA283" s="481"/>
      <c r="AB283" s="481"/>
      <c r="AC283" s="481"/>
      <c r="AD283" s="481"/>
      <c r="AE283" s="481"/>
      <c r="AF283" s="481"/>
      <c r="AG283" s="481"/>
      <c r="AH283" s="481"/>
      <c r="AI283" s="481"/>
      <c r="AJ283" s="481"/>
      <c r="AK283" s="481"/>
      <c r="AL283" s="481"/>
      <c r="AM283" s="481"/>
      <c r="AN283" s="481"/>
    </row>
    <row r="284" spans="1:40" ht="15.75" customHeight="1">
      <c r="B284" s="481"/>
      <c r="C284" s="557" t="s">
        <v>64</v>
      </c>
      <c r="D284" s="558" t="s">
        <v>39</v>
      </c>
      <c r="E284" s="559">
        <v>0.16928059119107894</v>
      </c>
      <c r="F284" s="560">
        <v>3954.3309915921714</v>
      </c>
      <c r="G284" s="561"/>
      <c r="H284" s="559"/>
      <c r="I284" s="560"/>
      <c r="J284" s="561" t="s">
        <v>39</v>
      </c>
      <c r="K284" s="559">
        <v>0.27863824453175673</v>
      </c>
      <c r="L284" s="560">
        <v>7522.2099999999991</v>
      </c>
      <c r="M284" s="564"/>
      <c r="N284" s="560">
        <v>3567.8790084078287</v>
      </c>
      <c r="O284" s="561" t="s">
        <v>39</v>
      </c>
      <c r="P284" s="559">
        <v>0.17936102250881153</v>
      </c>
      <c r="Q284" s="560">
        <v>3566.7714999999998</v>
      </c>
      <c r="R284" s="564"/>
      <c r="S284" s="560">
        <v>3955.4384999999993</v>
      </c>
      <c r="T284" s="537"/>
      <c r="X284" s="481"/>
      <c r="Y284" s="481"/>
      <c r="Z284" s="481"/>
      <c r="AA284" s="481"/>
      <c r="AB284" s="481"/>
      <c r="AC284" s="481"/>
      <c r="AD284" s="481"/>
      <c r="AE284" s="481"/>
      <c r="AF284" s="481"/>
      <c r="AG284" s="481"/>
      <c r="AH284" s="481"/>
      <c r="AI284" s="481"/>
      <c r="AJ284" s="481"/>
      <c r="AK284" s="481"/>
      <c r="AL284" s="481"/>
      <c r="AM284" s="481"/>
      <c r="AN284" s="481"/>
    </row>
    <row r="285" spans="1:40" ht="15.75" customHeight="1">
      <c r="B285" s="481"/>
      <c r="C285" s="491"/>
      <c r="D285" s="552"/>
      <c r="E285" s="571"/>
      <c r="F285" s="524"/>
      <c r="G285" s="553"/>
      <c r="H285" s="571"/>
      <c r="I285" s="524"/>
      <c r="J285" s="491"/>
      <c r="K285" s="571"/>
      <c r="L285" s="547"/>
      <c r="M285" s="491"/>
      <c r="N285" s="547"/>
      <c r="O285" s="491"/>
      <c r="P285" s="571"/>
      <c r="Q285" s="547"/>
      <c r="R285" s="491"/>
      <c r="S285" s="547"/>
      <c r="T285" s="537"/>
      <c r="U285" s="481"/>
      <c r="V285" s="481"/>
      <c r="W285" s="481"/>
      <c r="X285" s="481"/>
      <c r="Y285" s="481"/>
      <c r="Z285" s="481"/>
      <c r="AA285" s="481"/>
      <c r="AB285" s="481"/>
      <c r="AC285" s="481"/>
      <c r="AD285" s="481"/>
      <c r="AE285" s="481"/>
      <c r="AF285" s="481"/>
      <c r="AG285" s="481"/>
      <c r="AH285" s="481"/>
      <c r="AI285" s="481"/>
      <c r="AJ285" s="481"/>
      <c r="AK285" s="481"/>
      <c r="AL285" s="481"/>
      <c r="AM285" s="481"/>
      <c r="AN285" s="481"/>
    </row>
    <row r="286" spans="1:40" ht="15.75" customHeight="1">
      <c r="B286" s="481"/>
      <c r="C286" s="557" t="s">
        <v>65</v>
      </c>
      <c r="D286" s="558" t="s">
        <v>39</v>
      </c>
      <c r="E286" s="559">
        <v>0.45755145546836573</v>
      </c>
      <c r="F286" s="560">
        <v>10688.230043835139</v>
      </c>
      <c r="G286" s="561"/>
      <c r="H286" s="559"/>
      <c r="I286" s="560"/>
      <c r="J286" s="561" t="s">
        <v>39</v>
      </c>
      <c r="K286" s="559">
        <v>0.58438535904695188</v>
      </c>
      <c r="L286" s="560">
        <v>15776.259999999998</v>
      </c>
      <c r="M286" s="564"/>
      <c r="N286" s="573">
        <v>5088.029956164859</v>
      </c>
      <c r="O286" s="561" t="s">
        <v>39</v>
      </c>
      <c r="P286" s="559">
        <v>0.7014300771548212</v>
      </c>
      <c r="Q286" s="560">
        <v>13948.6315</v>
      </c>
      <c r="R286" s="564"/>
      <c r="S286" s="573">
        <v>1827.6284999999989</v>
      </c>
      <c r="T286" s="537"/>
      <c r="U286" s="481"/>
      <c r="V286" s="481"/>
      <c r="W286" s="481"/>
      <c r="X286" s="481"/>
      <c r="Y286" s="481"/>
      <c r="Z286" s="481"/>
      <c r="AA286" s="481"/>
      <c r="AB286" s="481"/>
      <c r="AC286" s="481"/>
      <c r="AD286" s="481"/>
      <c r="AE286" s="481"/>
      <c r="AF286" s="481"/>
      <c r="AG286" s="481"/>
      <c r="AH286" s="481"/>
      <c r="AI286" s="481"/>
      <c r="AJ286" s="481"/>
      <c r="AK286" s="481"/>
      <c r="AL286" s="481"/>
      <c r="AM286" s="481"/>
      <c r="AN286" s="481"/>
    </row>
    <row r="287" spans="1:40" ht="15.75" customHeight="1">
      <c r="B287" s="481"/>
      <c r="C287" s="498"/>
      <c r="D287" s="550"/>
      <c r="E287" s="481"/>
      <c r="F287" s="524"/>
      <c r="G287" s="551"/>
      <c r="H287" s="481"/>
      <c r="I287" s="524"/>
      <c r="J287" s="498"/>
      <c r="K287" s="481"/>
      <c r="L287" s="524"/>
      <c r="M287" s="498"/>
      <c r="N287" s="524">
        <v>0</v>
      </c>
      <c r="O287" s="498"/>
      <c r="P287" s="481"/>
      <c r="Q287" s="524"/>
      <c r="R287" s="498"/>
      <c r="S287" s="524"/>
      <c r="T287" s="481"/>
      <c r="U287" s="481"/>
      <c r="V287" s="481"/>
      <c r="W287" s="481"/>
      <c r="X287" s="481"/>
      <c r="Y287" s="481"/>
      <c r="Z287" s="481"/>
      <c r="AA287" s="481"/>
      <c r="AB287" s="481"/>
      <c r="AC287" s="481"/>
      <c r="AD287" s="481"/>
      <c r="AE287" s="481"/>
      <c r="AF287" s="481"/>
      <c r="AG287" s="481"/>
      <c r="AH287" s="481"/>
      <c r="AI287" s="481"/>
      <c r="AJ287" s="481"/>
      <c r="AK287" s="481"/>
      <c r="AL287" s="481"/>
      <c r="AM287" s="481"/>
      <c r="AN287" s="481"/>
    </row>
    <row r="288" spans="1:40" ht="29.25" customHeight="1" thickBot="1">
      <c r="B288" s="481"/>
      <c r="C288" s="587" t="s">
        <v>72</v>
      </c>
      <c r="D288" s="615"/>
      <c r="E288" s="588"/>
      <c r="F288" s="590">
        <v>12671.394138529862</v>
      </c>
      <c r="G288" s="616"/>
      <c r="H288" s="588"/>
      <c r="I288" s="590"/>
      <c r="J288" s="587"/>
      <c r="K288" s="589"/>
      <c r="L288" s="590">
        <v>11220.07</v>
      </c>
      <c r="M288" s="587"/>
      <c r="N288" s="590">
        <v>-1451.3241385298625</v>
      </c>
      <c r="O288" s="587"/>
      <c r="P288" s="589"/>
      <c r="Q288" s="590">
        <v>5937.3584999999948</v>
      </c>
      <c r="R288" s="587"/>
      <c r="S288" s="590">
        <v>5282.7115000000049</v>
      </c>
      <c r="T288" s="537"/>
      <c r="U288" s="481"/>
      <c r="V288" s="481"/>
      <c r="W288" s="481"/>
      <c r="X288" s="481"/>
      <c r="Y288" s="481"/>
      <c r="Z288" s="481"/>
      <c r="AA288" s="481"/>
      <c r="AB288" s="481"/>
      <c r="AC288" s="481"/>
      <c r="AD288" s="481"/>
      <c r="AE288" s="481"/>
      <c r="AF288" s="481"/>
      <c r="AG288" s="481"/>
      <c r="AH288" s="481"/>
      <c r="AI288" s="481"/>
      <c r="AJ288" s="481"/>
      <c r="AK288" s="481"/>
      <c r="AL288" s="481"/>
      <c r="AM288" s="481"/>
      <c r="AN288" s="481"/>
    </row>
    <row r="289" spans="1:40" ht="15.75" customHeight="1" thickTop="1">
      <c r="B289" s="481"/>
      <c r="C289" s="481"/>
      <c r="D289" s="481"/>
      <c r="E289" s="481"/>
      <c r="F289" s="481"/>
      <c r="G289" s="481"/>
      <c r="H289" s="481"/>
      <c r="I289" s="481"/>
      <c r="J289" s="481"/>
      <c r="K289" s="481"/>
      <c r="L289" s="542"/>
      <c r="M289" s="481"/>
      <c r="N289" s="481"/>
      <c r="O289" s="481"/>
      <c r="P289" s="481"/>
      <c r="Q289" s="481"/>
      <c r="R289" s="481"/>
      <c r="S289" s="481"/>
      <c r="T289" s="481"/>
      <c r="U289" s="481"/>
      <c r="V289" s="481"/>
      <c r="W289" s="481"/>
      <c r="X289" s="481"/>
      <c r="Y289" s="481"/>
      <c r="Z289" s="481"/>
      <c r="AA289" s="481"/>
      <c r="AB289" s="481"/>
      <c r="AC289" s="481"/>
      <c r="AD289" s="481"/>
      <c r="AE289" s="481"/>
      <c r="AF289" s="481"/>
      <c r="AG289" s="481"/>
      <c r="AH289" s="481"/>
      <c r="AI289" s="481"/>
      <c r="AJ289" s="481"/>
      <c r="AK289" s="481"/>
      <c r="AL289" s="481"/>
      <c r="AM289" s="481"/>
      <c r="AN289" s="481"/>
    </row>
    <row r="290" spans="1:40" ht="36" customHeight="1">
      <c r="B290" s="481"/>
      <c r="C290" s="595" t="s">
        <v>223</v>
      </c>
      <c r="D290" s="469"/>
      <c r="E290" s="469"/>
      <c r="F290" s="469"/>
      <c r="G290" s="469"/>
      <c r="H290" s="467"/>
      <c r="I290" s="467"/>
      <c r="J290" s="467"/>
      <c r="K290" s="471" t="s">
        <v>103</v>
      </c>
      <c r="L290" s="469"/>
      <c r="M290" s="469"/>
      <c r="N290" s="467"/>
      <c r="O290" s="467"/>
      <c r="P290" s="469"/>
      <c r="Q290" s="467"/>
      <c r="R290" s="469"/>
      <c r="S290" s="596" t="s">
        <v>483</v>
      </c>
      <c r="T290" s="481"/>
      <c r="U290" s="481"/>
      <c r="V290" s="481"/>
      <c r="W290" s="481"/>
      <c r="X290" s="481"/>
      <c r="Y290" s="481"/>
      <c r="Z290" s="481"/>
      <c r="AA290" s="481"/>
      <c r="AB290" s="481"/>
      <c r="AC290" s="481"/>
      <c r="AD290" s="481"/>
      <c r="AE290" s="481"/>
      <c r="AF290" s="481"/>
      <c r="AG290" s="481"/>
      <c r="AH290" s="481"/>
      <c r="AI290" s="481"/>
      <c r="AJ290" s="481"/>
      <c r="AK290" s="481"/>
      <c r="AL290" s="481"/>
      <c r="AM290" s="481"/>
      <c r="AN290" s="481"/>
    </row>
    <row r="291" spans="1:40" ht="15.75" customHeight="1" thickBot="1">
      <c r="B291" s="481"/>
      <c r="C291" s="476"/>
      <c r="D291" s="478"/>
      <c r="E291" s="478"/>
      <c r="F291" s="478"/>
      <c r="G291" s="478"/>
      <c r="H291" s="478"/>
      <c r="I291" s="478"/>
      <c r="J291" s="478"/>
      <c r="K291" s="478"/>
      <c r="L291" s="478"/>
      <c r="M291" s="478"/>
      <c r="N291" s="478"/>
      <c r="O291" s="478"/>
      <c r="P291" s="478"/>
      <c r="Q291" s="478"/>
      <c r="R291" s="478"/>
      <c r="S291" s="478"/>
      <c r="T291" s="481"/>
      <c r="U291" s="481"/>
      <c r="V291" s="481"/>
      <c r="W291" s="481"/>
      <c r="X291" s="481"/>
      <c r="Y291" s="481"/>
      <c r="Z291" s="481"/>
      <c r="AA291" s="481"/>
      <c r="AB291" s="481"/>
      <c r="AC291" s="481"/>
      <c r="AD291" s="481"/>
      <c r="AE291" s="481"/>
      <c r="AF291" s="481"/>
      <c r="AG291" s="481"/>
      <c r="AH291" s="481"/>
      <c r="AI291" s="481"/>
      <c r="AJ291" s="481"/>
      <c r="AK291" s="481"/>
      <c r="AL291" s="481"/>
      <c r="AM291" s="481"/>
      <c r="AN291" s="481"/>
    </row>
    <row r="292" spans="1:40" ht="15.75" customHeight="1" thickTop="1">
      <c r="B292" s="481"/>
      <c r="C292" s="482"/>
      <c r="D292" s="864" t="s">
        <v>5</v>
      </c>
      <c r="E292" s="865"/>
      <c r="F292" s="866"/>
      <c r="G292" s="867"/>
      <c r="H292" s="865"/>
      <c r="I292" s="866"/>
      <c r="J292" s="867" t="s">
        <v>7</v>
      </c>
      <c r="K292" s="865"/>
      <c r="L292" s="866"/>
      <c r="M292" s="867" t="s">
        <v>472</v>
      </c>
      <c r="N292" s="866"/>
      <c r="O292" s="864" t="s">
        <v>9</v>
      </c>
      <c r="P292" s="865"/>
      <c r="Q292" s="866"/>
      <c r="R292" s="867" t="s">
        <v>473</v>
      </c>
      <c r="S292" s="866"/>
      <c r="T292" s="481"/>
      <c r="U292" s="481"/>
      <c r="V292" s="481"/>
      <c r="W292" s="481"/>
      <c r="X292" s="481"/>
      <c r="Y292" s="481"/>
      <c r="Z292" s="481"/>
      <c r="AA292" s="481"/>
      <c r="AB292" s="481"/>
      <c r="AC292" s="481"/>
      <c r="AD292" s="481"/>
      <c r="AE292" s="481"/>
      <c r="AF292" s="481"/>
      <c r="AG292" s="481"/>
      <c r="AH292" s="481"/>
      <c r="AI292" s="481"/>
      <c r="AJ292" s="481"/>
      <c r="AK292" s="481"/>
      <c r="AL292" s="481"/>
      <c r="AM292" s="481"/>
      <c r="AN292" s="481"/>
    </row>
    <row r="293" spans="1:40" ht="15.75" customHeight="1">
      <c r="A293" s="490" t="s">
        <v>103</v>
      </c>
      <c r="B293" s="481" t="s">
        <v>103</v>
      </c>
      <c r="C293" s="498"/>
      <c r="D293" s="540" t="s">
        <v>84</v>
      </c>
      <c r="E293" s="540" t="s">
        <v>104</v>
      </c>
      <c r="F293" s="618" t="s">
        <v>13</v>
      </c>
      <c r="G293" s="619"/>
      <c r="H293" s="540"/>
      <c r="I293" s="618"/>
      <c r="J293" s="619" t="s">
        <v>84</v>
      </c>
      <c r="K293" s="540" t="s">
        <v>104</v>
      </c>
      <c r="L293" s="618" t="s">
        <v>13</v>
      </c>
      <c r="M293" s="619" t="s">
        <v>40</v>
      </c>
      <c r="N293" s="618" t="s">
        <v>475</v>
      </c>
      <c r="O293" s="540" t="s">
        <v>84</v>
      </c>
      <c r="P293" s="540" t="s">
        <v>104</v>
      </c>
      <c r="Q293" s="618" t="s">
        <v>13</v>
      </c>
      <c r="R293" s="619" t="s">
        <v>85</v>
      </c>
      <c r="S293" s="618" t="s">
        <v>13</v>
      </c>
      <c r="T293" s="481"/>
      <c r="U293" s="481"/>
      <c r="V293" s="481"/>
      <c r="W293" s="481"/>
      <c r="X293" s="481"/>
      <c r="Y293" s="481"/>
      <c r="Z293" s="481"/>
      <c r="AA293" s="481"/>
      <c r="AB293" s="481"/>
      <c r="AC293" s="481"/>
      <c r="AD293" s="481"/>
      <c r="AE293" s="481"/>
      <c r="AF293" s="481"/>
      <c r="AG293" s="481"/>
      <c r="AH293" s="481"/>
      <c r="AI293" s="481"/>
      <c r="AJ293" s="481"/>
      <c r="AK293" s="481"/>
      <c r="AL293" s="481"/>
      <c r="AM293" s="481"/>
      <c r="AN293" s="481"/>
    </row>
    <row r="294" spans="1:40" ht="15.75" customHeight="1">
      <c r="A294" s="490" t="s">
        <v>398</v>
      </c>
      <c r="B294" s="481" t="s">
        <v>103</v>
      </c>
      <c r="C294" s="498" t="s">
        <v>105</v>
      </c>
      <c r="D294" s="542">
        <v>83021.493679352279</v>
      </c>
      <c r="E294" s="608">
        <v>0.36099999999999999</v>
      </c>
      <c r="F294" s="524">
        <v>29970.75921824617</v>
      </c>
      <c r="G294" s="542"/>
      <c r="H294" s="608"/>
      <c r="I294" s="524"/>
      <c r="J294" s="499">
        <v>111273.11</v>
      </c>
      <c r="K294" s="608">
        <v>0.33089953179164305</v>
      </c>
      <c r="L294" s="524">
        <v>36820.219999999994</v>
      </c>
      <c r="M294" s="543">
        <v>0.34029279730574147</v>
      </c>
      <c r="N294" s="524">
        <v>6849.4607817538235</v>
      </c>
      <c r="O294" s="499">
        <v>92605.37999999999</v>
      </c>
      <c r="P294" s="608">
        <v>0.37764760535510999</v>
      </c>
      <c r="Q294" s="524">
        <v>34972.19999999999</v>
      </c>
      <c r="R294" s="543">
        <v>0.20158364449236116</v>
      </c>
      <c r="S294" s="524">
        <v>1848.0200000000041</v>
      </c>
      <c r="T294" s="481"/>
      <c r="U294" s="481"/>
      <c r="V294" s="481"/>
      <c r="W294" s="481"/>
      <c r="X294" s="481"/>
      <c r="Y294" s="481"/>
      <c r="Z294" s="481"/>
      <c r="AA294" s="481"/>
      <c r="AB294" s="481"/>
      <c r="AC294" s="481"/>
      <c r="AD294" s="481"/>
      <c r="AE294" s="481"/>
      <c r="AF294" s="481"/>
      <c r="AG294" s="481"/>
      <c r="AH294" s="481"/>
      <c r="AI294" s="481"/>
      <c r="AJ294" s="481"/>
      <c r="AK294" s="481"/>
      <c r="AL294" s="481"/>
      <c r="AM294" s="481"/>
      <c r="AN294" s="481"/>
    </row>
    <row r="295" spans="1:40" ht="15.75" customHeight="1">
      <c r="A295" s="490" t="s">
        <v>399</v>
      </c>
      <c r="B295" s="481" t="s">
        <v>103</v>
      </c>
      <c r="C295" s="498" t="s">
        <v>106</v>
      </c>
      <c r="D295" s="542">
        <v>57292.53348045599</v>
      </c>
      <c r="E295" s="608">
        <v>0.248</v>
      </c>
      <c r="F295" s="524">
        <v>14208.548303153086</v>
      </c>
      <c r="G295" s="542"/>
      <c r="H295" s="608"/>
      <c r="I295" s="524"/>
      <c r="J295" s="499">
        <v>60727.46</v>
      </c>
      <c r="K295" s="608">
        <v>0.27616501661686493</v>
      </c>
      <c r="L295" s="524">
        <v>16770.8</v>
      </c>
      <c r="M295" s="543">
        <v>5.9954173971303856E-2</v>
      </c>
      <c r="N295" s="524">
        <v>2562.2516968469135</v>
      </c>
      <c r="O295" s="499">
        <v>65620.13</v>
      </c>
      <c r="P295" s="608">
        <v>0.2457666572742237</v>
      </c>
      <c r="Q295" s="524">
        <v>16127.240000000005</v>
      </c>
      <c r="R295" s="543">
        <v>-7.456050452810753E-2</v>
      </c>
      <c r="S295" s="524">
        <v>643.55999999999403</v>
      </c>
      <c r="T295" s="481"/>
      <c r="U295" s="481"/>
      <c r="V295" s="481"/>
      <c r="W295" s="481"/>
      <c r="X295" s="481"/>
      <c r="Y295" s="481"/>
      <c r="Z295" s="481"/>
      <c r="AA295" s="481"/>
      <c r="AB295" s="481"/>
      <c r="AC295" s="481"/>
      <c r="AD295" s="481"/>
      <c r="AE295" s="481"/>
      <c r="AF295" s="481"/>
      <c r="AG295" s="481"/>
      <c r="AH295" s="481"/>
      <c r="AI295" s="481"/>
      <c r="AJ295" s="481"/>
      <c r="AK295" s="481"/>
      <c r="AL295" s="481"/>
      <c r="AM295" s="481"/>
      <c r="AN295" s="481"/>
    </row>
    <row r="296" spans="1:40" ht="15.75" customHeight="1">
      <c r="A296" s="490" t="s">
        <v>400</v>
      </c>
      <c r="B296" s="481" t="s">
        <v>103</v>
      </c>
      <c r="C296" s="498" t="s">
        <v>107</v>
      </c>
      <c r="D296" s="542">
        <v>74699.349025972828</v>
      </c>
      <c r="E296" s="608">
        <v>0.24299999999999999</v>
      </c>
      <c r="F296" s="524">
        <v>18151.941813311398</v>
      </c>
      <c r="G296" s="542"/>
      <c r="H296" s="608"/>
      <c r="I296" s="524"/>
      <c r="J296" s="499">
        <v>81262.460000000006</v>
      </c>
      <c r="K296" s="608">
        <v>0.2310652421794763</v>
      </c>
      <c r="L296" s="524">
        <v>18776.930000000008</v>
      </c>
      <c r="M296" s="543">
        <v>8.7860350319052941E-2</v>
      </c>
      <c r="N296" s="524">
        <v>624.98818668860986</v>
      </c>
      <c r="O296" s="499">
        <v>69101.84</v>
      </c>
      <c r="P296" s="608">
        <v>0.2663164975057104</v>
      </c>
      <c r="Q296" s="524">
        <v>18402.96</v>
      </c>
      <c r="R296" s="543">
        <v>0.17598113161675594</v>
      </c>
      <c r="S296" s="524">
        <v>373.97000000000844</v>
      </c>
      <c r="T296" s="481"/>
      <c r="U296" s="481"/>
      <c r="V296" s="481"/>
      <c r="W296" s="481"/>
      <c r="X296" s="481"/>
      <c r="Y296" s="481"/>
      <c r="Z296" s="481"/>
      <c r="AA296" s="481"/>
      <c r="AB296" s="481"/>
      <c r="AC296" s="481"/>
      <c r="AD296" s="481"/>
      <c r="AE296" s="481"/>
      <c r="AF296" s="481"/>
      <c r="AG296" s="481"/>
      <c r="AH296" s="481"/>
      <c r="AI296" s="481"/>
      <c r="AJ296" s="481"/>
      <c r="AK296" s="481"/>
      <c r="AL296" s="481"/>
      <c r="AM296" s="481"/>
      <c r="AN296" s="481"/>
    </row>
    <row r="297" spans="1:40" ht="15.75" customHeight="1">
      <c r="A297" s="490" t="s">
        <v>401</v>
      </c>
      <c r="B297" s="481" t="s">
        <v>103</v>
      </c>
      <c r="C297" s="498" t="s">
        <v>108</v>
      </c>
      <c r="D297" s="542">
        <v>56538.073494016549</v>
      </c>
      <c r="E297" s="608">
        <v>0.316</v>
      </c>
      <c r="F297" s="524">
        <v>17866.031224109229</v>
      </c>
      <c r="G297" s="542"/>
      <c r="H297" s="608"/>
      <c r="I297" s="524"/>
      <c r="J297" s="499">
        <v>35747.19</v>
      </c>
      <c r="K297" s="608">
        <v>0.33819749188677489</v>
      </c>
      <c r="L297" s="524">
        <v>12089.61</v>
      </c>
      <c r="M297" s="543">
        <v>-0.36773243602325528</v>
      </c>
      <c r="N297" s="524">
        <v>-5776.4212241092282</v>
      </c>
      <c r="O297" s="499">
        <v>44690.37</v>
      </c>
      <c r="P297" s="608">
        <v>0.30860899115402268</v>
      </c>
      <c r="Q297" s="524">
        <v>13791.850000000002</v>
      </c>
      <c r="R297" s="543">
        <v>-0.20011425280211373</v>
      </c>
      <c r="S297" s="524">
        <v>-1702.2400000000016</v>
      </c>
      <c r="T297" s="481"/>
      <c r="U297" s="481"/>
      <c r="V297" s="481"/>
      <c r="W297" s="481"/>
      <c r="X297" s="481"/>
      <c r="Y297" s="481"/>
      <c r="Z297" s="481"/>
      <c r="AA297" s="481"/>
      <c r="AB297" s="481"/>
      <c r="AC297" s="481"/>
      <c r="AD297" s="481"/>
      <c r="AE297" s="481"/>
      <c r="AF297" s="481"/>
      <c r="AG297" s="481"/>
      <c r="AH297" s="481"/>
      <c r="AI297" s="481"/>
      <c r="AJ297" s="481"/>
      <c r="AK297" s="481"/>
      <c r="AL297" s="481"/>
      <c r="AM297" s="481"/>
      <c r="AN297" s="481"/>
    </row>
    <row r="298" spans="1:40" ht="15.75" customHeight="1">
      <c r="A298" s="490" t="s">
        <v>402</v>
      </c>
      <c r="B298" s="481" t="s">
        <v>103</v>
      </c>
      <c r="C298" s="498" t="s">
        <v>109</v>
      </c>
      <c r="D298" s="542">
        <v>17874.776975979086</v>
      </c>
      <c r="E298" s="608">
        <v>0.29799999999999999</v>
      </c>
      <c r="F298" s="524">
        <v>5326.6835388417676</v>
      </c>
      <c r="G298" s="542"/>
      <c r="H298" s="608"/>
      <c r="I298" s="524"/>
      <c r="J298" s="499">
        <v>13071.21</v>
      </c>
      <c r="K298" s="608">
        <v>0.26330156121736231</v>
      </c>
      <c r="L298" s="524">
        <v>3441.6699999999983</v>
      </c>
      <c r="M298" s="543">
        <v>-0.26873437259856903</v>
      </c>
      <c r="N298" s="524">
        <v>-1885.0135388417693</v>
      </c>
      <c r="O298" s="499">
        <v>14474.44</v>
      </c>
      <c r="P298" s="608">
        <v>0.32014779155532103</v>
      </c>
      <c r="Q298" s="524">
        <v>4633.9600000000009</v>
      </c>
      <c r="R298" s="543">
        <v>-9.6945374052467753E-2</v>
      </c>
      <c r="S298" s="524">
        <v>-1192.2900000000027</v>
      </c>
      <c r="T298" s="481"/>
      <c r="U298" s="481"/>
      <c r="V298" s="481"/>
      <c r="W298" s="481"/>
      <c r="X298" s="481"/>
      <c r="Y298" s="481"/>
      <c r="Z298" s="481"/>
      <c r="AA298" s="481"/>
      <c r="AB298" s="481"/>
      <c r="AC298" s="481"/>
      <c r="AD298" s="481"/>
      <c r="AE298" s="481"/>
      <c r="AF298" s="481"/>
      <c r="AG298" s="481"/>
      <c r="AH298" s="481"/>
      <c r="AI298" s="481"/>
      <c r="AJ298" s="481"/>
      <c r="AK298" s="481"/>
      <c r="AL298" s="481"/>
      <c r="AM298" s="481"/>
      <c r="AN298" s="481"/>
    </row>
    <row r="299" spans="1:40" ht="15.75" customHeight="1">
      <c r="A299" s="490" t="s">
        <v>403</v>
      </c>
      <c r="B299" s="481" t="s">
        <v>103</v>
      </c>
      <c r="C299" s="498" t="s">
        <v>110</v>
      </c>
      <c r="D299" s="542">
        <v>75665.392379002631</v>
      </c>
      <c r="E299" s="608">
        <v>0.17499999999999999</v>
      </c>
      <c r="F299" s="524">
        <v>13241.44366632546</v>
      </c>
      <c r="G299" s="542"/>
      <c r="H299" s="608"/>
      <c r="I299" s="524"/>
      <c r="J299" s="499">
        <v>114010.97</v>
      </c>
      <c r="K299" s="608">
        <v>0.18489790938538633</v>
      </c>
      <c r="L299" s="524">
        <v>21080.39</v>
      </c>
      <c r="M299" s="543">
        <v>0.50677828284993309</v>
      </c>
      <c r="N299" s="524">
        <v>7838.9463336745393</v>
      </c>
      <c r="O299" s="499">
        <v>86700.34</v>
      </c>
      <c r="P299" s="608">
        <v>0.18325545205474394</v>
      </c>
      <c r="Q299" s="524">
        <v>15888.309999999998</v>
      </c>
      <c r="R299" s="543">
        <v>0.31500026412814536</v>
      </c>
      <c r="S299" s="524">
        <v>5192.0800000000017</v>
      </c>
      <c r="T299" s="481"/>
      <c r="U299" s="481"/>
      <c r="V299" s="481"/>
      <c r="W299" s="481"/>
      <c r="X299" s="481"/>
      <c r="Y299" s="481"/>
      <c r="Z299" s="481"/>
      <c r="AA299" s="481"/>
      <c r="AB299" s="481"/>
      <c r="AC299" s="481"/>
      <c r="AD299" s="481"/>
      <c r="AE299" s="481"/>
      <c r="AF299" s="481"/>
      <c r="AG299" s="481"/>
      <c r="AH299" s="481"/>
      <c r="AI299" s="481"/>
      <c r="AJ299" s="481"/>
      <c r="AK299" s="481"/>
      <c r="AL299" s="481"/>
      <c r="AM299" s="481"/>
      <c r="AN299" s="481"/>
    </row>
    <row r="300" spans="1:40" ht="15.75" hidden="1" customHeight="1">
      <c r="A300" s="490" t="s">
        <v>404</v>
      </c>
      <c r="B300" s="481" t="s">
        <v>103</v>
      </c>
      <c r="C300" s="498" t="s">
        <v>20</v>
      </c>
      <c r="D300" s="542">
        <v>0</v>
      </c>
      <c r="E300" s="608">
        <v>0</v>
      </c>
      <c r="F300" s="524">
        <v>0</v>
      </c>
      <c r="G300" s="542"/>
      <c r="H300" s="608"/>
      <c r="I300" s="524"/>
      <c r="J300" s="499">
        <v>0</v>
      </c>
      <c r="K300" s="608">
        <v>0</v>
      </c>
      <c r="L300" s="524">
        <v>0</v>
      </c>
      <c r="M300" s="543" t="e">
        <v>#DIV/0!</v>
      </c>
      <c r="N300" s="524">
        <v>0</v>
      </c>
      <c r="O300" s="499">
        <v>0</v>
      </c>
      <c r="P300" s="608">
        <v>0</v>
      </c>
      <c r="Q300" s="524">
        <v>0</v>
      </c>
      <c r="R300" s="543">
        <v>0</v>
      </c>
      <c r="S300" s="524">
        <v>0</v>
      </c>
      <c r="T300" s="481"/>
      <c r="U300" s="481"/>
      <c r="V300" s="481"/>
      <c r="W300" s="481"/>
      <c r="X300" s="481"/>
      <c r="Y300" s="481"/>
      <c r="Z300" s="481"/>
      <c r="AA300" s="481"/>
      <c r="AB300" s="481"/>
      <c r="AC300" s="481"/>
      <c r="AD300" s="481"/>
      <c r="AE300" s="481"/>
      <c r="AF300" s="481"/>
      <c r="AG300" s="481"/>
      <c r="AH300" s="481"/>
      <c r="AI300" s="481"/>
      <c r="AJ300" s="481"/>
      <c r="AK300" s="481"/>
      <c r="AL300" s="481"/>
      <c r="AM300" s="481"/>
      <c r="AN300" s="481"/>
    </row>
    <row r="301" spans="1:40" ht="15.75" customHeight="1">
      <c r="A301" s="490" t="s">
        <v>405</v>
      </c>
      <c r="B301" s="481" t="s">
        <v>103</v>
      </c>
      <c r="C301" s="498" t="s">
        <v>111</v>
      </c>
      <c r="D301" s="542">
        <v>0</v>
      </c>
      <c r="E301" s="608">
        <v>0</v>
      </c>
      <c r="F301" s="524">
        <v>6192.4350303911315</v>
      </c>
      <c r="G301" s="542"/>
      <c r="H301" s="608"/>
      <c r="I301" s="524"/>
      <c r="J301" s="499">
        <v>0</v>
      </c>
      <c r="K301" s="608">
        <v>0</v>
      </c>
      <c r="L301" s="524">
        <v>4366.2299999999996</v>
      </c>
      <c r="M301" s="543"/>
      <c r="N301" s="524">
        <v>-1826.2050303911319</v>
      </c>
      <c r="O301" s="499">
        <v>0</v>
      </c>
      <c r="P301" s="608">
        <v>0</v>
      </c>
      <c r="Q301" s="524">
        <v>7116.42</v>
      </c>
      <c r="R301" s="543">
        <v>0</v>
      </c>
      <c r="S301" s="524">
        <v>-2750.1900000000005</v>
      </c>
      <c r="T301" s="481"/>
      <c r="U301" s="481"/>
      <c r="V301" s="481"/>
      <c r="W301" s="481"/>
      <c r="X301" s="481"/>
      <c r="Y301" s="481"/>
      <c r="Z301" s="481"/>
      <c r="AA301" s="481"/>
      <c r="AB301" s="481"/>
      <c r="AC301" s="481"/>
      <c r="AD301" s="481"/>
      <c r="AE301" s="481"/>
      <c r="AF301" s="481"/>
      <c r="AG301" s="481"/>
      <c r="AH301" s="481"/>
      <c r="AI301" s="481"/>
      <c r="AJ301" s="481"/>
      <c r="AK301" s="481"/>
      <c r="AL301" s="481"/>
      <c r="AM301" s="481"/>
      <c r="AN301" s="481"/>
    </row>
    <row r="302" spans="1:40" ht="15.75" customHeight="1">
      <c r="A302" s="490" t="s">
        <v>406</v>
      </c>
      <c r="B302" s="481" t="s">
        <v>103</v>
      </c>
      <c r="C302" s="491" t="s">
        <v>112</v>
      </c>
      <c r="D302" s="542">
        <v>0</v>
      </c>
      <c r="E302" s="608">
        <v>0</v>
      </c>
      <c r="F302" s="524">
        <v>0</v>
      </c>
      <c r="G302" s="542"/>
      <c r="H302" s="608"/>
      <c r="I302" s="524"/>
      <c r="J302" s="499">
        <v>0</v>
      </c>
      <c r="K302" s="608">
        <v>0</v>
      </c>
      <c r="L302" s="524">
        <v>0</v>
      </c>
      <c r="M302" s="543"/>
      <c r="N302" s="524">
        <v>0</v>
      </c>
      <c r="O302" s="499">
        <v>0</v>
      </c>
      <c r="P302" s="608">
        <v>0</v>
      </c>
      <c r="Q302" s="524">
        <v>0</v>
      </c>
      <c r="R302" s="543">
        <v>0</v>
      </c>
      <c r="S302" s="524">
        <v>0</v>
      </c>
      <c r="T302" s="481"/>
      <c r="U302" s="481"/>
      <c r="V302" s="481"/>
      <c r="W302" s="481"/>
      <c r="X302" s="481"/>
      <c r="Y302" s="481"/>
      <c r="Z302" s="481"/>
      <c r="AA302" s="481"/>
      <c r="AB302" s="481"/>
      <c r="AC302" s="481"/>
      <c r="AD302" s="481"/>
      <c r="AE302" s="481"/>
      <c r="AF302" s="481"/>
      <c r="AG302" s="481"/>
      <c r="AH302" s="481"/>
      <c r="AI302" s="481"/>
      <c r="AJ302" s="481"/>
      <c r="AK302" s="481"/>
      <c r="AL302" s="481"/>
      <c r="AM302" s="481"/>
      <c r="AN302" s="481"/>
    </row>
    <row r="303" spans="1:40" ht="15.75" customHeight="1">
      <c r="A303" s="490" t="s">
        <v>407</v>
      </c>
      <c r="B303" s="481" t="s">
        <v>103</v>
      </c>
      <c r="C303" s="517" t="s">
        <v>113</v>
      </c>
      <c r="D303" s="648">
        <v>365091.61903477937</v>
      </c>
      <c r="E303" s="665">
        <v>0.28748357212872572</v>
      </c>
      <c r="F303" s="650">
        <v>104957.84279437824</v>
      </c>
      <c r="G303" s="648"/>
      <c r="H303" s="665"/>
      <c r="I303" s="650"/>
      <c r="J303" s="648">
        <v>416092.4</v>
      </c>
      <c r="K303" s="665">
        <v>0.27240548012893284</v>
      </c>
      <c r="L303" s="650">
        <v>113345.84999999999</v>
      </c>
      <c r="M303" s="666">
        <v>0.13969310251507638</v>
      </c>
      <c r="N303" s="650">
        <v>8388.0072056217468</v>
      </c>
      <c r="O303" s="648">
        <v>373192.5</v>
      </c>
      <c r="P303" s="665">
        <v>0.29725393731117322</v>
      </c>
      <c r="Q303" s="650">
        <v>110932.94</v>
      </c>
      <c r="R303" s="666">
        <v>0.11495381070091179</v>
      </c>
      <c r="S303" s="650">
        <v>2412.9099999999889</v>
      </c>
      <c r="T303" s="481"/>
      <c r="U303" s="481"/>
      <c r="V303" s="481"/>
      <c r="W303" s="481"/>
      <c r="X303" s="481"/>
      <c r="Y303" s="481"/>
      <c r="Z303" s="481"/>
      <c r="AA303" s="481"/>
      <c r="AB303" s="481"/>
      <c r="AC303" s="481"/>
      <c r="AD303" s="481"/>
      <c r="AE303" s="481"/>
      <c r="AF303" s="481"/>
      <c r="AG303" s="481"/>
      <c r="AH303" s="481"/>
      <c r="AI303" s="481"/>
      <c r="AJ303" s="481"/>
      <c r="AK303" s="481"/>
      <c r="AL303" s="481"/>
      <c r="AM303" s="481"/>
      <c r="AN303" s="481"/>
    </row>
    <row r="304" spans="1:40" ht="15.75" customHeight="1">
      <c r="A304" s="490" t="s">
        <v>103</v>
      </c>
      <c r="B304" s="481" t="s">
        <v>103</v>
      </c>
      <c r="C304" s="498"/>
      <c r="D304" s="481"/>
      <c r="E304" s="481"/>
      <c r="F304" s="508"/>
      <c r="G304" s="498"/>
      <c r="H304" s="481"/>
      <c r="I304" s="508"/>
      <c r="J304" s="498"/>
      <c r="K304" s="481"/>
      <c r="L304" s="508"/>
      <c r="M304" s="498"/>
      <c r="N304" s="516">
        <v>7.9917869711314468E-2</v>
      </c>
      <c r="O304" s="498"/>
      <c r="P304" s="481"/>
      <c r="Q304" s="508"/>
      <c r="R304" s="498"/>
      <c r="S304" s="516">
        <v>2.1751068708717076E-2</v>
      </c>
      <c r="T304" s="481"/>
      <c r="U304" s="481"/>
      <c r="V304" s="481"/>
      <c r="W304" s="481"/>
      <c r="X304" s="481"/>
      <c r="Y304" s="481"/>
      <c r="Z304" s="481"/>
      <c r="AA304" s="481"/>
      <c r="AB304" s="481"/>
      <c r="AC304" s="481"/>
      <c r="AD304" s="481"/>
      <c r="AE304" s="481"/>
      <c r="AF304" s="481"/>
      <c r="AG304" s="481"/>
      <c r="AH304" s="481"/>
      <c r="AI304" s="481"/>
      <c r="AJ304" s="481"/>
      <c r="AK304" s="481"/>
      <c r="AL304" s="481"/>
      <c r="AM304" s="481"/>
      <c r="AN304" s="481"/>
    </row>
    <row r="305" spans="1:40" ht="15.75" customHeight="1">
      <c r="A305" s="490" t="s">
        <v>103</v>
      </c>
      <c r="B305" s="481" t="s">
        <v>103</v>
      </c>
      <c r="C305" s="491"/>
      <c r="D305" s="571"/>
      <c r="E305" s="571"/>
      <c r="F305" s="667"/>
      <c r="G305" s="491"/>
      <c r="H305" s="571"/>
      <c r="I305" s="667"/>
      <c r="J305" s="491"/>
      <c r="K305" s="571"/>
      <c r="L305" s="667"/>
      <c r="M305" s="491"/>
      <c r="N305" s="628"/>
      <c r="O305" s="491"/>
      <c r="P305" s="571"/>
      <c r="Q305" s="667"/>
      <c r="R305" s="491"/>
      <c r="S305" s="628"/>
      <c r="T305" s="481"/>
      <c r="U305" s="481"/>
      <c r="V305" s="481"/>
      <c r="W305" s="481"/>
      <c r="X305" s="481"/>
      <c r="Y305" s="481"/>
      <c r="Z305" s="481"/>
      <c r="AA305" s="481"/>
      <c r="AB305" s="481"/>
      <c r="AC305" s="481"/>
      <c r="AD305" s="481"/>
      <c r="AE305" s="481"/>
      <c r="AF305" s="481"/>
      <c r="AG305" s="481"/>
      <c r="AH305" s="481"/>
      <c r="AI305" s="481"/>
      <c r="AJ305" s="481"/>
      <c r="AK305" s="481"/>
      <c r="AL305" s="481"/>
      <c r="AM305" s="481"/>
      <c r="AN305" s="481"/>
    </row>
    <row r="306" spans="1:40" ht="15.75" customHeight="1">
      <c r="A306" s="490" t="s">
        <v>408</v>
      </c>
      <c r="B306" s="481" t="s">
        <v>103</v>
      </c>
      <c r="C306" s="498" t="s">
        <v>114</v>
      </c>
      <c r="D306" s="542">
        <v>24624.103472697949</v>
      </c>
      <c r="E306" s="608">
        <v>0.17999999999999997</v>
      </c>
      <c r="F306" s="570">
        <v>4432.3386250856302</v>
      </c>
      <c r="G306" s="542"/>
      <c r="H306" s="608"/>
      <c r="I306" s="570"/>
      <c r="J306" s="499">
        <v>17683.11</v>
      </c>
      <c r="K306" s="608">
        <v>0.18873094155948819</v>
      </c>
      <c r="L306" s="570">
        <v>3337.3500000000013</v>
      </c>
      <c r="M306" s="543">
        <v>-0.28187801762585168</v>
      </c>
      <c r="N306" s="524">
        <v>-1094.9886250856289</v>
      </c>
      <c r="O306" s="499">
        <v>40056.89</v>
      </c>
      <c r="P306" s="608">
        <v>0.18899969518352522</v>
      </c>
      <c r="Q306" s="570">
        <v>7570.7399999999989</v>
      </c>
      <c r="R306" s="543">
        <v>-0.55855010211726375</v>
      </c>
      <c r="S306" s="524">
        <v>-4233.3899999999976</v>
      </c>
      <c r="T306" s="481"/>
      <c r="U306" s="481"/>
      <c r="V306" s="481"/>
      <c r="W306" s="481"/>
      <c r="X306" s="481"/>
      <c r="Y306" s="481"/>
      <c r="Z306" s="481"/>
      <c r="AA306" s="481"/>
      <c r="AB306" s="481"/>
      <c r="AC306" s="481"/>
      <c r="AD306" s="481"/>
      <c r="AE306" s="481"/>
      <c r="AF306" s="481"/>
      <c r="AG306" s="481"/>
      <c r="AH306" s="481"/>
      <c r="AI306" s="481"/>
      <c r="AJ306" s="481"/>
      <c r="AK306" s="481"/>
      <c r="AL306" s="481"/>
      <c r="AM306" s="481"/>
      <c r="AN306" s="481"/>
    </row>
    <row r="307" spans="1:40" ht="15.75" customHeight="1">
      <c r="A307" s="490" t="s">
        <v>409</v>
      </c>
      <c r="B307" s="481" t="s">
        <v>103</v>
      </c>
      <c r="C307" s="491" t="s">
        <v>115</v>
      </c>
      <c r="D307" s="542">
        <v>21447.960990228567</v>
      </c>
      <c r="E307" s="608">
        <v>0.313</v>
      </c>
      <c r="F307" s="547">
        <v>6713.2117899415416</v>
      </c>
      <c r="G307" s="542"/>
      <c r="H307" s="608"/>
      <c r="I307" s="547"/>
      <c r="J307" s="499">
        <v>19868.830000000002</v>
      </c>
      <c r="K307" s="608">
        <v>0.22414757184997811</v>
      </c>
      <c r="L307" s="547">
        <v>4453.5500000000011</v>
      </c>
      <c r="M307" s="543">
        <v>-7.3626159192848123E-2</v>
      </c>
      <c r="N307" s="524">
        <v>-2259.6617899415405</v>
      </c>
      <c r="O307" s="499">
        <v>21791.78</v>
      </c>
      <c r="P307" s="608">
        <v>0.31869769243265111</v>
      </c>
      <c r="Q307" s="547">
        <v>6944.989999999998</v>
      </c>
      <c r="R307" s="543">
        <v>-8.8241988492908666E-2</v>
      </c>
      <c r="S307" s="524">
        <v>-2491.4399999999969</v>
      </c>
      <c r="T307" s="481"/>
      <c r="U307" s="481"/>
      <c r="V307" s="481"/>
      <c r="W307" s="481"/>
      <c r="X307" s="481"/>
      <c r="Y307" s="481"/>
      <c r="Z307" s="481"/>
      <c r="AA307" s="481"/>
      <c r="AB307" s="481"/>
      <c r="AC307" s="481"/>
      <c r="AD307" s="481"/>
      <c r="AE307" s="481"/>
      <c r="AF307" s="481"/>
      <c r="AG307" s="481"/>
      <c r="AH307" s="481"/>
      <c r="AI307" s="481"/>
      <c r="AJ307" s="481"/>
      <c r="AK307" s="481"/>
      <c r="AL307" s="481"/>
      <c r="AM307" s="481"/>
      <c r="AN307" s="481"/>
    </row>
    <row r="308" spans="1:40" ht="15.75" customHeight="1">
      <c r="A308" s="490" t="s">
        <v>410</v>
      </c>
      <c r="B308" s="481" t="s">
        <v>103</v>
      </c>
      <c r="C308" s="517" t="s">
        <v>116</v>
      </c>
      <c r="D308" s="648">
        <v>411163.6834977059</v>
      </c>
      <c r="E308" s="665">
        <v>0.28237754906204698</v>
      </c>
      <c r="F308" s="650">
        <v>116103.39320940542</v>
      </c>
      <c r="G308" s="651"/>
      <c r="H308" s="665"/>
      <c r="I308" s="650"/>
      <c r="J308" s="651">
        <v>453644.34</v>
      </c>
      <c r="K308" s="665">
        <v>0.26703022460282433</v>
      </c>
      <c r="L308" s="650">
        <v>121136.75</v>
      </c>
      <c r="M308" s="666">
        <v>0.10331811443296193</v>
      </c>
      <c r="N308" s="650">
        <v>5033.356790594582</v>
      </c>
      <c r="O308" s="651">
        <v>435041.17000000004</v>
      </c>
      <c r="P308" s="665">
        <v>0.28836045563227958</v>
      </c>
      <c r="Q308" s="650">
        <v>125448.67000000001</v>
      </c>
      <c r="R308" s="666">
        <v>4.2761860906175807E-2</v>
      </c>
      <c r="S308" s="650">
        <v>-4311.9200000000128</v>
      </c>
      <c r="T308" s="481"/>
      <c r="U308" s="481"/>
      <c r="V308" s="481"/>
      <c r="W308" s="481"/>
      <c r="X308" s="481"/>
      <c r="Y308" s="481"/>
      <c r="Z308" s="481"/>
      <c r="AA308" s="481"/>
      <c r="AB308" s="481"/>
      <c r="AC308" s="481"/>
      <c r="AD308" s="481"/>
      <c r="AE308" s="481"/>
      <c r="AF308" s="481"/>
      <c r="AG308" s="481"/>
      <c r="AH308" s="481"/>
      <c r="AI308" s="481"/>
      <c r="AJ308" s="481"/>
      <c r="AK308" s="481"/>
      <c r="AL308" s="481"/>
      <c r="AM308" s="481"/>
      <c r="AN308" s="481"/>
    </row>
    <row r="309" spans="1:40" ht="15.75" customHeight="1">
      <c r="A309" s="490" t="s">
        <v>103</v>
      </c>
      <c r="B309" s="481" t="s">
        <v>103</v>
      </c>
      <c r="C309" s="498"/>
      <c r="D309" s="481"/>
      <c r="E309" s="481"/>
      <c r="F309" s="508"/>
      <c r="G309" s="498"/>
      <c r="H309" s="481"/>
      <c r="I309" s="508"/>
      <c r="J309" s="498"/>
      <c r="K309" s="481"/>
      <c r="L309" s="508"/>
      <c r="M309" s="498"/>
      <c r="N309" s="516">
        <v>4.3352365951237634E-2</v>
      </c>
      <c r="O309" s="498"/>
      <c r="P309" s="481"/>
      <c r="Q309" s="508"/>
      <c r="R309" s="498"/>
      <c r="S309" s="516">
        <v>-3.4371986566298487E-2</v>
      </c>
      <c r="T309" s="481"/>
      <c r="U309" s="481"/>
      <c r="V309" s="481"/>
      <c r="W309" s="481"/>
      <c r="X309" s="481"/>
      <c r="Y309" s="481"/>
      <c r="Z309" s="481"/>
      <c r="AA309" s="481"/>
      <c r="AB309" s="481"/>
      <c r="AC309" s="481"/>
      <c r="AD309" s="481"/>
      <c r="AE309" s="481"/>
      <c r="AF309" s="481"/>
      <c r="AG309" s="481"/>
      <c r="AH309" s="481"/>
      <c r="AI309" s="481"/>
      <c r="AJ309" s="481"/>
      <c r="AK309" s="481"/>
      <c r="AL309" s="481"/>
      <c r="AM309" s="481"/>
      <c r="AN309" s="481"/>
    </row>
    <row r="310" spans="1:40" ht="15.75" customHeight="1">
      <c r="A310" s="490" t="s">
        <v>103</v>
      </c>
      <c r="B310" s="481" t="s">
        <v>103</v>
      </c>
      <c r="C310" s="498"/>
      <c r="D310" s="481"/>
      <c r="E310" s="481"/>
      <c r="F310" s="508"/>
      <c r="G310" s="498"/>
      <c r="H310" s="481"/>
      <c r="I310" s="508"/>
      <c r="J310" s="498"/>
      <c r="K310" s="481"/>
      <c r="L310" s="508"/>
      <c r="M310" s="498"/>
      <c r="N310" s="516"/>
      <c r="O310" s="498"/>
      <c r="P310" s="481"/>
      <c r="Q310" s="508"/>
      <c r="R310" s="498"/>
      <c r="S310" s="516"/>
      <c r="T310" s="481"/>
      <c r="U310" s="481"/>
      <c r="V310" s="481"/>
      <c r="W310" s="481"/>
      <c r="X310" s="481"/>
      <c r="Y310" s="481"/>
      <c r="Z310" s="481"/>
      <c r="AA310" s="481"/>
      <c r="AB310" s="481"/>
      <c r="AC310" s="481"/>
      <c r="AD310" s="481"/>
      <c r="AE310" s="481"/>
      <c r="AF310" s="481"/>
      <c r="AG310" s="481"/>
      <c r="AH310" s="481"/>
      <c r="AI310" s="481"/>
      <c r="AJ310" s="481"/>
      <c r="AK310" s="481"/>
      <c r="AL310" s="481"/>
      <c r="AM310" s="481"/>
      <c r="AN310" s="481"/>
    </row>
    <row r="311" spans="1:40" ht="15.75" customHeight="1">
      <c r="A311" s="490" t="s">
        <v>411</v>
      </c>
      <c r="B311" s="481" t="s">
        <v>103</v>
      </c>
      <c r="C311" s="491" t="s">
        <v>117</v>
      </c>
      <c r="D311" s="545">
        <v>0</v>
      </c>
      <c r="E311" s="609">
        <v>0</v>
      </c>
      <c r="F311" s="547">
        <v>0</v>
      </c>
      <c r="G311" s="623"/>
      <c r="H311" s="609"/>
      <c r="I311" s="547"/>
      <c r="J311" s="512">
        <v>0</v>
      </c>
      <c r="K311" s="609">
        <v>0</v>
      </c>
      <c r="L311" s="493">
        <v>0</v>
      </c>
      <c r="M311" s="609">
        <v>0</v>
      </c>
      <c r="N311" s="547">
        <v>0</v>
      </c>
      <c r="O311" s="512">
        <v>0</v>
      </c>
      <c r="P311" s="609">
        <v>0</v>
      </c>
      <c r="Q311" s="493">
        <v>0</v>
      </c>
      <c r="R311" s="609">
        <v>0</v>
      </c>
      <c r="S311" s="547">
        <v>0</v>
      </c>
      <c r="T311" s="481"/>
      <c r="U311" s="481"/>
      <c r="V311" s="481"/>
      <c r="W311" s="481"/>
      <c r="X311" s="481"/>
      <c r="Y311" s="481"/>
      <c r="Z311" s="481"/>
      <c r="AA311" s="481"/>
      <c r="AB311" s="481"/>
      <c r="AC311" s="481"/>
      <c r="AD311" s="481"/>
      <c r="AE311" s="481"/>
      <c r="AF311" s="481"/>
      <c r="AG311" s="481"/>
      <c r="AH311" s="481"/>
      <c r="AI311" s="481"/>
      <c r="AJ311" s="481"/>
      <c r="AK311" s="481"/>
      <c r="AL311" s="481"/>
      <c r="AM311" s="481"/>
      <c r="AN311" s="481"/>
    </row>
    <row r="312" spans="1:40" ht="15.75" customHeight="1" thickBot="1">
      <c r="A312" s="490" t="s">
        <v>103</v>
      </c>
      <c r="B312" s="481" t="s">
        <v>103</v>
      </c>
      <c r="C312" s="498"/>
      <c r="D312" s="542"/>
      <c r="E312" s="608"/>
      <c r="F312" s="524"/>
      <c r="G312" s="525"/>
      <c r="H312" s="608"/>
      <c r="I312" s="524"/>
      <c r="J312" s="525"/>
      <c r="K312" s="608"/>
      <c r="L312" s="524"/>
      <c r="M312" s="543"/>
      <c r="N312" s="524"/>
      <c r="O312" s="525"/>
      <c r="P312" s="608"/>
      <c r="Q312" s="524"/>
      <c r="R312" s="543"/>
      <c r="S312" s="524"/>
      <c r="T312" s="481"/>
      <c r="U312" s="481"/>
      <c r="V312" s="481"/>
      <c r="W312" s="481"/>
      <c r="X312" s="481"/>
      <c r="Y312" s="481"/>
      <c r="Z312" s="481"/>
      <c r="AA312" s="481"/>
      <c r="AB312" s="481"/>
      <c r="AC312" s="481"/>
      <c r="AD312" s="481"/>
      <c r="AE312" s="481"/>
      <c r="AF312" s="481"/>
      <c r="AG312" s="481"/>
      <c r="AH312" s="481"/>
      <c r="AI312" s="481"/>
      <c r="AJ312" s="481"/>
      <c r="AK312" s="481"/>
      <c r="AL312" s="481"/>
      <c r="AM312" s="481"/>
      <c r="AN312" s="481"/>
    </row>
    <row r="313" spans="1:40" ht="15.75" customHeight="1" thickTop="1">
      <c r="A313" s="490" t="s">
        <v>412</v>
      </c>
      <c r="B313" s="481" t="s">
        <v>103</v>
      </c>
      <c r="C313" s="526" t="s">
        <v>118</v>
      </c>
      <c r="D313" s="527">
        <v>411163.6834977059</v>
      </c>
      <c r="E313" s="668">
        <v>0.28237754906204698</v>
      </c>
      <c r="F313" s="529">
        <v>116103.39320940542</v>
      </c>
      <c r="G313" s="530"/>
      <c r="H313" s="668"/>
      <c r="I313" s="529"/>
      <c r="J313" s="530">
        <v>453644.34</v>
      </c>
      <c r="K313" s="668">
        <v>0.26703022460282433</v>
      </c>
      <c r="L313" s="529">
        <v>121136.75</v>
      </c>
      <c r="M313" s="669">
        <v>0.10331811443296193</v>
      </c>
      <c r="N313" s="670">
        <v>5033.356790594582</v>
      </c>
      <c r="O313" s="530">
        <v>435041.17000000004</v>
      </c>
      <c r="P313" s="668">
        <v>0.28836045563227958</v>
      </c>
      <c r="Q313" s="529">
        <v>125448.67000000001</v>
      </c>
      <c r="R313" s="669">
        <v>4.2761860906175807E-2</v>
      </c>
      <c r="S313" s="670">
        <v>-4311.9200000000128</v>
      </c>
      <c r="T313" s="481"/>
      <c r="U313" s="481"/>
      <c r="V313" s="481"/>
      <c r="W313" s="481"/>
      <c r="X313" s="481"/>
      <c r="Y313" s="481"/>
      <c r="Z313" s="481"/>
      <c r="AA313" s="481"/>
      <c r="AB313" s="481"/>
      <c r="AC313" s="481"/>
      <c r="AD313" s="481"/>
      <c r="AE313" s="481"/>
      <c r="AF313" s="481"/>
      <c r="AG313" s="481"/>
      <c r="AH313" s="481"/>
      <c r="AI313" s="481"/>
      <c r="AJ313" s="481"/>
      <c r="AK313" s="481"/>
      <c r="AL313" s="481"/>
      <c r="AM313" s="481"/>
      <c r="AN313" s="481"/>
    </row>
    <row r="314" spans="1:40" ht="15.75" customHeight="1" thickBot="1">
      <c r="A314" s="490" t="s">
        <v>103</v>
      </c>
      <c r="B314" s="481" t="s">
        <v>103</v>
      </c>
      <c r="C314" s="587"/>
      <c r="D314" s="671"/>
      <c r="E314" s="672"/>
      <c r="F314" s="590"/>
      <c r="G314" s="673"/>
      <c r="H314" s="672"/>
      <c r="I314" s="590"/>
      <c r="J314" s="673"/>
      <c r="K314" s="672"/>
      <c r="L314" s="674">
        <v>1.0433523659512376</v>
      </c>
      <c r="M314" s="675"/>
      <c r="N314" s="536">
        <v>4.3352365951237634E-2</v>
      </c>
      <c r="O314" s="673"/>
      <c r="P314" s="672"/>
      <c r="Q314" s="590"/>
      <c r="R314" s="675"/>
      <c r="S314" s="536">
        <v>-3.4371986566298487E-2</v>
      </c>
      <c r="T314" s="481"/>
      <c r="U314" s="481"/>
      <c r="V314" s="481"/>
      <c r="W314" s="481"/>
      <c r="X314" s="481"/>
      <c r="Y314" s="481"/>
      <c r="Z314" s="481"/>
      <c r="AA314" s="481"/>
      <c r="AB314" s="481"/>
      <c r="AC314" s="481"/>
      <c r="AD314" s="481"/>
      <c r="AE314" s="481"/>
      <c r="AF314" s="481"/>
      <c r="AG314" s="481"/>
      <c r="AH314" s="481"/>
      <c r="AI314" s="481"/>
      <c r="AJ314" s="481"/>
      <c r="AK314" s="481"/>
      <c r="AL314" s="481"/>
      <c r="AM314" s="481"/>
      <c r="AN314" s="481"/>
    </row>
    <row r="315" spans="1:40" ht="15.75" customHeight="1" thickTop="1">
      <c r="A315" s="490" t="s">
        <v>103</v>
      </c>
      <c r="B315" s="481" t="s">
        <v>103</v>
      </c>
      <c r="C315" s="517"/>
      <c r="D315" s="572"/>
      <c r="E315" s="630"/>
      <c r="F315" s="632"/>
      <c r="G315" s="631"/>
      <c r="H315" s="630"/>
      <c r="I315" s="632"/>
      <c r="J315" s="631"/>
      <c r="K315" s="630"/>
      <c r="L315" s="632"/>
      <c r="M315" s="498"/>
      <c r="N315" s="516"/>
      <c r="O315" s="631"/>
      <c r="P315" s="630"/>
      <c r="Q315" s="632"/>
      <c r="R315" s="498"/>
      <c r="S315" s="516"/>
      <c r="T315" s="481"/>
      <c r="U315" s="481"/>
      <c r="V315" s="481"/>
      <c r="W315" s="481"/>
      <c r="X315" s="481"/>
      <c r="Y315" s="481"/>
      <c r="Z315" s="481"/>
      <c r="AA315" s="481"/>
      <c r="AB315" s="481"/>
      <c r="AC315" s="481"/>
      <c r="AD315" s="481"/>
      <c r="AE315" s="481"/>
      <c r="AF315" s="481"/>
      <c r="AG315" s="481"/>
      <c r="AH315" s="481"/>
      <c r="AI315" s="481"/>
      <c r="AJ315" s="481"/>
      <c r="AK315" s="481"/>
      <c r="AL315" s="481"/>
      <c r="AM315" s="481"/>
      <c r="AN315" s="481"/>
    </row>
    <row r="316" spans="1:40" ht="15.75" customHeight="1">
      <c r="A316" s="490" t="s">
        <v>413</v>
      </c>
      <c r="B316" s="481" t="s">
        <v>103</v>
      </c>
      <c r="C316" s="539" t="s">
        <v>30</v>
      </c>
      <c r="D316" s="481"/>
      <c r="E316" s="481"/>
      <c r="F316" s="524"/>
      <c r="G316" s="498"/>
      <c r="H316" s="481"/>
      <c r="I316" s="524"/>
      <c r="J316" s="498"/>
      <c r="K316" s="481"/>
      <c r="L316" s="508"/>
      <c r="M316" s="498"/>
      <c r="N316" s="508"/>
      <c r="O316" s="498"/>
      <c r="P316" s="481"/>
      <c r="Q316" s="508"/>
      <c r="R316" s="498"/>
      <c r="S316" s="508"/>
      <c r="T316" s="481"/>
      <c r="U316" s="481"/>
      <c r="V316" s="481"/>
      <c r="W316" s="481"/>
      <c r="X316" s="481"/>
      <c r="Y316" s="481"/>
      <c r="Z316" s="481"/>
      <c r="AA316" s="481"/>
      <c r="AB316" s="481"/>
      <c r="AC316" s="481"/>
      <c r="AD316" s="481"/>
      <c r="AE316" s="481"/>
      <c r="AF316" s="481"/>
      <c r="AG316" s="481"/>
      <c r="AH316" s="481"/>
      <c r="AI316" s="481"/>
      <c r="AJ316" s="481"/>
      <c r="AK316" s="481"/>
      <c r="AL316" s="481"/>
      <c r="AM316" s="481"/>
      <c r="AN316" s="481"/>
    </row>
    <row r="317" spans="1:40" ht="15.75" customHeight="1">
      <c r="A317" s="490" t="s">
        <v>414</v>
      </c>
      <c r="B317" s="481" t="s">
        <v>103</v>
      </c>
      <c r="C317" s="565" t="s">
        <v>41</v>
      </c>
      <c r="D317" s="481"/>
      <c r="E317" s="481"/>
      <c r="F317" s="499">
        <v>2606.4352490421456</v>
      </c>
      <c r="G317" s="498"/>
      <c r="H317" s="481"/>
      <c r="I317" s="499"/>
      <c r="J317" s="498"/>
      <c r="K317" s="481"/>
      <c r="L317" s="501">
        <v>8034.1</v>
      </c>
      <c r="M317" s="498"/>
      <c r="N317" s="524">
        <v>5427.6647509578543</v>
      </c>
      <c r="O317" s="498"/>
      <c r="P317" s="481"/>
      <c r="Q317" s="501">
        <v>5304.33</v>
      </c>
      <c r="R317" s="498"/>
      <c r="S317" s="501">
        <v>2729.7700000000004</v>
      </c>
      <c r="T317" s="481"/>
      <c r="U317" s="481"/>
      <c r="V317" s="481"/>
      <c r="W317" s="481"/>
      <c r="X317" s="481"/>
      <c r="Y317" s="481"/>
      <c r="Z317" s="481"/>
      <c r="AA317" s="481"/>
      <c r="AB317" s="481"/>
      <c r="AC317" s="481"/>
      <c r="AD317" s="481"/>
      <c r="AE317" s="481"/>
      <c r="AF317" s="481"/>
      <c r="AG317" s="481"/>
      <c r="AH317" s="481"/>
      <c r="AI317" s="481"/>
      <c r="AJ317" s="481"/>
      <c r="AK317" s="481"/>
      <c r="AL317" s="481"/>
      <c r="AM317" s="481"/>
      <c r="AN317" s="481"/>
    </row>
    <row r="318" spans="1:40" ht="15.75" customHeight="1">
      <c r="A318" s="490" t="s">
        <v>415</v>
      </c>
      <c r="B318" s="481" t="s">
        <v>103</v>
      </c>
      <c r="C318" s="566" t="s">
        <v>42</v>
      </c>
      <c r="D318" s="550"/>
      <c r="E318" s="481"/>
      <c r="F318" s="493">
        <v>28935.964137931038</v>
      </c>
      <c r="G318" s="551"/>
      <c r="H318" s="481"/>
      <c r="I318" s="493"/>
      <c r="J318" s="498"/>
      <c r="K318" s="481"/>
      <c r="L318" s="501">
        <v>19684.650000000001</v>
      </c>
      <c r="M318" s="498"/>
      <c r="N318" s="524">
        <v>-9251.3141379310364</v>
      </c>
      <c r="O318" s="498"/>
      <c r="P318" s="481"/>
      <c r="Q318" s="501">
        <v>3289.99</v>
      </c>
      <c r="R318" s="498"/>
      <c r="S318" s="524">
        <v>16394.660000000003</v>
      </c>
      <c r="T318" s="481"/>
      <c r="U318" s="481"/>
      <c r="V318" s="481"/>
      <c r="W318" s="481"/>
      <c r="X318" s="481"/>
      <c r="Y318" s="481"/>
      <c r="Z318" s="481"/>
      <c r="AA318" s="481"/>
      <c r="AB318" s="481"/>
      <c r="AC318" s="481"/>
      <c r="AD318" s="481"/>
      <c r="AE318" s="481"/>
      <c r="AF318" s="481"/>
      <c r="AG318" s="481"/>
      <c r="AH318" s="481"/>
      <c r="AI318" s="481"/>
      <c r="AJ318" s="481"/>
      <c r="AK318" s="481"/>
      <c r="AL318" s="481"/>
      <c r="AM318" s="481"/>
      <c r="AN318" s="481"/>
    </row>
    <row r="319" spans="1:40" ht="15.75" customHeight="1">
      <c r="A319" s="490" t="s">
        <v>416</v>
      </c>
      <c r="B319" s="481" t="s">
        <v>103</v>
      </c>
      <c r="C319" s="565" t="s">
        <v>43</v>
      </c>
      <c r="D319" s="567"/>
      <c r="E319" s="568"/>
      <c r="F319" s="499">
        <v>2296.0919540229879</v>
      </c>
      <c r="G319" s="569"/>
      <c r="H319" s="568"/>
      <c r="I319" s="499"/>
      <c r="J319" s="485"/>
      <c r="K319" s="568"/>
      <c r="L319" s="520">
        <v>113.92</v>
      </c>
      <c r="M319" s="485"/>
      <c r="N319" s="570">
        <v>-2182.1719540229878</v>
      </c>
      <c r="O319" s="485"/>
      <c r="P319" s="568"/>
      <c r="Q319" s="520">
        <v>23335.64</v>
      </c>
      <c r="R319" s="485"/>
      <c r="S319" s="570">
        <v>-23221.72</v>
      </c>
      <c r="T319" s="481"/>
      <c r="U319" s="676"/>
      <c r="V319" s="676"/>
      <c r="W319" s="481"/>
      <c r="X319" s="481"/>
      <c r="Y319" s="481"/>
      <c r="Z319" s="481"/>
      <c r="AA319" s="481"/>
      <c r="AB319" s="481"/>
      <c r="AC319" s="481"/>
      <c r="AD319" s="481"/>
      <c r="AE319" s="481"/>
      <c r="AF319" s="481"/>
      <c r="AG319" s="481"/>
      <c r="AH319" s="481"/>
      <c r="AI319" s="481"/>
      <c r="AJ319" s="481"/>
      <c r="AK319" s="481"/>
      <c r="AL319" s="481"/>
      <c r="AM319" s="481"/>
      <c r="AN319" s="481"/>
    </row>
    <row r="320" spans="1:40" ht="15.75" customHeight="1">
      <c r="A320" s="490" t="s">
        <v>417</v>
      </c>
      <c r="B320" s="481" t="s">
        <v>103</v>
      </c>
      <c r="C320" s="565" t="s">
        <v>44</v>
      </c>
      <c r="D320" s="550"/>
      <c r="E320" s="481"/>
      <c r="F320" s="499">
        <v>0</v>
      </c>
      <c r="G320" s="551"/>
      <c r="H320" s="481"/>
      <c r="I320" s="499"/>
      <c r="J320" s="498"/>
      <c r="K320" s="481"/>
      <c r="L320" s="501">
        <v>0</v>
      </c>
      <c r="M320" s="498"/>
      <c r="N320" s="524">
        <v>0</v>
      </c>
      <c r="O320" s="498"/>
      <c r="P320" s="481"/>
      <c r="Q320" s="501">
        <v>0</v>
      </c>
      <c r="R320" s="498"/>
      <c r="S320" s="524">
        <v>0</v>
      </c>
      <c r="T320" s="481"/>
      <c r="U320" s="481"/>
      <c r="V320" s="481"/>
      <c r="W320" s="481"/>
      <c r="X320" s="481"/>
      <c r="Y320" s="481"/>
      <c r="Z320" s="481"/>
      <c r="AA320" s="481"/>
      <c r="AB320" s="481"/>
      <c r="AC320" s="481"/>
      <c r="AD320" s="481"/>
      <c r="AE320" s="481"/>
      <c r="AF320" s="481"/>
      <c r="AG320" s="481"/>
      <c r="AH320" s="481"/>
      <c r="AI320" s="481"/>
      <c r="AJ320" s="481"/>
      <c r="AK320" s="481"/>
      <c r="AL320" s="481"/>
      <c r="AM320" s="481"/>
      <c r="AN320" s="481"/>
    </row>
    <row r="321" spans="1:40" ht="15.75" hidden="1" customHeight="1">
      <c r="A321" s="490" t="s">
        <v>404</v>
      </c>
      <c r="B321" s="481" t="s">
        <v>103</v>
      </c>
      <c r="C321" s="498" t="s">
        <v>20</v>
      </c>
      <c r="D321" s="550"/>
      <c r="E321" s="481"/>
      <c r="F321" s="499">
        <v>0</v>
      </c>
      <c r="G321" s="551"/>
      <c r="H321" s="481"/>
      <c r="I321" s="499"/>
      <c r="J321" s="498"/>
      <c r="K321" s="481"/>
      <c r="L321" s="501">
        <v>0</v>
      </c>
      <c r="M321" s="498"/>
      <c r="N321" s="524">
        <v>0</v>
      </c>
      <c r="O321" s="498"/>
      <c r="P321" s="481"/>
      <c r="Q321" s="501">
        <v>0</v>
      </c>
      <c r="R321" s="498"/>
      <c r="S321" s="524">
        <v>0</v>
      </c>
      <c r="T321" s="481"/>
      <c r="U321" s="481"/>
      <c r="V321" s="481"/>
      <c r="W321" s="481"/>
      <c r="X321" s="481"/>
      <c r="Y321" s="481"/>
      <c r="Z321" s="481"/>
      <c r="AA321" s="481"/>
      <c r="AB321" s="481"/>
      <c r="AC321" s="481"/>
      <c r="AD321" s="481"/>
      <c r="AE321" s="481"/>
      <c r="AF321" s="481"/>
      <c r="AG321" s="481"/>
      <c r="AH321" s="481"/>
      <c r="AI321" s="481"/>
      <c r="AJ321" s="481"/>
      <c r="AK321" s="481"/>
      <c r="AL321" s="481"/>
      <c r="AM321" s="481"/>
      <c r="AN321" s="481"/>
    </row>
    <row r="322" spans="1:40" ht="15.75" hidden="1" customHeight="1">
      <c r="A322" s="490" t="s">
        <v>404</v>
      </c>
      <c r="B322" s="481" t="s">
        <v>103</v>
      </c>
      <c r="C322" s="498" t="s">
        <v>20</v>
      </c>
      <c r="D322" s="550"/>
      <c r="E322" s="481"/>
      <c r="F322" s="499">
        <v>0</v>
      </c>
      <c r="G322" s="551"/>
      <c r="H322" s="481"/>
      <c r="I322" s="499"/>
      <c r="J322" s="498"/>
      <c r="K322" s="481"/>
      <c r="L322" s="501">
        <v>0</v>
      </c>
      <c r="M322" s="498"/>
      <c r="N322" s="524">
        <v>0</v>
      </c>
      <c r="O322" s="498"/>
      <c r="P322" s="481"/>
      <c r="Q322" s="501">
        <v>0</v>
      </c>
      <c r="R322" s="498"/>
      <c r="S322" s="524">
        <v>0</v>
      </c>
      <c r="T322" s="481"/>
      <c r="U322" s="481"/>
      <c r="V322" s="481"/>
      <c r="W322" s="481"/>
      <c r="X322" s="481"/>
      <c r="Y322" s="481"/>
      <c r="Z322" s="481"/>
      <c r="AA322" s="481"/>
      <c r="AB322" s="481"/>
      <c r="AC322" s="481"/>
      <c r="AD322" s="481"/>
      <c r="AE322" s="481"/>
      <c r="AF322" s="481"/>
      <c r="AG322" s="481"/>
      <c r="AH322" s="481"/>
      <c r="AI322" s="481"/>
      <c r="AJ322" s="481"/>
      <c r="AK322" s="481"/>
      <c r="AL322" s="481"/>
      <c r="AM322" s="481"/>
      <c r="AN322" s="481"/>
    </row>
    <row r="323" spans="1:40" ht="15.75" hidden="1" customHeight="1">
      <c r="A323" s="490" t="s">
        <v>404</v>
      </c>
      <c r="B323" s="481" t="s">
        <v>103</v>
      </c>
      <c r="C323" s="498" t="s">
        <v>20</v>
      </c>
      <c r="D323" s="550"/>
      <c r="E323" s="481"/>
      <c r="F323" s="499">
        <v>0</v>
      </c>
      <c r="G323" s="551"/>
      <c r="H323" s="481"/>
      <c r="I323" s="499"/>
      <c r="J323" s="498"/>
      <c r="K323" s="481"/>
      <c r="L323" s="501">
        <v>0</v>
      </c>
      <c r="M323" s="498"/>
      <c r="N323" s="524">
        <v>0</v>
      </c>
      <c r="O323" s="498"/>
      <c r="P323" s="481"/>
      <c r="Q323" s="501">
        <v>0</v>
      </c>
      <c r="R323" s="498"/>
      <c r="S323" s="524">
        <v>0</v>
      </c>
      <c r="T323" s="481"/>
      <c r="U323" s="481"/>
      <c r="V323" s="481"/>
      <c r="W323" s="481"/>
      <c r="X323" s="481"/>
      <c r="Y323" s="481"/>
      <c r="Z323" s="481"/>
      <c r="AA323" s="481"/>
      <c r="AB323" s="481"/>
      <c r="AC323" s="481"/>
      <c r="AD323" s="481"/>
      <c r="AE323" s="481"/>
      <c r="AF323" s="481"/>
      <c r="AG323" s="481"/>
      <c r="AH323" s="481"/>
      <c r="AI323" s="481"/>
      <c r="AJ323" s="481"/>
      <c r="AK323" s="481"/>
      <c r="AL323" s="481"/>
      <c r="AM323" s="481"/>
      <c r="AN323" s="481"/>
    </row>
    <row r="324" spans="1:40" ht="15.75" customHeight="1">
      <c r="A324" s="490" t="s">
        <v>418</v>
      </c>
      <c r="B324" s="481" t="s">
        <v>103</v>
      </c>
      <c r="C324" s="566" t="s">
        <v>45</v>
      </c>
      <c r="D324" s="550"/>
      <c r="E324" s="481"/>
      <c r="F324" s="493">
        <v>4173.8952256538423</v>
      </c>
      <c r="G324" s="551"/>
      <c r="H324" s="481"/>
      <c r="I324" s="493"/>
      <c r="J324" s="498"/>
      <c r="K324" s="481"/>
      <c r="L324" s="501">
        <v>2438.31</v>
      </c>
      <c r="M324" s="498"/>
      <c r="N324" s="524">
        <v>-1735.5852256538424</v>
      </c>
      <c r="O324" s="498"/>
      <c r="P324" s="481"/>
      <c r="Q324" s="501">
        <v>2768.71</v>
      </c>
      <c r="R324" s="498"/>
      <c r="S324" s="524">
        <v>-330.40000000000009</v>
      </c>
      <c r="T324" s="481"/>
      <c r="U324" s="481"/>
      <c r="V324" s="481"/>
      <c r="W324" s="481"/>
      <c r="X324" s="481"/>
      <c r="Y324" s="481"/>
      <c r="Z324" s="481"/>
      <c r="AA324" s="481"/>
      <c r="AB324" s="481"/>
      <c r="AC324" s="481"/>
      <c r="AD324" s="481"/>
      <c r="AE324" s="481"/>
      <c r="AF324" s="481"/>
      <c r="AG324" s="481"/>
      <c r="AH324" s="481"/>
      <c r="AI324" s="481"/>
      <c r="AJ324" s="481"/>
      <c r="AK324" s="481"/>
      <c r="AL324" s="481"/>
      <c r="AM324" s="481"/>
      <c r="AN324" s="481"/>
    </row>
    <row r="325" spans="1:40" ht="15.75" customHeight="1">
      <c r="A325" s="490" t="s">
        <v>419</v>
      </c>
      <c r="B325" s="481" t="s">
        <v>103</v>
      </c>
      <c r="C325" s="565" t="s">
        <v>46</v>
      </c>
      <c r="D325" s="567"/>
      <c r="E325" s="568"/>
      <c r="F325" s="499">
        <v>4149.2628047292937</v>
      </c>
      <c r="G325" s="569"/>
      <c r="H325" s="568"/>
      <c r="I325" s="499"/>
      <c r="J325" s="485"/>
      <c r="K325" s="568"/>
      <c r="L325" s="520">
        <v>7371.6900000000005</v>
      </c>
      <c r="M325" s="485"/>
      <c r="N325" s="570">
        <v>3222.4271952707068</v>
      </c>
      <c r="O325" s="485"/>
      <c r="P325" s="568"/>
      <c r="Q325" s="520">
        <v>5430.64</v>
      </c>
      <c r="R325" s="485"/>
      <c r="S325" s="570">
        <v>1941.0500000000002</v>
      </c>
      <c r="T325" s="481"/>
      <c r="U325" s="481"/>
      <c r="V325" s="481"/>
      <c r="W325" s="481"/>
      <c r="X325" s="481"/>
      <c r="Y325" s="481"/>
      <c r="Z325" s="481"/>
      <c r="AA325" s="481"/>
      <c r="AB325" s="481"/>
      <c r="AC325" s="481"/>
      <c r="AD325" s="481"/>
      <c r="AE325" s="481"/>
      <c r="AF325" s="481"/>
      <c r="AG325" s="481"/>
      <c r="AH325" s="481"/>
      <c r="AI325" s="481"/>
      <c r="AJ325" s="481"/>
      <c r="AK325" s="481"/>
      <c r="AL325" s="481"/>
      <c r="AM325" s="481"/>
      <c r="AN325" s="481"/>
    </row>
    <row r="326" spans="1:40" ht="15.75" customHeight="1">
      <c r="A326" s="490" t="s">
        <v>420</v>
      </c>
      <c r="B326" s="481" t="s">
        <v>103</v>
      </c>
      <c r="C326" s="565" t="s">
        <v>47</v>
      </c>
      <c r="D326" s="550"/>
      <c r="E326" s="481"/>
      <c r="F326" s="499">
        <v>2905.5546138901727</v>
      </c>
      <c r="G326" s="551"/>
      <c r="H326" s="481"/>
      <c r="I326" s="499"/>
      <c r="J326" s="498"/>
      <c r="K326" s="481"/>
      <c r="L326" s="501">
        <v>1277.6300000000001</v>
      </c>
      <c r="M326" s="498"/>
      <c r="N326" s="524">
        <v>-1627.9246138901726</v>
      </c>
      <c r="O326" s="498"/>
      <c r="P326" s="481"/>
      <c r="Q326" s="501">
        <v>5485.6</v>
      </c>
      <c r="R326" s="498"/>
      <c r="S326" s="524">
        <v>-4207.97</v>
      </c>
      <c r="T326" s="481"/>
      <c r="U326" s="481"/>
      <c r="V326" s="481"/>
      <c r="W326" s="481"/>
      <c r="X326" s="481"/>
      <c r="Y326" s="481"/>
      <c r="Z326" s="481"/>
      <c r="AA326" s="481"/>
      <c r="AB326" s="481"/>
      <c r="AC326" s="481"/>
      <c r="AD326" s="481"/>
      <c r="AE326" s="481"/>
      <c r="AF326" s="481"/>
      <c r="AG326" s="481"/>
      <c r="AH326" s="481"/>
      <c r="AI326" s="481"/>
      <c r="AJ326" s="481"/>
      <c r="AK326" s="481"/>
      <c r="AL326" s="481"/>
      <c r="AM326" s="481"/>
      <c r="AN326" s="481"/>
    </row>
    <row r="327" spans="1:40" ht="15.75" customHeight="1">
      <c r="A327" s="490" t="s">
        <v>421</v>
      </c>
      <c r="B327" s="481" t="s">
        <v>103</v>
      </c>
      <c r="C327" s="565" t="s">
        <v>48</v>
      </c>
      <c r="D327" s="550"/>
      <c r="E327" s="481"/>
      <c r="F327" s="499">
        <v>1388.0671873915119</v>
      </c>
      <c r="G327" s="551"/>
      <c r="H327" s="481"/>
      <c r="I327" s="499"/>
      <c r="J327" s="498"/>
      <c r="K327" s="481"/>
      <c r="L327" s="501">
        <v>812.13</v>
      </c>
      <c r="M327" s="498"/>
      <c r="N327" s="524">
        <v>-575.93718739151188</v>
      </c>
      <c r="O327" s="498"/>
      <c r="P327" s="481"/>
      <c r="Q327" s="501">
        <v>819</v>
      </c>
      <c r="R327" s="498"/>
      <c r="S327" s="524">
        <v>-6.8700000000000045</v>
      </c>
      <c r="T327" s="481"/>
      <c r="U327" s="481"/>
      <c r="V327" s="481"/>
      <c r="W327" s="481"/>
      <c r="X327" s="481"/>
      <c r="Y327" s="481"/>
      <c r="Z327" s="481"/>
      <c r="AA327" s="481"/>
      <c r="AB327" s="481"/>
      <c r="AC327" s="481"/>
      <c r="AD327" s="481"/>
      <c r="AE327" s="481"/>
      <c r="AF327" s="481"/>
      <c r="AG327" s="481"/>
      <c r="AH327" s="481"/>
      <c r="AI327" s="481"/>
      <c r="AJ327" s="481"/>
      <c r="AK327" s="481"/>
      <c r="AL327" s="481"/>
      <c r="AM327" s="481"/>
      <c r="AN327" s="481"/>
    </row>
    <row r="328" spans="1:40" ht="15.75" hidden="1" customHeight="1">
      <c r="A328" s="490" t="s">
        <v>404</v>
      </c>
      <c r="B328" s="481" t="s">
        <v>103</v>
      </c>
      <c r="C328" s="498" t="s">
        <v>20</v>
      </c>
      <c r="D328" s="552"/>
      <c r="E328" s="571"/>
      <c r="F328" s="499">
        <v>0</v>
      </c>
      <c r="G328" s="553"/>
      <c r="H328" s="571"/>
      <c r="I328" s="499"/>
      <c r="J328" s="491"/>
      <c r="K328" s="571"/>
      <c r="L328" s="501">
        <v>0</v>
      </c>
      <c r="M328" s="491"/>
      <c r="N328" s="547">
        <v>0</v>
      </c>
      <c r="O328" s="491"/>
      <c r="P328" s="571"/>
      <c r="Q328" s="501">
        <v>0</v>
      </c>
      <c r="R328" s="491"/>
      <c r="S328" s="547">
        <v>0</v>
      </c>
      <c r="T328" s="481"/>
      <c r="U328" s="481"/>
      <c r="V328" s="481"/>
      <c r="W328" s="481"/>
      <c r="X328" s="481"/>
      <c r="Y328" s="481"/>
      <c r="Z328" s="481"/>
      <c r="AA328" s="481"/>
      <c r="AB328" s="481"/>
      <c r="AC328" s="481"/>
      <c r="AD328" s="481"/>
      <c r="AE328" s="481"/>
      <c r="AF328" s="481"/>
      <c r="AG328" s="481"/>
      <c r="AH328" s="481"/>
      <c r="AI328" s="481"/>
      <c r="AJ328" s="481"/>
      <c r="AK328" s="481"/>
      <c r="AL328" s="481"/>
      <c r="AM328" s="481"/>
      <c r="AN328" s="481"/>
    </row>
    <row r="329" spans="1:40" ht="15.75" customHeight="1">
      <c r="A329" s="490" t="s">
        <v>422</v>
      </c>
      <c r="B329" s="481" t="s">
        <v>103</v>
      </c>
      <c r="C329" s="557" t="s">
        <v>49</v>
      </c>
      <c r="D329" s="558" t="s">
        <v>39</v>
      </c>
      <c r="E329" s="559">
        <v>0.40011984050176491</v>
      </c>
      <c r="F329" s="560">
        <v>46455.271172660992</v>
      </c>
      <c r="G329" s="561"/>
      <c r="H329" s="559"/>
      <c r="I329" s="560"/>
      <c r="J329" s="561" t="s">
        <v>39</v>
      </c>
      <c r="K329" s="559">
        <v>0.32799649982354645</v>
      </c>
      <c r="L329" s="560">
        <v>39732.429999999993</v>
      </c>
      <c r="M329" s="610"/>
      <c r="N329" s="573">
        <v>-6722.8411726609993</v>
      </c>
      <c r="O329" s="561" t="s">
        <v>39</v>
      </c>
      <c r="P329" s="559">
        <v>0.37014270458188192</v>
      </c>
      <c r="Q329" s="560">
        <v>46433.909999999996</v>
      </c>
      <c r="R329" s="610"/>
      <c r="S329" s="573">
        <v>-6701.4800000000032</v>
      </c>
      <c r="T329" s="481"/>
      <c r="U329" s="481"/>
      <c r="V329" s="481"/>
      <c r="W329" s="481"/>
      <c r="X329" s="481"/>
      <c r="Y329" s="481"/>
      <c r="Z329" s="481"/>
      <c r="AA329" s="481"/>
      <c r="AB329" s="481"/>
      <c r="AC329" s="481"/>
      <c r="AD329" s="481"/>
      <c r="AE329" s="481"/>
      <c r="AF329" s="481"/>
      <c r="AG329" s="481"/>
      <c r="AH329" s="481"/>
      <c r="AI329" s="481"/>
      <c r="AJ329" s="481"/>
      <c r="AK329" s="481"/>
      <c r="AL329" s="481"/>
      <c r="AM329" s="481"/>
      <c r="AN329" s="481"/>
    </row>
    <row r="330" spans="1:40" ht="15.75" customHeight="1">
      <c r="A330" s="490" t="s">
        <v>423</v>
      </c>
      <c r="B330" s="481" t="s">
        <v>103</v>
      </c>
      <c r="C330" s="664" t="s">
        <v>50</v>
      </c>
      <c r="D330" s="550"/>
      <c r="E330" s="481"/>
      <c r="F330" s="499">
        <v>4539.0119395833326</v>
      </c>
      <c r="G330" s="551"/>
      <c r="H330" s="481"/>
      <c r="I330" s="499"/>
      <c r="J330" s="498"/>
      <c r="K330" s="481"/>
      <c r="L330" s="501">
        <v>5403.41</v>
      </c>
      <c r="M330" s="498"/>
      <c r="N330" s="524">
        <v>864.39806041666725</v>
      </c>
      <c r="O330" s="498"/>
      <c r="P330" s="481"/>
      <c r="Q330" s="501">
        <v>1636.51</v>
      </c>
      <c r="R330" s="498"/>
      <c r="S330" s="524">
        <v>3766.8999999999996</v>
      </c>
      <c r="T330" s="481"/>
      <c r="U330" s="481"/>
      <c r="V330" s="481"/>
      <c r="W330" s="542"/>
      <c r="X330" s="481"/>
      <c r="Y330" s="481"/>
      <c r="Z330" s="481"/>
      <c r="AA330" s="481"/>
      <c r="AB330" s="481"/>
      <c r="AC330" s="481"/>
      <c r="AD330" s="481"/>
      <c r="AE330" s="481"/>
      <c r="AF330" s="481"/>
      <c r="AG330" s="481"/>
      <c r="AH330" s="481"/>
      <c r="AI330" s="481"/>
      <c r="AJ330" s="481"/>
      <c r="AK330" s="481"/>
      <c r="AL330" s="481"/>
      <c r="AM330" s="481"/>
      <c r="AN330" s="481"/>
    </row>
    <row r="331" spans="1:40" ht="15.75" customHeight="1">
      <c r="A331" s="490" t="s">
        <v>424</v>
      </c>
      <c r="B331" s="481" t="s">
        <v>103</v>
      </c>
      <c r="C331" s="565" t="s">
        <v>51</v>
      </c>
      <c r="D331" s="550"/>
      <c r="E331" s="481"/>
      <c r="F331" s="499">
        <v>977.85140630831643</v>
      </c>
      <c r="G331" s="551"/>
      <c r="H331" s="481"/>
      <c r="I331" s="499"/>
      <c r="J331" s="498"/>
      <c r="K331" s="481"/>
      <c r="L331" s="501">
        <v>60.37</v>
      </c>
      <c r="M331" s="498"/>
      <c r="N331" s="524">
        <v>-917.48140630831642</v>
      </c>
      <c r="O331" s="498"/>
      <c r="P331" s="481"/>
      <c r="Q331" s="501">
        <v>2263.06</v>
      </c>
      <c r="R331" s="498"/>
      <c r="S331" s="524">
        <v>-2202.69</v>
      </c>
      <c r="T331" s="481"/>
      <c r="U331" s="481"/>
      <c r="V331" s="481"/>
      <c r="W331" s="481"/>
      <c r="X331" s="481"/>
      <c r="Y331" s="481"/>
      <c r="Z331" s="481"/>
      <c r="AA331" s="481"/>
      <c r="AB331" s="481"/>
      <c r="AC331" s="481"/>
      <c r="AD331" s="481"/>
      <c r="AE331" s="481"/>
      <c r="AF331" s="481"/>
      <c r="AG331" s="481"/>
      <c r="AH331" s="481"/>
      <c r="AI331" s="481"/>
      <c r="AJ331" s="481"/>
      <c r="AK331" s="481"/>
      <c r="AL331" s="481"/>
      <c r="AM331" s="481"/>
      <c r="AN331" s="481"/>
    </row>
    <row r="332" spans="1:40" ht="15.75" customHeight="1">
      <c r="A332" s="490" t="s">
        <v>425</v>
      </c>
      <c r="B332" s="481" t="s">
        <v>103</v>
      </c>
      <c r="C332" s="566" t="s">
        <v>52</v>
      </c>
      <c r="D332" s="552"/>
      <c r="E332" s="571"/>
      <c r="F332" s="493">
        <v>475.83333333333331</v>
      </c>
      <c r="G332" s="553"/>
      <c r="H332" s="571"/>
      <c r="I332" s="493"/>
      <c r="J332" s="491"/>
      <c r="K332" s="571"/>
      <c r="L332" s="501">
        <v>927.84</v>
      </c>
      <c r="M332" s="491"/>
      <c r="N332" s="547">
        <v>452.00666666666672</v>
      </c>
      <c r="O332" s="491"/>
      <c r="P332" s="571"/>
      <c r="Q332" s="501">
        <v>275.75</v>
      </c>
      <c r="R332" s="491"/>
      <c r="S332" s="547">
        <v>652.09</v>
      </c>
      <c r="T332" s="481"/>
      <c r="U332" s="481"/>
      <c r="V332" s="481"/>
      <c r="W332" s="481"/>
      <c r="X332" s="481"/>
      <c r="Y332" s="481"/>
      <c r="Z332" s="481"/>
      <c r="AA332" s="481"/>
      <c r="AB332" s="481"/>
      <c r="AC332" s="481"/>
      <c r="AD332" s="481"/>
      <c r="AE332" s="481"/>
      <c r="AF332" s="481"/>
      <c r="AG332" s="481"/>
      <c r="AH332" s="481"/>
      <c r="AI332" s="481"/>
      <c r="AJ332" s="481"/>
      <c r="AK332" s="481"/>
      <c r="AL332" s="481"/>
      <c r="AM332" s="481"/>
      <c r="AN332" s="481"/>
    </row>
    <row r="333" spans="1:40" ht="15.75" customHeight="1">
      <c r="A333" s="490" t="s">
        <v>426</v>
      </c>
      <c r="B333" s="481" t="s">
        <v>103</v>
      </c>
      <c r="C333" s="565" t="s">
        <v>53</v>
      </c>
      <c r="D333" s="550"/>
      <c r="E333" s="481"/>
      <c r="F333" s="499">
        <v>3511.6571083333338</v>
      </c>
      <c r="G333" s="551"/>
      <c r="H333" s="481"/>
      <c r="I333" s="499"/>
      <c r="J333" s="498"/>
      <c r="K333" s="481"/>
      <c r="L333" s="520">
        <v>3830.31</v>
      </c>
      <c r="M333" s="498"/>
      <c r="N333" s="524">
        <v>318.65289166666616</v>
      </c>
      <c r="O333" s="498"/>
      <c r="P333" s="481"/>
      <c r="Q333" s="520">
        <v>3937.26</v>
      </c>
      <c r="R333" s="498"/>
      <c r="S333" s="524">
        <v>-106.95000000000027</v>
      </c>
      <c r="T333" s="481"/>
      <c r="U333" s="481"/>
      <c r="V333" s="481"/>
      <c r="W333" s="481"/>
      <c r="X333" s="481"/>
      <c r="Y333" s="481"/>
      <c r="Z333" s="481"/>
      <c r="AA333" s="481"/>
      <c r="AB333" s="481"/>
      <c r="AC333" s="481"/>
      <c r="AD333" s="481"/>
      <c r="AE333" s="481"/>
      <c r="AF333" s="481"/>
      <c r="AG333" s="481"/>
      <c r="AH333" s="481"/>
      <c r="AI333" s="481"/>
      <c r="AJ333" s="481"/>
      <c r="AK333" s="481"/>
      <c r="AL333" s="481"/>
      <c r="AM333" s="481"/>
      <c r="AN333" s="481"/>
    </row>
    <row r="334" spans="1:40" ht="15.75" customHeight="1">
      <c r="A334" s="490" t="s">
        <v>427</v>
      </c>
      <c r="B334" s="481" t="s">
        <v>103</v>
      </c>
      <c r="C334" s="565" t="s">
        <v>54</v>
      </c>
      <c r="D334" s="550"/>
      <c r="E334" s="481"/>
      <c r="F334" s="499">
        <v>781.31878489583323</v>
      </c>
      <c r="G334" s="551"/>
      <c r="H334" s="481"/>
      <c r="I334" s="499"/>
      <c r="J334" s="498"/>
      <c r="K334" s="481"/>
      <c r="L334" s="501">
        <v>831.42</v>
      </c>
      <c r="M334" s="498"/>
      <c r="N334" s="524">
        <v>50.101215104166727</v>
      </c>
      <c r="O334" s="498"/>
      <c r="P334" s="481"/>
      <c r="Q334" s="501">
        <v>538.54999999999995</v>
      </c>
      <c r="R334" s="498"/>
      <c r="S334" s="524">
        <v>292.87</v>
      </c>
      <c r="T334" s="481"/>
      <c r="U334" s="481"/>
      <c r="V334" s="481"/>
      <c r="W334" s="481"/>
      <c r="X334" s="481"/>
      <c r="Y334" s="481"/>
      <c r="Z334" s="481"/>
      <c r="AA334" s="481"/>
      <c r="AB334" s="481"/>
      <c r="AC334" s="481"/>
      <c r="AD334" s="481"/>
      <c r="AE334" s="481"/>
      <c r="AF334" s="481"/>
      <c r="AG334" s="481"/>
      <c r="AH334" s="481"/>
      <c r="AI334" s="481"/>
      <c r="AJ334" s="481"/>
      <c r="AK334" s="481"/>
      <c r="AL334" s="481"/>
      <c r="AM334" s="481"/>
      <c r="AN334" s="481"/>
    </row>
    <row r="335" spans="1:40" ht="15.75" customHeight="1">
      <c r="A335" s="490" t="s">
        <v>428</v>
      </c>
      <c r="B335" s="481" t="s">
        <v>103</v>
      </c>
      <c r="C335" s="566" t="s">
        <v>55</v>
      </c>
      <c r="D335" s="552"/>
      <c r="E335" s="571"/>
      <c r="F335" s="493">
        <v>7462.3948388888884</v>
      </c>
      <c r="G335" s="553"/>
      <c r="H335" s="571"/>
      <c r="I335" s="493"/>
      <c r="J335" s="491"/>
      <c r="K335" s="571"/>
      <c r="L335" s="493">
        <v>13115.82</v>
      </c>
      <c r="M335" s="491"/>
      <c r="N335" s="547">
        <v>5653.4251611111113</v>
      </c>
      <c r="O335" s="491"/>
      <c r="P335" s="571"/>
      <c r="Q335" s="493">
        <v>9664.32</v>
      </c>
      <c r="R335" s="491"/>
      <c r="S335" s="547">
        <v>3451.5</v>
      </c>
      <c r="T335" s="481"/>
      <c r="U335" s="481"/>
      <c r="V335" s="481"/>
      <c r="W335" s="481"/>
      <c r="X335" s="481"/>
      <c r="Y335" s="481"/>
      <c r="Z335" s="481"/>
      <c r="AA335" s="481"/>
      <c r="AB335" s="481"/>
      <c r="AC335" s="481"/>
      <c r="AD335" s="481"/>
      <c r="AE335" s="481"/>
      <c r="AF335" s="481"/>
      <c r="AG335" s="481"/>
      <c r="AH335" s="481"/>
      <c r="AI335" s="481"/>
      <c r="AJ335" s="481"/>
      <c r="AK335" s="481"/>
      <c r="AL335" s="481"/>
      <c r="AM335" s="481"/>
      <c r="AN335" s="481"/>
    </row>
    <row r="336" spans="1:40" ht="15.75" customHeight="1">
      <c r="A336" s="490" t="s">
        <v>429</v>
      </c>
      <c r="B336" s="481" t="s">
        <v>103</v>
      </c>
      <c r="C336" s="565" t="s">
        <v>98</v>
      </c>
      <c r="D336" s="550"/>
      <c r="E336" s="481"/>
      <c r="F336" s="499"/>
      <c r="G336" s="551"/>
      <c r="H336" s="481"/>
      <c r="I336" s="499"/>
      <c r="J336" s="498"/>
      <c r="K336" s="481"/>
      <c r="L336" s="501">
        <v>0</v>
      </c>
      <c r="M336" s="498"/>
      <c r="N336" s="524">
        <v>0</v>
      </c>
      <c r="O336" s="498"/>
      <c r="P336" s="481"/>
      <c r="Q336" s="501">
        <v>0</v>
      </c>
      <c r="R336" s="498"/>
      <c r="S336" s="524">
        <v>0</v>
      </c>
      <c r="T336" s="481"/>
      <c r="U336" s="481"/>
      <c r="V336" s="481"/>
      <c r="W336" s="481"/>
      <c r="X336" s="481"/>
      <c r="Y336" s="481"/>
      <c r="Z336" s="481"/>
      <c r="AA336" s="481"/>
      <c r="AB336" s="481"/>
      <c r="AC336" s="481"/>
      <c r="AD336" s="481"/>
      <c r="AE336" s="481"/>
      <c r="AF336" s="481"/>
      <c r="AG336" s="481"/>
      <c r="AH336" s="481"/>
      <c r="AI336" s="481"/>
      <c r="AJ336" s="481"/>
      <c r="AK336" s="481"/>
      <c r="AL336" s="481"/>
      <c r="AM336" s="481"/>
      <c r="AN336" s="481"/>
    </row>
    <row r="337" spans="1:40" ht="15.75" customHeight="1">
      <c r="A337" s="490" t="s">
        <v>430</v>
      </c>
      <c r="B337" s="481" t="s">
        <v>103</v>
      </c>
      <c r="C337" s="565" t="s">
        <v>56</v>
      </c>
      <c r="D337" s="550"/>
      <c r="E337" s="481"/>
      <c r="F337" s="499">
        <v>124.83089991785656</v>
      </c>
      <c r="G337" s="551"/>
      <c r="H337" s="481"/>
      <c r="I337" s="499"/>
      <c r="J337" s="498"/>
      <c r="K337" s="481"/>
      <c r="L337" s="501">
        <v>37.25</v>
      </c>
      <c r="M337" s="498"/>
      <c r="N337" s="524">
        <v>-87.580899917856556</v>
      </c>
      <c r="O337" s="498"/>
      <c r="P337" s="481"/>
      <c r="Q337" s="501">
        <v>13.58</v>
      </c>
      <c r="R337" s="498"/>
      <c r="S337" s="524">
        <v>23.67</v>
      </c>
      <c r="T337" s="481"/>
      <c r="U337" s="481"/>
      <c r="V337" s="481"/>
      <c r="W337" s="481"/>
      <c r="X337" s="481"/>
      <c r="Y337" s="481"/>
      <c r="Z337" s="481"/>
      <c r="AA337" s="481"/>
      <c r="AB337" s="481"/>
      <c r="AC337" s="481"/>
      <c r="AD337" s="481"/>
      <c r="AE337" s="481"/>
      <c r="AF337" s="481"/>
      <c r="AG337" s="481"/>
      <c r="AH337" s="481"/>
      <c r="AI337" s="481"/>
      <c r="AJ337" s="481"/>
      <c r="AK337" s="481"/>
      <c r="AL337" s="481"/>
      <c r="AM337" s="481"/>
      <c r="AN337" s="481"/>
    </row>
    <row r="338" spans="1:40" ht="15.75" customHeight="1">
      <c r="A338" s="490" t="s">
        <v>431</v>
      </c>
      <c r="B338" s="481" t="s">
        <v>103</v>
      </c>
      <c r="C338" s="565" t="s">
        <v>57</v>
      </c>
      <c r="D338" s="550"/>
      <c r="E338" s="481"/>
      <c r="F338" s="499">
        <v>64.46125345154239</v>
      </c>
      <c r="G338" s="551"/>
      <c r="H338" s="481"/>
      <c r="I338" s="499"/>
      <c r="J338" s="498"/>
      <c r="K338" s="481"/>
      <c r="L338" s="501">
        <v>0</v>
      </c>
      <c r="M338" s="498"/>
      <c r="N338" s="524">
        <v>-64.46125345154239</v>
      </c>
      <c r="O338" s="498"/>
      <c r="P338" s="481"/>
      <c r="Q338" s="501">
        <v>0</v>
      </c>
      <c r="R338" s="498"/>
      <c r="S338" s="524">
        <v>0</v>
      </c>
      <c r="T338" s="481"/>
      <c r="U338" s="481"/>
      <c r="V338" s="481"/>
      <c r="W338" s="481"/>
      <c r="X338" s="481"/>
      <c r="Y338" s="481"/>
      <c r="Z338" s="481"/>
      <c r="AA338" s="481"/>
      <c r="AB338" s="481"/>
      <c r="AC338" s="481"/>
      <c r="AD338" s="481"/>
      <c r="AE338" s="481"/>
      <c r="AF338" s="481"/>
      <c r="AG338" s="481"/>
      <c r="AH338" s="481"/>
      <c r="AI338" s="481"/>
      <c r="AJ338" s="481"/>
      <c r="AK338" s="481"/>
      <c r="AL338" s="481"/>
      <c r="AM338" s="481"/>
      <c r="AN338" s="481"/>
    </row>
    <row r="339" spans="1:40" ht="15.75" customHeight="1">
      <c r="A339" s="490" t="s">
        <v>432</v>
      </c>
      <c r="B339" s="481" t="s">
        <v>103</v>
      </c>
      <c r="C339" s="565" t="s">
        <v>58</v>
      </c>
      <c r="D339" s="550"/>
      <c r="E339" s="481"/>
      <c r="F339" s="499">
        <v>596.44612124999981</v>
      </c>
      <c r="G339" s="551"/>
      <c r="H339" s="481"/>
      <c r="I339" s="499"/>
      <c r="J339" s="498"/>
      <c r="K339" s="481"/>
      <c r="L339" s="501">
        <v>870.44</v>
      </c>
      <c r="M339" s="498"/>
      <c r="N339" s="524">
        <v>273.99387875000025</v>
      </c>
      <c r="O339" s="498"/>
      <c r="P339" s="481"/>
      <c r="Q339" s="501">
        <v>542.44000000000005</v>
      </c>
      <c r="R339" s="498"/>
      <c r="S339" s="524">
        <v>328</v>
      </c>
      <c r="T339" s="481"/>
      <c r="U339" s="481"/>
      <c r="V339" s="481"/>
      <c r="W339" s="481"/>
      <c r="X339" s="481"/>
      <c r="Y339" s="481"/>
      <c r="Z339" s="481"/>
      <c r="AA339" s="481"/>
      <c r="AB339" s="481"/>
      <c r="AC339" s="481"/>
      <c r="AD339" s="481"/>
      <c r="AE339" s="481"/>
      <c r="AF339" s="481"/>
      <c r="AG339" s="481"/>
      <c r="AH339" s="481"/>
      <c r="AI339" s="481"/>
      <c r="AJ339" s="481"/>
      <c r="AK339" s="481"/>
      <c r="AL339" s="481"/>
      <c r="AM339" s="481"/>
      <c r="AN339" s="481"/>
    </row>
    <row r="340" spans="1:40" ht="15.75" customHeight="1">
      <c r="A340" s="490" t="s">
        <v>433</v>
      </c>
      <c r="B340" s="481" t="s">
        <v>103</v>
      </c>
      <c r="C340" s="565" t="s">
        <v>59</v>
      </c>
      <c r="D340" s="550"/>
      <c r="E340" s="481"/>
      <c r="F340" s="499">
        <v>202.12519543402777</v>
      </c>
      <c r="G340" s="551"/>
      <c r="H340" s="481"/>
      <c r="I340" s="499"/>
      <c r="J340" s="498"/>
      <c r="K340" s="481"/>
      <c r="L340" s="501">
        <v>192.54</v>
      </c>
      <c r="M340" s="498"/>
      <c r="N340" s="524">
        <v>-9.5851954340277814</v>
      </c>
      <c r="O340" s="498"/>
      <c r="P340" s="481"/>
      <c r="Q340" s="501">
        <v>86.83</v>
      </c>
      <c r="R340" s="498"/>
      <c r="S340" s="524">
        <v>105.71</v>
      </c>
      <c r="T340" s="481"/>
      <c r="U340" s="481"/>
      <c r="V340" s="481"/>
      <c r="W340" s="481"/>
      <c r="X340" s="481"/>
      <c r="Y340" s="481"/>
      <c r="Z340" s="481"/>
      <c r="AA340" s="481"/>
      <c r="AB340" s="481"/>
      <c r="AC340" s="481"/>
      <c r="AD340" s="481"/>
      <c r="AE340" s="481"/>
      <c r="AF340" s="481"/>
      <c r="AG340" s="481"/>
      <c r="AH340" s="481"/>
      <c r="AI340" s="481"/>
      <c r="AJ340" s="481"/>
      <c r="AK340" s="481"/>
      <c r="AL340" s="481"/>
      <c r="AM340" s="481"/>
      <c r="AN340" s="481"/>
    </row>
    <row r="341" spans="1:40" ht="15.75" customHeight="1">
      <c r="A341" s="490" t="s">
        <v>434</v>
      </c>
      <c r="B341" s="481" t="s">
        <v>103</v>
      </c>
      <c r="C341" s="565" t="s">
        <v>60</v>
      </c>
      <c r="D341" s="550"/>
      <c r="E341" s="481"/>
      <c r="F341" s="499">
        <v>96.675229565972202</v>
      </c>
      <c r="G341" s="551"/>
      <c r="H341" s="481"/>
      <c r="I341" s="499"/>
      <c r="J341" s="498"/>
      <c r="K341" s="481"/>
      <c r="L341" s="501">
        <v>-163.86</v>
      </c>
      <c r="M341" s="498"/>
      <c r="N341" s="524">
        <v>-260.5352295659722</v>
      </c>
      <c r="O341" s="498"/>
      <c r="P341" s="481"/>
      <c r="Q341" s="501">
        <v>-119.92</v>
      </c>
      <c r="R341" s="498"/>
      <c r="S341" s="524">
        <v>-43.940000000000012</v>
      </c>
      <c r="T341" s="481"/>
      <c r="U341" s="481"/>
      <c r="V341" s="481"/>
      <c r="W341" s="481"/>
      <c r="X341" s="481"/>
      <c r="Y341" s="481"/>
      <c r="Z341" s="481"/>
      <c r="AA341" s="481"/>
      <c r="AB341" s="481"/>
      <c r="AC341" s="481"/>
      <c r="AD341" s="481"/>
      <c r="AE341" s="481"/>
      <c r="AF341" s="481"/>
      <c r="AG341" s="481"/>
      <c r="AH341" s="481"/>
      <c r="AI341" s="481"/>
      <c r="AJ341" s="481"/>
      <c r="AK341" s="481"/>
      <c r="AL341" s="481"/>
      <c r="AM341" s="481"/>
      <c r="AN341" s="481"/>
    </row>
    <row r="342" spans="1:40" ht="15.75" customHeight="1">
      <c r="A342" s="490" t="s">
        <v>435</v>
      </c>
      <c r="B342" s="481" t="s">
        <v>103</v>
      </c>
      <c r="C342" s="565" t="s">
        <v>61</v>
      </c>
      <c r="D342" s="550"/>
      <c r="E342" s="481"/>
      <c r="F342" s="499">
        <v>367.32997112847221</v>
      </c>
      <c r="G342" s="551"/>
      <c r="H342" s="481"/>
      <c r="I342" s="499"/>
      <c r="J342" s="498"/>
      <c r="K342" s="481"/>
      <c r="L342" s="501">
        <v>88.05</v>
      </c>
      <c r="M342" s="498"/>
      <c r="N342" s="524">
        <v>-279.2799711284722</v>
      </c>
      <c r="O342" s="498"/>
      <c r="P342" s="481"/>
      <c r="Q342" s="501">
        <v>49</v>
      </c>
      <c r="R342" s="498"/>
      <c r="S342" s="524">
        <v>39.049999999999997</v>
      </c>
      <c r="T342" s="481"/>
      <c r="U342" s="481"/>
      <c r="V342" s="481"/>
      <c r="W342" s="481"/>
      <c r="X342" s="481"/>
      <c r="Y342" s="481"/>
      <c r="Z342" s="481"/>
      <c r="AA342" s="481"/>
      <c r="AB342" s="481"/>
      <c r="AC342" s="481"/>
      <c r="AD342" s="481"/>
      <c r="AE342" s="481"/>
      <c r="AF342" s="481"/>
      <c r="AG342" s="481"/>
      <c r="AH342" s="481"/>
      <c r="AI342" s="481"/>
      <c r="AJ342" s="481"/>
      <c r="AK342" s="481"/>
      <c r="AL342" s="481"/>
      <c r="AM342" s="481"/>
      <c r="AN342" s="481"/>
    </row>
    <row r="343" spans="1:40" ht="15.75" customHeight="1">
      <c r="A343" s="490" t="s">
        <v>436</v>
      </c>
      <c r="B343" s="481" t="s">
        <v>103</v>
      </c>
      <c r="C343" s="565" t="s">
        <v>62</v>
      </c>
      <c r="D343" s="550"/>
      <c r="E343" s="481"/>
      <c r="F343" s="499">
        <v>528.75209894982299</v>
      </c>
      <c r="G343" s="551"/>
      <c r="H343" s="481"/>
      <c r="I343" s="499"/>
      <c r="J343" s="498"/>
      <c r="K343" s="481"/>
      <c r="L343" s="501">
        <v>315.02</v>
      </c>
      <c r="M343" s="498"/>
      <c r="N343" s="524">
        <v>-213.73209894982301</v>
      </c>
      <c r="O343" s="498"/>
      <c r="P343" s="481"/>
      <c r="Q343" s="501">
        <v>79.75</v>
      </c>
      <c r="R343" s="498"/>
      <c r="S343" s="524">
        <v>235.26999999999998</v>
      </c>
      <c r="T343" s="481"/>
      <c r="X343" s="481"/>
      <c r="Y343" s="481"/>
      <c r="Z343" s="481"/>
      <c r="AA343" s="481"/>
      <c r="AB343" s="481"/>
      <c r="AC343" s="481"/>
      <c r="AD343" s="481"/>
      <c r="AE343" s="481"/>
      <c r="AF343" s="481"/>
      <c r="AG343" s="481"/>
      <c r="AH343" s="481"/>
      <c r="AI343" s="481"/>
      <c r="AJ343" s="481"/>
      <c r="AK343" s="481"/>
      <c r="AL343" s="481"/>
      <c r="AM343" s="481"/>
      <c r="AN343" s="481"/>
    </row>
    <row r="344" spans="1:40" ht="15.75" customHeight="1">
      <c r="A344" s="490" t="s">
        <v>437</v>
      </c>
      <c r="B344" s="481" t="s">
        <v>103</v>
      </c>
      <c r="C344" s="565" t="s">
        <v>63</v>
      </c>
      <c r="D344" s="550"/>
      <c r="E344" s="481"/>
      <c r="F344" s="499">
        <v>1083.3535723495838</v>
      </c>
      <c r="G344" s="551"/>
      <c r="H344" s="481"/>
      <c r="I344" s="499"/>
      <c r="J344" s="498"/>
      <c r="K344" s="481"/>
      <c r="L344" s="501">
        <v>1182.18</v>
      </c>
      <c r="M344" s="498"/>
      <c r="N344" s="524">
        <v>98.826427650416235</v>
      </c>
      <c r="O344" s="498"/>
      <c r="P344" s="481"/>
      <c r="Q344" s="501">
        <v>1816.8119999999999</v>
      </c>
      <c r="R344" s="498"/>
      <c r="S344" s="524">
        <v>-634.63199999999983</v>
      </c>
      <c r="T344" s="481"/>
      <c r="X344" s="481"/>
      <c r="Y344" s="481"/>
      <c r="Z344" s="481"/>
      <c r="AA344" s="481"/>
      <c r="AB344" s="481"/>
      <c r="AC344" s="481"/>
      <c r="AD344" s="481"/>
      <c r="AE344" s="481"/>
      <c r="AF344" s="481"/>
      <c r="AG344" s="481"/>
      <c r="AH344" s="481"/>
      <c r="AI344" s="481"/>
      <c r="AJ344" s="481"/>
      <c r="AK344" s="481"/>
      <c r="AL344" s="481"/>
      <c r="AM344" s="481"/>
      <c r="AN344" s="481"/>
    </row>
    <row r="345" spans="1:40" ht="15.75" hidden="1" customHeight="1">
      <c r="A345" s="490" t="s">
        <v>404</v>
      </c>
      <c r="B345" s="481" t="s">
        <v>103</v>
      </c>
      <c r="C345" s="565" t="s">
        <v>20</v>
      </c>
      <c r="D345" s="550"/>
      <c r="E345" s="481"/>
      <c r="F345" s="499">
        <v>0</v>
      </c>
      <c r="G345" s="551"/>
      <c r="H345" s="481"/>
      <c r="I345" s="499"/>
      <c r="J345" s="498"/>
      <c r="K345" s="481"/>
      <c r="L345" s="501">
        <v>0</v>
      </c>
      <c r="M345" s="498"/>
      <c r="N345" s="524">
        <v>0</v>
      </c>
      <c r="O345" s="498"/>
      <c r="P345" s="481"/>
      <c r="Q345" s="501">
        <v>0</v>
      </c>
      <c r="R345" s="498"/>
      <c r="S345" s="524">
        <v>0</v>
      </c>
      <c r="T345" s="481"/>
      <c r="X345" s="481"/>
      <c r="Y345" s="481"/>
      <c r="Z345" s="481"/>
      <c r="AA345" s="481"/>
      <c r="AB345" s="481"/>
      <c r="AC345" s="481"/>
      <c r="AD345" s="481"/>
      <c r="AE345" s="481"/>
      <c r="AF345" s="481"/>
      <c r="AG345" s="481"/>
      <c r="AH345" s="481"/>
      <c r="AI345" s="481"/>
      <c r="AJ345" s="481"/>
      <c r="AK345" s="481"/>
      <c r="AL345" s="481"/>
      <c r="AM345" s="481"/>
      <c r="AN345" s="481"/>
    </row>
    <row r="346" spans="1:40" ht="15.75" hidden="1" customHeight="1">
      <c r="A346" s="490" t="s">
        <v>404</v>
      </c>
      <c r="B346" s="481" t="s">
        <v>103</v>
      </c>
      <c r="C346" s="565" t="s">
        <v>20</v>
      </c>
      <c r="D346" s="550"/>
      <c r="E346" s="481"/>
      <c r="F346" s="499">
        <v>0</v>
      </c>
      <c r="G346" s="551"/>
      <c r="H346" s="481"/>
      <c r="I346" s="499"/>
      <c r="J346" s="498"/>
      <c r="K346" s="481"/>
      <c r="L346" s="501">
        <v>0</v>
      </c>
      <c r="M346" s="498"/>
      <c r="N346" s="524">
        <v>0</v>
      </c>
      <c r="O346" s="498"/>
      <c r="P346" s="481"/>
      <c r="Q346" s="501">
        <v>0</v>
      </c>
      <c r="R346" s="498"/>
      <c r="S346" s="524">
        <v>0</v>
      </c>
      <c r="T346" s="481"/>
      <c r="X346" s="481"/>
      <c r="Y346" s="481"/>
      <c r="Z346" s="481"/>
      <c r="AA346" s="481"/>
      <c r="AB346" s="481"/>
      <c r="AC346" s="481"/>
      <c r="AD346" s="481"/>
      <c r="AE346" s="481"/>
      <c r="AF346" s="481"/>
      <c r="AG346" s="481"/>
      <c r="AH346" s="481"/>
      <c r="AI346" s="481"/>
      <c r="AJ346" s="481"/>
      <c r="AK346" s="481"/>
      <c r="AL346" s="481"/>
      <c r="AM346" s="481"/>
      <c r="AN346" s="481"/>
    </row>
    <row r="347" spans="1:40" ht="15.75" hidden="1" customHeight="1">
      <c r="A347" s="490" t="s">
        <v>404</v>
      </c>
      <c r="B347" s="481" t="s">
        <v>103</v>
      </c>
      <c r="C347" s="565" t="s">
        <v>20</v>
      </c>
      <c r="D347" s="550"/>
      <c r="E347" s="481"/>
      <c r="F347" s="499">
        <v>0</v>
      </c>
      <c r="G347" s="551"/>
      <c r="H347" s="481"/>
      <c r="I347" s="499"/>
      <c r="J347" s="498"/>
      <c r="K347" s="481"/>
      <c r="L347" s="501">
        <v>0</v>
      </c>
      <c r="M347" s="498"/>
      <c r="N347" s="524">
        <v>0</v>
      </c>
      <c r="O347" s="498"/>
      <c r="P347" s="481"/>
      <c r="Q347" s="501">
        <v>0</v>
      </c>
      <c r="R347" s="498"/>
      <c r="S347" s="524">
        <v>0</v>
      </c>
      <c r="T347" s="481"/>
      <c r="X347" s="481"/>
      <c r="Y347" s="481"/>
      <c r="Z347" s="481"/>
      <c r="AA347" s="481"/>
      <c r="AB347" s="481"/>
      <c r="AC347" s="481"/>
      <c r="AD347" s="481"/>
      <c r="AE347" s="481"/>
      <c r="AF347" s="481"/>
      <c r="AG347" s="481"/>
      <c r="AH347" s="481"/>
      <c r="AI347" s="481"/>
      <c r="AJ347" s="481"/>
      <c r="AK347" s="481"/>
      <c r="AL347" s="481"/>
      <c r="AM347" s="481"/>
      <c r="AN347" s="481"/>
    </row>
    <row r="348" spans="1:40" ht="15.75" customHeight="1">
      <c r="B348" s="475"/>
      <c r="C348" s="557" t="s">
        <v>64</v>
      </c>
      <c r="D348" s="558" t="s">
        <v>39</v>
      </c>
      <c r="E348" s="559">
        <v>0.17925437989442289</v>
      </c>
      <c r="F348" s="560">
        <v>20812.041753390316</v>
      </c>
      <c r="G348" s="561"/>
      <c r="H348" s="559"/>
      <c r="I348" s="560"/>
      <c r="J348" s="561" t="s">
        <v>39</v>
      </c>
      <c r="K348" s="559">
        <v>0.22033602519466633</v>
      </c>
      <c r="L348" s="560">
        <v>26690.789999999997</v>
      </c>
      <c r="M348" s="564"/>
      <c r="N348" s="560">
        <v>5878.7482466096835</v>
      </c>
      <c r="O348" s="561" t="s">
        <v>39</v>
      </c>
      <c r="P348" s="559">
        <v>0.16567686209825899</v>
      </c>
      <c r="Q348" s="560">
        <v>20783.942000000003</v>
      </c>
      <c r="R348" s="564"/>
      <c r="S348" s="560">
        <v>5906.848</v>
      </c>
      <c r="T348" s="481"/>
      <c r="X348" s="481"/>
      <c r="Y348" s="481"/>
      <c r="Z348" s="481"/>
      <c r="AA348" s="481"/>
      <c r="AB348" s="481"/>
      <c r="AC348" s="481"/>
      <c r="AD348" s="481"/>
      <c r="AE348" s="481"/>
      <c r="AF348" s="481"/>
      <c r="AG348" s="481"/>
      <c r="AH348" s="481"/>
      <c r="AI348" s="481"/>
      <c r="AJ348" s="481"/>
      <c r="AK348" s="481"/>
      <c r="AL348" s="481"/>
      <c r="AM348" s="481"/>
      <c r="AN348" s="481"/>
    </row>
    <row r="349" spans="1:40" ht="15.75" customHeight="1">
      <c r="B349" s="475"/>
      <c r="C349" s="491"/>
      <c r="D349" s="552"/>
      <c r="E349" s="571"/>
      <c r="F349" s="524"/>
      <c r="G349" s="553"/>
      <c r="H349" s="571"/>
      <c r="I349" s="524"/>
      <c r="J349" s="491"/>
      <c r="K349" s="571"/>
      <c r="L349" s="547"/>
      <c r="M349" s="491"/>
      <c r="N349" s="547"/>
      <c r="O349" s="491"/>
      <c r="P349" s="571"/>
      <c r="Q349" s="547"/>
      <c r="R349" s="491"/>
      <c r="S349" s="547"/>
      <c r="T349" s="481"/>
      <c r="U349" s="481"/>
      <c r="V349" s="481"/>
      <c r="W349" s="481"/>
      <c r="X349" s="481"/>
      <c r="Y349" s="481"/>
      <c r="Z349" s="481"/>
      <c r="AA349" s="481"/>
      <c r="AB349" s="481"/>
      <c r="AC349" s="481"/>
      <c r="AD349" s="481"/>
      <c r="AE349" s="481"/>
      <c r="AF349" s="481"/>
      <c r="AG349" s="481"/>
      <c r="AH349" s="481"/>
      <c r="AI349" s="481"/>
      <c r="AJ349" s="481"/>
      <c r="AK349" s="481"/>
      <c r="AL349" s="481"/>
      <c r="AM349" s="481"/>
      <c r="AN349" s="481"/>
    </row>
    <row r="350" spans="1:40" ht="15.75" customHeight="1">
      <c r="B350" s="475"/>
      <c r="C350" s="557" t="s">
        <v>65</v>
      </c>
      <c r="D350" s="558" t="s">
        <v>39</v>
      </c>
      <c r="E350" s="559">
        <v>0.5793742203961878</v>
      </c>
      <c r="F350" s="560">
        <v>67267.312926051309</v>
      </c>
      <c r="G350" s="561"/>
      <c r="H350" s="559"/>
      <c r="I350" s="560"/>
      <c r="J350" s="561" t="s">
        <v>39</v>
      </c>
      <c r="K350" s="559">
        <v>0.54833252501821272</v>
      </c>
      <c r="L350" s="560">
        <v>66423.219999999987</v>
      </c>
      <c r="M350" s="564"/>
      <c r="N350" s="573">
        <v>-844.09292605132214</v>
      </c>
      <c r="O350" s="561" t="s">
        <v>39</v>
      </c>
      <c r="P350" s="559">
        <v>0.53581956668014086</v>
      </c>
      <c r="Q350" s="560">
        <v>67217.851999999999</v>
      </c>
      <c r="R350" s="564"/>
      <c r="S350" s="573">
        <v>-794.63200000001234</v>
      </c>
      <c r="T350" s="481"/>
      <c r="U350" s="481"/>
      <c r="V350" s="481"/>
      <c r="W350" s="481"/>
      <c r="X350" s="481"/>
      <c r="Y350" s="481"/>
      <c r="Z350" s="481"/>
      <c r="AA350" s="481"/>
      <c r="AB350" s="481"/>
      <c r="AC350" s="481"/>
      <c r="AD350" s="481"/>
      <c r="AE350" s="481"/>
      <c r="AF350" s="481"/>
      <c r="AG350" s="481"/>
      <c r="AH350" s="481"/>
      <c r="AI350" s="481"/>
      <c r="AJ350" s="481"/>
      <c r="AK350" s="481"/>
      <c r="AL350" s="481"/>
      <c r="AM350" s="481"/>
      <c r="AN350" s="481"/>
    </row>
    <row r="351" spans="1:40" ht="15.75" customHeight="1">
      <c r="B351" s="475"/>
      <c r="C351" s="498"/>
      <c r="D351" s="550"/>
      <c r="E351" s="481"/>
      <c r="F351" s="524"/>
      <c r="G351" s="551"/>
      <c r="H351" s="481"/>
      <c r="I351" s="524"/>
      <c r="J351" s="498"/>
      <c r="K351" s="481"/>
      <c r="L351" s="524"/>
      <c r="M351" s="498"/>
      <c r="N351" s="524">
        <v>0</v>
      </c>
      <c r="O351" s="498"/>
      <c r="P351" s="481"/>
      <c r="Q351" s="524"/>
      <c r="R351" s="498"/>
      <c r="S351" s="524"/>
      <c r="T351" s="481"/>
      <c r="U351" s="481"/>
      <c r="V351" s="481"/>
      <c r="W351" s="481"/>
      <c r="X351" s="481"/>
      <c r="Y351" s="481"/>
      <c r="Z351" s="481"/>
      <c r="AA351" s="481"/>
      <c r="AB351" s="481"/>
      <c r="AC351" s="481"/>
      <c r="AD351" s="481"/>
      <c r="AE351" s="481"/>
      <c r="AF351" s="481"/>
      <c r="AG351" s="481"/>
      <c r="AH351" s="481"/>
      <c r="AI351" s="481"/>
      <c r="AJ351" s="481"/>
      <c r="AK351" s="481"/>
      <c r="AL351" s="481"/>
      <c r="AM351" s="481"/>
      <c r="AN351" s="481"/>
    </row>
    <row r="352" spans="1:40" ht="24" customHeight="1" thickBot="1">
      <c r="B352" s="475"/>
      <c r="C352" s="587" t="s">
        <v>72</v>
      </c>
      <c r="D352" s="615"/>
      <c r="E352" s="588"/>
      <c r="F352" s="590">
        <v>48836.080283354109</v>
      </c>
      <c r="G352" s="616"/>
      <c r="H352" s="588"/>
      <c r="I352" s="590"/>
      <c r="J352" s="587"/>
      <c r="K352" s="589"/>
      <c r="L352" s="590">
        <v>54713.530000000013</v>
      </c>
      <c r="M352" s="587"/>
      <c r="N352" s="590">
        <v>5877.4497166459041</v>
      </c>
      <c r="O352" s="587"/>
      <c r="P352" s="589"/>
      <c r="Q352" s="590">
        <v>58230.818000000014</v>
      </c>
      <c r="R352" s="587"/>
      <c r="S352" s="590">
        <v>-3517.2880000000005</v>
      </c>
      <c r="T352" s="481"/>
      <c r="U352" s="481"/>
      <c r="V352" s="481"/>
      <c r="W352" s="481"/>
      <c r="X352" s="481"/>
      <c r="Y352" s="481"/>
      <c r="Z352" s="481"/>
      <c r="AA352" s="481"/>
      <c r="AB352" s="481"/>
      <c r="AC352" s="481"/>
      <c r="AD352" s="481"/>
      <c r="AE352" s="481"/>
      <c r="AF352" s="481"/>
      <c r="AG352" s="481"/>
      <c r="AH352" s="481"/>
      <c r="AI352" s="481"/>
      <c r="AJ352" s="481"/>
      <c r="AK352" s="481"/>
      <c r="AL352" s="481"/>
      <c r="AM352" s="481"/>
      <c r="AN352" s="481"/>
    </row>
    <row r="353" spans="1:40" ht="15.75" customHeight="1" thickTop="1">
      <c r="B353" s="475"/>
      <c r="C353" s="537"/>
      <c r="D353" s="550"/>
      <c r="E353" s="481"/>
      <c r="F353" s="572"/>
      <c r="G353" s="550"/>
      <c r="H353" s="481"/>
      <c r="I353" s="572"/>
      <c r="J353" s="537"/>
      <c r="K353" s="537"/>
      <c r="L353" s="572"/>
      <c r="M353" s="537"/>
      <c r="N353" s="572"/>
      <c r="O353" s="537"/>
      <c r="P353" s="537"/>
      <c r="Q353" s="572"/>
      <c r="R353" s="537"/>
      <c r="S353" s="572"/>
      <c r="T353" s="481"/>
      <c r="U353" s="481"/>
      <c r="V353" s="481"/>
      <c r="W353" s="481"/>
      <c r="X353" s="481"/>
      <c r="Y353" s="481"/>
      <c r="Z353" s="481"/>
      <c r="AA353" s="481"/>
      <c r="AB353" s="481"/>
      <c r="AC353" s="481"/>
      <c r="AD353" s="481"/>
      <c r="AE353" s="481"/>
      <c r="AF353" s="481"/>
      <c r="AG353" s="481"/>
      <c r="AH353" s="481"/>
      <c r="AI353" s="481"/>
      <c r="AJ353" s="481"/>
      <c r="AK353" s="481"/>
      <c r="AL353" s="481"/>
      <c r="AM353" s="481"/>
      <c r="AN353" s="481"/>
    </row>
    <row r="354" spans="1:40" ht="15.75" hidden="1" customHeight="1">
      <c r="B354" s="475"/>
      <c r="C354" s="537"/>
      <c r="D354" s="550"/>
      <c r="E354" s="481"/>
      <c r="F354" s="572"/>
      <c r="G354" s="550"/>
      <c r="H354" s="481"/>
      <c r="I354" s="572"/>
      <c r="J354" s="537"/>
      <c r="K354" s="537"/>
      <c r="L354" s="572"/>
      <c r="M354" s="537"/>
      <c r="N354" s="572"/>
      <c r="O354" s="537"/>
      <c r="P354" s="537"/>
      <c r="Q354" s="572"/>
      <c r="R354" s="537"/>
      <c r="S354" s="572"/>
      <c r="T354" s="481"/>
      <c r="U354" s="481"/>
      <c r="V354" s="481"/>
      <c r="W354" s="481"/>
      <c r="X354" s="481"/>
      <c r="Y354" s="481"/>
      <c r="Z354" s="481"/>
      <c r="AA354" s="481"/>
      <c r="AB354" s="481"/>
      <c r="AC354" s="481"/>
      <c r="AD354" s="481"/>
      <c r="AE354" s="481"/>
      <c r="AF354" s="481"/>
      <c r="AG354" s="481"/>
      <c r="AH354" s="481"/>
      <c r="AI354" s="481"/>
      <c r="AJ354" s="481"/>
      <c r="AK354" s="481"/>
      <c r="AL354" s="481"/>
      <c r="AM354" s="481"/>
      <c r="AN354" s="481"/>
    </row>
    <row r="355" spans="1:40" ht="34.5" hidden="1" customHeight="1">
      <c r="B355" s="475"/>
      <c r="C355" s="595" t="s">
        <v>223</v>
      </c>
      <c r="D355" s="469"/>
      <c r="E355" s="469"/>
      <c r="F355" s="469"/>
      <c r="G355" s="469"/>
      <c r="H355" s="467"/>
      <c r="I355" s="467"/>
      <c r="J355" s="467"/>
      <c r="K355" s="471" t="s">
        <v>119</v>
      </c>
      <c r="L355" s="469"/>
      <c r="M355" s="469"/>
      <c r="N355" s="467"/>
      <c r="O355" s="467"/>
      <c r="P355" s="469"/>
      <c r="Q355" s="467"/>
      <c r="R355" s="469"/>
      <c r="S355" s="596" t="s">
        <v>483</v>
      </c>
      <c r="T355" s="478"/>
      <c r="U355" s="478"/>
      <c r="V355" s="481"/>
      <c r="W355" s="478"/>
      <c r="X355" s="478"/>
      <c r="Y355" s="478"/>
      <c r="Z355" s="478"/>
      <c r="AA355" s="478"/>
      <c r="AB355" s="478"/>
      <c r="AC355" s="478"/>
      <c r="AD355" s="478"/>
      <c r="AE355" s="478"/>
      <c r="AF355" s="478"/>
      <c r="AG355" s="478"/>
      <c r="AH355" s="478"/>
      <c r="AI355" s="478"/>
      <c r="AJ355" s="478"/>
      <c r="AK355" s="478"/>
      <c r="AL355" s="478"/>
      <c r="AM355" s="478"/>
      <c r="AN355" s="478"/>
    </row>
    <row r="356" spans="1:40" ht="15.75" hidden="1" customHeight="1">
      <c r="B356" s="475"/>
      <c r="C356" s="476"/>
      <c r="D356" s="478"/>
      <c r="E356" s="478"/>
      <c r="F356" s="478"/>
      <c r="G356" s="478"/>
      <c r="H356" s="478"/>
      <c r="I356" s="478"/>
      <c r="J356" s="478"/>
      <c r="K356" s="478"/>
      <c r="L356" s="478"/>
      <c r="M356" s="478"/>
      <c r="N356" s="478"/>
      <c r="O356" s="478"/>
      <c r="P356" s="478"/>
      <c r="Q356" s="478"/>
      <c r="R356" s="478"/>
      <c r="S356" s="478"/>
      <c r="T356" s="478"/>
      <c r="U356" s="478"/>
      <c r="V356" s="481"/>
      <c r="W356" s="478"/>
      <c r="X356" s="478"/>
      <c r="Y356" s="478"/>
      <c r="Z356" s="478"/>
      <c r="AA356" s="478"/>
      <c r="AB356" s="478"/>
      <c r="AC356" s="478"/>
      <c r="AD356" s="478"/>
      <c r="AE356" s="478"/>
      <c r="AF356" s="478"/>
      <c r="AG356" s="478"/>
      <c r="AH356" s="478"/>
      <c r="AI356" s="478"/>
      <c r="AJ356" s="478"/>
      <c r="AK356" s="478"/>
      <c r="AL356" s="478"/>
      <c r="AM356" s="478"/>
      <c r="AN356" s="478"/>
    </row>
    <row r="357" spans="1:40" ht="15.75" hidden="1" customHeight="1">
      <c r="B357" s="475"/>
      <c r="C357" s="482"/>
      <c r="D357" s="864" t="s">
        <v>5</v>
      </c>
      <c r="E357" s="865"/>
      <c r="F357" s="866"/>
      <c r="G357" s="867"/>
      <c r="H357" s="865"/>
      <c r="I357" s="866"/>
      <c r="J357" s="867" t="s">
        <v>7</v>
      </c>
      <c r="K357" s="865"/>
      <c r="L357" s="866"/>
      <c r="M357" s="867"/>
      <c r="N357" s="866"/>
      <c r="O357" s="864" t="s">
        <v>9</v>
      </c>
      <c r="P357" s="865"/>
      <c r="Q357" s="866"/>
      <c r="R357" s="867" t="s">
        <v>10</v>
      </c>
      <c r="S357" s="866"/>
      <c r="T357" s="478"/>
      <c r="U357" s="478"/>
      <c r="V357" s="481"/>
      <c r="W357" s="478"/>
      <c r="X357" s="478"/>
      <c r="Y357" s="478"/>
      <c r="Z357" s="478"/>
      <c r="AA357" s="478"/>
      <c r="AB357" s="478"/>
      <c r="AC357" s="478"/>
      <c r="AD357" s="478"/>
      <c r="AE357" s="478"/>
      <c r="AF357" s="478"/>
      <c r="AG357" s="478"/>
      <c r="AH357" s="478"/>
      <c r="AI357" s="478"/>
      <c r="AJ357" s="478"/>
      <c r="AK357" s="478"/>
      <c r="AL357" s="478"/>
      <c r="AM357" s="478"/>
      <c r="AN357" s="478"/>
    </row>
    <row r="358" spans="1:40" ht="15.75" hidden="1" customHeight="1">
      <c r="A358" s="490" t="s">
        <v>119</v>
      </c>
      <c r="B358" s="481" t="s">
        <v>119</v>
      </c>
      <c r="C358" s="498"/>
      <c r="D358" s="677" t="s">
        <v>84</v>
      </c>
      <c r="E358" s="677" t="s">
        <v>104</v>
      </c>
      <c r="F358" s="678" t="s">
        <v>13</v>
      </c>
      <c r="G358" s="679"/>
      <c r="H358" s="677"/>
      <c r="I358" s="678"/>
      <c r="J358" s="619" t="s">
        <v>84</v>
      </c>
      <c r="K358" s="540" t="s">
        <v>104</v>
      </c>
      <c r="L358" s="618" t="s">
        <v>13</v>
      </c>
      <c r="M358" s="619"/>
      <c r="N358" s="618"/>
      <c r="O358" s="619" t="s">
        <v>84</v>
      </c>
      <c r="P358" s="540" t="s">
        <v>104</v>
      </c>
      <c r="Q358" s="618" t="s">
        <v>13</v>
      </c>
      <c r="R358" s="619" t="s">
        <v>85</v>
      </c>
      <c r="S358" s="618" t="s">
        <v>13</v>
      </c>
      <c r="T358" s="478"/>
      <c r="U358" s="478"/>
      <c r="V358" s="481"/>
      <c r="W358" s="478"/>
      <c r="X358" s="478"/>
      <c r="Y358" s="478"/>
      <c r="Z358" s="478"/>
      <c r="AA358" s="478"/>
      <c r="AB358" s="478"/>
      <c r="AC358" s="478"/>
      <c r="AD358" s="478"/>
      <c r="AE358" s="478"/>
      <c r="AF358" s="478"/>
      <c r="AG358" s="478"/>
      <c r="AH358" s="478"/>
      <c r="AI358" s="478"/>
      <c r="AJ358" s="478"/>
      <c r="AK358" s="478"/>
      <c r="AL358" s="478"/>
      <c r="AM358" s="478"/>
      <c r="AN358" s="478"/>
    </row>
    <row r="359" spans="1:40" ht="15.75" hidden="1" customHeight="1">
      <c r="A359" s="490" t="s">
        <v>438</v>
      </c>
      <c r="B359" s="481" t="s">
        <v>119</v>
      </c>
      <c r="C359" s="526" t="s">
        <v>119</v>
      </c>
      <c r="D359" s="680">
        <v>0</v>
      </c>
      <c r="E359" s="681">
        <v>0</v>
      </c>
      <c r="F359" s="682">
        <v>0</v>
      </c>
      <c r="G359" s="680"/>
      <c r="H359" s="681"/>
      <c r="I359" s="680"/>
      <c r="J359" s="683">
        <v>0</v>
      </c>
      <c r="K359" s="668">
        <v>0</v>
      </c>
      <c r="L359" s="684">
        <v>0</v>
      </c>
      <c r="M359" s="669"/>
      <c r="N359" s="670"/>
      <c r="O359" s="683">
        <v>0</v>
      </c>
      <c r="P359" s="668">
        <v>0</v>
      </c>
      <c r="Q359" s="684">
        <v>0</v>
      </c>
      <c r="R359" s="669">
        <v>0</v>
      </c>
      <c r="S359" s="670">
        <v>0</v>
      </c>
      <c r="T359" s="478"/>
      <c r="U359" s="478"/>
      <c r="V359" s="685"/>
      <c r="W359" s="478"/>
      <c r="X359" s="478"/>
      <c r="Y359" s="478"/>
      <c r="Z359" s="478"/>
      <c r="AA359" s="478"/>
      <c r="AB359" s="478"/>
      <c r="AC359" s="478"/>
      <c r="AD359" s="478"/>
      <c r="AE359" s="478"/>
      <c r="AF359" s="478"/>
      <c r="AG359" s="478"/>
      <c r="AH359" s="478"/>
      <c r="AI359" s="478"/>
      <c r="AJ359" s="478"/>
      <c r="AK359" s="478"/>
      <c r="AL359" s="478"/>
      <c r="AM359" s="478"/>
      <c r="AN359" s="478"/>
    </row>
    <row r="360" spans="1:40" ht="15.75" hidden="1" customHeight="1">
      <c r="A360" s="490" t="s">
        <v>119</v>
      </c>
      <c r="B360" s="481" t="s">
        <v>119</v>
      </c>
      <c r="C360" s="587"/>
      <c r="D360" s="671"/>
      <c r="E360" s="672"/>
      <c r="F360" s="590"/>
      <c r="G360" s="673"/>
      <c r="H360" s="672"/>
      <c r="I360" s="590"/>
      <c r="J360" s="673"/>
      <c r="K360" s="672"/>
      <c r="L360" s="590"/>
      <c r="M360" s="675"/>
      <c r="N360" s="536"/>
      <c r="O360" s="673"/>
      <c r="P360" s="672"/>
      <c r="Q360" s="590"/>
      <c r="R360" s="675"/>
      <c r="S360" s="536"/>
      <c r="T360" s="478"/>
      <c r="U360" s="478"/>
      <c r="V360" s="481"/>
      <c r="W360" s="478"/>
      <c r="X360" s="478"/>
      <c r="Y360" s="478"/>
      <c r="Z360" s="478"/>
      <c r="AA360" s="478"/>
      <c r="AB360" s="478"/>
      <c r="AC360" s="478"/>
      <c r="AD360" s="478"/>
      <c r="AE360" s="478"/>
      <c r="AF360" s="478"/>
      <c r="AG360" s="478"/>
      <c r="AH360" s="478"/>
      <c r="AI360" s="478"/>
      <c r="AJ360" s="478"/>
      <c r="AK360" s="478"/>
      <c r="AL360" s="478"/>
      <c r="AM360" s="478"/>
      <c r="AN360" s="478"/>
    </row>
    <row r="361" spans="1:40" ht="15.75" hidden="1" customHeight="1">
      <c r="A361" s="490" t="s">
        <v>439</v>
      </c>
      <c r="B361" s="481" t="s">
        <v>119</v>
      </c>
      <c r="C361" s="517" t="s">
        <v>120</v>
      </c>
      <c r="D361" s="572">
        <v>0</v>
      </c>
      <c r="E361" s="630">
        <v>0</v>
      </c>
      <c r="F361" s="632">
        <v>0</v>
      </c>
      <c r="G361" s="631"/>
      <c r="H361" s="630"/>
      <c r="I361" s="632"/>
      <c r="J361" s="631">
        <v>0</v>
      </c>
      <c r="K361" s="630">
        <v>0</v>
      </c>
      <c r="L361" s="632">
        <v>0</v>
      </c>
      <c r="M361" s="608"/>
      <c r="N361" s="686"/>
      <c r="O361" s="631">
        <v>0</v>
      </c>
      <c r="P361" s="630">
        <v>0</v>
      </c>
      <c r="Q361" s="632">
        <v>0</v>
      </c>
      <c r="R361" s="498">
        <v>0</v>
      </c>
      <c r="S361" s="516">
        <v>0</v>
      </c>
      <c r="T361" s="478"/>
      <c r="U361" s="478"/>
      <c r="V361" s="481"/>
      <c r="W361" s="478"/>
      <c r="X361" s="478"/>
      <c r="Y361" s="478"/>
      <c r="Z361" s="478"/>
      <c r="AA361" s="478"/>
      <c r="AB361" s="478"/>
      <c r="AC361" s="478"/>
      <c r="AD361" s="478"/>
      <c r="AE361" s="478"/>
      <c r="AF361" s="478"/>
      <c r="AG361" s="478"/>
      <c r="AH361" s="478"/>
      <c r="AI361" s="478"/>
      <c r="AJ361" s="478"/>
      <c r="AK361" s="478"/>
      <c r="AL361" s="478"/>
      <c r="AM361" s="478"/>
      <c r="AN361" s="478"/>
    </row>
    <row r="362" spans="1:40" ht="15.75" hidden="1" customHeight="1">
      <c r="A362" s="490" t="s">
        <v>119</v>
      </c>
      <c r="B362" s="481" t="s">
        <v>119</v>
      </c>
      <c r="C362" s="539"/>
      <c r="D362" s="481"/>
      <c r="E362" s="481"/>
      <c r="F362" s="524"/>
      <c r="G362" s="498"/>
      <c r="H362" s="481"/>
      <c r="I362" s="524"/>
      <c r="J362" s="498"/>
      <c r="K362" s="481"/>
      <c r="L362" s="508"/>
      <c r="M362" s="498"/>
      <c r="N362" s="620"/>
      <c r="O362" s="498"/>
      <c r="P362" s="481"/>
      <c r="Q362" s="508"/>
      <c r="R362" s="498"/>
      <c r="S362" s="508">
        <v>0</v>
      </c>
      <c r="T362" s="478"/>
      <c r="U362" s="478"/>
      <c r="V362" s="481"/>
      <c r="W362" s="478"/>
      <c r="X362" s="478"/>
      <c r="Y362" s="478"/>
      <c r="Z362" s="478"/>
      <c r="AA362" s="478"/>
      <c r="AB362" s="478"/>
      <c r="AC362" s="478"/>
      <c r="AD362" s="478"/>
      <c r="AE362" s="478"/>
      <c r="AF362" s="478"/>
      <c r="AG362" s="478"/>
      <c r="AH362" s="478"/>
      <c r="AI362" s="478"/>
      <c r="AJ362" s="478"/>
      <c r="AK362" s="478"/>
      <c r="AL362" s="478"/>
      <c r="AM362" s="478"/>
      <c r="AN362" s="478"/>
    </row>
    <row r="363" spans="1:40" ht="15.75" hidden="1" customHeight="1">
      <c r="A363" s="490" t="s">
        <v>440</v>
      </c>
      <c r="B363" s="481" t="s">
        <v>119</v>
      </c>
      <c r="C363" s="539" t="s">
        <v>30</v>
      </c>
      <c r="D363" s="481"/>
      <c r="E363" s="481"/>
      <c r="F363" s="524"/>
      <c r="G363" s="498"/>
      <c r="H363" s="481"/>
      <c r="I363" s="524"/>
      <c r="J363" s="498"/>
      <c r="K363" s="481"/>
      <c r="L363" s="508"/>
      <c r="M363" s="498"/>
      <c r="N363" s="508"/>
      <c r="O363" s="498"/>
      <c r="P363" s="481"/>
      <c r="Q363" s="508"/>
      <c r="R363" s="498"/>
      <c r="S363" s="508"/>
      <c r="T363" s="478"/>
      <c r="U363" s="478"/>
      <c r="V363" s="481"/>
      <c r="W363" s="478"/>
      <c r="X363" s="478"/>
      <c r="Y363" s="478"/>
      <c r="Z363" s="478"/>
      <c r="AA363" s="478"/>
      <c r="AB363" s="478"/>
      <c r="AC363" s="478"/>
      <c r="AD363" s="478"/>
      <c r="AE363" s="478"/>
      <c r="AF363" s="478"/>
      <c r="AG363" s="478"/>
      <c r="AH363" s="478"/>
      <c r="AI363" s="478"/>
      <c r="AJ363" s="478"/>
      <c r="AK363" s="478"/>
      <c r="AL363" s="478"/>
      <c r="AM363" s="478"/>
      <c r="AN363" s="478"/>
    </row>
    <row r="364" spans="1:40" ht="15.75" hidden="1" customHeight="1">
      <c r="A364" s="490" t="s">
        <v>441</v>
      </c>
      <c r="B364" s="481" t="s">
        <v>119</v>
      </c>
      <c r="C364" s="565" t="s">
        <v>41</v>
      </c>
      <c r="D364" s="481"/>
      <c r="E364" s="481"/>
      <c r="F364" s="499">
        <v>0</v>
      </c>
      <c r="G364" s="498"/>
      <c r="H364" s="481"/>
      <c r="I364" s="499"/>
      <c r="J364" s="498"/>
      <c r="K364" s="481"/>
      <c r="L364" s="501">
        <v>0</v>
      </c>
      <c r="M364" s="498"/>
      <c r="N364" s="508"/>
      <c r="O364" s="498"/>
      <c r="P364" s="481"/>
      <c r="Q364" s="501">
        <v>0</v>
      </c>
      <c r="R364" s="498"/>
      <c r="S364" s="501">
        <v>0</v>
      </c>
      <c r="T364" s="478"/>
      <c r="U364" s="478"/>
      <c r="V364" s="481"/>
      <c r="W364" s="478"/>
      <c r="X364" s="478"/>
      <c r="Y364" s="478"/>
      <c r="Z364" s="478"/>
      <c r="AA364" s="478"/>
      <c r="AB364" s="478"/>
      <c r="AC364" s="478"/>
      <c r="AD364" s="478"/>
      <c r="AE364" s="478"/>
      <c r="AF364" s="478"/>
      <c r="AG364" s="478"/>
      <c r="AH364" s="478"/>
      <c r="AI364" s="478"/>
      <c r="AJ364" s="478"/>
      <c r="AK364" s="478"/>
      <c r="AL364" s="478"/>
      <c r="AM364" s="478"/>
      <c r="AN364" s="478"/>
    </row>
    <row r="365" spans="1:40" ht="15.75" hidden="1" customHeight="1">
      <c r="A365" s="490" t="s">
        <v>442</v>
      </c>
      <c r="B365" s="481" t="s">
        <v>119</v>
      </c>
      <c r="C365" s="566" t="s">
        <v>42</v>
      </c>
      <c r="D365" s="550"/>
      <c r="E365" s="481"/>
      <c r="F365" s="493">
        <v>0</v>
      </c>
      <c r="G365" s="551"/>
      <c r="H365" s="481"/>
      <c r="I365" s="493"/>
      <c r="J365" s="498"/>
      <c r="K365" s="481"/>
      <c r="L365" s="493">
        <v>0</v>
      </c>
      <c r="M365" s="498"/>
      <c r="N365" s="524"/>
      <c r="O365" s="498"/>
      <c r="P365" s="481"/>
      <c r="Q365" s="493">
        <v>0</v>
      </c>
      <c r="R365" s="498"/>
      <c r="S365" s="524">
        <v>0</v>
      </c>
      <c r="T365" s="478"/>
      <c r="U365" s="478"/>
      <c r="V365" s="481"/>
      <c r="W365" s="478"/>
      <c r="X365" s="478"/>
      <c r="Y365" s="478"/>
      <c r="Z365" s="478"/>
      <c r="AA365" s="478"/>
      <c r="AB365" s="478"/>
      <c r="AC365" s="478"/>
      <c r="AD365" s="478"/>
      <c r="AE365" s="478"/>
      <c r="AF365" s="478"/>
      <c r="AG365" s="478"/>
      <c r="AH365" s="478"/>
      <c r="AI365" s="478"/>
      <c r="AJ365" s="478"/>
      <c r="AK365" s="478"/>
      <c r="AL365" s="478"/>
      <c r="AM365" s="478"/>
      <c r="AN365" s="478"/>
    </row>
    <row r="366" spans="1:40" ht="15.75" hidden="1" customHeight="1">
      <c r="A366" s="490" t="s">
        <v>443</v>
      </c>
      <c r="B366" s="481" t="s">
        <v>119</v>
      </c>
      <c r="C366" s="565" t="s">
        <v>43</v>
      </c>
      <c r="D366" s="567"/>
      <c r="E366" s="568"/>
      <c r="F366" s="499">
        <v>0</v>
      </c>
      <c r="G366" s="569"/>
      <c r="H366" s="568"/>
      <c r="I366" s="499"/>
      <c r="J366" s="485"/>
      <c r="K366" s="568"/>
      <c r="L366" s="501">
        <v>0</v>
      </c>
      <c r="M366" s="485"/>
      <c r="N366" s="570"/>
      <c r="O366" s="485"/>
      <c r="P366" s="568"/>
      <c r="Q366" s="501">
        <v>0</v>
      </c>
      <c r="R366" s="485"/>
      <c r="S366" s="570">
        <v>0</v>
      </c>
      <c r="T366" s="478"/>
      <c r="U366" s="478"/>
      <c r="V366" s="481"/>
      <c r="W366" s="478"/>
      <c r="X366" s="478"/>
      <c r="Y366" s="478"/>
      <c r="Z366" s="478"/>
      <c r="AA366" s="478"/>
      <c r="AB366" s="478"/>
      <c r="AC366" s="478"/>
      <c r="AD366" s="478"/>
      <c r="AE366" s="478"/>
      <c r="AF366" s="478"/>
      <c r="AG366" s="478"/>
      <c r="AH366" s="478"/>
      <c r="AI366" s="478"/>
      <c r="AJ366" s="478"/>
      <c r="AK366" s="478"/>
      <c r="AL366" s="478"/>
      <c r="AM366" s="478"/>
      <c r="AN366" s="478"/>
    </row>
    <row r="367" spans="1:40" ht="15.75" hidden="1" customHeight="1">
      <c r="A367" s="490" t="s">
        <v>444</v>
      </c>
      <c r="B367" s="481" t="s">
        <v>119</v>
      </c>
      <c r="C367" s="565" t="s">
        <v>44</v>
      </c>
      <c r="D367" s="550"/>
      <c r="E367" s="481"/>
      <c r="F367" s="499">
        <v>0</v>
      </c>
      <c r="G367" s="551"/>
      <c r="H367" s="481"/>
      <c r="I367" s="499"/>
      <c r="J367" s="498"/>
      <c r="K367" s="481"/>
      <c r="L367" s="501">
        <v>0</v>
      </c>
      <c r="M367" s="498"/>
      <c r="N367" s="524"/>
      <c r="O367" s="498"/>
      <c r="P367" s="481"/>
      <c r="Q367" s="501">
        <v>0</v>
      </c>
      <c r="R367" s="498"/>
      <c r="S367" s="524">
        <v>0</v>
      </c>
      <c r="T367" s="478"/>
      <c r="U367" s="478"/>
      <c r="V367" s="481"/>
      <c r="W367" s="478"/>
      <c r="X367" s="478"/>
      <c r="Y367" s="478"/>
      <c r="Z367" s="478"/>
      <c r="AA367" s="478"/>
      <c r="AB367" s="478"/>
      <c r="AC367" s="478"/>
      <c r="AD367" s="478"/>
      <c r="AE367" s="478"/>
      <c r="AF367" s="478"/>
      <c r="AG367" s="478"/>
      <c r="AH367" s="478"/>
      <c r="AI367" s="478"/>
      <c r="AJ367" s="478"/>
      <c r="AK367" s="478"/>
      <c r="AL367" s="478"/>
      <c r="AM367" s="478"/>
      <c r="AN367" s="478"/>
    </row>
    <row r="368" spans="1:40" ht="15.75" hidden="1" customHeight="1">
      <c r="A368" s="490" t="s">
        <v>445</v>
      </c>
      <c r="B368" s="481" t="s">
        <v>119</v>
      </c>
      <c r="C368" s="498" t="s">
        <v>20</v>
      </c>
      <c r="D368" s="550"/>
      <c r="E368" s="481"/>
      <c r="F368" s="499">
        <v>0</v>
      </c>
      <c r="G368" s="551"/>
      <c r="H368" s="481"/>
      <c r="I368" s="499"/>
      <c r="J368" s="498"/>
      <c r="K368" s="481"/>
      <c r="L368" s="501">
        <v>0</v>
      </c>
      <c r="M368" s="498"/>
      <c r="N368" s="524"/>
      <c r="O368" s="498"/>
      <c r="P368" s="481"/>
      <c r="Q368" s="501">
        <v>0</v>
      </c>
      <c r="R368" s="498"/>
      <c r="S368" s="524">
        <v>0</v>
      </c>
      <c r="T368" s="478"/>
      <c r="U368" s="478"/>
      <c r="V368" s="481"/>
      <c r="W368" s="478"/>
      <c r="X368" s="478"/>
      <c r="Y368" s="478"/>
      <c r="Z368" s="478"/>
      <c r="AA368" s="478"/>
      <c r="AB368" s="478"/>
      <c r="AC368" s="478"/>
      <c r="AD368" s="478"/>
      <c r="AE368" s="478"/>
      <c r="AF368" s="478"/>
      <c r="AG368" s="478"/>
      <c r="AH368" s="478"/>
      <c r="AI368" s="478"/>
      <c r="AJ368" s="478"/>
      <c r="AK368" s="478"/>
      <c r="AL368" s="478"/>
      <c r="AM368" s="478"/>
      <c r="AN368" s="478"/>
    </row>
    <row r="369" spans="1:40" ht="15.75" hidden="1" customHeight="1">
      <c r="A369" s="490" t="s">
        <v>445</v>
      </c>
      <c r="B369" s="481" t="s">
        <v>119</v>
      </c>
      <c r="C369" s="498" t="s">
        <v>20</v>
      </c>
      <c r="D369" s="550"/>
      <c r="E369" s="481"/>
      <c r="F369" s="499">
        <v>0</v>
      </c>
      <c r="G369" s="551"/>
      <c r="H369" s="481"/>
      <c r="I369" s="499"/>
      <c r="J369" s="498"/>
      <c r="K369" s="481"/>
      <c r="L369" s="501">
        <v>0</v>
      </c>
      <c r="M369" s="498"/>
      <c r="N369" s="524"/>
      <c r="O369" s="498"/>
      <c r="P369" s="481"/>
      <c r="Q369" s="501">
        <v>0</v>
      </c>
      <c r="R369" s="498"/>
      <c r="S369" s="524">
        <v>0</v>
      </c>
      <c r="T369" s="478"/>
      <c r="U369" s="478"/>
      <c r="V369" s="481"/>
      <c r="W369" s="478"/>
      <c r="X369" s="478"/>
      <c r="Y369" s="478"/>
      <c r="Z369" s="478"/>
      <c r="AA369" s="478"/>
      <c r="AB369" s="478"/>
      <c r="AC369" s="478"/>
      <c r="AD369" s="478"/>
      <c r="AE369" s="478"/>
      <c r="AF369" s="478"/>
      <c r="AG369" s="478"/>
      <c r="AH369" s="478"/>
      <c r="AI369" s="478"/>
      <c r="AJ369" s="478"/>
      <c r="AK369" s="478"/>
      <c r="AL369" s="478"/>
      <c r="AM369" s="478"/>
      <c r="AN369" s="478"/>
    </row>
    <row r="370" spans="1:40" ht="15.75" hidden="1" customHeight="1">
      <c r="A370" s="490" t="s">
        <v>445</v>
      </c>
      <c r="B370" s="481" t="s">
        <v>119</v>
      </c>
      <c r="C370" s="498" t="s">
        <v>20</v>
      </c>
      <c r="D370" s="550"/>
      <c r="E370" s="481"/>
      <c r="F370" s="499">
        <v>0</v>
      </c>
      <c r="G370" s="551"/>
      <c r="H370" s="481"/>
      <c r="I370" s="499"/>
      <c r="J370" s="498"/>
      <c r="K370" s="481"/>
      <c r="L370" s="501">
        <v>0</v>
      </c>
      <c r="M370" s="498"/>
      <c r="N370" s="524"/>
      <c r="O370" s="498"/>
      <c r="P370" s="481"/>
      <c r="Q370" s="501">
        <v>0</v>
      </c>
      <c r="R370" s="498"/>
      <c r="S370" s="524">
        <v>0</v>
      </c>
      <c r="T370" s="478"/>
      <c r="U370" s="478"/>
      <c r="V370" s="481"/>
      <c r="W370" s="478"/>
      <c r="X370" s="478"/>
      <c r="Y370" s="478"/>
      <c r="Z370" s="478"/>
      <c r="AA370" s="478"/>
      <c r="AB370" s="478"/>
      <c r="AC370" s="478"/>
      <c r="AD370" s="478"/>
      <c r="AE370" s="478"/>
      <c r="AF370" s="478"/>
      <c r="AG370" s="478"/>
      <c r="AH370" s="478"/>
      <c r="AI370" s="478"/>
      <c r="AJ370" s="478"/>
      <c r="AK370" s="478"/>
      <c r="AL370" s="478"/>
      <c r="AM370" s="478"/>
      <c r="AN370" s="478"/>
    </row>
    <row r="371" spans="1:40" ht="15.75" hidden="1" customHeight="1">
      <c r="A371" s="490" t="s">
        <v>446</v>
      </c>
      <c r="B371" s="481" t="s">
        <v>119</v>
      </c>
      <c r="C371" s="566" t="s">
        <v>45</v>
      </c>
      <c r="D371" s="550"/>
      <c r="E371" s="481"/>
      <c r="F371" s="493">
        <v>0</v>
      </c>
      <c r="G371" s="551"/>
      <c r="H371" s="481"/>
      <c r="I371" s="493"/>
      <c r="J371" s="498"/>
      <c r="K371" s="481"/>
      <c r="L371" s="493">
        <v>0</v>
      </c>
      <c r="M371" s="498"/>
      <c r="N371" s="524"/>
      <c r="O371" s="498"/>
      <c r="P371" s="481"/>
      <c r="Q371" s="493">
        <v>0</v>
      </c>
      <c r="R371" s="498"/>
      <c r="S371" s="524">
        <v>0</v>
      </c>
      <c r="T371" s="478"/>
      <c r="U371" s="478"/>
      <c r="V371" s="481"/>
      <c r="W371" s="478"/>
      <c r="X371" s="478"/>
      <c r="Y371" s="478"/>
      <c r="Z371" s="478"/>
      <c r="AA371" s="478"/>
      <c r="AB371" s="478"/>
      <c r="AC371" s="478"/>
      <c r="AD371" s="478"/>
      <c r="AE371" s="478"/>
      <c r="AF371" s="478"/>
      <c r="AG371" s="478"/>
      <c r="AH371" s="478"/>
      <c r="AI371" s="478"/>
      <c r="AJ371" s="478"/>
      <c r="AK371" s="478"/>
      <c r="AL371" s="478"/>
      <c r="AM371" s="478"/>
      <c r="AN371" s="478"/>
    </row>
    <row r="372" spans="1:40" ht="15.75" hidden="1" customHeight="1">
      <c r="A372" s="490" t="s">
        <v>447</v>
      </c>
      <c r="B372" s="481" t="s">
        <v>119</v>
      </c>
      <c r="C372" s="565" t="s">
        <v>46</v>
      </c>
      <c r="D372" s="567"/>
      <c r="E372" s="568"/>
      <c r="F372" s="499">
        <v>0</v>
      </c>
      <c r="G372" s="569"/>
      <c r="H372" s="568"/>
      <c r="I372" s="499"/>
      <c r="J372" s="485"/>
      <c r="K372" s="568"/>
      <c r="L372" s="501">
        <v>0</v>
      </c>
      <c r="M372" s="485"/>
      <c r="N372" s="570"/>
      <c r="O372" s="485"/>
      <c r="P372" s="568"/>
      <c r="Q372" s="501">
        <v>0</v>
      </c>
      <c r="R372" s="485"/>
      <c r="S372" s="570">
        <v>0</v>
      </c>
      <c r="T372" s="478"/>
      <c r="U372" s="478"/>
      <c r="V372" s="481"/>
      <c r="W372" s="478"/>
      <c r="X372" s="478"/>
      <c r="Y372" s="478"/>
      <c r="Z372" s="478"/>
      <c r="AA372" s="478"/>
      <c r="AB372" s="478"/>
      <c r="AC372" s="478"/>
      <c r="AD372" s="478"/>
      <c r="AE372" s="478"/>
      <c r="AF372" s="478"/>
      <c r="AG372" s="478"/>
      <c r="AH372" s="478"/>
      <c r="AI372" s="478"/>
      <c r="AJ372" s="478"/>
      <c r="AK372" s="478"/>
      <c r="AL372" s="478"/>
      <c r="AM372" s="478"/>
      <c r="AN372" s="478"/>
    </row>
    <row r="373" spans="1:40" ht="15.75" hidden="1" customHeight="1">
      <c r="A373" s="490" t="s">
        <v>448</v>
      </c>
      <c r="B373" s="481" t="s">
        <v>119</v>
      </c>
      <c r="C373" s="565" t="s">
        <v>47</v>
      </c>
      <c r="D373" s="550"/>
      <c r="E373" s="481"/>
      <c r="F373" s="499">
        <v>0</v>
      </c>
      <c r="G373" s="551"/>
      <c r="H373" s="481"/>
      <c r="I373" s="499"/>
      <c r="J373" s="498"/>
      <c r="K373" s="481"/>
      <c r="L373" s="501">
        <v>0</v>
      </c>
      <c r="M373" s="498"/>
      <c r="N373" s="524"/>
      <c r="O373" s="498"/>
      <c r="P373" s="481"/>
      <c r="Q373" s="501">
        <v>0</v>
      </c>
      <c r="R373" s="498"/>
      <c r="S373" s="524">
        <v>0</v>
      </c>
      <c r="T373" s="478"/>
      <c r="U373" s="478"/>
      <c r="V373" s="481"/>
      <c r="W373" s="478"/>
      <c r="X373" s="478"/>
      <c r="Y373" s="478"/>
      <c r="Z373" s="478"/>
      <c r="AA373" s="478"/>
      <c r="AB373" s="478"/>
      <c r="AC373" s="478"/>
      <c r="AD373" s="478"/>
      <c r="AE373" s="478"/>
      <c r="AF373" s="478"/>
      <c r="AG373" s="478"/>
      <c r="AH373" s="478"/>
      <c r="AI373" s="478"/>
      <c r="AJ373" s="478"/>
      <c r="AK373" s="478"/>
      <c r="AL373" s="478"/>
      <c r="AM373" s="478"/>
      <c r="AN373" s="478"/>
    </row>
    <row r="374" spans="1:40" ht="15.75" hidden="1" customHeight="1">
      <c r="A374" s="490" t="s">
        <v>449</v>
      </c>
      <c r="B374" s="481" t="s">
        <v>119</v>
      </c>
      <c r="C374" s="565" t="s">
        <v>48</v>
      </c>
      <c r="D374" s="550"/>
      <c r="E374" s="481"/>
      <c r="F374" s="499">
        <v>0</v>
      </c>
      <c r="G374" s="551"/>
      <c r="H374" s="481"/>
      <c r="I374" s="499"/>
      <c r="J374" s="498"/>
      <c r="K374" s="481"/>
      <c r="L374" s="501">
        <v>0</v>
      </c>
      <c r="M374" s="498"/>
      <c r="N374" s="524"/>
      <c r="O374" s="498"/>
      <c r="P374" s="481"/>
      <c r="Q374" s="501">
        <v>0</v>
      </c>
      <c r="R374" s="498"/>
      <c r="S374" s="524">
        <v>0</v>
      </c>
      <c r="T374" s="478"/>
      <c r="U374" s="478"/>
      <c r="V374" s="481"/>
      <c r="W374" s="478"/>
      <c r="X374" s="478"/>
      <c r="Y374" s="478"/>
      <c r="Z374" s="478"/>
      <c r="AA374" s="478"/>
      <c r="AB374" s="478"/>
      <c r="AC374" s="478"/>
      <c r="AD374" s="478"/>
      <c r="AE374" s="478"/>
      <c r="AF374" s="478"/>
      <c r="AG374" s="478"/>
      <c r="AH374" s="478"/>
      <c r="AI374" s="478"/>
      <c r="AJ374" s="478"/>
      <c r="AK374" s="478"/>
      <c r="AL374" s="478"/>
      <c r="AM374" s="478"/>
      <c r="AN374" s="478"/>
    </row>
    <row r="375" spans="1:40" ht="15.75" hidden="1" customHeight="1">
      <c r="A375" s="490" t="s">
        <v>445</v>
      </c>
      <c r="B375" s="481" t="s">
        <v>119</v>
      </c>
      <c r="C375" s="498" t="s">
        <v>20</v>
      </c>
      <c r="D375" s="552"/>
      <c r="E375" s="571"/>
      <c r="F375" s="499">
        <v>0</v>
      </c>
      <c r="G375" s="553"/>
      <c r="H375" s="571"/>
      <c r="I375" s="499"/>
      <c r="J375" s="491"/>
      <c r="K375" s="571"/>
      <c r="L375" s="501">
        <v>0</v>
      </c>
      <c r="M375" s="491"/>
      <c r="N375" s="547"/>
      <c r="O375" s="491"/>
      <c r="P375" s="571"/>
      <c r="Q375" s="501">
        <v>0</v>
      </c>
      <c r="R375" s="491"/>
      <c r="S375" s="547">
        <v>0</v>
      </c>
      <c r="T375" s="478"/>
      <c r="U375" s="478"/>
      <c r="V375" s="481"/>
      <c r="W375" s="478"/>
      <c r="X375" s="478"/>
      <c r="Y375" s="478"/>
      <c r="Z375" s="478"/>
      <c r="AA375" s="478"/>
      <c r="AB375" s="478"/>
      <c r="AC375" s="478"/>
      <c r="AD375" s="478"/>
      <c r="AE375" s="478"/>
      <c r="AF375" s="478"/>
      <c r="AG375" s="478"/>
      <c r="AH375" s="478"/>
      <c r="AI375" s="478"/>
      <c r="AJ375" s="478"/>
      <c r="AK375" s="478"/>
      <c r="AL375" s="478"/>
      <c r="AM375" s="478"/>
      <c r="AN375" s="478"/>
    </row>
    <row r="376" spans="1:40" ht="15.75" hidden="1" customHeight="1">
      <c r="A376" s="490" t="s">
        <v>450</v>
      </c>
      <c r="B376" s="481" t="s">
        <v>119</v>
      </c>
      <c r="C376" s="557" t="s">
        <v>49</v>
      </c>
      <c r="D376" s="558" t="s">
        <v>39</v>
      </c>
      <c r="E376" s="559">
        <v>0</v>
      </c>
      <c r="F376" s="560">
        <v>0</v>
      </c>
      <c r="G376" s="561"/>
      <c r="H376" s="559"/>
      <c r="I376" s="560"/>
      <c r="J376" s="561" t="s">
        <v>39</v>
      </c>
      <c r="K376" s="559">
        <v>0</v>
      </c>
      <c r="L376" s="560">
        <v>0</v>
      </c>
      <c r="M376" s="610"/>
      <c r="N376" s="573"/>
      <c r="O376" s="561" t="s">
        <v>39</v>
      </c>
      <c r="P376" s="559">
        <v>0</v>
      </c>
      <c r="Q376" s="560">
        <v>0</v>
      </c>
      <c r="R376" s="610"/>
      <c r="S376" s="573">
        <v>0</v>
      </c>
      <c r="T376" s="478"/>
      <c r="U376" s="478"/>
      <c r="V376" s="481"/>
      <c r="W376" s="478"/>
      <c r="X376" s="478"/>
      <c r="Y376" s="478"/>
      <c r="Z376" s="478"/>
      <c r="AA376" s="478"/>
      <c r="AB376" s="478"/>
      <c r="AC376" s="478"/>
      <c r="AD376" s="478"/>
      <c r="AE376" s="478"/>
      <c r="AF376" s="478"/>
      <c r="AG376" s="478"/>
      <c r="AH376" s="478"/>
      <c r="AI376" s="478"/>
      <c r="AJ376" s="478"/>
      <c r="AK376" s="478"/>
      <c r="AL376" s="478"/>
      <c r="AM376" s="478"/>
      <c r="AN376" s="478"/>
    </row>
    <row r="377" spans="1:40" ht="15.75" hidden="1" customHeight="1">
      <c r="A377" s="490" t="s">
        <v>451</v>
      </c>
      <c r="B377" s="481" t="s">
        <v>119</v>
      </c>
      <c r="C377" s="664" t="s">
        <v>50</v>
      </c>
      <c r="D377" s="550"/>
      <c r="E377" s="481"/>
      <c r="F377" s="499">
        <v>0</v>
      </c>
      <c r="G377" s="551"/>
      <c r="H377" s="481"/>
      <c r="I377" s="499"/>
      <c r="J377" s="498"/>
      <c r="K377" s="481"/>
      <c r="L377" s="501">
        <v>0</v>
      </c>
      <c r="M377" s="498"/>
      <c r="N377" s="524"/>
      <c r="O377" s="498"/>
      <c r="P377" s="481"/>
      <c r="Q377" s="501">
        <v>0</v>
      </c>
      <c r="R377" s="498"/>
      <c r="S377" s="524">
        <v>0</v>
      </c>
      <c r="T377" s="478"/>
      <c r="U377" s="478"/>
      <c r="V377" s="481"/>
      <c r="W377" s="478"/>
      <c r="X377" s="478"/>
      <c r="Y377" s="478"/>
      <c r="Z377" s="478"/>
      <c r="AA377" s="478"/>
      <c r="AB377" s="478"/>
      <c r="AC377" s="478"/>
      <c r="AD377" s="478"/>
      <c r="AE377" s="478"/>
      <c r="AF377" s="478"/>
      <c r="AG377" s="478"/>
      <c r="AH377" s="478"/>
      <c r="AI377" s="478"/>
      <c r="AJ377" s="478"/>
      <c r="AK377" s="478"/>
      <c r="AL377" s="478"/>
      <c r="AM377" s="478"/>
      <c r="AN377" s="478"/>
    </row>
    <row r="378" spans="1:40" ht="15.75" hidden="1" customHeight="1">
      <c r="A378" s="490" t="s">
        <v>452</v>
      </c>
      <c r="B378" s="481" t="s">
        <v>119</v>
      </c>
      <c r="C378" s="565" t="s">
        <v>51</v>
      </c>
      <c r="D378" s="550"/>
      <c r="E378" s="481"/>
      <c r="F378" s="499">
        <v>0</v>
      </c>
      <c r="G378" s="551"/>
      <c r="H378" s="481"/>
      <c r="I378" s="499"/>
      <c r="J378" s="498"/>
      <c r="K378" s="481"/>
      <c r="L378" s="501">
        <v>0</v>
      </c>
      <c r="M378" s="498"/>
      <c r="N378" s="524"/>
      <c r="O378" s="498"/>
      <c r="P378" s="481"/>
      <c r="Q378" s="501">
        <v>0</v>
      </c>
      <c r="R378" s="498"/>
      <c r="S378" s="524">
        <v>0</v>
      </c>
      <c r="T378" s="478"/>
      <c r="U378" s="478"/>
      <c r="V378" s="481"/>
      <c r="W378" s="478"/>
      <c r="X378" s="478"/>
      <c r="Y378" s="478"/>
      <c r="Z378" s="478"/>
      <c r="AA378" s="478"/>
      <c r="AB378" s="478"/>
      <c r="AC378" s="478"/>
      <c r="AD378" s="478"/>
      <c r="AE378" s="478"/>
      <c r="AF378" s="478"/>
      <c r="AG378" s="478"/>
      <c r="AH378" s="478"/>
      <c r="AI378" s="478"/>
      <c r="AJ378" s="478"/>
      <c r="AK378" s="478"/>
      <c r="AL378" s="478"/>
      <c r="AM378" s="478"/>
      <c r="AN378" s="478"/>
    </row>
    <row r="379" spans="1:40" ht="15.75" hidden="1" customHeight="1">
      <c r="A379" s="490" t="s">
        <v>453</v>
      </c>
      <c r="B379" s="481" t="s">
        <v>119</v>
      </c>
      <c r="C379" s="566" t="s">
        <v>52</v>
      </c>
      <c r="D379" s="552"/>
      <c r="E379" s="571"/>
      <c r="F379" s="493">
        <v>0</v>
      </c>
      <c r="G379" s="553"/>
      <c r="H379" s="571"/>
      <c r="I379" s="493"/>
      <c r="J379" s="491"/>
      <c r="K379" s="571"/>
      <c r="L379" s="493">
        <v>0</v>
      </c>
      <c r="M379" s="491"/>
      <c r="N379" s="547"/>
      <c r="O379" s="491"/>
      <c r="P379" s="571"/>
      <c r="Q379" s="493">
        <v>0</v>
      </c>
      <c r="R379" s="491"/>
      <c r="S379" s="547">
        <v>0</v>
      </c>
      <c r="T379" s="478"/>
      <c r="U379" s="478"/>
      <c r="V379" s="481"/>
      <c r="W379" s="478"/>
      <c r="X379" s="478"/>
      <c r="Y379" s="478"/>
      <c r="Z379" s="478"/>
      <c r="AA379" s="478"/>
      <c r="AB379" s="478"/>
      <c r="AC379" s="478"/>
      <c r="AD379" s="478"/>
      <c r="AE379" s="478"/>
      <c r="AF379" s="478"/>
      <c r="AG379" s="478"/>
      <c r="AH379" s="478"/>
      <c r="AI379" s="478"/>
      <c r="AJ379" s="478"/>
      <c r="AK379" s="478"/>
      <c r="AL379" s="478"/>
      <c r="AM379" s="478"/>
      <c r="AN379" s="478"/>
    </row>
    <row r="380" spans="1:40" ht="15.75" hidden="1" customHeight="1">
      <c r="A380" s="490" t="s">
        <v>454</v>
      </c>
      <c r="B380" s="481" t="s">
        <v>119</v>
      </c>
      <c r="C380" s="565" t="s">
        <v>53</v>
      </c>
      <c r="D380" s="550"/>
      <c r="E380" s="481"/>
      <c r="F380" s="499">
        <v>0</v>
      </c>
      <c r="G380" s="551"/>
      <c r="H380" s="481"/>
      <c r="I380" s="499"/>
      <c r="J380" s="498"/>
      <c r="K380" s="481"/>
      <c r="L380" s="501">
        <v>0</v>
      </c>
      <c r="M380" s="498"/>
      <c r="N380" s="524"/>
      <c r="O380" s="498"/>
      <c r="P380" s="481"/>
      <c r="Q380" s="501">
        <v>0</v>
      </c>
      <c r="R380" s="498"/>
      <c r="S380" s="524">
        <v>0</v>
      </c>
      <c r="T380" s="478"/>
      <c r="U380" s="478"/>
      <c r="V380" s="481"/>
      <c r="W380" s="478"/>
      <c r="X380" s="478"/>
      <c r="Y380" s="478"/>
      <c r="Z380" s="478"/>
      <c r="AA380" s="478"/>
      <c r="AB380" s="478"/>
      <c r="AC380" s="478"/>
      <c r="AD380" s="478"/>
      <c r="AE380" s="478"/>
      <c r="AF380" s="478"/>
      <c r="AG380" s="478"/>
      <c r="AH380" s="478"/>
      <c r="AI380" s="478"/>
      <c r="AJ380" s="478"/>
      <c r="AK380" s="478"/>
      <c r="AL380" s="478"/>
      <c r="AM380" s="478"/>
      <c r="AN380" s="478"/>
    </row>
    <row r="381" spans="1:40" ht="15.75" hidden="1" customHeight="1">
      <c r="A381" s="490" t="s">
        <v>455</v>
      </c>
      <c r="B381" s="481" t="s">
        <v>119</v>
      </c>
      <c r="C381" s="565" t="s">
        <v>54</v>
      </c>
      <c r="D381" s="550"/>
      <c r="E381" s="481"/>
      <c r="F381" s="499">
        <v>0</v>
      </c>
      <c r="G381" s="551"/>
      <c r="H381" s="481"/>
      <c r="I381" s="499"/>
      <c r="J381" s="498"/>
      <c r="K381" s="481"/>
      <c r="L381" s="501">
        <v>0</v>
      </c>
      <c r="M381" s="498"/>
      <c r="N381" s="524"/>
      <c r="O381" s="498"/>
      <c r="P381" s="481"/>
      <c r="Q381" s="501">
        <v>0</v>
      </c>
      <c r="R381" s="498"/>
      <c r="S381" s="524">
        <v>0</v>
      </c>
      <c r="T381" s="478"/>
      <c r="U381" s="478"/>
      <c r="V381" s="481"/>
      <c r="W381" s="478"/>
      <c r="X381" s="478"/>
      <c r="Y381" s="478"/>
      <c r="Z381" s="478"/>
      <c r="AA381" s="478"/>
      <c r="AB381" s="478"/>
      <c r="AC381" s="478"/>
      <c r="AD381" s="478"/>
      <c r="AE381" s="478"/>
      <c r="AF381" s="478"/>
      <c r="AG381" s="478"/>
      <c r="AH381" s="478"/>
      <c r="AI381" s="478"/>
      <c r="AJ381" s="478"/>
      <c r="AK381" s="478"/>
      <c r="AL381" s="478"/>
      <c r="AM381" s="478"/>
      <c r="AN381" s="478"/>
    </row>
    <row r="382" spans="1:40" ht="15.75" hidden="1" customHeight="1">
      <c r="A382" s="490" t="s">
        <v>456</v>
      </c>
      <c r="B382" s="481" t="s">
        <v>119</v>
      </c>
      <c r="C382" s="565" t="s">
        <v>55</v>
      </c>
      <c r="D382" s="552"/>
      <c r="E382" s="571"/>
      <c r="F382" s="493">
        <v>0</v>
      </c>
      <c r="G382" s="553"/>
      <c r="H382" s="571"/>
      <c r="I382" s="493"/>
      <c r="J382" s="491"/>
      <c r="K382" s="571"/>
      <c r="L382" s="493">
        <v>0</v>
      </c>
      <c r="M382" s="491"/>
      <c r="N382" s="547"/>
      <c r="O382" s="491"/>
      <c r="P382" s="571"/>
      <c r="Q382" s="493">
        <v>0</v>
      </c>
      <c r="R382" s="491"/>
      <c r="S382" s="547">
        <v>0</v>
      </c>
      <c r="T382" s="478"/>
      <c r="U382" s="478"/>
      <c r="V382" s="481"/>
      <c r="W382" s="478"/>
      <c r="X382" s="478"/>
      <c r="Y382" s="478"/>
      <c r="Z382" s="478"/>
      <c r="AA382" s="478"/>
      <c r="AB382" s="478"/>
      <c r="AC382" s="478"/>
      <c r="AD382" s="478"/>
      <c r="AE382" s="478"/>
      <c r="AF382" s="478"/>
      <c r="AG382" s="478"/>
      <c r="AH382" s="478"/>
      <c r="AI382" s="478"/>
      <c r="AJ382" s="478"/>
      <c r="AK382" s="478"/>
      <c r="AL382" s="478"/>
      <c r="AM382" s="478"/>
      <c r="AN382" s="478"/>
    </row>
    <row r="383" spans="1:40" ht="20.25" hidden="1" customHeight="1">
      <c r="A383" s="490" t="s">
        <v>457</v>
      </c>
      <c r="B383" s="481" t="s">
        <v>119</v>
      </c>
      <c r="C383" s="664" t="s">
        <v>56</v>
      </c>
      <c r="D383" s="550"/>
      <c r="E383" s="481"/>
      <c r="F383" s="499">
        <v>0</v>
      </c>
      <c r="G383" s="551"/>
      <c r="H383" s="481"/>
      <c r="I383" s="499"/>
      <c r="J383" s="498"/>
      <c r="K383" s="481"/>
      <c r="L383" s="501">
        <v>0</v>
      </c>
      <c r="M383" s="498"/>
      <c r="N383" s="524"/>
      <c r="O383" s="498"/>
      <c r="P383" s="481"/>
      <c r="Q383" s="501">
        <v>0</v>
      </c>
      <c r="R383" s="498"/>
      <c r="S383" s="524">
        <v>0</v>
      </c>
      <c r="T383" s="478"/>
      <c r="U383" s="478"/>
      <c r="V383" s="481"/>
      <c r="W383" s="478"/>
      <c r="X383" s="478"/>
      <c r="Y383" s="478"/>
      <c r="Z383" s="478"/>
      <c r="AA383" s="478"/>
      <c r="AB383" s="478"/>
      <c r="AC383" s="478"/>
      <c r="AD383" s="478"/>
      <c r="AE383" s="478"/>
      <c r="AF383" s="478"/>
      <c r="AG383" s="478"/>
      <c r="AH383" s="478"/>
      <c r="AI383" s="478"/>
      <c r="AJ383" s="478"/>
      <c r="AK383" s="478"/>
      <c r="AL383" s="478"/>
      <c r="AM383" s="478"/>
      <c r="AN383" s="478"/>
    </row>
    <row r="384" spans="1:40" ht="20.25" hidden="1" customHeight="1">
      <c r="A384" s="490" t="s">
        <v>458</v>
      </c>
      <c r="B384" s="481" t="s">
        <v>119</v>
      </c>
      <c r="C384" s="565" t="s">
        <v>57</v>
      </c>
      <c r="D384" s="550"/>
      <c r="E384" s="481"/>
      <c r="F384" s="499">
        <v>0</v>
      </c>
      <c r="G384" s="551"/>
      <c r="H384" s="481"/>
      <c r="I384" s="499"/>
      <c r="J384" s="498"/>
      <c r="K384" s="481"/>
      <c r="L384" s="501">
        <v>0</v>
      </c>
      <c r="M384" s="498"/>
      <c r="N384" s="524"/>
      <c r="O384" s="498"/>
      <c r="P384" s="481"/>
      <c r="Q384" s="501">
        <v>0</v>
      </c>
      <c r="R384" s="498"/>
      <c r="S384" s="524">
        <v>0</v>
      </c>
      <c r="T384" s="478"/>
      <c r="U384" s="478"/>
      <c r="V384" s="481"/>
      <c r="W384" s="478"/>
      <c r="X384" s="478"/>
      <c r="Y384" s="478"/>
      <c r="Z384" s="478"/>
      <c r="AA384" s="478"/>
      <c r="AB384" s="478"/>
      <c r="AC384" s="478"/>
      <c r="AD384" s="478"/>
      <c r="AE384" s="478"/>
      <c r="AF384" s="478"/>
      <c r="AG384" s="478"/>
      <c r="AH384" s="478"/>
      <c r="AI384" s="478"/>
      <c r="AJ384" s="478"/>
      <c r="AK384" s="478"/>
      <c r="AL384" s="478"/>
      <c r="AM384" s="478"/>
      <c r="AN384" s="478"/>
    </row>
    <row r="385" spans="1:40" ht="20.25" hidden="1" customHeight="1">
      <c r="A385" s="490" t="s">
        <v>459</v>
      </c>
      <c r="B385" s="481" t="s">
        <v>119</v>
      </c>
      <c r="C385" s="565" t="s">
        <v>58</v>
      </c>
      <c r="D385" s="550"/>
      <c r="E385" s="481"/>
      <c r="F385" s="499">
        <v>0</v>
      </c>
      <c r="G385" s="551"/>
      <c r="H385" s="481"/>
      <c r="I385" s="499"/>
      <c r="J385" s="498"/>
      <c r="K385" s="481"/>
      <c r="L385" s="501">
        <v>0</v>
      </c>
      <c r="M385" s="498"/>
      <c r="N385" s="524"/>
      <c r="O385" s="498"/>
      <c r="P385" s="481"/>
      <c r="Q385" s="501">
        <v>0</v>
      </c>
      <c r="R385" s="498"/>
      <c r="S385" s="524">
        <v>0</v>
      </c>
      <c r="T385" s="478"/>
      <c r="U385" s="478"/>
      <c r="V385" s="481"/>
      <c r="W385" s="478"/>
      <c r="X385" s="478"/>
      <c r="Y385" s="478"/>
      <c r="Z385" s="478"/>
      <c r="AA385" s="478"/>
      <c r="AB385" s="478"/>
      <c r="AC385" s="478"/>
      <c r="AD385" s="478"/>
      <c r="AE385" s="478"/>
      <c r="AF385" s="478"/>
      <c r="AG385" s="478"/>
      <c r="AH385" s="478"/>
      <c r="AI385" s="478"/>
      <c r="AJ385" s="478"/>
      <c r="AK385" s="478"/>
      <c r="AL385" s="478"/>
      <c r="AM385" s="478"/>
      <c r="AN385" s="478"/>
    </row>
    <row r="386" spans="1:40" ht="20.25" hidden="1" customHeight="1">
      <c r="A386" s="490" t="s">
        <v>460</v>
      </c>
      <c r="B386" s="481" t="s">
        <v>119</v>
      </c>
      <c r="C386" s="565" t="s">
        <v>59</v>
      </c>
      <c r="D386" s="550"/>
      <c r="E386" s="481"/>
      <c r="F386" s="499">
        <v>0</v>
      </c>
      <c r="G386" s="551"/>
      <c r="H386" s="481"/>
      <c r="I386" s="499"/>
      <c r="J386" s="498"/>
      <c r="K386" s="481"/>
      <c r="L386" s="501">
        <v>0</v>
      </c>
      <c r="M386" s="498"/>
      <c r="N386" s="524"/>
      <c r="O386" s="498"/>
      <c r="P386" s="481"/>
      <c r="Q386" s="501">
        <v>0</v>
      </c>
      <c r="R386" s="498"/>
      <c r="S386" s="524">
        <v>0</v>
      </c>
      <c r="T386" s="478"/>
      <c r="U386" s="478"/>
      <c r="V386" s="481"/>
      <c r="W386" s="478"/>
      <c r="X386" s="478"/>
      <c r="Y386" s="478"/>
      <c r="Z386" s="478"/>
      <c r="AA386" s="478"/>
      <c r="AB386" s="478"/>
      <c r="AC386" s="478"/>
      <c r="AD386" s="478"/>
      <c r="AE386" s="478"/>
      <c r="AF386" s="478"/>
      <c r="AG386" s="478"/>
      <c r="AH386" s="478"/>
      <c r="AI386" s="478"/>
      <c r="AJ386" s="478"/>
      <c r="AK386" s="478"/>
      <c r="AL386" s="478"/>
      <c r="AM386" s="478"/>
      <c r="AN386" s="478"/>
    </row>
    <row r="387" spans="1:40" ht="20.25" hidden="1" customHeight="1">
      <c r="A387" s="490" t="s">
        <v>461</v>
      </c>
      <c r="B387" s="481" t="s">
        <v>119</v>
      </c>
      <c r="C387" s="565" t="s">
        <v>60</v>
      </c>
      <c r="D387" s="550"/>
      <c r="E387" s="481"/>
      <c r="F387" s="499">
        <v>0</v>
      </c>
      <c r="G387" s="551"/>
      <c r="H387" s="481"/>
      <c r="I387" s="499"/>
      <c r="J387" s="498"/>
      <c r="K387" s="481"/>
      <c r="L387" s="501">
        <v>0</v>
      </c>
      <c r="M387" s="498"/>
      <c r="N387" s="524"/>
      <c r="O387" s="498"/>
      <c r="P387" s="481"/>
      <c r="Q387" s="501">
        <v>0</v>
      </c>
      <c r="R387" s="498"/>
      <c r="S387" s="524">
        <v>0</v>
      </c>
      <c r="T387" s="478"/>
      <c r="U387" s="478"/>
      <c r="V387" s="481"/>
      <c r="W387" s="478"/>
      <c r="X387" s="478"/>
      <c r="Y387" s="478"/>
      <c r="Z387" s="478"/>
      <c r="AA387" s="478"/>
      <c r="AB387" s="478"/>
      <c r="AC387" s="478"/>
      <c r="AD387" s="478"/>
      <c r="AE387" s="478"/>
      <c r="AF387" s="478"/>
      <c r="AG387" s="478"/>
      <c r="AH387" s="478"/>
      <c r="AI387" s="478"/>
      <c r="AJ387" s="478"/>
      <c r="AK387" s="478"/>
      <c r="AL387" s="478"/>
      <c r="AM387" s="478"/>
      <c r="AN387" s="478"/>
    </row>
    <row r="388" spans="1:40" ht="20.25" hidden="1" customHeight="1">
      <c r="A388" s="490" t="s">
        <v>462</v>
      </c>
      <c r="B388" s="481" t="s">
        <v>119</v>
      </c>
      <c r="C388" s="565" t="s">
        <v>61</v>
      </c>
      <c r="D388" s="550"/>
      <c r="E388" s="481"/>
      <c r="F388" s="499">
        <v>0</v>
      </c>
      <c r="G388" s="551"/>
      <c r="H388" s="481"/>
      <c r="I388" s="499"/>
      <c r="J388" s="498"/>
      <c r="K388" s="481"/>
      <c r="L388" s="501">
        <v>0</v>
      </c>
      <c r="M388" s="498"/>
      <c r="N388" s="524"/>
      <c r="O388" s="498"/>
      <c r="P388" s="481"/>
      <c r="Q388" s="501">
        <v>0</v>
      </c>
      <c r="R388" s="498"/>
      <c r="S388" s="524">
        <v>0</v>
      </c>
      <c r="T388" s="478"/>
      <c r="U388" s="478"/>
      <c r="V388" s="481"/>
      <c r="W388" s="478"/>
      <c r="X388" s="478"/>
      <c r="Y388" s="478"/>
      <c r="Z388" s="478"/>
      <c r="AA388" s="478"/>
      <c r="AB388" s="478"/>
      <c r="AC388" s="478"/>
      <c r="AD388" s="478"/>
      <c r="AE388" s="478"/>
      <c r="AF388" s="478"/>
      <c r="AG388" s="478"/>
      <c r="AH388" s="478"/>
      <c r="AI388" s="478"/>
      <c r="AJ388" s="478"/>
      <c r="AK388" s="478"/>
      <c r="AL388" s="478"/>
      <c r="AM388" s="478"/>
      <c r="AN388" s="478"/>
    </row>
    <row r="389" spans="1:40" ht="20.25" hidden="1" customHeight="1">
      <c r="A389" s="490" t="s">
        <v>463</v>
      </c>
      <c r="B389" s="481" t="s">
        <v>119</v>
      </c>
      <c r="C389" s="565" t="s">
        <v>62</v>
      </c>
      <c r="D389" s="550"/>
      <c r="E389" s="481"/>
      <c r="F389" s="499">
        <v>0</v>
      </c>
      <c r="G389" s="551"/>
      <c r="H389" s="481"/>
      <c r="I389" s="499"/>
      <c r="J389" s="498"/>
      <c r="K389" s="481"/>
      <c r="L389" s="501">
        <v>0</v>
      </c>
      <c r="M389" s="498"/>
      <c r="N389" s="524"/>
      <c r="O389" s="498"/>
      <c r="P389" s="481"/>
      <c r="Q389" s="501">
        <v>0</v>
      </c>
      <c r="R389" s="498"/>
      <c r="S389" s="524">
        <v>0</v>
      </c>
      <c r="T389" s="478"/>
      <c r="U389" s="478"/>
      <c r="V389" s="481"/>
      <c r="W389" s="478"/>
      <c r="X389" s="478"/>
      <c r="Y389" s="478"/>
      <c r="Z389" s="478"/>
      <c r="AA389" s="478"/>
      <c r="AB389" s="478"/>
      <c r="AC389" s="478"/>
      <c r="AD389" s="478"/>
      <c r="AE389" s="478"/>
      <c r="AF389" s="478"/>
      <c r="AG389" s="478"/>
      <c r="AH389" s="478"/>
      <c r="AI389" s="478"/>
      <c r="AJ389" s="478"/>
      <c r="AK389" s="478"/>
      <c r="AL389" s="478"/>
      <c r="AM389" s="478"/>
      <c r="AN389" s="478"/>
    </row>
    <row r="390" spans="1:40" ht="20.25" hidden="1" customHeight="1">
      <c r="A390" s="490" t="s">
        <v>464</v>
      </c>
      <c r="B390" s="481" t="s">
        <v>119</v>
      </c>
      <c r="C390" s="565" t="s">
        <v>63</v>
      </c>
      <c r="D390" s="550"/>
      <c r="E390" s="481"/>
      <c r="F390" s="499">
        <v>0</v>
      </c>
      <c r="G390" s="551"/>
      <c r="H390" s="481"/>
      <c r="I390" s="499"/>
      <c r="J390" s="498"/>
      <c r="K390" s="481"/>
      <c r="L390" s="501">
        <v>0</v>
      </c>
      <c r="M390" s="498"/>
      <c r="N390" s="524"/>
      <c r="O390" s="498"/>
      <c r="P390" s="481"/>
      <c r="Q390" s="501">
        <v>0</v>
      </c>
      <c r="R390" s="498"/>
      <c r="S390" s="524">
        <v>0</v>
      </c>
      <c r="T390" s="478"/>
      <c r="U390" s="478"/>
      <c r="V390" s="481"/>
      <c r="W390" s="478"/>
      <c r="X390" s="478"/>
      <c r="Y390" s="478"/>
      <c r="Z390" s="478"/>
      <c r="AA390" s="478"/>
      <c r="AB390" s="478"/>
      <c r="AC390" s="478"/>
      <c r="AD390" s="478"/>
      <c r="AE390" s="478"/>
      <c r="AF390" s="478"/>
      <c r="AG390" s="478"/>
      <c r="AH390" s="478"/>
      <c r="AI390" s="478"/>
      <c r="AJ390" s="478"/>
      <c r="AK390" s="478"/>
      <c r="AL390" s="478"/>
      <c r="AM390" s="478"/>
      <c r="AN390" s="478"/>
    </row>
    <row r="391" spans="1:40" ht="15.75" hidden="1" customHeight="1">
      <c r="A391" s="490" t="s">
        <v>445</v>
      </c>
      <c r="B391" s="481" t="s">
        <v>119</v>
      </c>
      <c r="C391" s="565" t="s">
        <v>20</v>
      </c>
      <c r="D391" s="550"/>
      <c r="E391" s="481"/>
      <c r="F391" s="499">
        <v>0</v>
      </c>
      <c r="G391" s="551"/>
      <c r="H391" s="481"/>
      <c r="I391" s="499"/>
      <c r="J391" s="498"/>
      <c r="K391" s="481"/>
      <c r="L391" s="501">
        <v>0</v>
      </c>
      <c r="M391" s="498"/>
      <c r="N391" s="524"/>
      <c r="O391" s="498"/>
      <c r="P391" s="481"/>
      <c r="Q391" s="501">
        <v>0</v>
      </c>
      <c r="R391" s="498"/>
      <c r="S391" s="524">
        <v>0</v>
      </c>
      <c r="T391" s="478"/>
      <c r="U391" s="478"/>
      <c r="V391" s="481"/>
      <c r="W391" s="478"/>
      <c r="X391" s="478"/>
      <c r="Y391" s="478"/>
      <c r="Z391" s="478"/>
      <c r="AA391" s="478"/>
      <c r="AB391" s="478"/>
      <c r="AC391" s="478"/>
      <c r="AD391" s="478"/>
      <c r="AE391" s="478"/>
      <c r="AF391" s="478"/>
      <c r="AG391" s="478"/>
      <c r="AH391" s="478"/>
      <c r="AI391" s="478"/>
      <c r="AJ391" s="478"/>
      <c r="AK391" s="478"/>
      <c r="AL391" s="478"/>
      <c r="AM391" s="478"/>
      <c r="AN391" s="478"/>
    </row>
    <row r="392" spans="1:40" ht="15.75" hidden="1" customHeight="1">
      <c r="A392" s="490" t="s">
        <v>445</v>
      </c>
      <c r="B392" s="481" t="s">
        <v>119</v>
      </c>
      <c r="C392" s="565" t="s">
        <v>20</v>
      </c>
      <c r="D392" s="550"/>
      <c r="E392" s="481"/>
      <c r="F392" s="499">
        <v>0</v>
      </c>
      <c r="G392" s="551"/>
      <c r="H392" s="481"/>
      <c r="I392" s="499"/>
      <c r="J392" s="498"/>
      <c r="K392" s="481"/>
      <c r="L392" s="501">
        <v>0</v>
      </c>
      <c r="M392" s="498"/>
      <c r="N392" s="524"/>
      <c r="O392" s="498"/>
      <c r="P392" s="481"/>
      <c r="Q392" s="501">
        <v>0</v>
      </c>
      <c r="R392" s="498"/>
      <c r="S392" s="524">
        <v>0</v>
      </c>
      <c r="T392" s="478"/>
      <c r="U392" s="478"/>
      <c r="V392" s="481"/>
      <c r="W392" s="478"/>
      <c r="X392" s="478"/>
      <c r="Y392" s="478"/>
      <c r="Z392" s="478"/>
      <c r="AA392" s="478"/>
      <c r="AB392" s="478"/>
      <c r="AC392" s="478"/>
      <c r="AD392" s="478"/>
      <c r="AE392" s="478"/>
      <c r="AF392" s="478"/>
      <c r="AG392" s="478"/>
      <c r="AH392" s="478"/>
      <c r="AI392" s="478"/>
      <c r="AJ392" s="478"/>
      <c r="AK392" s="478"/>
      <c r="AL392" s="478"/>
      <c r="AM392" s="478"/>
      <c r="AN392" s="478"/>
    </row>
    <row r="393" spans="1:40" ht="15.75" hidden="1" customHeight="1">
      <c r="A393" s="490" t="s">
        <v>445</v>
      </c>
      <c r="B393" s="481" t="s">
        <v>119</v>
      </c>
      <c r="C393" s="565" t="s">
        <v>20</v>
      </c>
      <c r="D393" s="552"/>
      <c r="E393" s="571"/>
      <c r="F393" s="499">
        <v>0</v>
      </c>
      <c r="G393" s="553"/>
      <c r="H393" s="571"/>
      <c r="I393" s="499"/>
      <c r="J393" s="491"/>
      <c r="K393" s="571"/>
      <c r="L393" s="501">
        <v>0</v>
      </c>
      <c r="M393" s="491"/>
      <c r="N393" s="547"/>
      <c r="O393" s="491"/>
      <c r="P393" s="571"/>
      <c r="Q393" s="501">
        <v>0</v>
      </c>
      <c r="R393" s="491"/>
      <c r="S393" s="547">
        <v>0</v>
      </c>
      <c r="T393" s="478"/>
      <c r="U393" s="478"/>
      <c r="V393" s="481"/>
      <c r="W393" s="478"/>
      <c r="X393" s="478"/>
      <c r="Y393" s="478"/>
      <c r="Z393" s="478"/>
      <c r="AA393" s="478"/>
      <c r="AB393" s="478"/>
      <c r="AC393" s="478"/>
      <c r="AD393" s="478"/>
      <c r="AE393" s="478"/>
      <c r="AF393" s="478"/>
      <c r="AG393" s="478"/>
      <c r="AH393" s="478"/>
      <c r="AI393" s="478"/>
      <c r="AJ393" s="478"/>
      <c r="AK393" s="478"/>
      <c r="AL393" s="478"/>
      <c r="AM393" s="478"/>
      <c r="AN393" s="478"/>
    </row>
    <row r="394" spans="1:40" ht="15.75" hidden="1" customHeight="1">
      <c r="B394" s="475"/>
      <c r="C394" s="557" t="s">
        <v>64</v>
      </c>
      <c r="D394" s="558" t="s">
        <v>39</v>
      </c>
      <c r="E394" s="559">
        <v>0</v>
      </c>
      <c r="F394" s="560">
        <v>0</v>
      </c>
      <c r="G394" s="561"/>
      <c r="H394" s="559"/>
      <c r="I394" s="560"/>
      <c r="J394" s="561" t="s">
        <v>39</v>
      </c>
      <c r="K394" s="559">
        <v>0</v>
      </c>
      <c r="L394" s="560">
        <v>0</v>
      </c>
      <c r="M394" s="610"/>
      <c r="N394" s="560"/>
      <c r="O394" s="561" t="s">
        <v>39</v>
      </c>
      <c r="P394" s="559">
        <v>0</v>
      </c>
      <c r="Q394" s="560">
        <v>0</v>
      </c>
      <c r="R394" s="610"/>
      <c r="S394" s="573">
        <v>0</v>
      </c>
      <c r="T394" s="478"/>
      <c r="U394" s="478"/>
      <c r="V394" s="481"/>
      <c r="W394" s="478"/>
      <c r="X394" s="478"/>
      <c r="Y394" s="478"/>
      <c r="Z394" s="478"/>
      <c r="AA394" s="478"/>
      <c r="AB394" s="478"/>
      <c r="AC394" s="478"/>
      <c r="AD394" s="478"/>
      <c r="AE394" s="478"/>
      <c r="AF394" s="478"/>
      <c r="AG394" s="478"/>
      <c r="AH394" s="478"/>
      <c r="AI394" s="478"/>
      <c r="AJ394" s="478"/>
      <c r="AK394" s="478"/>
      <c r="AL394" s="478"/>
      <c r="AM394" s="478"/>
      <c r="AN394" s="478"/>
    </row>
    <row r="395" spans="1:40" ht="15.75" hidden="1" customHeight="1">
      <c r="B395" s="475"/>
      <c r="C395" s="498"/>
      <c r="D395" s="481"/>
      <c r="E395" s="481"/>
      <c r="F395" s="508"/>
      <c r="G395" s="498"/>
      <c r="H395" s="481"/>
      <c r="I395" s="508"/>
      <c r="J395" s="498"/>
      <c r="K395" s="481"/>
      <c r="L395" s="508"/>
      <c r="M395" s="517"/>
      <c r="N395" s="538"/>
      <c r="O395" s="498"/>
      <c r="P395" s="481"/>
      <c r="Q395" s="508"/>
      <c r="R395" s="498"/>
      <c r="S395" s="538"/>
      <c r="T395" s="478"/>
      <c r="U395" s="478"/>
      <c r="V395" s="481"/>
      <c r="W395" s="478"/>
      <c r="X395" s="478"/>
      <c r="Y395" s="478"/>
      <c r="Z395" s="478"/>
      <c r="AA395" s="478"/>
      <c r="AB395" s="478"/>
      <c r="AC395" s="478"/>
      <c r="AD395" s="478"/>
      <c r="AE395" s="478"/>
      <c r="AF395" s="478"/>
      <c r="AG395" s="478"/>
      <c r="AH395" s="478"/>
      <c r="AI395" s="478"/>
      <c r="AJ395" s="478"/>
      <c r="AK395" s="478"/>
      <c r="AL395" s="478"/>
      <c r="AM395" s="478"/>
      <c r="AN395" s="478"/>
    </row>
    <row r="396" spans="1:40" ht="15.75" hidden="1" customHeight="1">
      <c r="B396" s="475"/>
      <c r="C396" s="557" t="s">
        <v>65</v>
      </c>
      <c r="D396" s="558" t="s">
        <v>39</v>
      </c>
      <c r="E396" s="559">
        <v>0</v>
      </c>
      <c r="F396" s="560">
        <v>0</v>
      </c>
      <c r="G396" s="561"/>
      <c r="H396" s="559"/>
      <c r="I396" s="560"/>
      <c r="J396" s="561" t="s">
        <v>39</v>
      </c>
      <c r="K396" s="559">
        <v>0</v>
      </c>
      <c r="L396" s="560">
        <v>0</v>
      </c>
      <c r="M396" s="557"/>
      <c r="N396" s="560"/>
      <c r="O396" s="561" t="s">
        <v>39</v>
      </c>
      <c r="P396" s="559">
        <v>0</v>
      </c>
      <c r="Q396" s="560">
        <v>0</v>
      </c>
      <c r="R396" s="564"/>
      <c r="S396" s="560">
        <v>0</v>
      </c>
      <c r="T396" s="478"/>
      <c r="U396" s="478"/>
      <c r="V396" s="481"/>
      <c r="W396" s="478"/>
      <c r="X396" s="478"/>
      <c r="Y396" s="478"/>
      <c r="Z396" s="478"/>
      <c r="AA396" s="478"/>
      <c r="AB396" s="478"/>
      <c r="AC396" s="478"/>
      <c r="AD396" s="478"/>
      <c r="AE396" s="478"/>
      <c r="AF396" s="478"/>
      <c r="AG396" s="478"/>
      <c r="AH396" s="478"/>
      <c r="AI396" s="478"/>
      <c r="AJ396" s="478"/>
      <c r="AK396" s="478"/>
      <c r="AL396" s="478"/>
      <c r="AM396" s="478"/>
      <c r="AN396" s="478"/>
    </row>
    <row r="397" spans="1:40" ht="15.75" hidden="1" customHeight="1">
      <c r="B397" s="475"/>
      <c r="C397" s="498"/>
      <c r="D397" s="481"/>
      <c r="E397" s="481"/>
      <c r="F397" s="524"/>
      <c r="G397" s="498"/>
      <c r="H397" s="481"/>
      <c r="I397" s="524"/>
      <c r="J397" s="498"/>
      <c r="K397" s="481"/>
      <c r="L397" s="524"/>
      <c r="M397" s="517"/>
      <c r="N397" s="538"/>
      <c r="O397" s="498"/>
      <c r="P397" s="481"/>
      <c r="Q397" s="524"/>
      <c r="R397" s="498"/>
      <c r="S397" s="538"/>
      <c r="T397" s="478"/>
      <c r="U397" s="478"/>
      <c r="V397" s="481"/>
      <c r="W397" s="478"/>
      <c r="X397" s="478"/>
      <c r="Y397" s="478"/>
      <c r="Z397" s="478"/>
      <c r="AA397" s="478"/>
      <c r="AB397" s="478"/>
      <c r="AC397" s="478"/>
      <c r="AD397" s="478"/>
      <c r="AE397" s="478"/>
      <c r="AF397" s="478"/>
      <c r="AG397" s="478"/>
      <c r="AH397" s="478"/>
      <c r="AI397" s="478"/>
      <c r="AJ397" s="478"/>
      <c r="AK397" s="478"/>
      <c r="AL397" s="478"/>
      <c r="AM397" s="478"/>
      <c r="AN397" s="478"/>
    </row>
    <row r="398" spans="1:40" ht="15.75" hidden="1" customHeight="1">
      <c r="B398" s="475"/>
      <c r="C398" s="687" t="s">
        <v>72</v>
      </c>
      <c r="D398" s="688"/>
      <c r="E398" s="688"/>
      <c r="F398" s="689">
        <v>0</v>
      </c>
      <c r="G398" s="687"/>
      <c r="H398" s="688"/>
      <c r="I398" s="689"/>
      <c r="J398" s="690"/>
      <c r="K398" s="691"/>
      <c r="L398" s="689">
        <v>0</v>
      </c>
      <c r="M398" s="687"/>
      <c r="N398" s="689"/>
      <c r="O398" s="690"/>
      <c r="P398" s="691"/>
      <c r="Q398" s="689">
        <v>0</v>
      </c>
      <c r="R398" s="690"/>
      <c r="S398" s="689">
        <v>0</v>
      </c>
      <c r="T398" s="478"/>
      <c r="U398" s="478"/>
      <c r="V398" s="481"/>
      <c r="W398" s="478"/>
      <c r="X398" s="478"/>
      <c r="Y398" s="478"/>
      <c r="Z398" s="478"/>
      <c r="AA398" s="478"/>
      <c r="AB398" s="478"/>
      <c r="AC398" s="478"/>
      <c r="AD398" s="478"/>
      <c r="AE398" s="478"/>
      <c r="AF398" s="478"/>
      <c r="AG398" s="478"/>
      <c r="AH398" s="478"/>
      <c r="AI398" s="478"/>
      <c r="AJ398" s="478"/>
      <c r="AK398" s="478"/>
      <c r="AL398" s="478"/>
      <c r="AM398" s="478"/>
      <c r="AN398" s="478"/>
    </row>
    <row r="399" spans="1:40" ht="15.75" customHeight="1">
      <c r="B399" s="475"/>
      <c r="C399" s="537"/>
      <c r="D399" s="692"/>
      <c r="E399" s="481"/>
      <c r="F399" s="572"/>
      <c r="G399" s="550"/>
      <c r="H399" s="481"/>
      <c r="I399" s="572"/>
      <c r="J399" s="692"/>
      <c r="K399" s="537"/>
      <c r="L399" s="572"/>
      <c r="M399" s="537"/>
      <c r="N399" s="572"/>
      <c r="O399" s="537"/>
      <c r="P399" s="537"/>
      <c r="Q399" s="572"/>
      <c r="R399" s="537"/>
      <c r="S399" s="572"/>
      <c r="T399" s="481"/>
      <c r="U399" s="481"/>
      <c r="V399" s="481"/>
      <c r="W399" s="481"/>
      <c r="X399" s="481"/>
      <c r="Y399" s="481"/>
      <c r="Z399" s="481"/>
      <c r="AA399" s="481"/>
      <c r="AB399" s="481"/>
      <c r="AC399" s="481"/>
      <c r="AD399" s="481"/>
      <c r="AE399" s="481"/>
      <c r="AF399" s="481"/>
      <c r="AG399" s="481"/>
      <c r="AH399" s="481"/>
      <c r="AI399" s="481"/>
      <c r="AJ399" s="481"/>
      <c r="AK399" s="481"/>
      <c r="AL399" s="481"/>
      <c r="AM399" s="481"/>
      <c r="AN399" s="481"/>
    </row>
    <row r="400" spans="1:40" ht="15.75" customHeight="1">
      <c r="B400" s="475"/>
      <c r="F400" s="693"/>
      <c r="L400" s="693"/>
      <c r="V400" s="481"/>
      <c r="W400" s="478"/>
      <c r="X400" s="478"/>
      <c r="Y400" s="478"/>
      <c r="Z400" s="478"/>
      <c r="AA400" s="478"/>
      <c r="AB400" s="478"/>
      <c r="AC400" s="478"/>
      <c r="AD400" s="478"/>
      <c r="AE400" s="478"/>
      <c r="AF400" s="478"/>
      <c r="AG400" s="478"/>
      <c r="AH400" s="478"/>
      <c r="AI400" s="478"/>
      <c r="AJ400" s="478"/>
      <c r="AK400" s="478"/>
      <c r="AL400" s="478"/>
      <c r="AM400" s="478"/>
      <c r="AN400" s="478"/>
    </row>
    <row r="401" spans="1:61" ht="35.4">
      <c r="B401" s="475"/>
      <c r="C401" s="694" t="s">
        <v>465</v>
      </c>
      <c r="F401" s="693"/>
      <c r="L401" s="693"/>
      <c r="V401" s="695" t="s">
        <v>223</v>
      </c>
      <c r="W401" s="467"/>
      <c r="X401" s="467"/>
      <c r="Y401" s="467"/>
      <c r="Z401" s="467"/>
      <c r="AA401" s="467"/>
      <c r="AB401" s="467"/>
      <c r="AC401" s="467"/>
      <c r="AD401" s="467"/>
      <c r="AE401" s="469" t="s">
        <v>476</v>
      </c>
      <c r="AF401" s="467"/>
      <c r="AG401" s="467"/>
      <c r="AH401" s="467"/>
      <c r="AI401" s="467"/>
      <c r="AJ401" s="696"/>
      <c r="AK401" s="469"/>
      <c r="AL401" s="467"/>
      <c r="AM401" s="467"/>
      <c r="AN401" s="467"/>
      <c r="AO401" s="696" t="s">
        <v>483</v>
      </c>
      <c r="AP401" s="478"/>
      <c r="AQ401" s="478"/>
      <c r="AR401" s="478"/>
      <c r="AS401" s="478"/>
      <c r="AT401" s="478"/>
      <c r="AU401" s="478"/>
      <c r="AV401" s="478"/>
      <c r="AW401" s="478"/>
      <c r="AX401" s="478"/>
      <c r="AY401" s="478"/>
      <c r="AZ401" s="478"/>
      <c r="BA401" s="478"/>
      <c r="BB401" s="478"/>
      <c r="BC401" s="478"/>
      <c r="BD401" s="478"/>
      <c r="BE401" s="478"/>
      <c r="BF401" s="478"/>
      <c r="BG401" s="478"/>
      <c r="BH401" s="478"/>
      <c r="BI401" s="478"/>
    </row>
    <row r="402" spans="1:61" ht="15.75" customHeight="1" thickBot="1">
      <c r="B402" s="475"/>
      <c r="C402" s="694" t="s">
        <v>465</v>
      </c>
      <c r="V402" s="697"/>
      <c r="W402" s="477"/>
      <c r="X402" s="477"/>
      <c r="Y402" s="477"/>
      <c r="Z402" s="477"/>
      <c r="AA402" s="477"/>
      <c r="AB402" s="477"/>
      <c r="AC402" s="477"/>
      <c r="AD402" s="477"/>
      <c r="AE402" s="477"/>
      <c r="AF402" s="477"/>
      <c r="AG402" s="477"/>
      <c r="AH402" s="477"/>
      <c r="AI402" s="477"/>
      <c r="AJ402" s="477"/>
      <c r="AK402" s="477"/>
      <c r="AL402" s="478"/>
      <c r="AM402" s="478"/>
      <c r="AN402" s="478"/>
      <c r="AO402" s="478"/>
      <c r="AP402" s="478"/>
      <c r="AQ402" s="478"/>
      <c r="AR402" s="478"/>
      <c r="AS402" s="478"/>
      <c r="AT402" s="478"/>
      <c r="AU402" s="478"/>
      <c r="AV402" s="478"/>
      <c r="AW402" s="478"/>
      <c r="AX402" s="478"/>
      <c r="AY402" s="478"/>
      <c r="AZ402" s="478"/>
      <c r="BA402" s="478"/>
      <c r="BB402" s="478"/>
      <c r="BC402" s="478"/>
      <c r="BD402" s="478"/>
      <c r="BE402" s="478"/>
      <c r="BF402" s="478"/>
      <c r="BG402" s="478"/>
      <c r="BH402" s="478"/>
      <c r="BI402" s="478"/>
    </row>
    <row r="403" spans="1:61" ht="15.75" customHeight="1" thickTop="1" thickBot="1">
      <c r="A403" s="490" t="s">
        <v>466</v>
      </c>
      <c r="B403" s="475"/>
      <c r="C403" s="694" t="s">
        <v>465</v>
      </c>
      <c r="V403" s="698"/>
      <c r="W403" s="699"/>
      <c r="X403" s="859" t="s">
        <v>122</v>
      </c>
      <c r="Y403" s="860"/>
      <c r="Z403" s="861"/>
      <c r="AA403" s="862"/>
      <c r="AB403" s="860"/>
      <c r="AC403" s="861"/>
      <c r="AD403" s="862" t="s">
        <v>7</v>
      </c>
      <c r="AE403" s="860"/>
      <c r="AF403" s="861"/>
      <c r="AG403" s="862" t="s">
        <v>472</v>
      </c>
      <c r="AH403" s="860"/>
      <c r="AI403" s="861"/>
      <c r="AJ403" s="862" t="s">
        <v>123</v>
      </c>
      <c r="AK403" s="860"/>
      <c r="AL403" s="860"/>
      <c r="AM403" s="862" t="s">
        <v>124</v>
      </c>
      <c r="AN403" s="860"/>
      <c r="AO403" s="863"/>
      <c r="AP403" s="478"/>
      <c r="AQ403" s="478"/>
      <c r="AR403" s="478"/>
      <c r="AS403" s="478"/>
      <c r="AT403" s="478"/>
      <c r="AU403" s="478"/>
      <c r="AV403" s="478"/>
      <c r="AW403" s="478"/>
      <c r="AX403" s="478"/>
      <c r="AY403" s="478"/>
      <c r="AZ403" s="478"/>
      <c r="BA403" s="478"/>
      <c r="BB403" s="478"/>
      <c r="BC403" s="478"/>
      <c r="BD403" s="478"/>
      <c r="BE403" s="478"/>
      <c r="BF403" s="478"/>
      <c r="BG403" s="478"/>
      <c r="BH403" s="478"/>
      <c r="BI403" s="478"/>
    </row>
    <row r="404" spans="1:61" ht="15.75" customHeight="1">
      <c r="A404" s="490" t="s">
        <v>466</v>
      </c>
      <c r="B404" s="475"/>
      <c r="C404" s="694" t="s">
        <v>465</v>
      </c>
      <c r="V404" s="491"/>
      <c r="W404" s="659" t="s">
        <v>125</v>
      </c>
      <c r="X404" s="659" t="s">
        <v>126</v>
      </c>
      <c r="Y404" s="659" t="s">
        <v>127</v>
      </c>
      <c r="Z404" s="700" t="s">
        <v>128</v>
      </c>
      <c r="AA404" s="659"/>
      <c r="AB404" s="659"/>
      <c r="AC404" s="700"/>
      <c r="AD404" s="701" t="s">
        <v>126</v>
      </c>
      <c r="AE404" s="659" t="s">
        <v>127</v>
      </c>
      <c r="AF404" s="659" t="s">
        <v>128</v>
      </c>
      <c r="AG404" s="701" t="s">
        <v>129</v>
      </c>
      <c r="AH404" s="659" t="s">
        <v>130</v>
      </c>
      <c r="AI404" s="659" t="s">
        <v>131</v>
      </c>
      <c r="AJ404" s="701" t="s">
        <v>126</v>
      </c>
      <c r="AK404" s="659" t="s">
        <v>127</v>
      </c>
      <c r="AL404" s="659" t="s">
        <v>128</v>
      </c>
      <c r="AM404" s="702" t="s">
        <v>129</v>
      </c>
      <c r="AN404" s="659" t="s">
        <v>130</v>
      </c>
      <c r="AO404" s="598" t="s">
        <v>131</v>
      </c>
      <c r="AP404" s="478"/>
      <c r="AQ404" s="478"/>
      <c r="AR404" s="478"/>
      <c r="AS404" s="478"/>
      <c r="AT404" s="478"/>
      <c r="AU404" s="478"/>
      <c r="AV404" s="478"/>
      <c r="AW404" s="478"/>
      <c r="AX404" s="478"/>
      <c r="AY404" s="478"/>
      <c r="AZ404" s="478"/>
      <c r="BA404" s="478"/>
      <c r="BB404" s="478"/>
      <c r="BC404" s="478"/>
      <c r="BD404" s="478"/>
      <c r="BE404" s="478"/>
      <c r="BF404" s="478"/>
      <c r="BG404" s="478"/>
      <c r="BH404" s="478"/>
      <c r="BI404" s="478"/>
    </row>
    <row r="405" spans="1:61" ht="15.75" customHeight="1">
      <c r="A405" s="490" t="s">
        <v>15</v>
      </c>
      <c r="B405" s="475"/>
      <c r="C405" s="694" t="s">
        <v>465</v>
      </c>
      <c r="V405" s="566" t="s">
        <v>15</v>
      </c>
      <c r="W405" s="703"/>
      <c r="X405" s="703"/>
      <c r="Y405" s="703"/>
      <c r="Z405" s="704">
        <v>4846596.7946121898</v>
      </c>
      <c r="AA405" s="703"/>
      <c r="AB405" s="703"/>
      <c r="AC405" s="704"/>
      <c r="AD405" s="705"/>
      <c r="AE405" s="706"/>
      <c r="AF405" s="706">
        <v>5316242.42</v>
      </c>
      <c r="AG405" s="705"/>
      <c r="AH405" s="706"/>
      <c r="AI405" s="707"/>
      <c r="AJ405" s="705"/>
      <c r="AK405" s="706"/>
      <c r="AL405" s="706">
        <v>6093583.4700000007</v>
      </c>
      <c r="AM405" s="708"/>
      <c r="AN405" s="706"/>
      <c r="AO405" s="709"/>
      <c r="AP405" s="478"/>
      <c r="AQ405" s="478"/>
      <c r="AR405" s="478"/>
      <c r="AS405" s="478"/>
      <c r="AT405" s="478"/>
      <c r="AU405" s="478"/>
      <c r="AV405" s="478"/>
      <c r="AW405" s="478"/>
      <c r="AX405" s="478"/>
      <c r="AY405" s="478"/>
      <c r="AZ405" s="478"/>
      <c r="BA405" s="478"/>
      <c r="BB405" s="478"/>
      <c r="BC405" s="478"/>
      <c r="BD405" s="478"/>
      <c r="BE405" s="478"/>
      <c r="BF405" s="478"/>
      <c r="BG405" s="478"/>
      <c r="BH405" s="478"/>
      <c r="BI405" s="478"/>
    </row>
    <row r="406" spans="1:61" ht="15.75" customHeight="1">
      <c r="A406" s="490" t="s">
        <v>132</v>
      </c>
      <c r="B406" s="475"/>
      <c r="C406" s="694" t="s">
        <v>465</v>
      </c>
      <c r="V406" s="710" t="s">
        <v>132</v>
      </c>
      <c r="W406" s="711"/>
      <c r="X406" s="711"/>
      <c r="Y406" s="711"/>
      <c r="Z406" s="712">
        <v>672575.05658892728</v>
      </c>
      <c r="AA406" s="711"/>
      <c r="AB406" s="711"/>
      <c r="AC406" s="712"/>
      <c r="AD406" s="713"/>
      <c r="AE406" s="714"/>
      <c r="AF406" s="712">
        <v>650658.82999999984</v>
      </c>
      <c r="AG406" s="713"/>
      <c r="AH406" s="714">
        <v>-21916.226588927442</v>
      </c>
      <c r="AI406" s="715">
        <v>-3.2585547700919974E-2</v>
      </c>
      <c r="AJ406" s="713"/>
      <c r="AK406" s="714"/>
      <c r="AL406" s="714">
        <v>776873.9299999997</v>
      </c>
      <c r="AM406" s="716"/>
      <c r="AN406" s="714">
        <v>-126215.09999999986</v>
      </c>
      <c r="AO406" s="717">
        <v>-0.16246535650900257</v>
      </c>
      <c r="AP406" s="478"/>
      <c r="AQ406" s="478"/>
      <c r="AR406" s="478"/>
      <c r="AS406" s="478"/>
      <c r="AT406" s="478"/>
      <c r="AU406" s="478"/>
      <c r="AV406" s="478"/>
      <c r="AW406" s="478"/>
      <c r="AX406" s="478"/>
      <c r="AY406" s="478"/>
      <c r="AZ406" s="478"/>
      <c r="BA406" s="478"/>
      <c r="BB406" s="478"/>
      <c r="BC406" s="478"/>
      <c r="BD406" s="478"/>
      <c r="BE406" s="478"/>
      <c r="BF406" s="478"/>
      <c r="BG406" s="478"/>
      <c r="BH406" s="478"/>
      <c r="BI406" s="478"/>
    </row>
    <row r="407" spans="1:61" ht="15.75" customHeight="1">
      <c r="A407" s="490" t="s">
        <v>133</v>
      </c>
      <c r="B407" s="475"/>
      <c r="C407" s="694" t="s">
        <v>465</v>
      </c>
      <c r="V407" s="718" t="s">
        <v>133</v>
      </c>
      <c r="W407" s="719"/>
      <c r="X407" s="719"/>
      <c r="Y407" s="719"/>
      <c r="Z407" s="720"/>
      <c r="AA407" s="719"/>
      <c r="AB407" s="719"/>
      <c r="AC407" s="720"/>
      <c r="AD407" s="721"/>
      <c r="AE407" s="719"/>
      <c r="AF407" s="722"/>
      <c r="AG407" s="721"/>
      <c r="AH407" s="722"/>
      <c r="AI407" s="723"/>
      <c r="AJ407" s="721"/>
      <c r="AK407" s="719"/>
      <c r="AL407" s="722"/>
      <c r="AM407" s="724"/>
      <c r="AN407" s="722"/>
      <c r="AO407" s="725"/>
      <c r="AP407" s="478"/>
      <c r="AQ407" s="478"/>
      <c r="AR407" s="478"/>
      <c r="AS407" s="478"/>
      <c r="AT407" s="478"/>
      <c r="AU407" s="478"/>
      <c r="AV407" s="478"/>
      <c r="AW407" s="478"/>
      <c r="AX407" s="478"/>
      <c r="AY407" s="478"/>
      <c r="AZ407" s="478"/>
      <c r="BA407" s="478"/>
      <c r="BB407" s="478"/>
      <c r="BC407" s="478"/>
      <c r="BD407" s="478"/>
      <c r="BE407" s="478"/>
      <c r="BF407" s="478"/>
      <c r="BG407" s="478"/>
      <c r="BH407" s="478"/>
      <c r="BI407" s="478"/>
    </row>
    <row r="408" spans="1:61" ht="15.75" customHeight="1">
      <c r="A408" s="490" t="s">
        <v>31</v>
      </c>
      <c r="B408" s="475"/>
      <c r="C408" s="694" t="s">
        <v>465</v>
      </c>
      <c r="V408" s="565" t="s">
        <v>31</v>
      </c>
      <c r="W408" s="726" t="s">
        <v>134</v>
      </c>
      <c r="X408" s="719"/>
      <c r="Y408" s="727">
        <v>710.35480284221876</v>
      </c>
      <c r="Z408" s="720">
        <v>65374.039858914286</v>
      </c>
      <c r="AA408" s="719"/>
      <c r="AB408" s="727"/>
      <c r="AC408" s="720"/>
      <c r="AD408" s="728"/>
      <c r="AE408" s="727">
        <v>798.98139240506327</v>
      </c>
      <c r="AF408" s="720">
        <v>63119.53</v>
      </c>
      <c r="AG408" s="721">
        <v>88.626589562844515</v>
      </c>
      <c r="AH408" s="722">
        <v>-2254.5098589142872</v>
      </c>
      <c r="AI408" s="723">
        <v>-3.4486316950578758E-2</v>
      </c>
      <c r="AJ408" s="728"/>
      <c r="AK408" s="722">
        <v>695.44870370370381</v>
      </c>
      <c r="AL408" s="720">
        <v>75108.460000000006</v>
      </c>
      <c r="AM408" s="724">
        <v>88.626589562844515</v>
      </c>
      <c r="AN408" s="722">
        <v>-11988.930000000008</v>
      </c>
      <c r="AO408" s="729">
        <v>-0.15962156593278581</v>
      </c>
      <c r="AP408" s="478"/>
      <c r="AQ408" s="478"/>
      <c r="AR408" s="475"/>
      <c r="AS408" s="478"/>
      <c r="AT408" s="478"/>
      <c r="AU408" s="478"/>
      <c r="AV408" s="478"/>
      <c r="AW408" s="478"/>
      <c r="AX408" s="478"/>
      <c r="AY408" s="478"/>
      <c r="AZ408" s="478"/>
      <c r="BA408" s="478"/>
      <c r="BB408" s="478"/>
      <c r="BC408" s="478"/>
      <c r="BD408" s="478"/>
      <c r="BE408" s="478"/>
      <c r="BF408" s="478"/>
      <c r="BG408" s="478"/>
      <c r="BH408" s="478"/>
      <c r="BI408" s="478"/>
    </row>
    <row r="409" spans="1:61" ht="15.75" customHeight="1">
      <c r="A409" s="490" t="s">
        <v>32</v>
      </c>
      <c r="B409" s="475"/>
      <c r="C409" s="694" t="s">
        <v>465</v>
      </c>
      <c r="V409" s="566" t="s">
        <v>32</v>
      </c>
      <c r="W409" s="730" t="s">
        <v>135</v>
      </c>
      <c r="X409" s="703"/>
      <c r="Y409" s="731">
        <v>477.65772967433963</v>
      </c>
      <c r="Z409" s="704">
        <v>43958.899600182864</v>
      </c>
      <c r="AA409" s="703"/>
      <c r="AB409" s="731"/>
      <c r="AC409" s="704"/>
      <c r="AD409" s="732"/>
      <c r="AE409" s="731">
        <v>542.49569620253169</v>
      </c>
      <c r="AF409" s="704">
        <v>42857.16</v>
      </c>
      <c r="AG409" s="705">
        <v>64.837966528192055</v>
      </c>
      <c r="AH409" s="706">
        <v>-1101.7396001828602</v>
      </c>
      <c r="AI409" s="733">
        <v>-2.5062947667103957E-2</v>
      </c>
      <c r="AJ409" s="732"/>
      <c r="AK409" s="706">
        <v>509.60842592592593</v>
      </c>
      <c r="AL409" s="704">
        <v>55037.71</v>
      </c>
      <c r="AM409" s="708">
        <v>64.837966528192055</v>
      </c>
      <c r="AN409" s="706">
        <v>-12180.549999999996</v>
      </c>
      <c r="AO409" s="709">
        <v>-0.22131280534746078</v>
      </c>
      <c r="AP409" s="478"/>
      <c r="AQ409" s="478"/>
      <c r="AR409" s="481"/>
      <c r="AS409" s="478"/>
      <c r="AT409" s="478"/>
      <c r="AU409" s="478"/>
      <c r="AV409" s="478"/>
      <c r="AW409" s="478"/>
      <c r="AX409" s="478"/>
      <c r="AY409" s="478"/>
      <c r="AZ409" s="478"/>
      <c r="BA409" s="478"/>
      <c r="BB409" s="478"/>
      <c r="BC409" s="478"/>
      <c r="BD409" s="478"/>
      <c r="BE409" s="478"/>
      <c r="BF409" s="478"/>
      <c r="BG409" s="478"/>
      <c r="BH409" s="478"/>
      <c r="BI409" s="478"/>
    </row>
    <row r="410" spans="1:61" ht="15.75" customHeight="1">
      <c r="A410" s="490" t="s">
        <v>33</v>
      </c>
      <c r="B410" s="475"/>
      <c r="C410" s="694" t="s">
        <v>465</v>
      </c>
      <c r="V410" s="565" t="s">
        <v>33</v>
      </c>
      <c r="W410" s="726" t="s">
        <v>136</v>
      </c>
      <c r="X410" s="719"/>
      <c r="Y410" s="727">
        <v>86.058091090559273</v>
      </c>
      <c r="Z410" s="720">
        <v>7919.9367057505706</v>
      </c>
      <c r="AA410" s="719"/>
      <c r="AB410" s="727"/>
      <c r="AC410" s="720"/>
      <c r="AD410" s="728"/>
      <c r="AE410" s="727">
        <v>79.651518987341774</v>
      </c>
      <c r="AF410" s="720">
        <v>6292.47</v>
      </c>
      <c r="AG410" s="721">
        <v>-6.4065721032174991</v>
      </c>
      <c r="AH410" s="722">
        <v>-1627.4667057505703</v>
      </c>
      <c r="AI410" s="723">
        <v>-0.20548986263600899</v>
      </c>
      <c r="AJ410" s="728"/>
      <c r="AK410" s="722">
        <v>19.830092592592592</v>
      </c>
      <c r="AL410" s="720">
        <v>2141.65</v>
      </c>
      <c r="AM410" s="724">
        <v>-6.4065721032174991</v>
      </c>
      <c r="AN410" s="722">
        <v>4150.82</v>
      </c>
      <c r="AO410" s="729">
        <v>1.9381411528494383</v>
      </c>
      <c r="AP410" s="478"/>
      <c r="AQ410" s="478"/>
      <c r="AR410" s="481"/>
      <c r="AS410" s="478"/>
      <c r="AT410" s="478"/>
      <c r="AU410" s="478"/>
      <c r="AV410" s="478"/>
      <c r="AW410" s="478"/>
      <c r="AX410" s="478"/>
      <c r="AY410" s="478"/>
      <c r="AZ410" s="478"/>
      <c r="BA410" s="478"/>
      <c r="BB410" s="478"/>
      <c r="BC410" s="478"/>
      <c r="BD410" s="478"/>
      <c r="BE410" s="478"/>
      <c r="BF410" s="478"/>
      <c r="BG410" s="478"/>
      <c r="BH410" s="478"/>
      <c r="BI410" s="478"/>
    </row>
    <row r="411" spans="1:61" ht="15.75" customHeight="1">
      <c r="A411" s="490" t="s">
        <v>34</v>
      </c>
      <c r="B411" s="475"/>
      <c r="C411" s="694" t="s">
        <v>465</v>
      </c>
      <c r="V411" s="565" t="s">
        <v>34</v>
      </c>
      <c r="W411" s="726" t="s">
        <v>137</v>
      </c>
      <c r="X411" s="719"/>
      <c r="Y411" s="727">
        <v>9.8691927120716851</v>
      </c>
      <c r="Z411" s="720">
        <v>908.26301892068386</v>
      </c>
      <c r="AA411" s="719"/>
      <c r="AB411" s="727"/>
      <c r="AC411" s="720"/>
      <c r="AD411" s="728"/>
      <c r="AE411" s="727">
        <v>3.1829113924050629</v>
      </c>
      <c r="AF411" s="720">
        <v>251.45</v>
      </c>
      <c r="AG411" s="721">
        <v>-6.6862813196666222</v>
      </c>
      <c r="AH411" s="722">
        <v>-656.81301892068382</v>
      </c>
      <c r="AI411" s="723">
        <v>-0.72315288109075981</v>
      </c>
      <c r="AJ411" s="728"/>
      <c r="AK411" s="722">
        <v>1.4412037037037038</v>
      </c>
      <c r="AL411" s="720">
        <v>155.65</v>
      </c>
      <c r="AM411" s="724">
        <v>-6.6862813196666222</v>
      </c>
      <c r="AN411" s="722">
        <v>95.799999999999983</v>
      </c>
      <c r="AO411" s="729">
        <v>0.61548345647285563</v>
      </c>
      <c r="AP411" s="478"/>
      <c r="AQ411" s="478"/>
      <c r="AR411" s="481"/>
      <c r="AS411" s="478"/>
      <c r="AT411" s="478"/>
      <c r="AU411" s="478"/>
      <c r="AV411" s="478"/>
      <c r="AW411" s="478"/>
      <c r="AX411" s="478"/>
      <c r="AY411" s="478"/>
      <c r="AZ411" s="478"/>
      <c r="BA411" s="478"/>
      <c r="BB411" s="478"/>
      <c r="BC411" s="478"/>
      <c r="BD411" s="478"/>
      <c r="BE411" s="478"/>
      <c r="BF411" s="478"/>
      <c r="BG411" s="478"/>
      <c r="BH411" s="478"/>
      <c r="BI411" s="478"/>
    </row>
    <row r="412" spans="1:61" ht="15.75" customHeight="1">
      <c r="A412" s="490" t="s">
        <v>35</v>
      </c>
      <c r="B412" s="475"/>
      <c r="C412" s="694" t="s">
        <v>465</v>
      </c>
      <c r="V412" s="566" t="s">
        <v>35</v>
      </c>
      <c r="W412" s="730"/>
      <c r="X412" s="703"/>
      <c r="Y412" s="731">
        <v>116.71955414378459</v>
      </c>
      <c r="Z412" s="704">
        <v>10741.714921022811</v>
      </c>
      <c r="AA412" s="703"/>
      <c r="AB412" s="731"/>
      <c r="AC412" s="704"/>
      <c r="AD412" s="732"/>
      <c r="AE412" s="731">
        <v>108.44645569620253</v>
      </c>
      <c r="AF412" s="704">
        <v>8567.27</v>
      </c>
      <c r="AG412" s="705">
        <v>-8.2730984475820577</v>
      </c>
      <c r="AH412" s="706">
        <v>-2174.4449210228104</v>
      </c>
      <c r="AI412" s="733">
        <v>-0.20242995992820137</v>
      </c>
      <c r="AJ412" s="732"/>
      <c r="AK412" s="706">
        <v>96.978796296296295</v>
      </c>
      <c r="AL412" s="704">
        <v>10473.709999999999</v>
      </c>
      <c r="AM412" s="708">
        <v>-8.2730984475820577</v>
      </c>
      <c r="AN412" s="706">
        <v>-1906.4399999999987</v>
      </c>
      <c r="AO412" s="709">
        <v>-0.18202146135419053</v>
      </c>
      <c r="AP412" s="478"/>
      <c r="AQ412" s="478"/>
      <c r="AR412" s="481"/>
      <c r="AS412" s="478"/>
      <c r="AT412" s="478"/>
      <c r="AU412" s="478"/>
      <c r="AV412" s="478"/>
      <c r="AW412" s="478"/>
      <c r="AX412" s="478"/>
      <c r="AY412" s="478"/>
      <c r="AZ412" s="478"/>
      <c r="BA412" s="478"/>
      <c r="BB412" s="478"/>
      <c r="BC412" s="478"/>
      <c r="BD412" s="478"/>
      <c r="BE412" s="478"/>
      <c r="BF412" s="478"/>
      <c r="BG412" s="478"/>
      <c r="BH412" s="478"/>
      <c r="BI412" s="478"/>
    </row>
    <row r="413" spans="1:61" ht="15.75" customHeight="1">
      <c r="A413" s="490" t="s">
        <v>36</v>
      </c>
      <c r="B413" s="475"/>
      <c r="C413" s="694" t="s">
        <v>465</v>
      </c>
      <c r="V413" s="565" t="s">
        <v>36</v>
      </c>
      <c r="W413" s="726" t="s">
        <v>138</v>
      </c>
      <c r="X413" s="723"/>
      <c r="Y413" s="727">
        <v>208.15136308828096</v>
      </c>
      <c r="Z413" s="720">
        <v>19156.195541684974</v>
      </c>
      <c r="AA413" s="723"/>
      <c r="AB413" s="727"/>
      <c r="AC413" s="720"/>
      <c r="AD413" s="728"/>
      <c r="AE413" s="727">
        <v>163.09050632911391</v>
      </c>
      <c r="AF413" s="720">
        <v>12884.15</v>
      </c>
      <c r="AG413" s="721">
        <v>-45.060856759167052</v>
      </c>
      <c r="AH413" s="722">
        <v>-6272.0455416849745</v>
      </c>
      <c r="AI413" s="723">
        <v>-0.32741603248080475</v>
      </c>
      <c r="AJ413" s="728"/>
      <c r="AK413" s="722">
        <v>101.09981481481481</v>
      </c>
      <c r="AL413" s="720">
        <v>10918.779999999999</v>
      </c>
      <c r="AM413" s="724">
        <v>-45.060856759167052</v>
      </c>
      <c r="AN413" s="722">
        <v>1965.3700000000008</v>
      </c>
      <c r="AO413" s="729">
        <v>0.17999904751263429</v>
      </c>
      <c r="AP413" s="478"/>
      <c r="AQ413" s="478"/>
      <c r="AR413" s="481"/>
      <c r="AS413" s="478"/>
      <c r="AT413" s="478"/>
      <c r="AU413" s="478"/>
      <c r="AV413" s="478"/>
      <c r="AW413" s="478"/>
      <c r="AX413" s="478"/>
      <c r="AY413" s="478"/>
      <c r="AZ413" s="478"/>
      <c r="BA413" s="478"/>
      <c r="BB413" s="478"/>
      <c r="BC413" s="478"/>
      <c r="BD413" s="478"/>
      <c r="BE413" s="478"/>
      <c r="BF413" s="478"/>
      <c r="BG413" s="478"/>
      <c r="BH413" s="478"/>
      <c r="BI413" s="478"/>
    </row>
    <row r="414" spans="1:61" ht="15.75" customHeight="1">
      <c r="A414" s="490" t="s">
        <v>37</v>
      </c>
      <c r="B414" s="475"/>
      <c r="C414" s="694" t="s">
        <v>465</v>
      </c>
      <c r="V414" s="565" t="s">
        <v>37</v>
      </c>
      <c r="W414" s="726" t="s">
        <v>139</v>
      </c>
      <c r="X414" s="719"/>
      <c r="Y414" s="727">
        <v>105.48027220317341</v>
      </c>
      <c r="Z414" s="720">
        <v>9707.3624219178073</v>
      </c>
      <c r="AA414" s="719"/>
      <c r="AB414" s="727"/>
      <c r="AC414" s="720"/>
      <c r="AD414" s="728"/>
      <c r="AE414" s="727">
        <v>84.300697674418601</v>
      </c>
      <c r="AF414" s="720">
        <v>7249.86</v>
      </c>
      <c r="AG414" s="721">
        <v>-21.179574528754813</v>
      </c>
      <c r="AH414" s="722">
        <v>-2457.5024219178076</v>
      </c>
      <c r="AI414" s="723">
        <v>-0.25315861457579103</v>
      </c>
      <c r="AJ414" s="728"/>
      <c r="AK414" s="722">
        <v>70.727407407407398</v>
      </c>
      <c r="AL414" s="720">
        <v>7638.5599999999995</v>
      </c>
      <c r="AM414" s="724">
        <v>-21.179574528754813</v>
      </c>
      <c r="AN414" s="722">
        <v>-388.69999999999982</v>
      </c>
      <c r="AO414" s="729">
        <v>-5.0886554533838821E-2</v>
      </c>
      <c r="AP414" s="478"/>
      <c r="AQ414" s="478"/>
      <c r="AR414" s="481"/>
      <c r="AS414" s="478"/>
      <c r="AT414" s="478"/>
      <c r="AU414" s="478"/>
      <c r="AV414" s="478"/>
      <c r="AW414" s="478"/>
      <c r="AX414" s="478"/>
      <c r="AY414" s="478"/>
      <c r="AZ414" s="478"/>
      <c r="BA414" s="478"/>
      <c r="BB414" s="478"/>
      <c r="BC414" s="478"/>
      <c r="BD414" s="478"/>
      <c r="BE414" s="478"/>
      <c r="BF414" s="478"/>
      <c r="BG414" s="478"/>
      <c r="BH414" s="478"/>
      <c r="BI414" s="478"/>
    </row>
    <row r="415" spans="1:61" ht="15.75" hidden="1" customHeight="1">
      <c r="A415" s="490" t="s">
        <v>20</v>
      </c>
      <c r="B415" s="475"/>
      <c r="C415" s="694" t="s">
        <v>465</v>
      </c>
      <c r="V415" s="565" t="s">
        <v>20</v>
      </c>
      <c r="W415" s="726"/>
      <c r="X415" s="723"/>
      <c r="Y415" s="727">
        <v>0</v>
      </c>
      <c r="Z415" s="720">
        <v>0</v>
      </c>
      <c r="AA415" s="719"/>
      <c r="AB415" s="727"/>
      <c r="AC415" s="720"/>
      <c r="AD415" s="728"/>
      <c r="AE415" s="727">
        <v>0</v>
      </c>
      <c r="AF415" s="720">
        <v>0</v>
      </c>
      <c r="AG415" s="721">
        <v>0</v>
      </c>
      <c r="AH415" s="722">
        <v>0</v>
      </c>
      <c r="AI415" s="723">
        <v>0</v>
      </c>
      <c r="AJ415" s="728"/>
      <c r="AK415" s="722">
        <v>0</v>
      </c>
      <c r="AL415" s="720">
        <v>0</v>
      </c>
      <c r="AM415" s="724">
        <v>0</v>
      </c>
      <c r="AN415" s="722">
        <v>0</v>
      </c>
      <c r="AO415" s="729">
        <v>0</v>
      </c>
      <c r="AP415" s="478"/>
      <c r="AQ415" s="478"/>
      <c r="AR415" s="481"/>
      <c r="AS415" s="478"/>
      <c r="AT415" s="478"/>
      <c r="AU415" s="478"/>
      <c r="AV415" s="478"/>
      <c r="AW415" s="478"/>
      <c r="AX415" s="478"/>
      <c r="AY415" s="478"/>
      <c r="AZ415" s="478"/>
      <c r="BA415" s="478"/>
      <c r="BB415" s="478"/>
      <c r="BC415" s="478"/>
      <c r="BD415" s="478"/>
      <c r="BE415" s="478"/>
      <c r="BF415" s="478"/>
      <c r="BG415" s="478"/>
      <c r="BH415" s="478"/>
      <c r="BI415" s="478"/>
    </row>
    <row r="416" spans="1:61" ht="15.75" hidden="1" customHeight="1">
      <c r="A416" s="490" t="s">
        <v>20</v>
      </c>
      <c r="B416" s="475"/>
      <c r="C416" s="694" t="s">
        <v>465</v>
      </c>
      <c r="V416" s="565" t="s">
        <v>20</v>
      </c>
      <c r="W416" s="726"/>
      <c r="X416" s="723"/>
      <c r="Y416" s="727">
        <v>0</v>
      </c>
      <c r="Z416" s="720">
        <v>0</v>
      </c>
      <c r="AA416" s="719"/>
      <c r="AB416" s="727"/>
      <c r="AC416" s="720"/>
      <c r="AD416" s="728"/>
      <c r="AE416" s="727">
        <v>0</v>
      </c>
      <c r="AF416" s="720">
        <v>0</v>
      </c>
      <c r="AG416" s="721">
        <v>0</v>
      </c>
      <c r="AH416" s="722">
        <v>0</v>
      </c>
      <c r="AI416" s="723">
        <v>0</v>
      </c>
      <c r="AJ416" s="728"/>
      <c r="AK416" s="722">
        <v>0</v>
      </c>
      <c r="AL416" s="720">
        <v>0</v>
      </c>
      <c r="AM416" s="724">
        <v>0</v>
      </c>
      <c r="AN416" s="722">
        <v>0</v>
      </c>
      <c r="AO416" s="729">
        <v>0</v>
      </c>
      <c r="AP416" s="478"/>
      <c r="AQ416" s="478"/>
      <c r="AR416" s="481"/>
      <c r="AS416" s="478"/>
      <c r="AT416" s="478"/>
      <c r="AU416" s="478"/>
      <c r="AV416" s="478"/>
      <c r="AW416" s="478"/>
      <c r="AX416" s="478"/>
      <c r="AY416" s="478"/>
      <c r="AZ416" s="478"/>
      <c r="BA416" s="478"/>
      <c r="BB416" s="478"/>
      <c r="BC416" s="478"/>
      <c r="BD416" s="478"/>
      <c r="BE416" s="478"/>
      <c r="BF416" s="478"/>
      <c r="BG416" s="478"/>
      <c r="BH416" s="478"/>
      <c r="BI416" s="478"/>
    </row>
    <row r="417" spans="1:61" ht="15.75" hidden="1" customHeight="1">
      <c r="A417" s="490" t="s">
        <v>20</v>
      </c>
      <c r="B417" s="475"/>
      <c r="C417" s="694" t="s">
        <v>465</v>
      </c>
      <c r="V417" s="565" t="s">
        <v>20</v>
      </c>
      <c r="W417" s="726" t="s">
        <v>139</v>
      </c>
      <c r="X417" s="719"/>
      <c r="Y417" s="727">
        <v>0</v>
      </c>
      <c r="Z417" s="720">
        <v>0</v>
      </c>
      <c r="AA417" s="719"/>
      <c r="AB417" s="727"/>
      <c r="AC417" s="720"/>
      <c r="AD417" s="728"/>
      <c r="AE417" s="727">
        <v>0</v>
      </c>
      <c r="AF417" s="720">
        <v>0</v>
      </c>
      <c r="AG417" s="721">
        <v>0</v>
      </c>
      <c r="AH417" s="722">
        <v>0</v>
      </c>
      <c r="AI417" s="723">
        <v>0</v>
      </c>
      <c r="AJ417" s="728"/>
      <c r="AK417" s="722">
        <v>0</v>
      </c>
      <c r="AL417" s="720">
        <v>0</v>
      </c>
      <c r="AM417" s="724">
        <v>0</v>
      </c>
      <c r="AN417" s="722">
        <v>0</v>
      </c>
      <c r="AO417" s="729">
        <v>0</v>
      </c>
      <c r="AP417" s="478"/>
      <c r="AQ417" s="478"/>
      <c r="AR417" s="481"/>
      <c r="AS417" s="478"/>
      <c r="AT417" s="478"/>
      <c r="AU417" s="478"/>
      <c r="AV417" s="478"/>
      <c r="AW417" s="478"/>
      <c r="AX417" s="478"/>
      <c r="AY417" s="478"/>
      <c r="AZ417" s="478"/>
      <c r="BA417" s="478"/>
      <c r="BB417" s="478"/>
      <c r="BC417" s="478"/>
      <c r="BD417" s="478"/>
      <c r="BE417" s="478"/>
      <c r="BF417" s="478"/>
      <c r="BG417" s="478"/>
      <c r="BH417" s="478"/>
      <c r="BI417" s="478"/>
    </row>
    <row r="418" spans="1:61" ht="15.75" customHeight="1">
      <c r="A418" s="490" t="s">
        <v>38</v>
      </c>
      <c r="B418" s="475"/>
      <c r="C418" s="694" t="s">
        <v>465</v>
      </c>
      <c r="V418" s="734" t="s">
        <v>38</v>
      </c>
      <c r="W418" s="735"/>
      <c r="X418" s="736">
        <v>0.23457071522772757</v>
      </c>
      <c r="Y418" s="735"/>
      <c r="Z418" s="737">
        <v>157766.41206839401</v>
      </c>
      <c r="AA418" s="736"/>
      <c r="AB418" s="735"/>
      <c r="AC418" s="737"/>
      <c r="AD418" s="738">
        <v>0.21704445323519242</v>
      </c>
      <c r="AE418" s="735"/>
      <c r="AF418" s="737">
        <v>141221.88999999998</v>
      </c>
      <c r="AG418" s="739"/>
      <c r="AH418" s="740">
        <v>-16544.522068394028</v>
      </c>
      <c r="AI418" s="736">
        <v>-0.1048672011455882</v>
      </c>
      <c r="AJ418" s="738">
        <v>0.20785163945455096</v>
      </c>
      <c r="AK418" s="735"/>
      <c r="AL418" s="737">
        <v>161474.51999999999</v>
      </c>
      <c r="AM418" s="741"/>
      <c r="AN418" s="740">
        <v>-20252.630000000005</v>
      </c>
      <c r="AO418" s="717">
        <v>-0.12542306984408441</v>
      </c>
      <c r="AP418" s="478"/>
      <c r="AQ418" s="478"/>
      <c r="AR418" s="481"/>
      <c r="AS418" s="478"/>
      <c r="AT418" s="478"/>
      <c r="AU418" s="478"/>
      <c r="AV418" s="478"/>
      <c r="AW418" s="478"/>
      <c r="AX418" s="478"/>
      <c r="AY418" s="478"/>
      <c r="AZ418" s="478"/>
      <c r="BA418" s="478"/>
      <c r="BB418" s="478"/>
      <c r="BC418" s="478"/>
      <c r="BD418" s="478"/>
      <c r="BE418" s="478"/>
      <c r="BF418" s="478"/>
      <c r="BG418" s="478"/>
      <c r="BH418" s="478"/>
      <c r="BI418" s="478"/>
    </row>
    <row r="419" spans="1:61" ht="15.75" customHeight="1">
      <c r="A419" s="490" t="s">
        <v>140</v>
      </c>
      <c r="B419" s="475"/>
      <c r="C419" s="694" t="s">
        <v>465</v>
      </c>
      <c r="V419" s="565" t="s">
        <v>140</v>
      </c>
      <c r="W419" s="726" t="s">
        <v>141</v>
      </c>
      <c r="X419" s="719"/>
      <c r="Y419" s="719"/>
      <c r="Z419" s="720">
        <v>15725.739386973182</v>
      </c>
      <c r="AA419" s="719"/>
      <c r="AB419" s="719"/>
      <c r="AC419" s="720"/>
      <c r="AD419" s="728"/>
      <c r="AE419" s="727"/>
      <c r="AF419" s="720">
        <v>15225.419999999998</v>
      </c>
      <c r="AG419" s="721"/>
      <c r="AH419" s="722">
        <v>-500.31938697318401</v>
      </c>
      <c r="AI419" s="723">
        <v>-3.1815317210943758E-2</v>
      </c>
      <c r="AJ419" s="728"/>
      <c r="AK419" s="719"/>
      <c r="AL419" s="720">
        <v>15718.93</v>
      </c>
      <c r="AM419" s="724"/>
      <c r="AN419" s="722">
        <v>-493.51000000000204</v>
      </c>
      <c r="AO419" s="729">
        <v>-3.1395902901787974E-2</v>
      </c>
      <c r="AP419" s="478"/>
      <c r="AQ419" s="478"/>
      <c r="AR419" s="478"/>
      <c r="AS419" s="478"/>
      <c r="AT419" s="478"/>
      <c r="AU419" s="478"/>
      <c r="AV419" s="478"/>
      <c r="AW419" s="478"/>
      <c r="AX419" s="478"/>
      <c r="AY419" s="478"/>
      <c r="AZ419" s="478"/>
      <c r="BA419" s="478"/>
      <c r="BB419" s="478"/>
      <c r="BC419" s="478"/>
      <c r="BD419" s="478"/>
      <c r="BE419" s="478"/>
      <c r="BF419" s="478"/>
      <c r="BG419" s="478"/>
      <c r="BH419" s="478"/>
      <c r="BI419" s="478"/>
    </row>
    <row r="420" spans="1:61" ht="15.75" customHeight="1">
      <c r="A420" s="490" t="s">
        <v>41</v>
      </c>
      <c r="B420" s="475"/>
      <c r="C420" s="694" t="s">
        <v>465</v>
      </c>
      <c r="V420" s="565" t="s">
        <v>41</v>
      </c>
      <c r="W420" s="726" t="s">
        <v>142</v>
      </c>
      <c r="X420" s="719"/>
      <c r="Y420" s="719"/>
      <c r="Z420" s="720">
        <v>43004.043103448275</v>
      </c>
      <c r="AA420" s="719"/>
      <c r="AB420" s="719"/>
      <c r="AC420" s="720"/>
      <c r="AD420" s="728"/>
      <c r="AE420" s="727"/>
      <c r="AF420" s="720">
        <v>45661.419999999991</v>
      </c>
      <c r="AG420" s="721"/>
      <c r="AH420" s="722">
        <v>2657.3768965517156</v>
      </c>
      <c r="AI420" s="723">
        <v>6.179365252144476E-2</v>
      </c>
      <c r="AJ420" s="728"/>
      <c r="AK420" s="719"/>
      <c r="AL420" s="720">
        <v>55679.33</v>
      </c>
      <c r="AM420" s="724"/>
      <c r="AN420" s="722">
        <v>-10017.910000000011</v>
      </c>
      <c r="AO420" s="729">
        <v>-0.17992152563617433</v>
      </c>
      <c r="AP420" s="478"/>
      <c r="AQ420" s="478"/>
      <c r="AR420" s="478"/>
      <c r="AS420" s="478"/>
      <c r="AT420" s="478"/>
      <c r="AU420" s="478"/>
      <c r="AV420" s="478"/>
      <c r="AW420" s="478"/>
      <c r="AX420" s="478"/>
      <c r="AY420" s="478"/>
      <c r="AZ420" s="478"/>
      <c r="BA420" s="478"/>
      <c r="BB420" s="478"/>
      <c r="BC420" s="478"/>
      <c r="BD420" s="478"/>
      <c r="BE420" s="478"/>
      <c r="BF420" s="478"/>
      <c r="BG420" s="478"/>
      <c r="BH420" s="478"/>
      <c r="BI420" s="478"/>
    </row>
    <row r="421" spans="1:61" ht="15.75" customHeight="1">
      <c r="A421" s="490" t="s">
        <v>42</v>
      </c>
      <c r="B421" s="475"/>
      <c r="C421" s="694" t="s">
        <v>465</v>
      </c>
      <c r="V421" s="566" t="s">
        <v>42</v>
      </c>
      <c r="W421" s="730" t="s">
        <v>143</v>
      </c>
      <c r="X421" s="703"/>
      <c r="Y421" s="703"/>
      <c r="Z421" s="704">
        <v>52087.070344827589</v>
      </c>
      <c r="AA421" s="703"/>
      <c r="AB421" s="703"/>
      <c r="AC421" s="704"/>
      <c r="AD421" s="732"/>
      <c r="AE421" s="731"/>
      <c r="AF421" s="704">
        <v>46717.79</v>
      </c>
      <c r="AG421" s="705"/>
      <c r="AH421" s="706">
        <v>-5369.2803448275881</v>
      </c>
      <c r="AI421" s="733">
        <v>-0.10308278636678544</v>
      </c>
      <c r="AJ421" s="732"/>
      <c r="AK421" s="703"/>
      <c r="AL421" s="704">
        <v>20414.339999999997</v>
      </c>
      <c r="AM421" s="708"/>
      <c r="AN421" s="706">
        <v>26303.450000000004</v>
      </c>
      <c r="AO421" s="709">
        <v>1.288479078921974</v>
      </c>
      <c r="AP421" s="478"/>
      <c r="AQ421" s="478"/>
      <c r="AR421" s="478"/>
      <c r="AS421" s="478"/>
      <c r="AT421" s="478"/>
      <c r="AU421" s="478"/>
      <c r="AV421" s="478"/>
      <c r="AW421" s="478"/>
      <c r="AX421" s="478"/>
      <c r="AY421" s="478"/>
      <c r="AZ421" s="478"/>
      <c r="BA421" s="478"/>
      <c r="BB421" s="478"/>
      <c r="BC421" s="478"/>
      <c r="BD421" s="478"/>
      <c r="BE421" s="478"/>
      <c r="BF421" s="478"/>
      <c r="BG421" s="478"/>
      <c r="BH421" s="478"/>
      <c r="BI421" s="478"/>
    </row>
    <row r="422" spans="1:61" ht="15.75" customHeight="1">
      <c r="A422" s="490" t="s">
        <v>43</v>
      </c>
      <c r="B422" s="475"/>
      <c r="C422" s="694" t="s">
        <v>465</v>
      </c>
      <c r="V422" s="565" t="s">
        <v>43</v>
      </c>
      <c r="W422" s="726" t="s">
        <v>144</v>
      </c>
      <c r="X422" s="719"/>
      <c r="Y422" s="719"/>
      <c r="Z422" s="720">
        <v>31637.251340996168</v>
      </c>
      <c r="AA422" s="719"/>
      <c r="AB422" s="719"/>
      <c r="AC422" s="720"/>
      <c r="AD422" s="728"/>
      <c r="AE422" s="727"/>
      <c r="AF422" s="720">
        <v>27408.46</v>
      </c>
      <c r="AG422" s="721"/>
      <c r="AH422" s="722">
        <v>-4228.7913409961693</v>
      </c>
      <c r="AI422" s="723">
        <v>-0.13366494122441094</v>
      </c>
      <c r="AJ422" s="728"/>
      <c r="AK422" s="719"/>
      <c r="AL422" s="720">
        <v>55012.59</v>
      </c>
      <c r="AM422" s="724"/>
      <c r="AN422" s="722">
        <v>-27604.129999999997</v>
      </c>
      <c r="AO422" s="729">
        <v>-0.50177841108735288</v>
      </c>
      <c r="AP422" s="478"/>
      <c r="AQ422" s="478"/>
      <c r="AR422" s="478"/>
      <c r="AS422" s="478"/>
      <c r="AT422" s="478"/>
      <c r="AU422" s="478"/>
      <c r="AV422" s="478"/>
      <c r="AW422" s="478"/>
      <c r="AX422" s="478"/>
      <c r="AY422" s="478"/>
      <c r="AZ422" s="478"/>
      <c r="BA422" s="478"/>
      <c r="BB422" s="478"/>
      <c r="BC422" s="478"/>
      <c r="BD422" s="478"/>
      <c r="BE422" s="478"/>
      <c r="BF422" s="478"/>
      <c r="BG422" s="478"/>
      <c r="BH422" s="478"/>
      <c r="BI422" s="478"/>
    </row>
    <row r="423" spans="1:61" ht="15.75" customHeight="1">
      <c r="A423" s="490" t="s">
        <v>44</v>
      </c>
      <c r="B423" s="475"/>
      <c r="C423" s="694" t="s">
        <v>465</v>
      </c>
      <c r="V423" s="565" t="s">
        <v>44</v>
      </c>
      <c r="W423" s="726" t="s">
        <v>145</v>
      </c>
      <c r="X423" s="719"/>
      <c r="Y423" s="719"/>
      <c r="Z423" s="720">
        <v>34176.074835469452</v>
      </c>
      <c r="AA423" s="719"/>
      <c r="AB423" s="719"/>
      <c r="AC423" s="720"/>
      <c r="AD423" s="728"/>
      <c r="AE423" s="727"/>
      <c r="AF423" s="720">
        <v>27912.47</v>
      </c>
      <c r="AG423" s="721"/>
      <c r="AH423" s="722">
        <v>-6263.6048354694503</v>
      </c>
      <c r="AI423" s="723">
        <v>-0.18327455290356523</v>
      </c>
      <c r="AJ423" s="728"/>
      <c r="AK423" s="719"/>
      <c r="AL423" s="720">
        <v>29511.510000000002</v>
      </c>
      <c r="AM423" s="724"/>
      <c r="AN423" s="722">
        <v>-1599.0400000000009</v>
      </c>
      <c r="AO423" s="729">
        <v>-5.4183604973110519E-2</v>
      </c>
      <c r="AP423" s="478"/>
      <c r="AQ423" s="478"/>
      <c r="AR423" s="478"/>
      <c r="AS423" s="478"/>
      <c r="AT423" s="478"/>
      <c r="AU423" s="478"/>
      <c r="AV423" s="478"/>
      <c r="AW423" s="478"/>
      <c r="AX423" s="478"/>
      <c r="AY423" s="478"/>
      <c r="AZ423" s="478"/>
      <c r="BA423" s="478"/>
      <c r="BB423" s="478"/>
      <c r="BC423" s="478"/>
      <c r="BD423" s="478"/>
      <c r="BE423" s="478"/>
      <c r="BF423" s="478"/>
      <c r="BG423" s="478"/>
      <c r="BH423" s="478"/>
      <c r="BI423" s="478"/>
    </row>
    <row r="424" spans="1:61" ht="15.75" hidden="1" customHeight="1">
      <c r="A424" s="490" t="s">
        <v>20</v>
      </c>
      <c r="B424" s="475"/>
      <c r="C424" s="694" t="s">
        <v>465</v>
      </c>
      <c r="V424" s="565" t="s">
        <v>20</v>
      </c>
      <c r="W424" s="726"/>
      <c r="X424" s="719"/>
      <c r="Y424" s="719"/>
      <c r="Z424" s="720">
        <v>0</v>
      </c>
      <c r="AA424" s="719"/>
      <c r="AB424" s="719"/>
      <c r="AC424" s="720"/>
      <c r="AD424" s="728"/>
      <c r="AE424" s="727"/>
      <c r="AF424" s="720">
        <v>0</v>
      </c>
      <c r="AG424" s="721"/>
      <c r="AH424" s="722">
        <v>0</v>
      </c>
      <c r="AI424" s="723">
        <v>0</v>
      </c>
      <c r="AJ424" s="728"/>
      <c r="AK424" s="719"/>
      <c r="AL424" s="720">
        <v>0</v>
      </c>
      <c r="AM424" s="724"/>
      <c r="AN424" s="722">
        <v>0</v>
      </c>
      <c r="AO424" s="729">
        <v>0</v>
      </c>
      <c r="AP424" s="478"/>
      <c r="AQ424" s="478"/>
      <c r="AR424" s="478"/>
      <c r="AS424" s="478"/>
      <c r="AT424" s="478"/>
      <c r="AU424" s="478"/>
      <c r="AV424" s="478"/>
      <c r="AW424" s="478"/>
      <c r="AX424" s="478"/>
      <c r="AY424" s="478"/>
      <c r="AZ424" s="478"/>
      <c r="BA424" s="478"/>
      <c r="BB424" s="478"/>
      <c r="BC424" s="478"/>
      <c r="BD424" s="478"/>
      <c r="BE424" s="478"/>
      <c r="BF424" s="478"/>
      <c r="BG424" s="478"/>
      <c r="BH424" s="478"/>
      <c r="BI424" s="478"/>
    </row>
    <row r="425" spans="1:61" ht="15.75" hidden="1" customHeight="1">
      <c r="A425" s="490" t="s">
        <v>20</v>
      </c>
      <c r="B425" s="475"/>
      <c r="C425" s="694" t="s">
        <v>465</v>
      </c>
      <c r="V425" s="565" t="s">
        <v>20</v>
      </c>
      <c r="W425" s="726"/>
      <c r="X425" s="719"/>
      <c r="Y425" s="719"/>
      <c r="Z425" s="720">
        <v>0</v>
      </c>
      <c r="AA425" s="719"/>
      <c r="AB425" s="719"/>
      <c r="AC425" s="720"/>
      <c r="AD425" s="728"/>
      <c r="AE425" s="727"/>
      <c r="AF425" s="720">
        <v>0</v>
      </c>
      <c r="AG425" s="721"/>
      <c r="AH425" s="722">
        <v>0</v>
      </c>
      <c r="AI425" s="723">
        <v>0</v>
      </c>
      <c r="AJ425" s="728"/>
      <c r="AK425" s="719"/>
      <c r="AL425" s="720">
        <v>0</v>
      </c>
      <c r="AM425" s="724"/>
      <c r="AN425" s="722">
        <v>0</v>
      </c>
      <c r="AO425" s="729">
        <v>0</v>
      </c>
      <c r="AP425" s="478"/>
      <c r="AQ425" s="478"/>
      <c r="AR425" s="478"/>
      <c r="AS425" s="478"/>
      <c r="AT425" s="478"/>
      <c r="AU425" s="478"/>
      <c r="AV425" s="478"/>
      <c r="AW425" s="478"/>
      <c r="AX425" s="478"/>
      <c r="AY425" s="478"/>
      <c r="AZ425" s="478"/>
      <c r="BA425" s="478"/>
      <c r="BB425" s="478"/>
      <c r="BC425" s="478"/>
      <c r="BD425" s="478"/>
      <c r="BE425" s="478"/>
      <c r="BF425" s="478"/>
      <c r="BG425" s="478"/>
      <c r="BH425" s="478"/>
      <c r="BI425" s="478"/>
    </row>
    <row r="426" spans="1:61" ht="15.75" hidden="1" customHeight="1">
      <c r="A426" s="490" t="s">
        <v>20</v>
      </c>
      <c r="B426" s="475"/>
      <c r="C426" s="694" t="s">
        <v>465</v>
      </c>
      <c r="V426" s="565" t="s">
        <v>20</v>
      </c>
      <c r="W426" s="726"/>
      <c r="X426" s="719"/>
      <c r="Y426" s="719"/>
      <c r="Z426" s="720">
        <v>0</v>
      </c>
      <c r="AA426" s="719"/>
      <c r="AB426" s="719"/>
      <c r="AC426" s="720"/>
      <c r="AD426" s="728"/>
      <c r="AE426" s="727"/>
      <c r="AF426" s="720">
        <v>0</v>
      </c>
      <c r="AG426" s="721"/>
      <c r="AH426" s="722">
        <v>0</v>
      </c>
      <c r="AI426" s="723">
        <v>0</v>
      </c>
      <c r="AJ426" s="728"/>
      <c r="AK426" s="719"/>
      <c r="AL426" s="720">
        <v>0</v>
      </c>
      <c r="AM426" s="724"/>
      <c r="AN426" s="722">
        <v>0</v>
      </c>
      <c r="AO426" s="729">
        <v>0</v>
      </c>
      <c r="AP426" s="478"/>
      <c r="AQ426" s="478"/>
      <c r="AR426" s="478"/>
      <c r="AS426" s="478"/>
      <c r="AT426" s="478"/>
      <c r="AU426" s="478"/>
      <c r="AV426" s="478"/>
      <c r="AW426" s="478"/>
      <c r="AX426" s="478"/>
      <c r="AY426" s="478"/>
      <c r="AZ426" s="478"/>
      <c r="BA426" s="478"/>
      <c r="BB426" s="478"/>
      <c r="BC426" s="478"/>
      <c r="BD426" s="478"/>
      <c r="BE426" s="478"/>
      <c r="BF426" s="478"/>
      <c r="BG426" s="478"/>
      <c r="BH426" s="478"/>
      <c r="BI426" s="478"/>
    </row>
    <row r="427" spans="1:61" ht="15.75" customHeight="1">
      <c r="A427" s="490" t="s">
        <v>45</v>
      </c>
      <c r="B427" s="475"/>
      <c r="C427" s="694" t="s">
        <v>465</v>
      </c>
      <c r="V427" s="566" t="s">
        <v>45</v>
      </c>
      <c r="W427" s="730" t="s">
        <v>146</v>
      </c>
      <c r="X427" s="703"/>
      <c r="Y427" s="703"/>
      <c r="Z427" s="704">
        <v>38724.562292089307</v>
      </c>
      <c r="AA427" s="703"/>
      <c r="AB427" s="703"/>
      <c r="AC427" s="704"/>
      <c r="AD427" s="732"/>
      <c r="AE427" s="731"/>
      <c r="AF427" s="704">
        <v>27052.600000000002</v>
      </c>
      <c r="AG427" s="705"/>
      <c r="AH427" s="706">
        <v>-11671.962292089305</v>
      </c>
      <c r="AI427" s="733">
        <v>-0.30140979268017876</v>
      </c>
      <c r="AJ427" s="732"/>
      <c r="AK427" s="703"/>
      <c r="AL427" s="704">
        <v>33448.730000000003</v>
      </c>
      <c r="AM427" s="708"/>
      <c r="AN427" s="706">
        <v>-6396.130000000001</v>
      </c>
      <c r="AO427" s="709">
        <v>-0.19122190887367024</v>
      </c>
      <c r="AP427" s="478"/>
      <c r="AQ427" s="478"/>
      <c r="AR427" s="478"/>
      <c r="AS427" s="478"/>
      <c r="AT427" s="478"/>
      <c r="AU427" s="478"/>
      <c r="AV427" s="478"/>
      <c r="AW427" s="478"/>
      <c r="AX427" s="478"/>
      <c r="AY427" s="478"/>
      <c r="AZ427" s="478"/>
      <c r="BA427" s="478"/>
      <c r="BB427" s="478"/>
      <c r="BC427" s="478"/>
      <c r="BD427" s="478"/>
      <c r="BE427" s="478"/>
      <c r="BF427" s="478"/>
      <c r="BG427" s="478"/>
      <c r="BH427" s="478"/>
      <c r="BI427" s="478"/>
    </row>
    <row r="428" spans="1:61" ht="15.75" customHeight="1">
      <c r="A428" s="490" t="s">
        <v>46</v>
      </c>
      <c r="B428" s="475"/>
      <c r="C428" s="694" t="s">
        <v>465</v>
      </c>
      <c r="V428" s="565" t="s">
        <v>46</v>
      </c>
      <c r="W428" s="726" t="s">
        <v>147</v>
      </c>
      <c r="X428" s="719"/>
      <c r="Y428" s="719"/>
      <c r="Z428" s="720">
        <v>38496.027633951548</v>
      </c>
      <c r="AA428" s="719"/>
      <c r="AB428" s="719"/>
      <c r="AC428" s="720"/>
      <c r="AD428" s="728"/>
      <c r="AE428" s="727"/>
      <c r="AF428" s="720">
        <v>45891.19</v>
      </c>
      <c r="AG428" s="721"/>
      <c r="AH428" s="722">
        <v>7395.1623660484547</v>
      </c>
      <c r="AI428" s="723">
        <v>0.19210196013903252</v>
      </c>
      <c r="AJ428" s="728"/>
      <c r="AK428" s="719"/>
      <c r="AL428" s="720">
        <v>39531.020000000004</v>
      </c>
      <c r="AM428" s="724"/>
      <c r="AN428" s="722">
        <v>6360.1699999999983</v>
      </c>
      <c r="AO428" s="729">
        <v>0.16089061198016133</v>
      </c>
      <c r="AP428" s="478"/>
      <c r="AQ428" s="478"/>
      <c r="AR428" s="478"/>
      <c r="AS428" s="478"/>
      <c r="AT428" s="478"/>
      <c r="AU428" s="478"/>
      <c r="AV428" s="478"/>
      <c r="AW428" s="478"/>
      <c r="AX428" s="478"/>
      <c r="AY428" s="478"/>
      <c r="AZ428" s="478"/>
      <c r="BA428" s="478"/>
      <c r="BB428" s="478"/>
      <c r="BC428" s="478"/>
      <c r="BD428" s="478"/>
      <c r="BE428" s="478"/>
      <c r="BF428" s="478"/>
      <c r="BG428" s="478"/>
      <c r="BH428" s="478"/>
      <c r="BI428" s="478"/>
    </row>
    <row r="429" spans="1:61" ht="15.75" customHeight="1">
      <c r="A429" s="490" t="s">
        <v>47</v>
      </c>
      <c r="B429" s="475"/>
      <c r="C429" s="694" t="s">
        <v>465</v>
      </c>
      <c r="V429" s="565" t="s">
        <v>47</v>
      </c>
      <c r="W429" s="726" t="s">
        <v>148</v>
      </c>
      <c r="X429" s="719"/>
      <c r="Y429" s="719"/>
      <c r="Z429" s="720">
        <v>26957.152624987557</v>
      </c>
      <c r="AA429" s="719"/>
      <c r="AB429" s="719"/>
      <c r="AC429" s="720"/>
      <c r="AD429" s="728"/>
      <c r="AE429" s="727"/>
      <c r="AF429" s="720">
        <v>20923.810000000001</v>
      </c>
      <c r="AG429" s="721"/>
      <c r="AH429" s="722">
        <v>-6033.3426249875556</v>
      </c>
      <c r="AI429" s="723">
        <v>-0.22381231092615594</v>
      </c>
      <c r="AJ429" s="728"/>
      <c r="AK429" s="719"/>
      <c r="AL429" s="720">
        <v>22203.410000000003</v>
      </c>
      <c r="AM429" s="724"/>
      <c r="AN429" s="722">
        <v>-1279.6000000000022</v>
      </c>
      <c r="AO429" s="729">
        <v>-5.7630787343025326E-2</v>
      </c>
      <c r="AP429" s="478"/>
      <c r="AQ429" s="478"/>
      <c r="AR429" s="478"/>
      <c r="AS429" s="478"/>
      <c r="AT429" s="478"/>
      <c r="AU429" s="478"/>
      <c r="AV429" s="478"/>
      <c r="AW429" s="478"/>
      <c r="AX429" s="478"/>
      <c r="AY429" s="478"/>
      <c r="AZ429" s="478"/>
      <c r="BA429" s="478"/>
      <c r="BB429" s="478"/>
      <c r="BC429" s="478"/>
      <c r="BD429" s="478"/>
      <c r="BE429" s="478"/>
      <c r="BF429" s="478"/>
      <c r="BG429" s="478"/>
      <c r="BH429" s="478"/>
      <c r="BI429" s="478"/>
    </row>
    <row r="430" spans="1:61" ht="15.75" customHeight="1">
      <c r="A430" s="490" t="s">
        <v>48</v>
      </c>
      <c r="B430" s="475"/>
      <c r="C430" s="694" t="s">
        <v>465</v>
      </c>
      <c r="V430" s="565" t="s">
        <v>48</v>
      </c>
      <c r="W430" s="726"/>
      <c r="X430" s="719"/>
      <c r="Y430" s="719"/>
      <c r="Z430" s="720">
        <v>12878.208809213098</v>
      </c>
      <c r="AA430" s="719"/>
      <c r="AB430" s="719"/>
      <c r="AC430" s="720"/>
      <c r="AD430" s="728"/>
      <c r="AE430" s="727"/>
      <c r="AF430" s="720">
        <v>10825.42</v>
      </c>
      <c r="AG430" s="721"/>
      <c r="AH430" s="722">
        <v>-2052.7888092130979</v>
      </c>
      <c r="AI430" s="742">
        <v>-0.15940018053943406</v>
      </c>
      <c r="AJ430" s="728"/>
      <c r="AK430" s="719"/>
      <c r="AL430" s="720">
        <v>7872</v>
      </c>
      <c r="AM430" s="724"/>
      <c r="AN430" s="722">
        <v>2953.42</v>
      </c>
      <c r="AO430" s="729">
        <v>0.37518038617886179</v>
      </c>
      <c r="AP430" s="478"/>
      <c r="AQ430" s="478"/>
      <c r="AR430" s="478"/>
      <c r="AS430" s="478"/>
      <c r="AT430" s="478"/>
      <c r="AU430" s="478"/>
      <c r="AV430" s="478"/>
      <c r="AW430" s="478"/>
      <c r="AX430" s="478"/>
      <c r="AY430" s="478"/>
      <c r="AZ430" s="478"/>
      <c r="BA430" s="478"/>
      <c r="BB430" s="478"/>
      <c r="BC430" s="478"/>
      <c r="BD430" s="478"/>
      <c r="BE430" s="478"/>
      <c r="BF430" s="478"/>
      <c r="BG430" s="478"/>
      <c r="BH430" s="478"/>
      <c r="BI430" s="478"/>
    </row>
    <row r="431" spans="1:61" ht="15.75" hidden="1" customHeight="1">
      <c r="A431" s="490" t="s">
        <v>20</v>
      </c>
      <c r="B431" s="475"/>
      <c r="C431" s="694" t="s">
        <v>465</v>
      </c>
      <c r="V431" s="498" t="s">
        <v>20</v>
      </c>
      <c r="W431" s="726"/>
      <c r="X431" s="719"/>
      <c r="Y431" s="727"/>
      <c r="Z431" s="720">
        <v>0</v>
      </c>
      <c r="AA431" s="719"/>
      <c r="AB431" s="719"/>
      <c r="AC431" s="720"/>
      <c r="AD431" s="728"/>
      <c r="AE431" s="727"/>
      <c r="AF431" s="720">
        <v>0</v>
      </c>
      <c r="AG431" s="721"/>
      <c r="AH431" s="722">
        <v>0</v>
      </c>
      <c r="AI431" s="723">
        <v>0</v>
      </c>
      <c r="AJ431" s="728"/>
      <c r="AK431" s="719"/>
      <c r="AL431" s="720">
        <v>0</v>
      </c>
      <c r="AM431" s="724"/>
      <c r="AN431" s="722"/>
      <c r="AO431" s="709"/>
      <c r="AP431" s="478"/>
      <c r="AQ431" s="478"/>
      <c r="AR431" s="478"/>
      <c r="AS431" s="478"/>
      <c r="AT431" s="478"/>
      <c r="AU431" s="478"/>
      <c r="AV431" s="478"/>
      <c r="AW431" s="478"/>
      <c r="AX431" s="478"/>
      <c r="AY431" s="478"/>
      <c r="AZ431" s="478"/>
      <c r="BA431" s="478"/>
      <c r="BB431" s="478"/>
      <c r="BC431" s="478"/>
      <c r="BD431" s="478"/>
      <c r="BE431" s="478"/>
      <c r="BF431" s="478"/>
      <c r="BG431" s="478"/>
      <c r="BH431" s="478"/>
      <c r="BI431" s="478"/>
    </row>
    <row r="432" spans="1:61" ht="15.75" customHeight="1">
      <c r="A432" s="490" t="s">
        <v>49</v>
      </c>
      <c r="B432" s="475"/>
      <c r="C432" s="694" t="s">
        <v>465</v>
      </c>
      <c r="V432" s="734" t="s">
        <v>49</v>
      </c>
      <c r="W432" s="735"/>
      <c r="X432" s="736">
        <v>0.43665926575010477</v>
      </c>
      <c r="Y432" s="735"/>
      <c r="Z432" s="737">
        <v>293686.13037195615</v>
      </c>
      <c r="AA432" s="736"/>
      <c r="AB432" s="735"/>
      <c r="AC432" s="737"/>
      <c r="AD432" s="738">
        <v>0.41130400090013391</v>
      </c>
      <c r="AE432" s="743"/>
      <c r="AF432" s="737">
        <v>267618.58</v>
      </c>
      <c r="AG432" s="744"/>
      <c r="AH432" s="740">
        <v>-26067.550371956138</v>
      </c>
      <c r="AI432" s="736">
        <v>-8.8759895943813713E-2</v>
      </c>
      <c r="AJ432" s="738">
        <v>0.35963603515437836</v>
      </c>
      <c r="AK432" s="735"/>
      <c r="AL432" s="737">
        <v>279391.86</v>
      </c>
      <c r="AM432" s="745"/>
      <c r="AN432" s="740">
        <v>-11773.27999999997</v>
      </c>
      <c r="AO432" s="717">
        <v>-4.2138951363865682E-2</v>
      </c>
      <c r="AP432" s="478"/>
      <c r="AQ432" s="478"/>
      <c r="AR432" s="478"/>
      <c r="AS432" s="478"/>
      <c r="AT432" s="478"/>
      <c r="AU432" s="478"/>
      <c r="AV432" s="478"/>
      <c r="AW432" s="478"/>
      <c r="AX432" s="478"/>
      <c r="AY432" s="478"/>
      <c r="AZ432" s="478"/>
      <c r="BA432" s="478"/>
      <c r="BB432" s="478"/>
      <c r="BC432" s="478"/>
      <c r="BD432" s="478"/>
      <c r="BE432" s="478"/>
      <c r="BF432" s="478"/>
      <c r="BG432" s="478"/>
      <c r="BH432" s="478"/>
      <c r="BI432" s="478"/>
    </row>
    <row r="433" spans="1:62" ht="15.75" customHeight="1">
      <c r="A433" s="490" t="s">
        <v>50</v>
      </c>
      <c r="B433" s="475"/>
      <c r="C433" s="694" t="s">
        <v>465</v>
      </c>
      <c r="V433" s="664" t="s">
        <v>50</v>
      </c>
      <c r="W433" s="746" t="s">
        <v>138</v>
      </c>
      <c r="X433" s="747"/>
      <c r="Y433" s="747"/>
      <c r="Z433" s="748">
        <v>12968.605541666668</v>
      </c>
      <c r="AA433" s="747"/>
      <c r="AB433" s="747"/>
      <c r="AC433" s="748"/>
      <c r="AD433" s="749"/>
      <c r="AE433" s="750"/>
      <c r="AF433" s="748">
        <v>17430</v>
      </c>
      <c r="AG433" s="749"/>
      <c r="AH433" s="751">
        <v>4461.3944583333323</v>
      </c>
      <c r="AI433" s="752">
        <v>0.34401497092338684</v>
      </c>
      <c r="AJ433" s="749"/>
      <c r="AK433" s="747"/>
      <c r="AL433" s="748">
        <v>11388.12</v>
      </c>
      <c r="AM433" s="753"/>
      <c r="AN433" s="751">
        <v>6041.8799999999992</v>
      </c>
      <c r="AO433" s="725">
        <v>0.5305423546643343</v>
      </c>
      <c r="AP433" s="478"/>
      <c r="AQ433" s="478"/>
      <c r="AR433" s="478"/>
      <c r="AS433" s="478"/>
      <c r="AT433" s="478"/>
      <c r="AU433" s="478"/>
      <c r="AV433" s="478"/>
      <c r="AW433" s="478"/>
      <c r="AX433" s="478"/>
      <c r="AY433" s="478"/>
      <c r="AZ433" s="478"/>
      <c r="BA433" s="478"/>
      <c r="BB433" s="478"/>
      <c r="BC433" s="478"/>
      <c r="BD433" s="478"/>
      <c r="BE433" s="478"/>
      <c r="BF433" s="478"/>
      <c r="BG433" s="478"/>
      <c r="BH433" s="478"/>
      <c r="BI433" s="478"/>
    </row>
    <row r="434" spans="1:62" ht="15.75" customHeight="1">
      <c r="A434" s="490" t="s">
        <v>51</v>
      </c>
      <c r="B434" s="475"/>
      <c r="C434" s="694" t="s">
        <v>465</v>
      </c>
      <c r="V434" s="565" t="s">
        <v>51</v>
      </c>
      <c r="W434" s="726" t="s">
        <v>149</v>
      </c>
      <c r="X434" s="719"/>
      <c r="Y434" s="719"/>
      <c r="Z434" s="720">
        <v>3551.4941166762965</v>
      </c>
      <c r="AA434" s="719"/>
      <c r="AB434" s="719"/>
      <c r="AC434" s="720"/>
      <c r="AD434" s="728"/>
      <c r="AE434" s="727"/>
      <c r="AF434" s="720">
        <v>8864.43</v>
      </c>
      <c r="AG434" s="721"/>
      <c r="AH434" s="722">
        <v>5312.9358833237038</v>
      </c>
      <c r="AI434" s="723">
        <v>1.4959720356501311</v>
      </c>
      <c r="AJ434" s="728"/>
      <c r="AK434" s="719"/>
      <c r="AL434" s="720">
        <v>8428</v>
      </c>
      <c r="AM434" s="724"/>
      <c r="AN434" s="722">
        <v>436.43000000000029</v>
      </c>
      <c r="AO434" s="729">
        <v>5.1783341243474168E-2</v>
      </c>
      <c r="AP434" s="478"/>
      <c r="AQ434" s="478"/>
      <c r="AR434" s="478"/>
      <c r="AS434" s="478"/>
      <c r="AT434" s="478"/>
      <c r="AU434" s="478"/>
      <c r="AV434" s="478"/>
      <c r="AW434" s="478"/>
      <c r="AX434" s="478"/>
      <c r="AY434" s="478"/>
      <c r="AZ434" s="478"/>
      <c r="BA434" s="478"/>
      <c r="BB434" s="478"/>
      <c r="BC434" s="478"/>
      <c r="BD434" s="478"/>
      <c r="BE434" s="478"/>
      <c r="BF434" s="478"/>
      <c r="BG434" s="478"/>
      <c r="BH434" s="478"/>
      <c r="BI434" s="478"/>
    </row>
    <row r="435" spans="1:62" ht="15.75" customHeight="1">
      <c r="A435" s="490" t="s">
        <v>52</v>
      </c>
      <c r="B435" s="475"/>
      <c r="C435" s="694" t="s">
        <v>465</v>
      </c>
      <c r="U435" s="754"/>
      <c r="V435" s="566" t="s">
        <v>52</v>
      </c>
      <c r="W435" s="730" t="s">
        <v>150</v>
      </c>
      <c r="X435" s="703"/>
      <c r="Y435" s="703"/>
      <c r="Z435" s="704">
        <v>22291.666666666664</v>
      </c>
      <c r="AA435" s="703"/>
      <c r="AB435" s="703"/>
      <c r="AC435" s="704"/>
      <c r="AD435" s="732"/>
      <c r="AE435" s="731"/>
      <c r="AF435" s="704">
        <v>15114.149999999998</v>
      </c>
      <c r="AG435" s="705"/>
      <c r="AH435" s="706">
        <v>-7177.5166666666664</v>
      </c>
      <c r="AI435" s="733">
        <v>-0.32198205607476638</v>
      </c>
      <c r="AJ435" s="732"/>
      <c r="AK435" s="703"/>
      <c r="AL435" s="704">
        <v>24432.079999999998</v>
      </c>
      <c r="AM435" s="708"/>
      <c r="AN435" s="706">
        <v>-9317.93</v>
      </c>
      <c r="AO435" s="709">
        <v>-0.38138095487572082</v>
      </c>
      <c r="AP435" s="478"/>
      <c r="AQ435" s="478"/>
      <c r="AR435" s="478"/>
      <c r="AS435" s="478"/>
      <c r="AT435" s="478"/>
      <c r="AU435" s="478"/>
      <c r="AV435" s="478"/>
      <c r="AW435" s="478"/>
      <c r="AX435" s="478"/>
      <c r="AY435" s="478"/>
      <c r="AZ435" s="478"/>
      <c r="BA435" s="478"/>
      <c r="BB435" s="478"/>
      <c r="BC435" s="478"/>
      <c r="BD435" s="478"/>
      <c r="BE435" s="478"/>
      <c r="BF435" s="478"/>
      <c r="BG435" s="478"/>
      <c r="BH435" s="478"/>
      <c r="BI435" s="478"/>
    </row>
    <row r="436" spans="1:62" ht="15.75" customHeight="1">
      <c r="A436" s="490" t="s">
        <v>53</v>
      </c>
      <c r="B436" s="475"/>
      <c r="C436" s="694" t="s">
        <v>465</v>
      </c>
      <c r="U436" s="754"/>
      <c r="V436" s="565" t="s">
        <v>53</v>
      </c>
      <c r="W436" s="726" t="s">
        <v>151</v>
      </c>
      <c r="X436" s="719"/>
      <c r="Y436" s="719"/>
      <c r="Z436" s="720">
        <v>19854.870533333335</v>
      </c>
      <c r="AA436" s="719"/>
      <c r="AB436" s="719"/>
      <c r="AC436" s="720"/>
      <c r="AD436" s="728"/>
      <c r="AE436" s="727"/>
      <c r="AF436" s="720">
        <v>19073.02</v>
      </c>
      <c r="AG436" s="721"/>
      <c r="AH436" s="722">
        <v>-781.85053333333417</v>
      </c>
      <c r="AI436" s="723">
        <v>-3.937827406231257E-2</v>
      </c>
      <c r="AJ436" s="728"/>
      <c r="AK436" s="719"/>
      <c r="AL436" s="720">
        <v>19291.95</v>
      </c>
      <c r="AM436" s="724"/>
      <c r="AN436" s="722">
        <v>-218.93000000000029</v>
      </c>
      <c r="AO436" s="729">
        <v>-1.1348256656273745E-2</v>
      </c>
      <c r="AP436" s="478"/>
      <c r="AQ436" s="478"/>
      <c r="AR436" s="478"/>
      <c r="AS436" s="478"/>
      <c r="AT436" s="478"/>
      <c r="AU436" s="478"/>
      <c r="AV436" s="478"/>
      <c r="AW436" s="478"/>
      <c r="AX436" s="478"/>
      <c r="AY436" s="478"/>
      <c r="AZ436" s="478"/>
      <c r="BA436" s="478"/>
      <c r="BB436" s="478"/>
      <c r="BC436" s="478"/>
      <c r="BD436" s="478"/>
      <c r="BE436" s="478"/>
      <c r="BF436" s="478"/>
      <c r="BG436" s="478"/>
      <c r="BH436" s="478"/>
      <c r="BI436" s="478"/>
    </row>
    <row r="437" spans="1:62" ht="15.75" customHeight="1">
      <c r="A437" s="490" t="s">
        <v>54</v>
      </c>
      <c r="B437" s="475"/>
      <c r="C437" s="694" t="s">
        <v>465</v>
      </c>
      <c r="U437" s="754"/>
      <c r="V437" s="565" t="s">
        <v>54</v>
      </c>
      <c r="W437" s="726" t="s">
        <v>152</v>
      </c>
      <c r="X437" s="719"/>
      <c r="Y437" s="719"/>
      <c r="Z437" s="720">
        <v>3125.2751395833329</v>
      </c>
      <c r="AA437" s="719"/>
      <c r="AB437" s="719"/>
      <c r="AC437" s="720"/>
      <c r="AD437" s="728"/>
      <c r="AE437" s="727"/>
      <c r="AF437" s="720">
        <v>4475.7199999999993</v>
      </c>
      <c r="AG437" s="721"/>
      <c r="AH437" s="722">
        <v>1350.4448604166664</v>
      </c>
      <c r="AI437" s="723">
        <v>0.43210431085331902</v>
      </c>
      <c r="AJ437" s="728"/>
      <c r="AK437" s="719"/>
      <c r="AL437" s="720">
        <v>3481.92</v>
      </c>
      <c r="AM437" s="724"/>
      <c r="AN437" s="722">
        <v>993.79999999999927</v>
      </c>
      <c r="AO437" s="729">
        <v>0.28541724106240213</v>
      </c>
      <c r="AP437" s="478"/>
      <c r="AQ437" s="478"/>
      <c r="AR437" s="478"/>
      <c r="AS437" s="478"/>
      <c r="AT437" s="478"/>
      <c r="AU437" s="478"/>
      <c r="AV437" s="478"/>
      <c r="AW437" s="478"/>
      <c r="AX437" s="478"/>
      <c r="AY437" s="478"/>
      <c r="AZ437" s="478"/>
      <c r="BA437" s="478"/>
      <c r="BB437" s="478"/>
      <c r="BC437" s="478"/>
      <c r="BD437" s="478"/>
      <c r="BE437" s="478"/>
      <c r="BF437" s="478"/>
      <c r="BG437" s="478"/>
      <c r="BH437" s="478"/>
      <c r="BI437" s="478"/>
    </row>
    <row r="438" spans="1:62" ht="15.75" customHeight="1">
      <c r="A438" s="490" t="s">
        <v>55</v>
      </c>
      <c r="B438" s="475"/>
      <c r="C438" s="694" t="s">
        <v>465</v>
      </c>
      <c r="V438" s="565" t="s">
        <v>55</v>
      </c>
      <c r="W438" s="726" t="s">
        <v>153</v>
      </c>
      <c r="X438" s="719"/>
      <c r="Y438" s="719"/>
      <c r="Z438" s="720">
        <v>19117.652255555557</v>
      </c>
      <c r="AA438" s="719"/>
      <c r="AB438" s="719"/>
      <c r="AC438" s="720"/>
      <c r="AD438" s="728"/>
      <c r="AE438" s="727"/>
      <c r="AF438" s="720">
        <v>22686.11</v>
      </c>
      <c r="AG438" s="721"/>
      <c r="AH438" s="722">
        <v>3568.457744444444</v>
      </c>
      <c r="AI438" s="723">
        <v>0.18665773897040397</v>
      </c>
      <c r="AJ438" s="728"/>
      <c r="AK438" s="719"/>
      <c r="AL438" s="720">
        <v>20308.21</v>
      </c>
      <c r="AM438" s="724"/>
      <c r="AN438" s="722">
        <v>2377.9000000000015</v>
      </c>
      <c r="AO438" s="729">
        <v>0.11709057568343056</v>
      </c>
      <c r="AP438" s="755"/>
      <c r="AQ438" s="755" t="s">
        <v>477</v>
      </c>
      <c r="AR438" s="478"/>
      <c r="AS438" s="478"/>
      <c r="AT438" s="478"/>
      <c r="AU438" s="478"/>
      <c r="AV438" s="478"/>
      <c r="AW438" s="478"/>
      <c r="AX438" s="478"/>
      <c r="AY438" s="478"/>
      <c r="AZ438" s="478"/>
      <c r="BA438" s="478"/>
      <c r="BB438" s="478"/>
      <c r="BC438" s="478"/>
      <c r="BD438" s="478"/>
      <c r="BE438" s="478"/>
      <c r="BF438" s="478"/>
      <c r="BG438" s="478"/>
      <c r="BH438" s="478"/>
      <c r="BI438" s="478"/>
    </row>
    <row r="439" spans="1:62" ht="15.75" customHeight="1">
      <c r="B439" s="475"/>
      <c r="C439" s="694" t="s">
        <v>465</v>
      </c>
      <c r="V439" s="664" t="s">
        <v>98</v>
      </c>
      <c r="W439" s="746"/>
      <c r="X439" s="747"/>
      <c r="Y439" s="747"/>
      <c r="Z439" s="748">
        <v>0</v>
      </c>
      <c r="AA439" s="747"/>
      <c r="AB439" s="747"/>
      <c r="AC439" s="748"/>
      <c r="AD439" s="749"/>
      <c r="AE439" s="750"/>
      <c r="AF439" s="748">
        <v>0</v>
      </c>
      <c r="AG439" s="756"/>
      <c r="AH439" s="751">
        <v>0</v>
      </c>
      <c r="AI439" s="752">
        <v>0</v>
      </c>
      <c r="AJ439" s="749"/>
      <c r="AK439" s="747"/>
      <c r="AL439" s="748">
        <v>0</v>
      </c>
      <c r="AM439" s="753"/>
      <c r="AN439" s="751">
        <v>0</v>
      </c>
      <c r="AO439" s="725">
        <v>0</v>
      </c>
      <c r="AP439" s="478"/>
      <c r="AQ439" s="478"/>
      <c r="AR439" s="478"/>
      <c r="AS439" s="478"/>
      <c r="AT439" s="478"/>
      <c r="AU439" s="478"/>
      <c r="AV439" s="478"/>
      <c r="AW439" s="478"/>
      <c r="AX439" s="478"/>
      <c r="AY439" s="478"/>
      <c r="AZ439" s="478"/>
      <c r="BA439" s="478"/>
      <c r="BB439" s="478"/>
      <c r="BC439" s="478"/>
      <c r="BD439" s="478"/>
      <c r="BE439" s="478"/>
      <c r="BF439" s="478"/>
      <c r="BG439" s="478"/>
      <c r="BH439" s="478"/>
      <c r="BI439" s="478"/>
    </row>
    <row r="440" spans="1:62" ht="15.75" customHeight="1">
      <c r="A440" s="490" t="s">
        <v>56</v>
      </c>
      <c r="B440" s="475"/>
      <c r="C440" s="694" t="s">
        <v>465</v>
      </c>
      <c r="V440" s="565" t="s">
        <v>56</v>
      </c>
      <c r="W440" s="726" t="s">
        <v>154</v>
      </c>
      <c r="X440" s="719"/>
      <c r="Y440" s="727"/>
      <c r="Z440" s="720">
        <v>2170.9721724844621</v>
      </c>
      <c r="AA440" s="719"/>
      <c r="AB440" s="727"/>
      <c r="AC440" s="720"/>
      <c r="AD440" s="728"/>
      <c r="AE440" s="727"/>
      <c r="AF440" s="720">
        <v>5655.76</v>
      </c>
      <c r="AG440" s="721"/>
      <c r="AH440" s="722">
        <v>3484.7878275155381</v>
      </c>
      <c r="AI440" s="723">
        <v>1.6051738809381164</v>
      </c>
      <c r="AJ440" s="728"/>
      <c r="AK440" s="719"/>
      <c r="AL440" s="720">
        <v>2187.7199999999998</v>
      </c>
      <c r="AM440" s="724"/>
      <c r="AN440" s="722">
        <v>3468.0400000000004</v>
      </c>
      <c r="AO440" s="729">
        <v>1.5852302854112961</v>
      </c>
      <c r="AP440" s="478"/>
      <c r="AQ440" s="478"/>
      <c r="AR440" s="478"/>
      <c r="AS440" s="478"/>
      <c r="AT440" s="478"/>
      <c r="AU440" s="478"/>
      <c r="AV440" s="478"/>
      <c r="AW440" s="478"/>
      <c r="AX440" s="478"/>
      <c r="AY440" s="478"/>
      <c r="AZ440" s="478"/>
      <c r="BA440" s="478"/>
      <c r="BB440" s="478"/>
      <c r="BC440" s="478"/>
      <c r="BD440" s="478"/>
      <c r="BE440" s="478"/>
      <c r="BF440" s="478"/>
      <c r="BG440" s="478"/>
      <c r="BH440" s="478"/>
      <c r="BI440" s="478"/>
      <c r="BJ440" s="478"/>
    </row>
    <row r="441" spans="1:62" ht="15.75" customHeight="1">
      <c r="A441" s="490" t="s">
        <v>57</v>
      </c>
      <c r="B441" s="475"/>
      <c r="C441" s="694" t="s">
        <v>465</v>
      </c>
      <c r="U441" s="478"/>
      <c r="V441" s="565" t="s">
        <v>57</v>
      </c>
      <c r="W441" s="726" t="s">
        <v>155</v>
      </c>
      <c r="X441" s="719"/>
      <c r="Y441" s="719"/>
      <c r="Z441" s="720">
        <v>1121.0652774181287</v>
      </c>
      <c r="AA441" s="719"/>
      <c r="AB441" s="719"/>
      <c r="AC441" s="720"/>
      <c r="AD441" s="728"/>
      <c r="AE441" s="727"/>
      <c r="AF441" s="720">
        <v>460.85</v>
      </c>
      <c r="AG441" s="721"/>
      <c r="AH441" s="722">
        <v>-660.21527741812872</v>
      </c>
      <c r="AI441" s="742">
        <v>-0.58891778268134276</v>
      </c>
      <c r="AJ441" s="728"/>
      <c r="AK441" s="719"/>
      <c r="AL441" s="720">
        <v>632.98</v>
      </c>
      <c r="AM441" s="724"/>
      <c r="AN441" s="722">
        <v>-172.13</v>
      </c>
      <c r="AO441" s="729">
        <v>-0.27193592214603934</v>
      </c>
      <c r="AP441" s="478"/>
      <c r="AQ441" s="478"/>
      <c r="AR441" s="478"/>
      <c r="AS441" s="478"/>
      <c r="AT441" s="478"/>
      <c r="AU441" s="478"/>
      <c r="AV441" s="478"/>
      <c r="AW441" s="478"/>
      <c r="AX441" s="478"/>
      <c r="AY441" s="478"/>
      <c r="AZ441" s="478"/>
      <c r="BA441" s="478"/>
      <c r="BB441" s="478"/>
      <c r="BC441" s="478"/>
      <c r="BD441" s="478"/>
      <c r="BE441" s="478"/>
      <c r="BF441" s="478"/>
      <c r="BG441" s="478"/>
      <c r="BH441" s="478"/>
      <c r="BI441" s="478"/>
      <c r="BJ441" s="478"/>
    </row>
    <row r="442" spans="1:62" ht="15.75" customHeight="1">
      <c r="A442" s="490" t="s">
        <v>58</v>
      </c>
      <c r="B442" s="475"/>
      <c r="C442" s="694" t="s">
        <v>465</v>
      </c>
      <c r="T442" s="478"/>
      <c r="U442" s="478"/>
      <c r="V442" s="565" t="s">
        <v>58</v>
      </c>
      <c r="W442" s="726" t="s">
        <v>156</v>
      </c>
      <c r="X442" s="719"/>
      <c r="Y442" s="719"/>
      <c r="Z442" s="720">
        <v>2385.7844849999992</v>
      </c>
      <c r="AA442" s="719"/>
      <c r="AB442" s="719"/>
      <c r="AC442" s="720"/>
      <c r="AD442" s="728"/>
      <c r="AE442" s="727"/>
      <c r="AF442" s="720">
        <v>3628.7500000000005</v>
      </c>
      <c r="AG442" s="721"/>
      <c r="AH442" s="722">
        <v>1242.9655150000012</v>
      </c>
      <c r="AI442" s="723">
        <v>0.52098817928225472</v>
      </c>
      <c r="AJ442" s="728"/>
      <c r="AK442" s="719"/>
      <c r="AL442" s="720">
        <v>2169.75</v>
      </c>
      <c r="AM442" s="724"/>
      <c r="AN442" s="722">
        <v>1459.0000000000005</v>
      </c>
      <c r="AO442" s="729">
        <v>0.67242769904366884</v>
      </c>
      <c r="AP442" s="478"/>
      <c r="AQ442" s="478"/>
      <c r="AR442" s="478"/>
      <c r="AS442" s="478"/>
      <c r="AT442" s="478"/>
      <c r="AU442" s="478"/>
      <c r="AV442" s="478"/>
      <c r="AW442" s="478"/>
      <c r="AX442" s="478"/>
      <c r="AY442" s="478"/>
      <c r="AZ442" s="478"/>
      <c r="BA442" s="478"/>
      <c r="BB442" s="478"/>
      <c r="BC442" s="478"/>
      <c r="BD442" s="478"/>
      <c r="BE442" s="478"/>
      <c r="BF442" s="478"/>
      <c r="BG442" s="478"/>
      <c r="BH442" s="478"/>
      <c r="BI442" s="478"/>
      <c r="BJ442" s="478"/>
    </row>
    <row r="443" spans="1:62" ht="15.75" customHeight="1">
      <c r="A443" s="490" t="s">
        <v>59</v>
      </c>
      <c r="B443" s="475"/>
      <c r="C443" s="694" t="s">
        <v>465</v>
      </c>
      <c r="T443" s="478"/>
      <c r="U443" s="478"/>
      <c r="V443" s="565" t="s">
        <v>59</v>
      </c>
      <c r="W443" s="726" t="s">
        <v>157</v>
      </c>
      <c r="X443" s="719"/>
      <c r="Y443" s="719"/>
      <c r="Z443" s="720">
        <v>808.50078173611109</v>
      </c>
      <c r="AA443" s="719"/>
      <c r="AB443" s="719"/>
      <c r="AC443" s="720"/>
      <c r="AD443" s="728"/>
      <c r="AE443" s="727"/>
      <c r="AF443" s="720">
        <v>1235.51</v>
      </c>
      <c r="AG443" s="721"/>
      <c r="AH443" s="722">
        <v>427.0092182638889</v>
      </c>
      <c r="AI443" s="742">
        <v>0.52814941915945068</v>
      </c>
      <c r="AJ443" s="728"/>
      <c r="AK443" s="719"/>
      <c r="AL443" s="720">
        <v>941.78</v>
      </c>
      <c r="AM443" s="724"/>
      <c r="AN443" s="722">
        <v>293.73</v>
      </c>
      <c r="AO443" s="729">
        <v>0.31188812673872884</v>
      </c>
      <c r="AP443" s="478"/>
      <c r="AQ443" s="478"/>
      <c r="AR443" s="478"/>
      <c r="AS443" s="478"/>
      <c r="AT443" s="478"/>
      <c r="AU443" s="478"/>
      <c r="AV443" s="478"/>
      <c r="AW443" s="478"/>
      <c r="AX443" s="478"/>
      <c r="AY443" s="478"/>
      <c r="AZ443" s="478"/>
      <c r="BA443" s="478"/>
      <c r="BB443" s="478"/>
      <c r="BC443" s="478"/>
      <c r="BD443" s="478"/>
      <c r="BE443" s="478"/>
      <c r="BF443" s="478"/>
      <c r="BG443" s="478"/>
      <c r="BH443" s="478"/>
      <c r="BI443" s="478"/>
      <c r="BJ443" s="478"/>
    </row>
    <row r="444" spans="1:62" ht="15.75" customHeight="1">
      <c r="A444" s="490" t="s">
        <v>60</v>
      </c>
      <c r="B444" s="475"/>
      <c r="C444" s="694" t="s">
        <v>465</v>
      </c>
      <c r="T444" s="478"/>
      <c r="U444" s="478"/>
      <c r="V444" s="565" t="s">
        <v>60</v>
      </c>
      <c r="W444" s="726" t="s">
        <v>158</v>
      </c>
      <c r="X444" s="719"/>
      <c r="Y444" s="719"/>
      <c r="Z444" s="720">
        <v>386.70091826388881</v>
      </c>
      <c r="AA444" s="719"/>
      <c r="AB444" s="719"/>
      <c r="AC444" s="720"/>
      <c r="AD444" s="728"/>
      <c r="AE444" s="727"/>
      <c r="AF444" s="720">
        <v>96.37</v>
      </c>
      <c r="AG444" s="721"/>
      <c r="AH444" s="722">
        <v>-290.3309182638888</v>
      </c>
      <c r="AI444" s="723">
        <v>-0.75078931688950346</v>
      </c>
      <c r="AJ444" s="728"/>
      <c r="AK444" s="719"/>
      <c r="AL444" s="720">
        <v>193.2</v>
      </c>
      <c r="AM444" s="724"/>
      <c r="AN444" s="722">
        <v>-96.829999999999984</v>
      </c>
      <c r="AO444" s="729">
        <v>-0.50119047619047619</v>
      </c>
      <c r="AP444" s="478"/>
      <c r="AQ444" s="478"/>
      <c r="AR444" s="478"/>
      <c r="AS444" s="478"/>
      <c r="AT444" s="478"/>
      <c r="AU444" s="478"/>
      <c r="AV444" s="478"/>
      <c r="AW444" s="478"/>
      <c r="AX444" s="478"/>
      <c r="AY444" s="478"/>
      <c r="AZ444" s="478"/>
      <c r="BA444" s="478"/>
      <c r="BB444" s="478"/>
      <c r="BC444" s="478"/>
      <c r="BD444" s="478"/>
      <c r="BE444" s="478"/>
      <c r="BF444" s="478"/>
      <c r="BG444" s="478"/>
      <c r="BH444" s="478"/>
      <c r="BI444" s="478"/>
      <c r="BJ444" s="478"/>
    </row>
    <row r="445" spans="1:62" ht="15.75" customHeight="1">
      <c r="A445" s="490" t="s">
        <v>61</v>
      </c>
      <c r="B445" s="475"/>
      <c r="C445" s="694" t="s">
        <v>465</v>
      </c>
      <c r="T445" s="478"/>
      <c r="U445" s="478"/>
      <c r="V445" s="565" t="s">
        <v>61</v>
      </c>
      <c r="W445" s="726" t="s">
        <v>159</v>
      </c>
      <c r="X445" s="719"/>
      <c r="Y445" s="727"/>
      <c r="Z445" s="720">
        <v>1469.3198845138888</v>
      </c>
      <c r="AA445" s="719"/>
      <c r="AB445" s="727"/>
      <c r="AC445" s="720"/>
      <c r="AD445" s="728"/>
      <c r="AE445" s="727"/>
      <c r="AF445" s="720">
        <v>352.19</v>
      </c>
      <c r="AG445" s="721"/>
      <c r="AH445" s="722">
        <v>-1117.1298845138888</v>
      </c>
      <c r="AI445" s="742">
        <v>-0.7603040674042747</v>
      </c>
      <c r="AJ445" s="728"/>
      <c r="AK445" s="719"/>
      <c r="AL445" s="720">
        <v>196</v>
      </c>
      <c r="AM445" s="724"/>
      <c r="AN445" s="722">
        <v>156.19</v>
      </c>
      <c r="AO445" s="729">
        <v>0.7968877551020408</v>
      </c>
      <c r="AP445" s="478"/>
      <c r="AQ445" s="478"/>
      <c r="AR445" s="478"/>
      <c r="AS445" s="478"/>
      <c r="AT445" s="478"/>
      <c r="AU445" s="478"/>
      <c r="AV445" s="478"/>
      <c r="AW445" s="478"/>
      <c r="AX445" s="478"/>
      <c r="AY445" s="478"/>
      <c r="AZ445" s="478"/>
      <c r="BA445" s="478"/>
      <c r="BB445" s="478"/>
      <c r="BC445" s="478"/>
      <c r="BD445" s="478"/>
      <c r="BE445" s="478"/>
      <c r="BF445" s="478"/>
      <c r="BG445" s="478"/>
      <c r="BH445" s="478"/>
      <c r="BI445" s="478"/>
      <c r="BJ445" s="478"/>
    </row>
    <row r="446" spans="1:62" ht="15.75" customHeight="1">
      <c r="A446" s="490" t="s">
        <v>62</v>
      </c>
      <c r="B446" s="475"/>
      <c r="C446" s="694" t="s">
        <v>465</v>
      </c>
      <c r="T446" s="478"/>
      <c r="U446" s="478"/>
      <c r="V446" s="565" t="s">
        <v>62</v>
      </c>
      <c r="W446" s="726" t="s">
        <v>160</v>
      </c>
      <c r="X446" s="719"/>
      <c r="Y446" s="727"/>
      <c r="Z446" s="720">
        <v>3513.3333333333339</v>
      </c>
      <c r="AA446" s="719"/>
      <c r="AB446" s="727"/>
      <c r="AC446" s="720"/>
      <c r="AD446" s="728"/>
      <c r="AE446" s="727"/>
      <c r="AF446" s="720">
        <v>8172.6700000000019</v>
      </c>
      <c r="AG446" s="721"/>
      <c r="AH446" s="757">
        <v>4659.336666666668</v>
      </c>
      <c r="AI446" s="723">
        <v>1.3261869070208729</v>
      </c>
      <c r="AJ446" s="728"/>
      <c r="AK446" s="719"/>
      <c r="AL446" s="720">
        <v>1709.1399999999999</v>
      </c>
      <c r="AM446" s="724"/>
      <c r="AN446" s="722">
        <v>6463.5300000000025</v>
      </c>
      <c r="AO446" s="729">
        <v>3.7817440350117622</v>
      </c>
      <c r="AQ446" s="478"/>
      <c r="AR446" s="478"/>
      <c r="AS446" s="478"/>
      <c r="AT446" s="478"/>
      <c r="AU446" s="478"/>
      <c r="AV446" s="478"/>
      <c r="AW446" s="478"/>
      <c r="AX446" s="478"/>
      <c r="AY446" s="478"/>
      <c r="AZ446" s="478"/>
      <c r="BA446" s="478"/>
      <c r="BB446" s="478"/>
      <c r="BC446" s="478"/>
      <c r="BD446" s="478"/>
      <c r="BE446" s="478"/>
      <c r="BF446" s="478"/>
      <c r="BG446" s="478"/>
      <c r="BH446" s="478"/>
      <c r="BI446" s="478"/>
      <c r="BJ446" s="478"/>
    </row>
    <row r="447" spans="1:62" ht="15.75" customHeight="1">
      <c r="A447" s="490" t="s">
        <v>63</v>
      </c>
      <c r="B447" s="475"/>
      <c r="C447" s="694" t="s">
        <v>465</v>
      </c>
      <c r="T447" s="478"/>
      <c r="U447" s="478"/>
      <c r="V447" s="565" t="s">
        <v>63</v>
      </c>
      <c r="W447" s="726" t="s">
        <v>161</v>
      </c>
      <c r="X447" s="719"/>
      <c r="Y447" s="727"/>
      <c r="Z447" s="720">
        <v>7198.4247912796181</v>
      </c>
      <c r="AA447" s="719"/>
      <c r="AB447" s="727"/>
      <c r="AC447" s="720"/>
      <c r="AD447" s="728"/>
      <c r="AE447" s="727"/>
      <c r="AF447" s="720">
        <v>5910.7700000000013</v>
      </c>
      <c r="AG447" s="721"/>
      <c r="AH447" s="722">
        <v>-1287.6547912796168</v>
      </c>
      <c r="AI447" s="723">
        <v>-0.17888007843598219</v>
      </c>
      <c r="AJ447" s="728"/>
      <c r="AK447" s="719"/>
      <c r="AL447" s="720">
        <v>9084.06</v>
      </c>
      <c r="AM447" s="724"/>
      <c r="AN447" s="722">
        <v>-3173.2899999999981</v>
      </c>
      <c r="AO447" s="729">
        <v>-0.34932508151641428</v>
      </c>
      <c r="AQ447" s="478"/>
      <c r="AR447" s="478"/>
      <c r="AS447" s="478"/>
      <c r="AT447" s="478"/>
      <c r="AU447" s="478"/>
      <c r="AV447" s="478"/>
      <c r="AW447" s="478"/>
      <c r="AX447" s="478"/>
      <c r="AY447" s="478"/>
      <c r="AZ447" s="478"/>
      <c r="BA447" s="478"/>
      <c r="BB447" s="478"/>
      <c r="BC447" s="478"/>
      <c r="BD447" s="478"/>
      <c r="BE447" s="478"/>
      <c r="BF447" s="478"/>
      <c r="BG447" s="478"/>
      <c r="BH447" s="478"/>
      <c r="BI447" s="478"/>
      <c r="BJ447" s="478"/>
    </row>
    <row r="448" spans="1:62" ht="15.75" hidden="1" customHeight="1">
      <c r="A448" s="490" t="s">
        <v>20</v>
      </c>
      <c r="B448" s="475"/>
      <c r="C448" s="694" t="s">
        <v>465</v>
      </c>
      <c r="T448" s="478"/>
      <c r="U448" s="478"/>
      <c r="V448" s="565" t="s">
        <v>20</v>
      </c>
      <c r="W448" s="726"/>
      <c r="X448" s="719"/>
      <c r="Y448" s="727"/>
      <c r="Z448" s="720">
        <v>0</v>
      </c>
      <c r="AA448" s="719"/>
      <c r="AB448" s="719"/>
      <c r="AC448" s="720"/>
      <c r="AD448" s="728"/>
      <c r="AE448" s="727"/>
      <c r="AF448" s="720">
        <v>0</v>
      </c>
      <c r="AG448" s="721"/>
      <c r="AH448" s="722">
        <v>0</v>
      </c>
      <c r="AI448" s="723">
        <v>0</v>
      </c>
      <c r="AJ448" s="728"/>
      <c r="AK448" s="719"/>
      <c r="AL448" s="720">
        <v>0</v>
      </c>
      <c r="AM448" s="724"/>
      <c r="AN448" s="722">
        <v>0</v>
      </c>
      <c r="AO448" s="729">
        <v>0</v>
      </c>
      <c r="AP448" s="478"/>
      <c r="AQ448" s="478"/>
      <c r="AR448" s="478"/>
      <c r="AS448" s="478"/>
      <c r="AT448" s="478"/>
      <c r="AU448" s="478"/>
      <c r="AV448" s="478"/>
      <c r="AW448" s="478"/>
      <c r="AX448" s="478"/>
      <c r="AY448" s="478"/>
      <c r="AZ448" s="478"/>
      <c r="BA448" s="478"/>
      <c r="BB448" s="478"/>
      <c r="BC448" s="478"/>
      <c r="BD448" s="478"/>
      <c r="BE448" s="478"/>
      <c r="BF448" s="478"/>
      <c r="BG448" s="478"/>
      <c r="BH448" s="478"/>
      <c r="BI448" s="478"/>
      <c r="BJ448" s="478"/>
    </row>
    <row r="449" spans="1:62" ht="15.75" hidden="1" customHeight="1">
      <c r="A449" s="490" t="s">
        <v>20</v>
      </c>
      <c r="B449" s="475"/>
      <c r="C449" s="694" t="s">
        <v>465</v>
      </c>
      <c r="T449" s="478"/>
      <c r="U449" s="478"/>
      <c r="V449" s="565" t="s">
        <v>20</v>
      </c>
      <c r="W449" s="726"/>
      <c r="X449" s="719"/>
      <c r="Y449" s="727"/>
      <c r="Z449" s="720">
        <v>0</v>
      </c>
      <c r="AA449" s="719"/>
      <c r="AB449" s="719"/>
      <c r="AC449" s="720"/>
      <c r="AD449" s="728"/>
      <c r="AE449" s="727"/>
      <c r="AF449" s="720">
        <v>0</v>
      </c>
      <c r="AG449" s="721"/>
      <c r="AH449" s="722">
        <v>0</v>
      </c>
      <c r="AI449" s="723">
        <v>0</v>
      </c>
      <c r="AJ449" s="728"/>
      <c r="AK449" s="719"/>
      <c r="AL449" s="720">
        <v>0</v>
      </c>
      <c r="AM449" s="724"/>
      <c r="AN449" s="722">
        <v>0</v>
      </c>
      <c r="AO449" s="729">
        <v>0</v>
      </c>
      <c r="AP449" s="478"/>
      <c r="AQ449" s="478"/>
      <c r="AR449" s="478"/>
      <c r="AS449" s="478"/>
      <c r="AT449" s="478"/>
      <c r="AU449" s="478"/>
      <c r="AV449" s="478"/>
      <c r="AW449" s="478"/>
      <c r="AX449" s="478"/>
      <c r="AY449" s="478"/>
      <c r="AZ449" s="478"/>
      <c r="BA449" s="478"/>
      <c r="BB449" s="478"/>
      <c r="BC449" s="478"/>
      <c r="BD449" s="478"/>
      <c r="BE449" s="478"/>
      <c r="BF449" s="478"/>
      <c r="BG449" s="478"/>
      <c r="BH449" s="478"/>
      <c r="BI449" s="478"/>
      <c r="BJ449" s="478"/>
    </row>
    <row r="450" spans="1:62" ht="15.75" hidden="1" customHeight="1">
      <c r="A450" s="490" t="s">
        <v>20</v>
      </c>
      <c r="B450" s="475"/>
      <c r="C450" s="694" t="s">
        <v>465</v>
      </c>
      <c r="T450" s="478"/>
      <c r="U450" s="478"/>
      <c r="V450" s="565" t="s">
        <v>20</v>
      </c>
      <c r="W450" s="726"/>
      <c r="X450" s="719"/>
      <c r="Y450" s="727"/>
      <c r="Z450" s="720">
        <v>0</v>
      </c>
      <c r="AA450" s="719"/>
      <c r="AB450" s="719"/>
      <c r="AC450" s="720"/>
      <c r="AD450" s="728"/>
      <c r="AE450" s="727"/>
      <c r="AF450" s="720">
        <v>0</v>
      </c>
      <c r="AG450" s="721"/>
      <c r="AH450" s="722">
        <v>0</v>
      </c>
      <c r="AI450" s="723">
        <v>0</v>
      </c>
      <c r="AJ450" s="728"/>
      <c r="AK450" s="719"/>
      <c r="AL450" s="720">
        <v>0</v>
      </c>
      <c r="AM450" s="724"/>
      <c r="AN450" s="722">
        <v>0</v>
      </c>
      <c r="AO450" s="729">
        <v>0</v>
      </c>
      <c r="AP450" s="478"/>
      <c r="AQ450" s="478"/>
      <c r="AR450" s="478"/>
      <c r="AS450" s="478"/>
      <c r="AT450" s="478"/>
      <c r="AU450" s="478"/>
      <c r="AV450" s="478"/>
      <c r="AW450" s="478"/>
      <c r="AX450" s="478"/>
      <c r="AY450" s="478"/>
      <c r="AZ450" s="478"/>
      <c r="BA450" s="478"/>
      <c r="BB450" s="478"/>
      <c r="BC450" s="478"/>
      <c r="BD450" s="478"/>
      <c r="BE450" s="478"/>
      <c r="BF450" s="478"/>
      <c r="BG450" s="478"/>
      <c r="BH450" s="478"/>
      <c r="BI450" s="478"/>
      <c r="BJ450" s="478"/>
    </row>
    <row r="451" spans="1:62" ht="15.75" customHeight="1">
      <c r="A451" s="490" t="s">
        <v>64</v>
      </c>
      <c r="B451" s="475"/>
      <c r="C451" s="694" t="s">
        <v>465</v>
      </c>
      <c r="T451" s="478"/>
      <c r="U451" s="478"/>
      <c r="V451" s="734" t="s">
        <v>64</v>
      </c>
      <c r="W451" s="758"/>
      <c r="X451" s="736">
        <v>0.14862826820324423</v>
      </c>
      <c r="Y451" s="735"/>
      <c r="Z451" s="737">
        <v>99963.665897511251</v>
      </c>
      <c r="AA451" s="736"/>
      <c r="AB451" s="735"/>
      <c r="AC451" s="737"/>
      <c r="AD451" s="738">
        <v>0.17391034253696369</v>
      </c>
      <c r="AE451" s="735"/>
      <c r="AF451" s="737">
        <v>113156.3</v>
      </c>
      <c r="AG451" s="744"/>
      <c r="AH451" s="759">
        <v>13192.634102488719</v>
      </c>
      <c r="AI451" s="736">
        <v>0.13197429269965549</v>
      </c>
      <c r="AJ451" s="738">
        <v>0.13444254719681484</v>
      </c>
      <c r="AK451" s="736"/>
      <c r="AL451" s="737">
        <v>104444.90999999999</v>
      </c>
      <c r="AM451" s="745"/>
      <c r="AN451" s="740">
        <v>8711.3900000000067</v>
      </c>
      <c r="AO451" s="760">
        <v>8.3406553751638135E-2</v>
      </c>
      <c r="AP451" s="478"/>
      <c r="AQ451" s="478"/>
      <c r="AR451" s="478"/>
      <c r="AS451" s="478"/>
      <c r="AT451" s="478"/>
      <c r="AU451" s="478"/>
      <c r="AV451" s="478"/>
      <c r="AW451" s="478"/>
      <c r="AX451" s="478"/>
      <c r="AY451" s="478"/>
      <c r="AZ451" s="478"/>
      <c r="BA451" s="478"/>
      <c r="BB451" s="478"/>
      <c r="BC451" s="478"/>
      <c r="BD451" s="478"/>
      <c r="BE451" s="478"/>
      <c r="BF451" s="478"/>
      <c r="BG451" s="478"/>
      <c r="BH451" s="478"/>
      <c r="BI451" s="478"/>
      <c r="BJ451" s="478"/>
    </row>
    <row r="452" spans="1:62" ht="15.75" customHeight="1">
      <c r="A452" s="490" t="s">
        <v>162</v>
      </c>
      <c r="B452" s="475"/>
      <c r="C452" s="694" t="s">
        <v>465</v>
      </c>
      <c r="D452" s="478"/>
      <c r="E452" s="478"/>
      <c r="F452" s="478"/>
      <c r="G452" s="478"/>
      <c r="H452" s="478"/>
      <c r="I452" s="478"/>
      <c r="J452" s="478"/>
      <c r="K452" s="478"/>
      <c r="L452" s="478"/>
      <c r="M452" s="478"/>
      <c r="N452" s="478"/>
      <c r="O452" s="478"/>
      <c r="P452" s="478"/>
      <c r="Q452" s="478"/>
      <c r="R452" s="478"/>
      <c r="S452" s="478"/>
      <c r="T452" s="478"/>
      <c r="U452" s="478"/>
      <c r="V452" s="565" t="s">
        <v>162</v>
      </c>
      <c r="W452" s="726" t="s">
        <v>163</v>
      </c>
      <c r="X452" s="719"/>
      <c r="Y452" s="727"/>
      <c r="Z452" s="720">
        <v>26000.000000000004</v>
      </c>
      <c r="AA452" s="719"/>
      <c r="AB452" s="727"/>
      <c r="AC452" s="720"/>
      <c r="AD452" s="728"/>
      <c r="AE452" s="727"/>
      <c r="AF452" s="720">
        <v>26000</v>
      </c>
      <c r="AG452" s="721"/>
      <c r="AH452" s="722">
        <v>0</v>
      </c>
      <c r="AI452" s="723">
        <v>0</v>
      </c>
      <c r="AJ452" s="728"/>
      <c r="AK452" s="719"/>
      <c r="AL452" s="720">
        <v>26000</v>
      </c>
      <c r="AM452" s="724"/>
      <c r="AN452" s="722">
        <v>0</v>
      </c>
      <c r="AO452" s="729">
        <v>0</v>
      </c>
      <c r="AP452" s="478"/>
      <c r="AQ452" s="478"/>
      <c r="AR452" s="478"/>
      <c r="AS452" s="478"/>
      <c r="AT452" s="478"/>
      <c r="AU452" s="478"/>
      <c r="AV452" s="478"/>
      <c r="AW452" s="478"/>
      <c r="AX452" s="478"/>
      <c r="AY452" s="478"/>
      <c r="AZ452" s="478"/>
      <c r="BA452" s="478"/>
      <c r="BB452" s="478"/>
      <c r="BC452" s="478"/>
      <c r="BD452" s="478"/>
      <c r="BE452" s="478"/>
      <c r="BF452" s="478"/>
      <c r="BG452" s="478"/>
      <c r="BH452" s="478"/>
      <c r="BI452" s="478"/>
      <c r="BJ452" s="478"/>
    </row>
    <row r="453" spans="1:62" ht="15.75" customHeight="1">
      <c r="A453" s="490" t="s">
        <v>164</v>
      </c>
      <c r="B453" s="475"/>
      <c r="C453" s="694" t="s">
        <v>465</v>
      </c>
      <c r="D453" s="478"/>
      <c r="E453" s="478"/>
      <c r="F453" s="478"/>
      <c r="G453" s="478"/>
      <c r="H453" s="478"/>
      <c r="I453" s="478"/>
      <c r="J453" s="478"/>
      <c r="K453" s="478"/>
      <c r="L453" s="478"/>
      <c r="M453" s="478"/>
      <c r="N453" s="478"/>
      <c r="O453" s="478"/>
      <c r="P453" s="478"/>
      <c r="Q453" s="478"/>
      <c r="R453" s="478"/>
      <c r="S453" s="478"/>
      <c r="T453" s="478"/>
      <c r="U453" s="478"/>
      <c r="V453" s="565" t="s">
        <v>164</v>
      </c>
      <c r="W453" s="726" t="s">
        <v>165</v>
      </c>
      <c r="X453" s="719"/>
      <c r="Y453" s="727"/>
      <c r="Z453" s="720">
        <v>5281.6050000000005</v>
      </c>
      <c r="AA453" s="719"/>
      <c r="AB453" s="727"/>
      <c r="AC453" s="720"/>
      <c r="AD453" s="728"/>
      <c r="AE453" s="727"/>
      <c r="AF453" s="720">
        <v>4930</v>
      </c>
      <c r="AG453" s="721"/>
      <c r="AH453" s="722">
        <v>-351.60500000000047</v>
      </c>
      <c r="AI453" s="723">
        <v>-6.6571619801177942E-2</v>
      </c>
      <c r="AJ453" s="728"/>
      <c r="AK453" s="719"/>
      <c r="AL453" s="720">
        <v>4930</v>
      </c>
      <c r="AM453" s="724"/>
      <c r="AN453" s="722">
        <v>0</v>
      </c>
      <c r="AO453" s="729">
        <v>0</v>
      </c>
      <c r="AP453" s="478"/>
      <c r="AQ453" s="478"/>
      <c r="AR453" s="478"/>
      <c r="AS453" s="478"/>
      <c r="AT453" s="478"/>
      <c r="AU453" s="478"/>
      <c r="AV453" s="478"/>
      <c r="AW453" s="478"/>
      <c r="AX453" s="478"/>
      <c r="AY453" s="478"/>
      <c r="AZ453" s="478"/>
      <c r="BA453" s="478"/>
      <c r="BB453" s="478"/>
      <c r="BC453" s="478"/>
      <c r="BD453" s="478"/>
      <c r="BE453" s="478"/>
      <c r="BF453" s="478"/>
      <c r="BG453" s="478"/>
      <c r="BH453" s="478"/>
      <c r="BI453" s="478"/>
      <c r="BJ453" s="478"/>
    </row>
    <row r="454" spans="1:62" ht="15.75" customHeight="1">
      <c r="A454" s="490" t="s">
        <v>166</v>
      </c>
      <c r="B454" s="475"/>
      <c r="C454" s="694" t="s">
        <v>465</v>
      </c>
      <c r="D454" s="478"/>
      <c r="E454" s="478"/>
      <c r="F454" s="478"/>
      <c r="G454" s="478"/>
      <c r="H454" s="478"/>
      <c r="I454" s="478"/>
      <c r="J454" s="478"/>
      <c r="K454" s="478"/>
      <c r="L454" s="478"/>
      <c r="M454" s="478"/>
      <c r="N454" s="478"/>
      <c r="O454" s="478"/>
      <c r="P454" s="478"/>
      <c r="Q454" s="478"/>
      <c r="R454" s="478"/>
      <c r="S454" s="478"/>
      <c r="T454" s="478"/>
      <c r="U454" s="478"/>
      <c r="V454" s="566" t="s">
        <v>166</v>
      </c>
      <c r="W454" s="730" t="s">
        <v>167</v>
      </c>
      <c r="X454" s="703"/>
      <c r="Y454" s="731"/>
      <c r="Z454" s="704">
        <v>3513.8249999999998</v>
      </c>
      <c r="AA454" s="703"/>
      <c r="AB454" s="731"/>
      <c r="AC454" s="704"/>
      <c r="AD454" s="732"/>
      <c r="AE454" s="731"/>
      <c r="AF454" s="704">
        <v>3279.9999999999995</v>
      </c>
      <c r="AG454" s="705"/>
      <c r="AH454" s="706">
        <v>-233.82500000000027</v>
      </c>
      <c r="AI454" s="733">
        <v>-6.6544292900187194E-2</v>
      </c>
      <c r="AJ454" s="732"/>
      <c r="AK454" s="703"/>
      <c r="AL454" s="704">
        <v>3279.9999999999995</v>
      </c>
      <c r="AM454" s="708"/>
      <c r="AN454" s="706">
        <v>0</v>
      </c>
      <c r="AO454" s="709">
        <v>0</v>
      </c>
      <c r="AP454" s="478"/>
      <c r="AQ454" s="478"/>
      <c r="AR454" s="478"/>
      <c r="AS454" s="478"/>
      <c r="AT454" s="478"/>
      <c r="AU454" s="478"/>
      <c r="AV454" s="478"/>
      <c r="AW454" s="478"/>
      <c r="AX454" s="478"/>
      <c r="AY454" s="478"/>
      <c r="AZ454" s="478"/>
      <c r="BA454" s="478"/>
      <c r="BB454" s="478"/>
      <c r="BC454" s="478"/>
      <c r="BD454" s="478"/>
      <c r="BE454" s="478"/>
      <c r="BF454" s="478"/>
      <c r="BG454" s="478"/>
      <c r="BH454" s="478"/>
      <c r="BI454" s="478"/>
      <c r="BJ454" s="478"/>
    </row>
    <row r="455" spans="1:62" ht="15.75" customHeight="1">
      <c r="A455" s="490" t="s">
        <v>168</v>
      </c>
      <c r="B455" s="475"/>
      <c r="C455" s="694" t="s">
        <v>465</v>
      </c>
      <c r="D455" s="478"/>
      <c r="E455" s="478"/>
      <c r="F455" s="478"/>
      <c r="G455" s="478"/>
      <c r="H455" s="478"/>
      <c r="I455" s="478"/>
      <c r="J455" s="478"/>
      <c r="K455" s="478"/>
      <c r="L455" s="478"/>
      <c r="M455" s="478"/>
      <c r="N455" s="478"/>
      <c r="O455" s="478"/>
      <c r="P455" s="478"/>
      <c r="Q455" s="478"/>
      <c r="R455" s="478"/>
      <c r="S455" s="478"/>
      <c r="T455" s="478"/>
      <c r="U455" s="478"/>
      <c r="V455" s="565" t="s">
        <v>168</v>
      </c>
      <c r="W455" s="726"/>
      <c r="X455" s="719"/>
      <c r="Y455" s="727"/>
      <c r="Z455" s="720">
        <v>0</v>
      </c>
      <c r="AA455" s="719"/>
      <c r="AB455" s="727"/>
      <c r="AC455" s="720"/>
      <c r="AD455" s="728"/>
      <c r="AE455" s="727"/>
      <c r="AF455" s="720">
        <v>0</v>
      </c>
      <c r="AG455" s="721"/>
      <c r="AH455" s="722">
        <v>0</v>
      </c>
      <c r="AI455" s="723">
        <v>0</v>
      </c>
      <c r="AJ455" s="728"/>
      <c r="AK455" s="719"/>
      <c r="AL455" s="720">
        <v>0</v>
      </c>
      <c r="AM455" s="724"/>
      <c r="AN455" s="722">
        <v>0</v>
      </c>
      <c r="AO455" s="729">
        <v>0</v>
      </c>
      <c r="AP455" s="478"/>
      <c r="AQ455" s="478"/>
      <c r="AR455" s="478"/>
      <c r="AS455" s="478"/>
      <c r="AT455" s="478"/>
      <c r="AU455" s="478"/>
      <c r="AV455" s="478"/>
      <c r="AW455" s="478"/>
      <c r="AX455" s="478"/>
      <c r="AY455" s="478"/>
      <c r="AZ455" s="478"/>
      <c r="BA455" s="478"/>
      <c r="BB455" s="478"/>
      <c r="BC455" s="478"/>
      <c r="BD455" s="478"/>
      <c r="BE455" s="478"/>
      <c r="BF455" s="478"/>
      <c r="BG455" s="478"/>
      <c r="BH455" s="478"/>
      <c r="BI455" s="478"/>
      <c r="BJ455" s="478"/>
    </row>
    <row r="456" spans="1:62" ht="15.75" customHeight="1">
      <c r="A456" s="490" t="s">
        <v>169</v>
      </c>
      <c r="B456" s="475"/>
      <c r="C456" s="694" t="s">
        <v>465</v>
      </c>
      <c r="D456" s="478"/>
      <c r="E456" s="478"/>
      <c r="F456" s="478"/>
      <c r="G456" s="478"/>
      <c r="H456" s="478"/>
      <c r="I456" s="478"/>
      <c r="J456" s="478"/>
      <c r="K456" s="478"/>
      <c r="L456" s="478"/>
      <c r="M456" s="478"/>
      <c r="N456" s="478"/>
      <c r="O456" s="478"/>
      <c r="P456" s="478"/>
      <c r="Q456" s="478"/>
      <c r="R456" s="478"/>
      <c r="S456" s="478"/>
      <c r="T456" s="478"/>
      <c r="U456" s="478"/>
      <c r="V456" s="566" t="s">
        <v>169</v>
      </c>
      <c r="W456" s="730" t="s">
        <v>170</v>
      </c>
      <c r="X456" s="703"/>
      <c r="Y456" s="731"/>
      <c r="Z456" s="704">
        <v>4356.2783333333327</v>
      </c>
      <c r="AA456" s="703"/>
      <c r="AB456" s="731"/>
      <c r="AC456" s="704"/>
      <c r="AD456" s="732"/>
      <c r="AE456" s="731"/>
      <c r="AF456" s="704">
        <v>4271</v>
      </c>
      <c r="AG456" s="705"/>
      <c r="AH456" s="706">
        <v>-85.278333333332739</v>
      </c>
      <c r="AI456" s="733">
        <v>-1.9575960672852496E-2</v>
      </c>
      <c r="AJ456" s="732"/>
      <c r="AK456" s="703"/>
      <c r="AL456" s="704">
        <v>4271</v>
      </c>
      <c r="AM456" s="708"/>
      <c r="AN456" s="706">
        <v>0</v>
      </c>
      <c r="AO456" s="709">
        <v>0</v>
      </c>
      <c r="AP456" s="478"/>
      <c r="AQ456" s="478"/>
      <c r="AR456" s="478"/>
      <c r="AS456" s="478"/>
      <c r="AT456" s="478"/>
      <c r="AU456" s="478"/>
      <c r="AV456" s="478"/>
      <c r="AW456" s="478"/>
      <c r="AX456" s="478"/>
      <c r="AY456" s="478"/>
      <c r="AZ456" s="478"/>
      <c r="BA456" s="478"/>
      <c r="BB456" s="478"/>
      <c r="BC456" s="478"/>
      <c r="BD456" s="478"/>
      <c r="BE456" s="478"/>
      <c r="BF456" s="478"/>
      <c r="BG456" s="478"/>
      <c r="BH456" s="478"/>
      <c r="BI456" s="478"/>
      <c r="BJ456" s="478"/>
    </row>
    <row r="457" spans="1:62" ht="15.75" customHeight="1">
      <c r="A457" s="490" t="s">
        <v>171</v>
      </c>
      <c r="B457" s="475"/>
      <c r="C457" s="694" t="s">
        <v>465</v>
      </c>
      <c r="D457" s="478"/>
      <c r="E457" s="478"/>
      <c r="F457" s="478"/>
      <c r="G457" s="478"/>
      <c r="H457" s="478"/>
      <c r="I457" s="478"/>
      <c r="J457" s="478"/>
      <c r="K457" s="478"/>
      <c r="L457" s="478"/>
      <c r="M457" s="478"/>
      <c r="N457" s="478"/>
      <c r="O457" s="478"/>
      <c r="P457" s="478"/>
      <c r="Q457" s="478"/>
      <c r="R457" s="478"/>
      <c r="S457" s="478"/>
      <c r="T457" s="478"/>
      <c r="U457" s="478"/>
      <c r="V457" s="565" t="s">
        <v>171</v>
      </c>
      <c r="W457" s="726" t="s">
        <v>172</v>
      </c>
      <c r="X457" s="761"/>
      <c r="Y457" s="762"/>
      <c r="Z457" s="720">
        <v>2510.948249791667</v>
      </c>
      <c r="AA457" s="761"/>
      <c r="AB457" s="762"/>
      <c r="AC457" s="720"/>
      <c r="AD457" s="728"/>
      <c r="AE457" s="727"/>
      <c r="AF457" s="763">
        <v>1881.92</v>
      </c>
      <c r="AG457" s="721"/>
      <c r="AH457" s="722">
        <v>-629.02824979166689</v>
      </c>
      <c r="AI457" s="723">
        <v>-0.25051422300075571</v>
      </c>
      <c r="AJ457" s="728"/>
      <c r="AK457" s="719"/>
      <c r="AL457" s="720">
        <v>3714.91</v>
      </c>
      <c r="AM457" s="724"/>
      <c r="AN457" s="722">
        <v>-1832.9899999999998</v>
      </c>
      <c r="AO457" s="729">
        <v>-0.4934143761221671</v>
      </c>
      <c r="AP457" s="478"/>
      <c r="AQ457" s="478"/>
      <c r="AR457" s="478"/>
      <c r="AS457" s="478"/>
      <c r="AT457" s="478"/>
      <c r="AU457" s="478"/>
      <c r="AV457" s="478"/>
      <c r="AW457" s="478"/>
      <c r="AX457" s="478"/>
      <c r="AY457" s="478"/>
      <c r="AZ457" s="478"/>
      <c r="BA457" s="478"/>
      <c r="BB457" s="478"/>
      <c r="BC457" s="478"/>
      <c r="BD457" s="478"/>
      <c r="BE457" s="478"/>
      <c r="BF457" s="478"/>
      <c r="BG457" s="478"/>
      <c r="BH457" s="478"/>
      <c r="BI457" s="478"/>
      <c r="BJ457" s="478"/>
    </row>
    <row r="458" spans="1:62" ht="15.75" customHeight="1">
      <c r="A458" s="490" t="s">
        <v>173</v>
      </c>
      <c r="B458" s="475"/>
      <c r="C458" s="694" t="s">
        <v>465</v>
      </c>
      <c r="D458" s="478"/>
      <c r="E458" s="478"/>
      <c r="F458" s="478"/>
      <c r="G458" s="478"/>
      <c r="H458" s="478"/>
      <c r="I458" s="478"/>
      <c r="J458" s="478"/>
      <c r="K458" s="478"/>
      <c r="L458" s="478"/>
      <c r="M458" s="478"/>
      <c r="N458" s="478"/>
      <c r="O458" s="478"/>
      <c r="P458" s="478"/>
      <c r="Q458" s="478"/>
      <c r="R458" s="478"/>
      <c r="S458" s="478"/>
      <c r="T458" s="478"/>
      <c r="U458" s="478"/>
      <c r="V458" s="565" t="s">
        <v>173</v>
      </c>
      <c r="W458" s="726" t="s">
        <v>174</v>
      </c>
      <c r="X458" s="719"/>
      <c r="Y458" s="727"/>
      <c r="Z458" s="720">
        <v>6306.8593777777805</v>
      </c>
      <c r="AA458" s="719"/>
      <c r="AB458" s="727"/>
      <c r="AC458" s="720"/>
      <c r="AD458" s="728"/>
      <c r="AE458" s="727"/>
      <c r="AF458" s="720">
        <v>6550.12</v>
      </c>
      <c r="AG458" s="721"/>
      <c r="AH458" s="722">
        <v>243.26062222221935</v>
      </c>
      <c r="AI458" s="723">
        <v>3.8570801670217696E-2</v>
      </c>
      <c r="AJ458" s="728"/>
      <c r="AK458" s="719"/>
      <c r="AL458" s="720">
        <v>6123.33</v>
      </c>
      <c r="AM458" s="724"/>
      <c r="AN458" s="722">
        <v>426.78999999999996</v>
      </c>
      <c r="AO458" s="729">
        <v>6.9699003646708571E-2</v>
      </c>
      <c r="AP458" s="478"/>
      <c r="AQ458" s="478"/>
      <c r="AR458" s="478"/>
      <c r="AS458" s="478"/>
      <c r="AT458" s="478"/>
      <c r="AU458" s="478"/>
      <c r="AV458" s="478"/>
      <c r="AW458" s="478"/>
      <c r="AX458" s="478"/>
      <c r="AY458" s="478"/>
      <c r="AZ458" s="478"/>
      <c r="BA458" s="478"/>
      <c r="BB458" s="478"/>
      <c r="BC458" s="478"/>
      <c r="BD458" s="478"/>
      <c r="BE458" s="478"/>
      <c r="BF458" s="478"/>
      <c r="BG458" s="478"/>
      <c r="BH458" s="478"/>
      <c r="BI458" s="478"/>
      <c r="BJ458" s="478"/>
    </row>
    <row r="459" spans="1:62" ht="15.75" customHeight="1">
      <c r="A459" s="490" t="s">
        <v>175</v>
      </c>
      <c r="B459" s="475"/>
      <c r="C459" s="694" t="s">
        <v>465</v>
      </c>
      <c r="D459" s="478"/>
      <c r="E459" s="478"/>
      <c r="F459" s="478"/>
      <c r="G459" s="478"/>
      <c r="H459" s="478"/>
      <c r="I459" s="478"/>
      <c r="J459" s="478"/>
      <c r="K459" s="478"/>
      <c r="L459" s="478"/>
      <c r="M459" s="478"/>
      <c r="N459" s="478"/>
      <c r="O459" s="478"/>
      <c r="P459" s="478"/>
      <c r="Q459" s="478"/>
      <c r="R459" s="478"/>
      <c r="S459" s="478"/>
      <c r="T459" s="478"/>
      <c r="U459" s="478"/>
      <c r="V459" s="566" t="s">
        <v>175</v>
      </c>
      <c r="W459" s="730" t="s">
        <v>176</v>
      </c>
      <c r="X459" s="703"/>
      <c r="Y459" s="731"/>
      <c r="Z459" s="704">
        <v>1518.181195972222</v>
      </c>
      <c r="AA459" s="703"/>
      <c r="AB459" s="731"/>
      <c r="AC459" s="704"/>
      <c r="AD459" s="732"/>
      <c r="AE459" s="731"/>
      <c r="AF459" s="704">
        <v>5794.15</v>
      </c>
      <c r="AG459" s="705"/>
      <c r="AH459" s="706">
        <v>4275.9688040277779</v>
      </c>
      <c r="AI459" s="733">
        <v>2.8165075521762786</v>
      </c>
      <c r="AJ459" s="732"/>
      <c r="AK459" s="703"/>
      <c r="AL459" s="704">
        <v>1799.98</v>
      </c>
      <c r="AM459" s="708"/>
      <c r="AN459" s="706">
        <v>3994.1699999999996</v>
      </c>
      <c r="AO459" s="709">
        <v>2.2190079889776553</v>
      </c>
      <c r="AP459" s="478"/>
      <c r="AQ459" s="478"/>
      <c r="AR459" s="478"/>
      <c r="AS459" s="478"/>
      <c r="AT459" s="478"/>
      <c r="AU459" s="478"/>
      <c r="AV459" s="478"/>
      <c r="AW459" s="478"/>
      <c r="AX459" s="478"/>
      <c r="AY459" s="478"/>
      <c r="AZ459" s="478"/>
      <c r="BA459" s="478"/>
      <c r="BB459" s="478"/>
      <c r="BC459" s="478"/>
      <c r="BD459" s="478"/>
      <c r="BE459" s="478"/>
      <c r="BF459" s="478"/>
      <c r="BG459" s="478"/>
      <c r="BH459" s="478"/>
      <c r="BI459" s="478"/>
      <c r="BJ459" s="478"/>
    </row>
    <row r="460" spans="1:62" ht="15.75" customHeight="1">
      <c r="A460" s="490" t="s">
        <v>177</v>
      </c>
      <c r="B460" s="475"/>
      <c r="C460" s="694" t="s">
        <v>465</v>
      </c>
      <c r="D460" s="478"/>
      <c r="E460" s="478"/>
      <c r="F460" s="478"/>
      <c r="G460" s="478"/>
      <c r="H460" s="478"/>
      <c r="I460" s="478"/>
      <c r="J460" s="478"/>
      <c r="K460" s="478"/>
      <c r="L460" s="478"/>
      <c r="M460" s="478"/>
      <c r="N460" s="478"/>
      <c r="O460" s="478"/>
      <c r="P460" s="478"/>
      <c r="Q460" s="478"/>
      <c r="R460" s="478"/>
      <c r="S460" s="478"/>
      <c r="T460" s="478"/>
      <c r="U460" s="764"/>
      <c r="V460" s="565" t="s">
        <v>177</v>
      </c>
      <c r="W460" s="726" t="s">
        <v>178</v>
      </c>
      <c r="X460" s="719"/>
      <c r="Y460" s="727"/>
      <c r="Z460" s="720">
        <v>80.334374999999994</v>
      </c>
      <c r="AA460" s="719"/>
      <c r="AB460" s="727"/>
      <c r="AC460" s="720"/>
      <c r="AD460" s="728"/>
      <c r="AE460" s="727"/>
      <c r="AF460" s="720">
        <v>1462.22</v>
      </c>
      <c r="AG460" s="721"/>
      <c r="AH460" s="722">
        <v>1381.8856250000001</v>
      </c>
      <c r="AI460" s="765">
        <v>17.201672696152801</v>
      </c>
      <c r="AJ460" s="719"/>
      <c r="AK460" s="719"/>
      <c r="AL460" s="720">
        <v>0</v>
      </c>
      <c r="AM460" s="724"/>
      <c r="AN460" s="722">
        <v>1462.22</v>
      </c>
      <c r="AO460" s="729">
        <v>0</v>
      </c>
      <c r="AP460" s="478"/>
      <c r="AQ460" s="478"/>
      <c r="AR460" s="478"/>
      <c r="AS460" s="478"/>
      <c r="AT460" s="478"/>
      <c r="AU460" s="478"/>
      <c r="AV460" s="478"/>
      <c r="AW460" s="478"/>
      <c r="AX460" s="478"/>
      <c r="AY460" s="478"/>
      <c r="AZ460" s="478"/>
      <c r="BA460" s="478"/>
      <c r="BB460" s="478"/>
      <c r="BC460" s="478"/>
      <c r="BD460" s="478"/>
      <c r="BE460" s="478"/>
      <c r="BF460" s="478"/>
      <c r="BG460" s="478"/>
      <c r="BH460" s="478"/>
      <c r="BI460" s="478"/>
      <c r="BJ460" s="478"/>
    </row>
    <row r="461" spans="1:62" ht="15.75" customHeight="1">
      <c r="A461" s="490" t="s">
        <v>179</v>
      </c>
      <c r="B461" s="475"/>
      <c r="C461" s="694" t="s">
        <v>465</v>
      </c>
      <c r="D461" s="478"/>
      <c r="E461" s="478"/>
      <c r="F461" s="478"/>
      <c r="G461" s="478"/>
      <c r="H461" s="478"/>
      <c r="I461" s="478"/>
      <c r="J461" s="478"/>
      <c r="K461" s="478"/>
      <c r="L461" s="478"/>
      <c r="M461" s="478"/>
      <c r="N461" s="478"/>
      <c r="O461" s="478"/>
      <c r="P461" s="478"/>
      <c r="Q461" s="478"/>
      <c r="R461" s="478"/>
      <c r="S461" s="478"/>
      <c r="T461" s="478"/>
      <c r="U461" s="764"/>
      <c r="V461" s="565" t="s">
        <v>179</v>
      </c>
      <c r="W461" s="726" t="s">
        <v>180</v>
      </c>
      <c r="X461" s="719"/>
      <c r="Y461" s="727"/>
      <c r="Z461" s="720">
        <v>0</v>
      </c>
      <c r="AA461" s="719"/>
      <c r="AB461" s="727"/>
      <c r="AC461" s="720"/>
      <c r="AD461" s="728"/>
      <c r="AE461" s="727"/>
      <c r="AF461" s="720">
        <v>0</v>
      </c>
      <c r="AG461" s="721"/>
      <c r="AH461" s="722">
        <v>0</v>
      </c>
      <c r="AI461" s="742">
        <v>0</v>
      </c>
      <c r="AJ461" s="719"/>
      <c r="AK461" s="719"/>
      <c r="AL461" s="720">
        <v>0</v>
      </c>
      <c r="AM461" s="724"/>
      <c r="AN461" s="722">
        <v>0</v>
      </c>
      <c r="AO461" s="729">
        <v>0</v>
      </c>
      <c r="AP461" s="478"/>
      <c r="AQ461" s="478"/>
      <c r="AR461" s="478"/>
      <c r="AS461" s="478"/>
      <c r="AT461" s="478"/>
      <c r="AU461" s="478"/>
      <c r="AV461" s="478"/>
      <c r="AW461" s="478"/>
      <c r="AX461" s="478"/>
      <c r="AY461" s="478"/>
      <c r="AZ461" s="478"/>
      <c r="BA461" s="478"/>
      <c r="BB461" s="478"/>
      <c r="BC461" s="478"/>
      <c r="BD461" s="478"/>
      <c r="BE461" s="478"/>
      <c r="BF461" s="478"/>
      <c r="BG461" s="478"/>
      <c r="BH461" s="478"/>
      <c r="BI461" s="478"/>
      <c r="BJ461" s="478"/>
    </row>
    <row r="462" spans="1:62" ht="15.75" hidden="1" customHeight="1">
      <c r="A462" s="490" t="s">
        <v>20</v>
      </c>
      <c r="B462" s="475"/>
      <c r="C462" s="694" t="s">
        <v>465</v>
      </c>
      <c r="D462" s="478"/>
      <c r="E462" s="478"/>
      <c r="F462" s="478"/>
      <c r="G462" s="478"/>
      <c r="H462" s="478"/>
      <c r="I462" s="478"/>
      <c r="J462" s="478"/>
      <c r="K462" s="478"/>
      <c r="L462" s="478"/>
      <c r="M462" s="478"/>
      <c r="N462" s="478"/>
      <c r="O462" s="478"/>
      <c r="P462" s="478"/>
      <c r="Q462" s="478"/>
      <c r="R462" s="478"/>
      <c r="S462" s="478"/>
      <c r="T462" s="478"/>
      <c r="U462" s="764"/>
      <c r="V462" s="565" t="s">
        <v>20</v>
      </c>
      <c r="W462" s="726"/>
      <c r="X462" s="719"/>
      <c r="Y462" s="727"/>
      <c r="Z462" s="720">
        <v>0</v>
      </c>
      <c r="AA462" s="719"/>
      <c r="AB462" s="719"/>
      <c r="AC462" s="720"/>
      <c r="AD462" s="728"/>
      <c r="AE462" s="727"/>
      <c r="AF462" s="720">
        <v>0</v>
      </c>
      <c r="AG462" s="721"/>
      <c r="AH462" s="722">
        <v>0</v>
      </c>
      <c r="AI462" s="723">
        <v>0</v>
      </c>
      <c r="AJ462" s="728"/>
      <c r="AK462" s="719"/>
      <c r="AL462" s="720">
        <v>0</v>
      </c>
      <c r="AM462" s="724"/>
      <c r="AN462" s="722">
        <v>0</v>
      </c>
      <c r="AO462" s="729">
        <v>1</v>
      </c>
      <c r="AP462" s="478"/>
      <c r="AQ462" s="478"/>
      <c r="AR462" s="478"/>
      <c r="AS462" s="478"/>
      <c r="AT462" s="478"/>
      <c r="AU462" s="478"/>
      <c r="AV462" s="478"/>
      <c r="AW462" s="478"/>
      <c r="AX462" s="478"/>
      <c r="AY462" s="478"/>
      <c r="AZ462" s="478"/>
      <c r="BA462" s="478"/>
      <c r="BB462" s="478"/>
      <c r="BC462" s="478"/>
      <c r="BD462" s="478"/>
      <c r="BE462" s="478"/>
      <c r="BF462" s="478"/>
      <c r="BG462" s="478"/>
      <c r="BH462" s="478"/>
      <c r="BI462" s="478"/>
      <c r="BJ462" s="478"/>
    </row>
    <row r="463" spans="1:62" ht="15.75" hidden="1" customHeight="1">
      <c r="A463" s="490" t="s">
        <v>20</v>
      </c>
      <c r="B463" s="475"/>
      <c r="C463" s="694" t="s">
        <v>465</v>
      </c>
      <c r="D463" s="478"/>
      <c r="E463" s="478"/>
      <c r="F463" s="478"/>
      <c r="G463" s="478"/>
      <c r="H463" s="478"/>
      <c r="I463" s="478"/>
      <c r="J463" s="478"/>
      <c r="K463" s="478"/>
      <c r="L463" s="478"/>
      <c r="M463" s="478"/>
      <c r="N463" s="478"/>
      <c r="O463" s="478"/>
      <c r="P463" s="478"/>
      <c r="Q463" s="478"/>
      <c r="R463" s="478"/>
      <c r="S463" s="478"/>
      <c r="T463" s="478"/>
      <c r="U463" s="764"/>
      <c r="V463" s="565" t="s">
        <v>20</v>
      </c>
      <c r="W463" s="726"/>
      <c r="X463" s="719"/>
      <c r="Y463" s="727"/>
      <c r="Z463" s="720">
        <v>0</v>
      </c>
      <c r="AA463" s="719"/>
      <c r="AB463" s="719"/>
      <c r="AC463" s="720"/>
      <c r="AD463" s="728"/>
      <c r="AE463" s="727"/>
      <c r="AF463" s="720">
        <v>0</v>
      </c>
      <c r="AG463" s="721"/>
      <c r="AH463" s="722">
        <v>0</v>
      </c>
      <c r="AI463" s="723">
        <v>0</v>
      </c>
      <c r="AJ463" s="728"/>
      <c r="AK463" s="719"/>
      <c r="AL463" s="720">
        <v>0</v>
      </c>
      <c r="AM463" s="724"/>
      <c r="AN463" s="722">
        <v>0</v>
      </c>
      <c r="AO463" s="729">
        <v>2</v>
      </c>
      <c r="AP463" s="478"/>
      <c r="AQ463" s="478"/>
      <c r="AR463" s="478"/>
      <c r="AS463" s="478"/>
      <c r="AT463" s="478"/>
      <c r="AU463" s="478"/>
      <c r="AV463" s="478"/>
      <c r="AW463" s="478"/>
      <c r="AX463" s="478"/>
      <c r="AY463" s="478"/>
      <c r="AZ463" s="478"/>
      <c r="BA463" s="478"/>
      <c r="BB463" s="478"/>
      <c r="BC463" s="478"/>
      <c r="BD463" s="478"/>
      <c r="BE463" s="478"/>
      <c r="BF463" s="478"/>
      <c r="BG463" s="478"/>
      <c r="BH463" s="478"/>
      <c r="BI463" s="478"/>
      <c r="BJ463" s="478"/>
    </row>
    <row r="464" spans="1:62" ht="15.75" hidden="1" customHeight="1">
      <c r="A464" s="490" t="s">
        <v>20</v>
      </c>
      <c r="B464" s="475"/>
      <c r="C464" s="694" t="s">
        <v>465</v>
      </c>
      <c r="D464" s="478"/>
      <c r="E464" s="478"/>
      <c r="F464" s="478"/>
      <c r="G464" s="478"/>
      <c r="H464" s="478"/>
      <c r="I464" s="478"/>
      <c r="J464" s="478"/>
      <c r="K464" s="478"/>
      <c r="L464" s="478"/>
      <c r="M464" s="478"/>
      <c r="N464" s="478"/>
      <c r="O464" s="478"/>
      <c r="P464" s="478"/>
      <c r="Q464" s="478"/>
      <c r="R464" s="478"/>
      <c r="S464" s="478"/>
      <c r="T464" s="478"/>
      <c r="U464" s="478"/>
      <c r="V464" s="565" t="s">
        <v>20</v>
      </c>
      <c r="W464" s="726"/>
      <c r="X464" s="719"/>
      <c r="Y464" s="727"/>
      <c r="Z464" s="720">
        <v>0</v>
      </c>
      <c r="AA464" s="719"/>
      <c r="AB464" s="719"/>
      <c r="AC464" s="720"/>
      <c r="AD464" s="728"/>
      <c r="AE464" s="727"/>
      <c r="AF464" s="720">
        <v>0</v>
      </c>
      <c r="AG464" s="721"/>
      <c r="AH464" s="722">
        <v>0</v>
      </c>
      <c r="AI464" s="723">
        <v>0</v>
      </c>
      <c r="AJ464" s="728"/>
      <c r="AK464" s="719"/>
      <c r="AL464" s="720">
        <v>0</v>
      </c>
      <c r="AM464" s="724"/>
      <c r="AN464" s="722">
        <v>0</v>
      </c>
      <c r="AO464" s="729">
        <v>3</v>
      </c>
      <c r="AP464" s="478"/>
      <c r="AQ464" s="478"/>
      <c r="AR464" s="478"/>
      <c r="AS464" s="478"/>
      <c r="AT464" s="478"/>
      <c r="AU464" s="478"/>
      <c r="AV464" s="478"/>
      <c r="AW464" s="478"/>
      <c r="AX464" s="478"/>
      <c r="AY464" s="478"/>
      <c r="AZ464" s="478"/>
      <c r="BA464" s="478"/>
      <c r="BB464" s="478"/>
      <c r="BC464" s="478"/>
      <c r="BD464" s="478"/>
      <c r="BE464" s="478"/>
      <c r="BF464" s="478"/>
      <c r="BG464" s="478"/>
      <c r="BH464" s="478"/>
      <c r="BI464" s="478"/>
      <c r="BJ464" s="478"/>
    </row>
    <row r="465" spans="1:62" ht="15.75" customHeight="1">
      <c r="A465" s="490" t="s">
        <v>181</v>
      </c>
      <c r="B465" s="475"/>
      <c r="C465" s="694" t="s">
        <v>465</v>
      </c>
      <c r="D465" s="478"/>
      <c r="E465" s="478"/>
      <c r="F465" s="478"/>
      <c r="G465" s="478"/>
      <c r="H465" s="478"/>
      <c r="I465" s="478"/>
      <c r="J465" s="478"/>
      <c r="K465" s="478"/>
      <c r="L465" s="478"/>
      <c r="M465" s="478"/>
      <c r="N465" s="478"/>
      <c r="O465" s="478"/>
      <c r="P465" s="478"/>
      <c r="Q465" s="478"/>
      <c r="R465" s="478"/>
      <c r="S465" s="478"/>
      <c r="T465" s="478"/>
      <c r="U465" s="478"/>
      <c r="V465" s="734" t="s">
        <v>181</v>
      </c>
      <c r="W465" s="735"/>
      <c r="X465" s="736">
        <v>7.3698884676555304E-2</v>
      </c>
      <c r="Y465" s="735"/>
      <c r="Z465" s="737">
        <v>49568.031531875007</v>
      </c>
      <c r="AA465" s="736"/>
      <c r="AB465" s="735"/>
      <c r="AC465" s="737"/>
      <c r="AD465" s="738">
        <v>8.3253169714149602E-2</v>
      </c>
      <c r="AE465" s="735"/>
      <c r="AF465" s="737">
        <v>54169.41</v>
      </c>
      <c r="AG465" s="744"/>
      <c r="AH465" s="766">
        <v>4601.3784681249972</v>
      </c>
      <c r="AI465" s="767">
        <v>9.2829558203578341E-2</v>
      </c>
      <c r="AJ465" s="738">
        <v>6.451396818013963E-2</v>
      </c>
      <c r="AK465" s="736"/>
      <c r="AL465" s="737">
        <v>50119.220000000008</v>
      </c>
      <c r="AM465" s="745"/>
      <c r="AN465" s="740">
        <v>4050.1899999999996</v>
      </c>
      <c r="AO465" s="760">
        <v>8.0811113979826474E-2</v>
      </c>
      <c r="AP465" s="478"/>
      <c r="AQ465" s="478"/>
      <c r="AR465" s="478"/>
      <c r="AS465" s="478"/>
      <c r="AT465" s="478"/>
      <c r="AU465" s="478"/>
      <c r="AV465" s="478"/>
      <c r="AW465" s="478"/>
      <c r="AX465" s="478"/>
      <c r="AY465" s="478"/>
      <c r="AZ465" s="478"/>
      <c r="BA465" s="478"/>
      <c r="BB465" s="478"/>
      <c r="BC465" s="478"/>
      <c r="BD465" s="478"/>
      <c r="BE465" s="478"/>
      <c r="BF465" s="478"/>
      <c r="BG465" s="478"/>
      <c r="BH465" s="478"/>
      <c r="BI465" s="478"/>
      <c r="BJ465" s="478"/>
    </row>
    <row r="466" spans="1:62" ht="15.75" customHeight="1">
      <c r="A466" s="490" t="s">
        <v>466</v>
      </c>
      <c r="B466" s="475"/>
      <c r="C466" s="694" t="s">
        <v>465</v>
      </c>
      <c r="D466" s="478"/>
      <c r="E466" s="478"/>
      <c r="F466" s="478"/>
      <c r="G466" s="478"/>
      <c r="H466" s="478"/>
      <c r="I466" s="478"/>
      <c r="J466" s="478"/>
      <c r="K466" s="478"/>
      <c r="L466" s="478"/>
      <c r="M466" s="478"/>
      <c r="N466" s="478"/>
      <c r="O466" s="478"/>
      <c r="P466" s="478"/>
      <c r="Q466" s="478"/>
      <c r="R466" s="478"/>
      <c r="S466" s="478"/>
      <c r="T466" s="478"/>
      <c r="U466" s="478"/>
      <c r="V466" s="565"/>
      <c r="W466" s="719"/>
      <c r="X466" s="719"/>
      <c r="Y466" s="719"/>
      <c r="Z466" s="768"/>
      <c r="AA466" s="719"/>
      <c r="AB466" s="719"/>
      <c r="AC466" s="768"/>
      <c r="AD466" s="728"/>
      <c r="AE466" s="719"/>
      <c r="AF466" s="768"/>
      <c r="AG466" s="728"/>
      <c r="AH466" s="722">
        <v>0</v>
      </c>
      <c r="AI466" s="723"/>
      <c r="AJ466" s="728"/>
      <c r="AK466" s="719"/>
      <c r="AL466" s="768"/>
      <c r="AM466" s="769"/>
      <c r="AN466" s="722">
        <v>0</v>
      </c>
      <c r="AO466" s="770">
        <v>0</v>
      </c>
      <c r="AP466" s="478"/>
      <c r="AQ466" s="478"/>
      <c r="AR466" s="478"/>
      <c r="AS466" s="478"/>
      <c r="AT466" s="478"/>
      <c r="AU466" s="478"/>
      <c r="AV466" s="478"/>
      <c r="AW466" s="478"/>
      <c r="AX466" s="478"/>
      <c r="AY466" s="478"/>
      <c r="AZ466" s="478"/>
      <c r="BA466" s="478"/>
      <c r="BB466" s="478"/>
      <c r="BC466" s="478"/>
      <c r="BD466" s="478"/>
      <c r="BE466" s="478"/>
      <c r="BF466" s="478"/>
      <c r="BG466" s="478"/>
      <c r="BH466" s="478"/>
      <c r="BI466" s="478"/>
      <c r="BJ466" s="478"/>
    </row>
    <row r="467" spans="1:62" ht="15.75" customHeight="1">
      <c r="A467" s="490" t="s">
        <v>65</v>
      </c>
      <c r="B467" s="475"/>
      <c r="C467" s="694" t="s">
        <v>465</v>
      </c>
      <c r="D467" s="478"/>
      <c r="E467" s="478"/>
      <c r="F467" s="478"/>
      <c r="G467" s="478"/>
      <c r="H467" s="478"/>
      <c r="I467" s="478"/>
      <c r="J467" s="478"/>
      <c r="K467" s="478"/>
      <c r="L467" s="478"/>
      <c r="M467" s="478"/>
      <c r="N467" s="478"/>
      <c r="O467" s="478"/>
      <c r="P467" s="478"/>
      <c r="Q467" s="478"/>
      <c r="R467" s="478"/>
      <c r="S467" s="478"/>
      <c r="T467" s="478"/>
      <c r="U467" s="478"/>
      <c r="V467" s="734" t="s">
        <v>65</v>
      </c>
      <c r="W467" s="735"/>
      <c r="X467" s="736">
        <v>0.89355713385763191</v>
      </c>
      <c r="Y467" s="735"/>
      <c r="Z467" s="737">
        <v>600984.23986973648</v>
      </c>
      <c r="AA467" s="736"/>
      <c r="AB467" s="735"/>
      <c r="AC467" s="737"/>
      <c r="AD467" s="738">
        <v>0.88551196638643959</v>
      </c>
      <c r="AE467" s="735"/>
      <c r="AF467" s="737">
        <v>576166.17999999993</v>
      </c>
      <c r="AG467" s="744"/>
      <c r="AH467" s="740">
        <v>-24818.059869736549</v>
      </c>
      <c r="AI467" s="736">
        <v>-4.129569167257343E-2</v>
      </c>
      <c r="AJ467" s="738">
        <v>0.76644418998588382</v>
      </c>
      <c r="AK467" s="736"/>
      <c r="AL467" s="737">
        <v>595430.51</v>
      </c>
      <c r="AM467" s="745"/>
      <c r="AN467" s="740">
        <v>-19264.330000000075</v>
      </c>
      <c r="AO467" s="717">
        <v>-3.2353615873664372E-2</v>
      </c>
      <c r="AP467" s="478"/>
      <c r="AQ467" s="478"/>
      <c r="AR467" s="478"/>
      <c r="AS467" s="478"/>
      <c r="AT467" s="478"/>
      <c r="AU467" s="478"/>
      <c r="AV467" s="478"/>
      <c r="AW467" s="478"/>
      <c r="AX467" s="478"/>
      <c r="AY467" s="478"/>
      <c r="AZ467" s="478"/>
      <c r="BA467" s="478"/>
      <c r="BB467" s="478"/>
      <c r="BC467" s="478"/>
      <c r="BD467" s="478"/>
      <c r="BE467" s="478"/>
      <c r="BF467" s="478"/>
      <c r="BG467" s="478"/>
      <c r="BH467" s="478"/>
      <c r="BI467" s="478"/>
      <c r="BJ467" s="478"/>
    </row>
    <row r="468" spans="1:62" ht="15.75" customHeight="1">
      <c r="A468" s="490" t="s">
        <v>182</v>
      </c>
      <c r="B468" s="475"/>
      <c r="C468" s="694" t="s">
        <v>465</v>
      </c>
      <c r="D468" s="478"/>
      <c r="E468" s="478"/>
      <c r="F468" s="478"/>
      <c r="G468" s="478"/>
      <c r="H468" s="478"/>
      <c r="I468" s="478"/>
      <c r="J468" s="478"/>
      <c r="K468" s="478"/>
      <c r="L468" s="478"/>
      <c r="M468" s="478"/>
      <c r="N468" s="478"/>
      <c r="O468" s="478"/>
      <c r="P468" s="478"/>
      <c r="Q468" s="478"/>
      <c r="R468" s="478"/>
      <c r="S468" s="478"/>
      <c r="T468" s="478"/>
      <c r="U468" s="478"/>
      <c r="V468" s="565" t="s">
        <v>182</v>
      </c>
      <c r="W468" s="762"/>
      <c r="X468" s="762"/>
      <c r="Y468" s="719"/>
      <c r="Z468" s="748">
        <v>26232.22</v>
      </c>
      <c r="AA468" s="771"/>
      <c r="AB468" s="772"/>
      <c r="AC468" s="748"/>
      <c r="AD468" s="773"/>
      <c r="AE468" s="772"/>
      <c r="AF468" s="720">
        <v>20948.240000000002</v>
      </c>
      <c r="AG468" s="774"/>
      <c r="AH468" s="722">
        <v>-5283.98</v>
      </c>
      <c r="AI468" s="765">
        <v>-0.2014309120615792</v>
      </c>
      <c r="AJ468" s="773"/>
      <c r="AK468" s="771"/>
      <c r="AL468" s="775">
        <v>22048.36</v>
      </c>
      <c r="AM468" s="776"/>
      <c r="AN468" s="722">
        <v>-1100.119999999999</v>
      </c>
      <c r="AO468" s="729">
        <v>-4.9895774561010388E-2</v>
      </c>
      <c r="AP468" s="478"/>
      <c r="AQ468" s="478"/>
      <c r="AR468" s="478"/>
      <c r="AS468" s="478"/>
      <c r="AT468" s="478"/>
      <c r="AU468" s="478"/>
      <c r="AV468" s="478"/>
      <c r="AW468" s="478"/>
      <c r="AX468" s="478"/>
      <c r="AY468" s="478"/>
      <c r="AZ468" s="478"/>
      <c r="BA468" s="478"/>
      <c r="BB468" s="478"/>
      <c r="BC468" s="478"/>
      <c r="BD468" s="478"/>
      <c r="BE468" s="478"/>
      <c r="BF468" s="478"/>
      <c r="BG468" s="478"/>
      <c r="BH468" s="478"/>
      <c r="BI468" s="478"/>
      <c r="BJ468" s="478"/>
    </row>
    <row r="469" spans="1:62" ht="15.75" customHeight="1">
      <c r="A469" s="490" t="s">
        <v>69</v>
      </c>
      <c r="B469" s="475"/>
      <c r="C469" s="694" t="s">
        <v>465</v>
      </c>
      <c r="D469" s="478"/>
      <c r="E469" s="478"/>
      <c r="F469" s="478"/>
      <c r="G469" s="478"/>
      <c r="H469" s="478"/>
      <c r="I469" s="478"/>
      <c r="J469" s="478"/>
      <c r="K469" s="478"/>
      <c r="L469" s="478"/>
      <c r="M469" s="478"/>
      <c r="N469" s="478"/>
      <c r="O469" s="478"/>
      <c r="P469" s="478"/>
      <c r="Q469" s="478"/>
      <c r="R469" s="478"/>
      <c r="S469" s="478"/>
      <c r="T469" s="478"/>
      <c r="U469" s="478"/>
      <c r="V469" s="565" t="s">
        <v>69</v>
      </c>
      <c r="W469" s="719"/>
      <c r="X469" s="719"/>
      <c r="Y469" s="719"/>
      <c r="Z469" s="720">
        <v>64401.832776833246</v>
      </c>
      <c r="AA469" s="761"/>
      <c r="AB469" s="722"/>
      <c r="AC469" s="720"/>
      <c r="AD469" s="777"/>
      <c r="AE469" s="778"/>
      <c r="AF469" s="720">
        <v>59882.85</v>
      </c>
      <c r="AG469" s="779"/>
      <c r="AH469" s="722">
        <v>-4518.982776833247</v>
      </c>
      <c r="AI469" s="742">
        <v>-7.0168543067594569E-2</v>
      </c>
      <c r="AJ469" s="780"/>
      <c r="AK469" s="761"/>
      <c r="AL469" s="781">
        <v>101582.07</v>
      </c>
      <c r="AM469" s="777"/>
      <c r="AN469" s="722">
        <v>-41699.220000000008</v>
      </c>
      <c r="AO469" s="729">
        <v>-0.4104978368721961</v>
      </c>
      <c r="AP469" s="478"/>
      <c r="AQ469" s="478"/>
      <c r="AR469" s="478"/>
      <c r="AS469" s="478"/>
      <c r="AT469" s="478"/>
      <c r="AU469" s="478"/>
      <c r="AV469" s="478"/>
      <c r="AW469" s="478"/>
      <c r="AX469" s="478"/>
      <c r="AY469" s="478"/>
      <c r="AZ469" s="478"/>
      <c r="BA469" s="478"/>
      <c r="BB469" s="478"/>
      <c r="BC469" s="478"/>
      <c r="BD469" s="478"/>
      <c r="BE469" s="478"/>
      <c r="BF469" s="478"/>
      <c r="BG469" s="478"/>
      <c r="BH469" s="478"/>
      <c r="BI469" s="478"/>
      <c r="BJ469" s="478"/>
    </row>
    <row r="470" spans="1:62" ht="15.75" customHeight="1">
      <c r="A470" s="490" t="s">
        <v>198</v>
      </c>
      <c r="B470" s="475"/>
      <c r="C470" s="694" t="s">
        <v>465</v>
      </c>
      <c r="D470" s="478"/>
      <c r="E470" s="478"/>
      <c r="F470" s="478"/>
      <c r="G470" s="478"/>
      <c r="H470" s="478"/>
      <c r="I470" s="478"/>
      <c r="J470" s="478"/>
      <c r="K470" s="478"/>
      <c r="L470" s="478"/>
      <c r="M470" s="478"/>
      <c r="N470" s="478"/>
      <c r="O470" s="478"/>
      <c r="P470" s="478"/>
      <c r="Q470" s="478"/>
      <c r="R470" s="478"/>
      <c r="S470" s="478"/>
      <c r="T470" s="478"/>
      <c r="U470" s="478"/>
      <c r="V470" s="565" t="s">
        <v>198</v>
      </c>
      <c r="W470" s="719"/>
      <c r="X470" s="719"/>
      <c r="Y470" s="719"/>
      <c r="Z470" s="720">
        <v>0</v>
      </c>
      <c r="AA470" s="761"/>
      <c r="AB470" s="762"/>
      <c r="AC470" s="720"/>
      <c r="AD470" s="780"/>
      <c r="AF470" s="720">
        <v>0</v>
      </c>
      <c r="AG470" s="779"/>
      <c r="AH470" s="722">
        <v>0</v>
      </c>
      <c r="AI470" s="742">
        <v>0</v>
      </c>
      <c r="AJ470" s="780"/>
      <c r="AK470" s="761"/>
      <c r="AL470" s="781">
        <v>0</v>
      </c>
      <c r="AM470" s="777"/>
      <c r="AN470" s="722">
        <v>0</v>
      </c>
      <c r="AO470" s="729">
        <v>0</v>
      </c>
      <c r="AP470" s="478"/>
      <c r="AQ470" s="478"/>
      <c r="AR470" s="478"/>
      <c r="AS470" s="478"/>
      <c r="AT470" s="478"/>
      <c r="AU470" s="478"/>
      <c r="AV470" s="478"/>
      <c r="AW470" s="478"/>
      <c r="AX470" s="478"/>
      <c r="AY470" s="478"/>
      <c r="AZ470" s="478"/>
      <c r="BA470" s="478"/>
      <c r="BB470" s="478"/>
      <c r="BC470" s="478"/>
      <c r="BD470" s="478"/>
      <c r="BE470" s="478"/>
      <c r="BF470" s="478"/>
      <c r="BG470" s="478"/>
      <c r="BH470" s="478"/>
      <c r="BI470" s="478"/>
      <c r="BJ470" s="478"/>
    </row>
    <row r="471" spans="1:62" ht="15.75" customHeight="1">
      <c r="A471" s="490" t="s">
        <v>195</v>
      </c>
      <c r="B471" s="475"/>
      <c r="C471" s="694" t="s">
        <v>465</v>
      </c>
      <c r="D471" s="478"/>
      <c r="E471" s="478"/>
      <c r="F471" s="478"/>
      <c r="G471" s="478"/>
      <c r="H471" s="478"/>
      <c r="I471" s="478"/>
      <c r="J471" s="478"/>
      <c r="K471" s="478"/>
      <c r="L471" s="478"/>
      <c r="M471" s="478"/>
      <c r="N471" s="478"/>
      <c r="O471" s="478"/>
      <c r="P471" s="478"/>
      <c r="Q471" s="478"/>
      <c r="R471" s="478"/>
      <c r="S471" s="478"/>
      <c r="T471" s="478"/>
      <c r="U471" s="478"/>
      <c r="V471" s="565" t="s">
        <v>195</v>
      </c>
      <c r="W471" s="719"/>
      <c r="X471" s="719"/>
      <c r="Y471" s="719"/>
      <c r="Z471" s="720">
        <v>0</v>
      </c>
      <c r="AA471" s="761"/>
      <c r="AB471" s="762"/>
      <c r="AC471" s="720"/>
      <c r="AD471" s="780"/>
      <c r="AE471" s="762"/>
      <c r="AF471" s="720">
        <v>0</v>
      </c>
      <c r="AG471" s="779"/>
      <c r="AH471" s="722">
        <v>0</v>
      </c>
      <c r="AI471" s="742">
        <v>0</v>
      </c>
      <c r="AJ471" s="780"/>
      <c r="AK471" s="761"/>
      <c r="AL471" s="781">
        <v>0</v>
      </c>
      <c r="AM471" s="777"/>
      <c r="AN471" s="722">
        <v>0</v>
      </c>
      <c r="AO471" s="729">
        <v>0</v>
      </c>
      <c r="AP471" s="478"/>
      <c r="AQ471" s="478"/>
      <c r="AR471" s="478"/>
      <c r="AS471" s="478"/>
      <c r="AT471" s="478"/>
      <c r="AU471" s="478"/>
      <c r="AV471" s="478"/>
      <c r="AW471" s="478"/>
      <c r="AX471" s="478"/>
      <c r="AY471" s="478"/>
      <c r="AZ471" s="478"/>
      <c r="BA471" s="478"/>
      <c r="BB471" s="478"/>
      <c r="BC471" s="478"/>
      <c r="BD471" s="478"/>
      <c r="BE471" s="478"/>
      <c r="BF471" s="478"/>
      <c r="BG471" s="478"/>
      <c r="BH471" s="478"/>
      <c r="BI471" s="478"/>
      <c r="BJ471" s="478"/>
    </row>
    <row r="472" spans="1:62" ht="15.75" customHeight="1">
      <c r="A472" s="490" t="s">
        <v>68</v>
      </c>
      <c r="B472" s="475"/>
      <c r="C472" s="694" t="s">
        <v>465</v>
      </c>
      <c r="D472" s="478"/>
      <c r="E472" s="478"/>
      <c r="F472" s="478"/>
      <c r="G472" s="478"/>
      <c r="H472" s="478"/>
      <c r="I472" s="478"/>
      <c r="J472" s="478"/>
      <c r="K472" s="478"/>
      <c r="L472" s="478"/>
      <c r="M472" s="478"/>
      <c r="N472" s="478"/>
      <c r="O472" s="478"/>
      <c r="P472" s="478"/>
      <c r="Q472" s="478"/>
      <c r="R472" s="478"/>
      <c r="S472" s="478"/>
      <c r="T472" s="478"/>
      <c r="U472" s="478"/>
      <c r="V472" s="565" t="s">
        <v>68</v>
      </c>
      <c r="W472" s="719"/>
      <c r="X472" s="719"/>
      <c r="Y472" s="719"/>
      <c r="Z472" s="720">
        <v>0</v>
      </c>
      <c r="AA472" s="761"/>
      <c r="AB472" s="762"/>
      <c r="AC472" s="720"/>
      <c r="AD472" s="780"/>
      <c r="AE472" s="762"/>
      <c r="AF472" s="720">
        <v>0</v>
      </c>
      <c r="AG472" s="779"/>
      <c r="AH472" s="722">
        <v>0</v>
      </c>
      <c r="AI472" s="742">
        <v>0</v>
      </c>
      <c r="AJ472" s="780"/>
      <c r="AK472" s="761"/>
      <c r="AL472" s="781">
        <v>0</v>
      </c>
      <c r="AM472" s="777"/>
      <c r="AN472" s="722">
        <v>0</v>
      </c>
      <c r="AO472" s="729">
        <v>0</v>
      </c>
      <c r="AP472" s="478"/>
      <c r="AQ472" s="478"/>
      <c r="AR472" s="478"/>
      <c r="AS472" s="478"/>
      <c r="AT472" s="478"/>
      <c r="AU472" s="478"/>
      <c r="AV472" s="478"/>
      <c r="AW472" s="478"/>
      <c r="AX472" s="478"/>
      <c r="AY472" s="478"/>
      <c r="AZ472" s="478"/>
      <c r="BA472" s="478"/>
      <c r="BB472" s="478"/>
      <c r="BC472" s="478"/>
      <c r="BD472" s="478"/>
      <c r="BE472" s="478"/>
      <c r="BF472" s="478"/>
      <c r="BG472" s="478"/>
      <c r="BH472" s="478"/>
      <c r="BI472" s="478"/>
      <c r="BJ472" s="478"/>
    </row>
    <row r="473" spans="1:62" ht="15.75" customHeight="1">
      <c r="A473" s="490" t="s">
        <v>211</v>
      </c>
      <c r="B473" s="475"/>
      <c r="C473" s="694" t="s">
        <v>465</v>
      </c>
      <c r="D473" s="478"/>
      <c r="E473" s="478"/>
      <c r="F473" s="478"/>
      <c r="G473" s="478"/>
      <c r="H473" s="478"/>
      <c r="I473" s="478"/>
      <c r="J473" s="478"/>
      <c r="K473" s="478"/>
      <c r="L473" s="478"/>
      <c r="M473" s="478"/>
      <c r="N473" s="478"/>
      <c r="O473" s="478"/>
      <c r="P473" s="478"/>
      <c r="Q473" s="478"/>
      <c r="R473" s="478"/>
      <c r="S473" s="478"/>
      <c r="T473" s="478"/>
      <c r="U473" s="478"/>
      <c r="V473" s="565" t="s">
        <v>211</v>
      </c>
      <c r="W473" s="719"/>
      <c r="X473" s="719"/>
      <c r="Y473" s="719"/>
      <c r="Z473" s="720">
        <v>0</v>
      </c>
      <c r="AA473" s="761"/>
      <c r="AB473" s="762"/>
      <c r="AC473" s="720"/>
      <c r="AD473" s="780"/>
      <c r="AE473" s="762"/>
      <c r="AF473" s="720">
        <v>0</v>
      </c>
      <c r="AG473" s="779"/>
      <c r="AH473" s="722">
        <v>0</v>
      </c>
      <c r="AI473" s="742">
        <v>0</v>
      </c>
      <c r="AJ473" s="780"/>
      <c r="AK473" s="761"/>
      <c r="AL473" s="781">
        <v>0</v>
      </c>
      <c r="AM473" s="777"/>
      <c r="AN473" s="722">
        <v>0</v>
      </c>
      <c r="AO473" s="729">
        <v>0</v>
      </c>
      <c r="AP473" s="478"/>
      <c r="AQ473" s="478"/>
      <c r="AR473" s="478"/>
      <c r="AS473" s="478"/>
      <c r="AT473" s="478"/>
      <c r="AU473" s="478"/>
      <c r="AV473" s="478"/>
      <c r="AW473" s="478"/>
      <c r="AX473" s="478"/>
      <c r="AY473" s="478"/>
      <c r="AZ473" s="478"/>
      <c r="BA473" s="478"/>
      <c r="BB473" s="478"/>
      <c r="BC473" s="478"/>
      <c r="BD473" s="478"/>
      <c r="BE473" s="478"/>
      <c r="BF473" s="478"/>
      <c r="BG473" s="478"/>
      <c r="BH473" s="478"/>
      <c r="BI473" s="478"/>
      <c r="BJ473" s="478"/>
    </row>
    <row r="474" spans="1:62" ht="15.75" customHeight="1">
      <c r="A474" s="490" t="s">
        <v>81</v>
      </c>
      <c r="B474" s="475"/>
      <c r="C474" s="694" t="s">
        <v>465</v>
      </c>
      <c r="D474" s="478"/>
      <c r="E474" s="478"/>
      <c r="F474" s="478"/>
      <c r="G474" s="478"/>
      <c r="H474" s="478"/>
      <c r="I474" s="478"/>
      <c r="J474" s="478"/>
      <c r="K474" s="478"/>
      <c r="L474" s="478"/>
      <c r="M474" s="478"/>
      <c r="N474" s="478"/>
      <c r="O474" s="478"/>
      <c r="P474" s="478"/>
      <c r="Q474" s="478"/>
      <c r="R474" s="478"/>
      <c r="S474" s="478"/>
      <c r="T474" s="478"/>
      <c r="U474" s="478"/>
      <c r="V474" s="565" t="s">
        <v>81</v>
      </c>
      <c r="W474" s="719"/>
      <c r="X474" s="719"/>
      <c r="Y474" s="719"/>
      <c r="Z474" s="720">
        <v>0</v>
      </c>
      <c r="AA474" s="761"/>
      <c r="AB474" s="762"/>
      <c r="AC474" s="720"/>
      <c r="AD474" s="780"/>
      <c r="AE474" s="762"/>
      <c r="AF474" s="720">
        <v>0</v>
      </c>
      <c r="AG474" s="779"/>
      <c r="AH474" s="722">
        <v>0</v>
      </c>
      <c r="AI474" s="742">
        <v>0</v>
      </c>
      <c r="AJ474" s="780"/>
      <c r="AK474" s="761"/>
      <c r="AL474" s="781">
        <v>0</v>
      </c>
      <c r="AM474" s="777"/>
      <c r="AN474" s="722">
        <v>0</v>
      </c>
      <c r="AO474" s="729">
        <v>0</v>
      </c>
      <c r="AP474" s="478"/>
      <c r="AQ474" s="478"/>
      <c r="AR474" s="478"/>
      <c r="AS474" s="478"/>
      <c r="AT474" s="478"/>
      <c r="AU474" s="478"/>
      <c r="AV474" s="478"/>
      <c r="AW474" s="478"/>
      <c r="AX474" s="478"/>
      <c r="AY474" s="478"/>
      <c r="AZ474" s="478"/>
      <c r="BA474" s="478"/>
      <c r="BB474" s="478"/>
      <c r="BC474" s="478"/>
      <c r="BD474" s="478"/>
      <c r="BE474" s="478"/>
      <c r="BF474" s="478"/>
      <c r="BG474" s="478"/>
      <c r="BH474" s="478"/>
      <c r="BI474" s="478"/>
      <c r="BJ474" s="478"/>
    </row>
    <row r="475" spans="1:62" ht="15.75" customHeight="1">
      <c r="A475" s="490" t="s">
        <v>82</v>
      </c>
      <c r="B475" s="475"/>
      <c r="C475" s="694" t="s">
        <v>465</v>
      </c>
      <c r="D475" s="478"/>
      <c r="E475" s="478"/>
      <c r="F475" s="478"/>
      <c r="G475" s="478"/>
      <c r="H475" s="478"/>
      <c r="I475" s="478"/>
      <c r="J475" s="478"/>
      <c r="K475" s="478"/>
      <c r="L475" s="478"/>
      <c r="M475" s="478"/>
      <c r="N475" s="478"/>
      <c r="O475" s="478"/>
      <c r="P475" s="478"/>
      <c r="Q475" s="478"/>
      <c r="R475" s="478"/>
      <c r="S475" s="478"/>
      <c r="T475" s="478"/>
      <c r="U475" s="478"/>
      <c r="V475" s="565" t="s">
        <v>82</v>
      </c>
      <c r="W475" s="719"/>
      <c r="X475" s="719"/>
      <c r="Y475" s="719"/>
      <c r="Z475" s="720">
        <v>0</v>
      </c>
      <c r="AA475" s="761"/>
      <c r="AB475" s="762"/>
      <c r="AC475" s="720"/>
      <c r="AD475" s="780"/>
      <c r="AE475" s="762"/>
      <c r="AF475" s="720">
        <v>0</v>
      </c>
      <c r="AG475" s="779"/>
      <c r="AH475" s="722">
        <v>0</v>
      </c>
      <c r="AI475" s="742">
        <v>0</v>
      </c>
      <c r="AJ475" s="780"/>
      <c r="AK475" s="761"/>
      <c r="AL475" s="781">
        <v>0</v>
      </c>
      <c r="AM475" s="777"/>
      <c r="AN475" s="722">
        <v>0</v>
      </c>
      <c r="AO475" s="729">
        <v>0</v>
      </c>
      <c r="AP475" s="478"/>
      <c r="AQ475" s="478"/>
      <c r="AR475" s="478"/>
      <c r="AS475" s="478"/>
      <c r="AT475" s="478"/>
      <c r="AU475" s="478"/>
      <c r="AV475" s="478"/>
      <c r="AW475" s="478"/>
      <c r="AX475" s="478"/>
      <c r="AY475" s="478"/>
      <c r="AZ475" s="478"/>
      <c r="BA475" s="478"/>
      <c r="BB475" s="478"/>
      <c r="BC475" s="478"/>
      <c r="BD475" s="478"/>
      <c r="BE475" s="478"/>
      <c r="BF475" s="478"/>
      <c r="BG475" s="478"/>
      <c r="BH475" s="478"/>
      <c r="BI475" s="478"/>
      <c r="BJ475" s="478"/>
    </row>
    <row r="476" spans="1:62" ht="15.75" hidden="1" customHeight="1">
      <c r="A476" s="490" t="s">
        <v>20</v>
      </c>
      <c r="B476" s="475"/>
      <c r="C476" s="694" t="s">
        <v>465</v>
      </c>
      <c r="D476" s="478"/>
      <c r="E476" s="478"/>
      <c r="F476" s="478"/>
      <c r="G476" s="478"/>
      <c r="H476" s="478"/>
      <c r="I476" s="478"/>
      <c r="J476" s="478"/>
      <c r="K476" s="478"/>
      <c r="L476" s="478"/>
      <c r="M476" s="478"/>
      <c r="N476" s="478"/>
      <c r="O476" s="478"/>
      <c r="P476" s="478"/>
      <c r="Q476" s="478"/>
      <c r="R476" s="478"/>
      <c r="S476" s="478"/>
      <c r="T476" s="478"/>
      <c r="U476" s="478"/>
      <c r="V476" s="565" t="s">
        <v>20</v>
      </c>
      <c r="W476" s="719"/>
      <c r="X476" s="719"/>
      <c r="Y476" s="719"/>
      <c r="Z476" s="720">
        <v>0</v>
      </c>
      <c r="AA476" s="719"/>
      <c r="AB476" s="719"/>
      <c r="AC476" s="720"/>
      <c r="AD476" s="728"/>
      <c r="AE476" s="727"/>
      <c r="AF476" s="720">
        <v>0</v>
      </c>
      <c r="AG476" s="721"/>
      <c r="AH476" s="722">
        <v>0</v>
      </c>
      <c r="AI476" s="723">
        <v>0</v>
      </c>
      <c r="AJ476" s="728"/>
      <c r="AK476" s="719"/>
      <c r="AL476" s="720">
        <v>0</v>
      </c>
      <c r="AM476" s="777"/>
      <c r="AN476" s="722">
        <v>0</v>
      </c>
      <c r="AO476" s="729">
        <v>0</v>
      </c>
      <c r="AP476" s="478"/>
      <c r="AQ476" s="478"/>
      <c r="AR476" s="478"/>
      <c r="AS476" s="478"/>
      <c r="AT476" s="478"/>
      <c r="AU476" s="478"/>
      <c r="AV476" s="478"/>
      <c r="AW476" s="478"/>
      <c r="AX476" s="478"/>
      <c r="AY476" s="478"/>
      <c r="AZ476" s="478"/>
      <c r="BA476" s="478"/>
      <c r="BB476" s="478"/>
      <c r="BC476" s="478"/>
      <c r="BD476" s="478"/>
      <c r="BE476" s="478"/>
      <c r="BF476" s="478"/>
      <c r="BG476" s="478"/>
      <c r="BH476" s="478"/>
      <c r="BI476" s="478"/>
      <c r="BJ476" s="478"/>
    </row>
    <row r="477" spans="1:62" ht="15.75" hidden="1" customHeight="1">
      <c r="A477" s="490" t="s">
        <v>20</v>
      </c>
      <c r="B477" s="475"/>
      <c r="C477" s="694" t="s">
        <v>465</v>
      </c>
      <c r="D477" s="478"/>
      <c r="E477" s="478"/>
      <c r="F477" s="478"/>
      <c r="G477" s="478"/>
      <c r="H477" s="478"/>
      <c r="I477" s="478"/>
      <c r="J477" s="478"/>
      <c r="K477" s="478"/>
      <c r="L477" s="478"/>
      <c r="M477" s="478"/>
      <c r="N477" s="478"/>
      <c r="O477" s="478"/>
      <c r="P477" s="478"/>
      <c r="Q477" s="478"/>
      <c r="R477" s="478"/>
      <c r="S477" s="478"/>
      <c r="T477" s="478"/>
      <c r="U477" s="478"/>
      <c r="V477" s="565" t="s">
        <v>20</v>
      </c>
      <c r="W477" s="719"/>
      <c r="X477" s="719"/>
      <c r="Y477" s="719"/>
      <c r="Z477" s="720">
        <v>0</v>
      </c>
      <c r="AA477" s="719"/>
      <c r="AB477" s="719"/>
      <c r="AC477" s="720"/>
      <c r="AD477" s="728"/>
      <c r="AE477" s="727"/>
      <c r="AF477" s="720">
        <v>0</v>
      </c>
      <c r="AG477" s="721"/>
      <c r="AH477" s="722">
        <v>0</v>
      </c>
      <c r="AI477" s="723">
        <v>0</v>
      </c>
      <c r="AJ477" s="728"/>
      <c r="AK477" s="719"/>
      <c r="AL477" s="720">
        <v>0</v>
      </c>
      <c r="AM477" s="777"/>
      <c r="AN477" s="722">
        <v>0</v>
      </c>
      <c r="AO477" s="729">
        <v>0</v>
      </c>
      <c r="AP477" s="478"/>
      <c r="AQ477" s="478"/>
      <c r="AR477" s="478"/>
      <c r="AS477" s="478"/>
      <c r="AT477" s="478"/>
      <c r="AU477" s="478"/>
      <c r="AV477" s="478"/>
      <c r="AW477" s="478"/>
      <c r="AX477" s="478"/>
      <c r="AY477" s="478"/>
      <c r="AZ477" s="478"/>
      <c r="BA477" s="478"/>
      <c r="BB477" s="478"/>
      <c r="BC477" s="478"/>
      <c r="BD477" s="478"/>
      <c r="BE477" s="478"/>
      <c r="BF477" s="478"/>
      <c r="BG477" s="478"/>
      <c r="BH477" s="478"/>
      <c r="BI477" s="478"/>
      <c r="BJ477" s="478"/>
    </row>
    <row r="478" spans="1:62" ht="15.75" hidden="1" customHeight="1">
      <c r="A478" s="490" t="s">
        <v>20</v>
      </c>
      <c r="B478" s="475"/>
      <c r="C478" s="694" t="s">
        <v>465</v>
      </c>
      <c r="D478" s="478"/>
      <c r="E478" s="478"/>
      <c r="F478" s="478"/>
      <c r="G478" s="478"/>
      <c r="H478" s="478"/>
      <c r="I478" s="478"/>
      <c r="J478" s="478"/>
      <c r="K478" s="478"/>
      <c r="L478" s="478"/>
      <c r="M478" s="478"/>
      <c r="N478" s="478"/>
      <c r="O478" s="478"/>
      <c r="P478" s="478"/>
      <c r="Q478" s="478"/>
      <c r="R478" s="478"/>
      <c r="S478" s="478"/>
      <c r="T478" s="478"/>
      <c r="U478" s="478"/>
      <c r="V478" s="565" t="s">
        <v>20</v>
      </c>
      <c r="W478" s="719"/>
      <c r="X478" s="719"/>
      <c r="Y478" s="719"/>
      <c r="Z478" s="720">
        <v>0</v>
      </c>
      <c r="AA478" s="719"/>
      <c r="AB478" s="719"/>
      <c r="AC478" s="720"/>
      <c r="AD478" s="728"/>
      <c r="AE478" s="727"/>
      <c r="AF478" s="720">
        <v>0</v>
      </c>
      <c r="AG478" s="721"/>
      <c r="AH478" s="722">
        <v>0</v>
      </c>
      <c r="AI478" s="723">
        <v>0</v>
      </c>
      <c r="AJ478" s="728"/>
      <c r="AK478" s="719"/>
      <c r="AL478" s="720">
        <v>0</v>
      </c>
      <c r="AM478" s="777"/>
      <c r="AN478" s="722">
        <v>0</v>
      </c>
      <c r="AO478" s="729">
        <v>0</v>
      </c>
      <c r="AP478" s="478"/>
      <c r="AQ478" s="478"/>
      <c r="AR478" s="478"/>
      <c r="AS478" s="478"/>
      <c r="AT478" s="478"/>
      <c r="AU478" s="478"/>
      <c r="AV478" s="478"/>
      <c r="AW478" s="478"/>
      <c r="AX478" s="478"/>
      <c r="AY478" s="478"/>
      <c r="AZ478" s="478"/>
      <c r="BA478" s="478"/>
      <c r="BB478" s="478"/>
      <c r="BC478" s="478"/>
      <c r="BD478" s="478"/>
      <c r="BE478" s="478"/>
      <c r="BF478" s="478"/>
      <c r="BG478" s="478"/>
      <c r="BH478" s="478"/>
      <c r="BI478" s="478"/>
      <c r="BJ478" s="478"/>
    </row>
    <row r="479" spans="1:62" ht="15.75" customHeight="1">
      <c r="A479" s="490" t="s">
        <v>70</v>
      </c>
      <c r="B479" s="475"/>
      <c r="C479" s="694" t="s">
        <v>465</v>
      </c>
      <c r="D479" s="478"/>
      <c r="E479" s="478"/>
      <c r="F479" s="478"/>
      <c r="G479" s="478"/>
      <c r="H479" s="478"/>
      <c r="I479" s="478"/>
      <c r="J479" s="478"/>
      <c r="K479" s="478"/>
      <c r="L479" s="478"/>
      <c r="M479" s="478"/>
      <c r="N479" s="478"/>
      <c r="O479" s="478"/>
      <c r="P479" s="478"/>
      <c r="Q479" s="478"/>
      <c r="R479" s="478"/>
      <c r="S479" s="478"/>
      <c r="T479" s="478"/>
      <c r="U479" s="478"/>
      <c r="V479" s="566" t="s">
        <v>70</v>
      </c>
      <c r="W479" s="719"/>
      <c r="X479" s="719"/>
      <c r="Y479" s="719"/>
      <c r="Z479" s="720">
        <v>34654.733159039999</v>
      </c>
      <c r="AA479" s="761"/>
      <c r="AB479" s="762"/>
      <c r="AC479" s="720"/>
      <c r="AD479" s="782">
        <v>109.66666666666667</v>
      </c>
      <c r="AE479" s="761">
        <v>1.2605363984674329</v>
      </c>
      <c r="AF479" s="720">
        <v>43757</v>
      </c>
      <c r="AG479" s="779"/>
      <c r="AH479" s="722">
        <v>9102.266840960001</v>
      </c>
      <c r="AI479" s="742">
        <v>0.2626558051734873</v>
      </c>
      <c r="AJ479" s="780"/>
      <c r="AK479" s="761"/>
      <c r="AL479" s="781">
        <v>42420</v>
      </c>
      <c r="AM479" s="777"/>
      <c r="AN479" s="722">
        <v>1337</v>
      </c>
      <c r="AO479" s="729">
        <v>3.1518151815181521E-2</v>
      </c>
      <c r="AP479" s="478"/>
      <c r="AQ479" s="478"/>
      <c r="AR479" s="478"/>
      <c r="AS479" s="478"/>
      <c r="AT479" s="478"/>
      <c r="AU479" s="478"/>
      <c r="AV479" s="478"/>
      <c r="AW479" s="478"/>
      <c r="AX479" s="478"/>
      <c r="AY479" s="478"/>
      <c r="AZ479" s="478"/>
      <c r="BA479" s="478"/>
      <c r="BB479" s="478"/>
      <c r="BC479" s="478"/>
      <c r="BD479" s="478"/>
      <c r="BE479" s="478"/>
      <c r="BF479" s="478"/>
      <c r="BG479" s="478"/>
      <c r="BH479" s="478"/>
      <c r="BI479" s="478"/>
      <c r="BJ479" s="478"/>
    </row>
    <row r="480" spans="1:62" ht="15.75" customHeight="1">
      <c r="A480" s="490" t="s">
        <v>183</v>
      </c>
      <c r="B480" s="475"/>
      <c r="C480" s="694" t="s">
        <v>465</v>
      </c>
      <c r="D480" s="478"/>
      <c r="E480" s="478"/>
      <c r="F480" s="478"/>
      <c r="G480" s="478"/>
      <c r="H480" s="478"/>
      <c r="I480" s="478"/>
      <c r="J480" s="478"/>
      <c r="K480" s="478"/>
      <c r="L480" s="478"/>
      <c r="M480" s="478"/>
      <c r="N480" s="478"/>
      <c r="O480" s="478"/>
      <c r="P480" s="478"/>
      <c r="Q480" s="478"/>
      <c r="R480" s="478"/>
      <c r="S480" s="478"/>
      <c r="T480" s="478"/>
      <c r="U480" s="478"/>
      <c r="V480" s="734" t="s">
        <v>183</v>
      </c>
      <c r="W480" s="735"/>
      <c r="X480" s="736">
        <v>0.1862822367681839</v>
      </c>
      <c r="Y480" s="758"/>
      <c r="Z480" s="737">
        <v>125288.78593587324</v>
      </c>
      <c r="AA480" s="736"/>
      <c r="AB480" s="758"/>
      <c r="AC480" s="737"/>
      <c r="AD480" s="736">
        <v>0.1914799035310103</v>
      </c>
      <c r="AE480" s="758"/>
      <c r="AF480" s="737">
        <v>124588.09</v>
      </c>
      <c r="AG480" s="744"/>
      <c r="AH480" s="740">
        <v>-700.69593587324198</v>
      </c>
      <c r="AI480" s="736">
        <v>-5.5926468649147923E-3</v>
      </c>
      <c r="AJ480" s="783"/>
      <c r="AK480" s="784"/>
      <c r="AL480" s="737">
        <v>166050.43</v>
      </c>
      <c r="AM480" s="785"/>
      <c r="AN480" s="740">
        <v>-41462.339999999997</v>
      </c>
      <c r="AO480" s="760">
        <v>-0.24969727570112282</v>
      </c>
      <c r="AP480" s="478"/>
      <c r="AQ480" s="478"/>
      <c r="AR480" s="478"/>
      <c r="AS480" s="478"/>
      <c r="AT480" s="478"/>
      <c r="AU480" s="478"/>
      <c r="AV480" s="478"/>
      <c r="AW480" s="478"/>
      <c r="AX480" s="478"/>
      <c r="AY480" s="478"/>
      <c r="AZ480" s="478"/>
      <c r="BA480" s="478"/>
      <c r="BB480" s="478"/>
      <c r="BC480" s="478"/>
      <c r="BD480" s="478"/>
      <c r="BE480" s="478"/>
      <c r="BF480" s="478"/>
      <c r="BG480" s="478"/>
      <c r="BH480" s="478"/>
      <c r="BI480" s="478"/>
      <c r="BJ480" s="478"/>
    </row>
    <row r="481" spans="1:62" ht="6" customHeight="1" thickBot="1">
      <c r="A481" s="490" t="s">
        <v>466</v>
      </c>
      <c r="B481" s="475"/>
      <c r="C481" s="694" t="s">
        <v>465</v>
      </c>
      <c r="D481" s="478"/>
      <c r="E481" s="478"/>
      <c r="F481" s="478"/>
      <c r="G481" s="478"/>
      <c r="H481" s="478"/>
      <c r="I481" s="478"/>
      <c r="J481" s="478"/>
      <c r="K481" s="478"/>
      <c r="L481" s="478"/>
      <c r="M481" s="478"/>
      <c r="N481" s="478"/>
      <c r="O481" s="478"/>
      <c r="P481" s="478"/>
      <c r="Q481" s="478"/>
      <c r="R481" s="478"/>
      <c r="S481" s="478"/>
      <c r="T481" s="478"/>
      <c r="U481" s="478"/>
      <c r="V481" s="786"/>
      <c r="W481" s="787"/>
      <c r="X481" s="787"/>
      <c r="Y481" s="788"/>
      <c r="Z481" s="789"/>
      <c r="AA481" s="787"/>
      <c r="AB481" s="790"/>
      <c r="AC481" s="789"/>
      <c r="AD481" s="787"/>
      <c r="AE481" s="790"/>
      <c r="AF481" s="791"/>
      <c r="AG481" s="792"/>
      <c r="AH481" s="793"/>
      <c r="AI481" s="794"/>
      <c r="AJ481" s="795"/>
      <c r="AK481" s="796"/>
      <c r="AL481" s="791"/>
      <c r="AM481" s="797"/>
      <c r="AN481" s="793">
        <v>0</v>
      </c>
      <c r="AO481" s="798">
        <v>0</v>
      </c>
      <c r="AP481" s="478"/>
      <c r="AQ481" s="478"/>
      <c r="AR481" s="478"/>
      <c r="AS481" s="478"/>
      <c r="AT481" s="478"/>
      <c r="AU481" s="478"/>
      <c r="AV481" s="478"/>
      <c r="AW481" s="478"/>
      <c r="AX481" s="478"/>
      <c r="AY481" s="478"/>
      <c r="AZ481" s="478"/>
      <c r="BA481" s="478"/>
      <c r="BB481" s="478"/>
      <c r="BC481" s="478"/>
      <c r="BD481" s="478"/>
      <c r="BE481" s="478"/>
      <c r="BF481" s="478"/>
      <c r="BG481" s="478"/>
      <c r="BH481" s="478"/>
      <c r="BI481" s="478"/>
      <c r="BJ481" s="478"/>
    </row>
    <row r="482" spans="1:62" ht="15.75" customHeight="1" thickTop="1" thickBot="1">
      <c r="A482" s="490" t="s">
        <v>184</v>
      </c>
      <c r="B482" s="475"/>
      <c r="C482" s="694" t="s">
        <v>465</v>
      </c>
      <c r="D482" s="478"/>
      <c r="E482" s="478"/>
      <c r="F482" s="478"/>
      <c r="G482" s="478"/>
      <c r="H482" s="478"/>
      <c r="I482" s="478"/>
      <c r="J482" s="478"/>
      <c r="K482" s="478"/>
      <c r="L482" s="478"/>
      <c r="M482" s="478"/>
      <c r="N482" s="478"/>
      <c r="O482" s="478"/>
      <c r="P482" s="478"/>
      <c r="Q482" s="478"/>
      <c r="R482" s="478"/>
      <c r="S482" s="478"/>
      <c r="T482" s="478"/>
      <c r="U482" s="478"/>
      <c r="V482" s="799" t="s">
        <v>184</v>
      </c>
      <c r="W482" s="800"/>
      <c r="X482" s="801" t="s">
        <v>185</v>
      </c>
      <c r="Y482" s="802">
        <v>4.0622236797979341E-2</v>
      </c>
      <c r="Z482" s="803">
        <v>196879.60265506402</v>
      </c>
      <c r="AA482" s="801"/>
      <c r="AB482" s="802"/>
      <c r="AC482" s="803"/>
      <c r="AD482" s="801" t="s">
        <v>185</v>
      </c>
      <c r="AE482" s="802">
        <v>3.7447641448976644E-2</v>
      </c>
      <c r="AF482" s="804">
        <v>199080.7399999999</v>
      </c>
      <c r="AG482" s="805"/>
      <c r="AH482" s="805">
        <v>2201.1373449358798</v>
      </c>
      <c r="AI482" s="806">
        <v>1.1180118789615322E-2</v>
      </c>
      <c r="AJ482" s="807" t="s">
        <v>185</v>
      </c>
      <c r="AK482" s="802">
        <v>5.7026190206597702E-2</v>
      </c>
      <c r="AL482" s="804">
        <v>347493.84999999969</v>
      </c>
      <c r="AM482" s="808"/>
      <c r="AN482" s="804">
        <v>-148413.10999999978</v>
      </c>
      <c r="AO482" s="809">
        <v>-0.42709564500206237</v>
      </c>
      <c r="AP482" s="478"/>
      <c r="AQ482" s="478"/>
      <c r="AR482" s="478"/>
      <c r="AS482" s="478"/>
      <c r="AT482" s="478"/>
      <c r="AU482" s="478"/>
      <c r="AV482" s="478"/>
      <c r="AW482" s="478"/>
      <c r="AX482" s="478"/>
      <c r="AY482" s="478"/>
      <c r="AZ482" s="478"/>
      <c r="BA482" s="478"/>
      <c r="BB482" s="478"/>
      <c r="BC482" s="478"/>
      <c r="BD482" s="478"/>
      <c r="BE482" s="478"/>
      <c r="BF482" s="478"/>
      <c r="BG482" s="478"/>
      <c r="BH482" s="478"/>
      <c r="BI482" s="478"/>
      <c r="BJ482" s="478"/>
    </row>
    <row r="483" spans="1:62" ht="8.25" customHeight="1" thickTop="1">
      <c r="A483" s="490" t="s">
        <v>466</v>
      </c>
      <c r="B483" s="475"/>
      <c r="C483" s="694" t="s">
        <v>465</v>
      </c>
      <c r="D483" s="478"/>
      <c r="E483" s="478"/>
      <c r="F483" s="478"/>
      <c r="G483" s="478"/>
      <c r="H483" s="478"/>
      <c r="I483" s="478"/>
      <c r="J483" s="478"/>
      <c r="K483" s="478"/>
      <c r="L483" s="478"/>
      <c r="M483" s="478"/>
      <c r="N483" s="478"/>
      <c r="O483" s="478"/>
      <c r="P483" s="478"/>
      <c r="Q483" s="478"/>
      <c r="R483" s="478"/>
      <c r="S483" s="478"/>
      <c r="T483" s="478"/>
      <c r="U483" s="478"/>
      <c r="V483" s="467"/>
      <c r="W483" s="467"/>
      <c r="X483" s="467"/>
      <c r="Y483" s="467"/>
      <c r="Z483" s="542"/>
      <c r="AA483" s="481"/>
      <c r="AB483" s="481"/>
      <c r="AC483" s="542"/>
      <c r="AD483" s="481"/>
      <c r="AE483" s="481"/>
      <c r="AF483" s="810"/>
      <c r="AG483" s="481"/>
      <c r="AH483" s="481"/>
      <c r="AI483" s="481"/>
      <c r="AJ483" s="481"/>
      <c r="AK483" s="481"/>
      <c r="AL483" s="542"/>
      <c r="AM483" s="481"/>
      <c r="AN483" s="481"/>
      <c r="AO483" s="481"/>
      <c r="AP483" s="478"/>
      <c r="AQ483" s="478"/>
      <c r="AR483" s="478"/>
      <c r="AS483" s="478"/>
      <c r="AT483" s="478"/>
      <c r="AU483" s="478"/>
      <c r="AV483" s="478"/>
      <c r="AW483" s="478"/>
      <c r="AX483" s="478"/>
      <c r="AY483" s="478"/>
      <c r="AZ483" s="478"/>
      <c r="BA483" s="478"/>
      <c r="BB483" s="478"/>
      <c r="BC483" s="478"/>
      <c r="BD483" s="478"/>
      <c r="BE483" s="478"/>
      <c r="BF483" s="478"/>
      <c r="BG483" s="478"/>
      <c r="BH483" s="478"/>
      <c r="BI483" s="478"/>
      <c r="BJ483" s="478"/>
    </row>
    <row r="484" spans="1:62" ht="18" customHeight="1">
      <c r="A484" s="490" t="s">
        <v>223</v>
      </c>
      <c r="B484" s="475"/>
      <c r="C484" s="694" t="s">
        <v>465</v>
      </c>
      <c r="D484" s="478"/>
      <c r="E484" s="478"/>
      <c r="F484" s="478"/>
      <c r="G484" s="478"/>
      <c r="H484" s="478"/>
      <c r="I484" s="478"/>
      <c r="J484" s="478"/>
      <c r="K484" s="478"/>
      <c r="L484" s="478"/>
      <c r="M484" s="478"/>
      <c r="N484" s="478"/>
      <c r="O484" s="478"/>
      <c r="P484" s="478"/>
      <c r="Q484" s="478"/>
      <c r="R484" s="478"/>
      <c r="S484" s="478"/>
      <c r="T484" s="478"/>
      <c r="U484" s="478"/>
      <c r="V484" s="811" t="s">
        <v>223</v>
      </c>
      <c r="W484" s="811"/>
      <c r="X484" s="811"/>
      <c r="Y484" s="811"/>
      <c r="Z484" s="811"/>
      <c r="AA484" s="811"/>
      <c r="AB484" s="811"/>
      <c r="AC484" s="811"/>
      <c r="AD484" s="811"/>
      <c r="AE484" s="812" t="s">
        <v>186</v>
      </c>
      <c r="AF484" s="811"/>
      <c r="AG484" s="811"/>
      <c r="AH484" s="811"/>
      <c r="AI484" s="811"/>
      <c r="AJ484" s="813"/>
      <c r="AK484" s="814"/>
      <c r="AL484" s="811"/>
      <c r="AM484" s="811"/>
      <c r="AN484" s="811"/>
      <c r="AO484" s="815" t="s">
        <v>483</v>
      </c>
      <c r="AP484" s="478"/>
      <c r="AQ484" s="478"/>
      <c r="AR484" s="478"/>
      <c r="AS484" s="478"/>
      <c r="AT484" s="478"/>
      <c r="AU484" s="478"/>
      <c r="AV484" s="478"/>
      <c r="AW484" s="478"/>
      <c r="AX484" s="478"/>
      <c r="AY484" s="478"/>
      <c r="AZ484" s="478"/>
      <c r="BA484" s="478"/>
      <c r="BB484" s="478"/>
      <c r="BC484" s="478"/>
      <c r="BD484" s="478"/>
      <c r="BE484" s="478"/>
      <c r="BF484" s="478"/>
      <c r="BG484" s="478"/>
      <c r="BH484" s="478"/>
      <c r="BI484" s="478"/>
      <c r="BJ484" s="478"/>
    </row>
    <row r="485" spans="1:62" ht="3" customHeight="1">
      <c r="A485" s="490" t="s">
        <v>466</v>
      </c>
      <c r="B485" s="475"/>
      <c r="C485" s="694" t="s">
        <v>465</v>
      </c>
      <c r="D485" s="478"/>
      <c r="E485" s="478"/>
      <c r="F485" s="478"/>
      <c r="G485" s="478"/>
      <c r="H485" s="478"/>
      <c r="I485" s="478"/>
      <c r="J485" s="478"/>
      <c r="K485" s="478"/>
      <c r="L485" s="478"/>
      <c r="M485" s="478"/>
      <c r="N485" s="478"/>
      <c r="O485" s="478"/>
      <c r="P485" s="478"/>
      <c r="Q485" s="478"/>
      <c r="R485" s="478"/>
      <c r="S485" s="478"/>
      <c r="T485" s="478"/>
      <c r="U485" s="478"/>
      <c r="V485" s="467"/>
      <c r="W485" s="467"/>
      <c r="X485" s="467"/>
      <c r="Y485" s="467"/>
      <c r="Z485" s="542"/>
      <c r="AA485" s="481"/>
      <c r="AB485" s="481"/>
      <c r="AC485" s="542"/>
      <c r="AD485" s="481"/>
      <c r="AE485" s="481"/>
      <c r="AF485" s="810"/>
      <c r="AG485" s="481"/>
      <c r="AH485" s="481"/>
      <c r="AI485" s="481"/>
      <c r="AJ485" s="481"/>
      <c r="AK485" s="481"/>
      <c r="AL485" s="542"/>
      <c r="AM485" s="481"/>
      <c r="AN485" s="481"/>
      <c r="AO485" s="481"/>
      <c r="AP485" s="478"/>
      <c r="AQ485" s="478"/>
      <c r="AR485" s="478"/>
      <c r="AS485" s="478"/>
      <c r="AT485" s="478"/>
      <c r="AU485" s="478"/>
      <c r="AV485" s="478"/>
      <c r="AW485" s="478"/>
      <c r="AX485" s="478"/>
      <c r="AY485" s="478"/>
      <c r="AZ485" s="478"/>
      <c r="BA485" s="478"/>
      <c r="BB485" s="478"/>
      <c r="BC485" s="478"/>
      <c r="BD485" s="478"/>
      <c r="BE485" s="478"/>
      <c r="BF485" s="478"/>
      <c r="BG485" s="478"/>
      <c r="BH485" s="478"/>
      <c r="BI485" s="478"/>
      <c r="BJ485" s="478"/>
    </row>
    <row r="486" spans="1:62" ht="3" customHeight="1">
      <c r="A486" s="490" t="s">
        <v>466</v>
      </c>
      <c r="B486" s="475"/>
      <c r="C486" s="694" t="s">
        <v>465</v>
      </c>
      <c r="D486" s="478"/>
      <c r="E486" s="478"/>
      <c r="F486" s="478"/>
      <c r="G486" s="478"/>
      <c r="H486" s="478"/>
      <c r="I486" s="478"/>
      <c r="J486" s="478"/>
      <c r="K486" s="478"/>
      <c r="L486" s="478"/>
      <c r="M486" s="478"/>
      <c r="N486" s="478"/>
      <c r="O486" s="478"/>
      <c r="P486" s="478"/>
      <c r="Q486" s="478"/>
      <c r="R486" s="478"/>
      <c r="S486" s="478"/>
      <c r="T486" s="478"/>
      <c r="U486" s="478"/>
      <c r="V486" s="467"/>
      <c r="W486" s="467"/>
      <c r="X486" s="467"/>
      <c r="Y486" s="467"/>
      <c r="Z486" s="542"/>
      <c r="AA486" s="481"/>
      <c r="AB486" s="481"/>
      <c r="AC486" s="542"/>
      <c r="AD486" s="481"/>
      <c r="AE486" s="481"/>
      <c r="AF486" s="810"/>
      <c r="AG486" s="481"/>
      <c r="AH486" s="481"/>
      <c r="AI486" s="481"/>
      <c r="AJ486" s="481"/>
      <c r="AK486" s="481"/>
      <c r="AL486" s="542"/>
      <c r="AM486" s="481"/>
      <c r="AN486" s="481"/>
      <c r="AO486" s="481"/>
      <c r="AP486" s="478"/>
      <c r="AQ486" s="478"/>
      <c r="AR486" s="478"/>
      <c r="AS486" s="478"/>
      <c r="AT486" s="478"/>
      <c r="AU486" s="478"/>
      <c r="AV486" s="478"/>
      <c r="AW486" s="478"/>
      <c r="AX486" s="478"/>
      <c r="AY486" s="478"/>
      <c r="AZ486" s="478"/>
      <c r="BA486" s="478"/>
      <c r="BB486" s="478"/>
      <c r="BC486" s="478"/>
      <c r="BD486" s="478"/>
      <c r="BE486" s="478"/>
      <c r="BF486" s="478"/>
      <c r="BG486" s="478"/>
      <c r="BH486" s="478"/>
      <c r="BI486" s="478"/>
      <c r="BJ486" s="478"/>
    </row>
    <row r="487" spans="1:62" ht="3" customHeight="1" thickBot="1">
      <c r="A487" s="490" t="s">
        <v>466</v>
      </c>
      <c r="B487" s="475"/>
      <c r="C487" s="694" t="s">
        <v>465</v>
      </c>
      <c r="D487" s="478"/>
      <c r="E487" s="478"/>
      <c r="F487" s="478"/>
      <c r="G487" s="478"/>
      <c r="H487" s="478"/>
      <c r="I487" s="478"/>
      <c r="J487" s="478"/>
      <c r="K487" s="478"/>
      <c r="L487" s="478"/>
      <c r="M487" s="478"/>
      <c r="N487" s="478"/>
      <c r="O487" s="478"/>
      <c r="P487" s="478"/>
      <c r="Q487" s="478"/>
      <c r="R487" s="478"/>
      <c r="S487" s="478"/>
      <c r="T487" s="478"/>
      <c r="U487" s="478"/>
      <c r="V487" s="467"/>
      <c r="W487" s="467"/>
      <c r="X487" s="467"/>
      <c r="Y487" s="467"/>
      <c r="Z487" s="542"/>
      <c r="AA487" s="481"/>
      <c r="AB487" s="481"/>
      <c r="AC487" s="542"/>
      <c r="AD487" s="481"/>
      <c r="AE487" s="481"/>
      <c r="AF487" s="810"/>
      <c r="AG487" s="481"/>
      <c r="AH487" s="481"/>
      <c r="AI487" s="481"/>
      <c r="AJ487" s="481"/>
      <c r="AK487" s="481"/>
      <c r="AL487" s="542"/>
      <c r="AM487" s="481"/>
      <c r="AN487" s="481"/>
      <c r="AO487" s="481"/>
      <c r="AP487" s="478"/>
      <c r="AQ487" s="478"/>
      <c r="AR487" s="478"/>
      <c r="AS487" s="478"/>
      <c r="AT487" s="478"/>
      <c r="AU487" s="478"/>
      <c r="AV487" s="478"/>
      <c r="AW487" s="478"/>
      <c r="AX487" s="478"/>
      <c r="AY487" s="478"/>
      <c r="AZ487" s="478"/>
      <c r="BA487" s="478"/>
      <c r="BB487" s="478"/>
      <c r="BC487" s="478"/>
      <c r="BD487" s="478"/>
      <c r="BE487" s="478"/>
      <c r="BF487" s="478"/>
      <c r="BG487" s="478"/>
      <c r="BH487" s="478"/>
      <c r="BI487" s="478"/>
      <c r="BJ487" s="478"/>
    </row>
    <row r="488" spans="1:62" ht="15.75" customHeight="1" thickTop="1" thickBot="1">
      <c r="A488" s="490" t="s">
        <v>184</v>
      </c>
      <c r="B488" s="475"/>
      <c r="C488" s="694" t="s">
        <v>465</v>
      </c>
      <c r="D488" s="478"/>
      <c r="E488" s="478"/>
      <c r="F488" s="478"/>
      <c r="G488" s="478"/>
      <c r="H488" s="478"/>
      <c r="I488" s="478"/>
      <c r="J488" s="478"/>
      <c r="K488" s="478"/>
      <c r="L488" s="478"/>
      <c r="M488" s="478"/>
      <c r="N488" s="478"/>
      <c r="O488" s="478"/>
      <c r="P488" s="478"/>
      <c r="Q488" s="478"/>
      <c r="R488" s="478"/>
      <c r="S488" s="478"/>
      <c r="T488" s="478"/>
      <c r="U488" s="478"/>
      <c r="V488" s="799" t="s">
        <v>184</v>
      </c>
      <c r="W488" s="800"/>
      <c r="X488" s="801" t="s">
        <v>185</v>
      </c>
      <c r="Y488" s="802">
        <v>4.0622236797979341E-2</v>
      </c>
      <c r="Z488" s="803">
        <v>196879.60265506402</v>
      </c>
      <c r="AA488" s="801"/>
      <c r="AB488" s="802"/>
      <c r="AC488" s="803"/>
      <c r="AD488" s="801" t="s">
        <v>185</v>
      </c>
      <c r="AE488" s="802">
        <v>3.7447641448976644E-2</v>
      </c>
      <c r="AF488" s="803">
        <v>199080.7399999999</v>
      </c>
      <c r="AG488" s="804"/>
      <c r="AH488" s="805">
        <v>2201.1373449358798</v>
      </c>
      <c r="AI488" s="806">
        <v>1.1180118789615322E-2</v>
      </c>
      <c r="AJ488" s="801" t="s">
        <v>185</v>
      </c>
      <c r="AK488" s="802">
        <v>5.7026190206597702E-2</v>
      </c>
      <c r="AL488" s="816">
        <v>347493.84999999969</v>
      </c>
      <c r="AM488" s="817"/>
      <c r="AN488" s="818">
        <v>-148413.10999999978</v>
      </c>
      <c r="AO488" s="819">
        <v>-0.42709564500206237</v>
      </c>
      <c r="AP488" s="478"/>
      <c r="AQ488" s="478"/>
      <c r="AR488" s="478"/>
      <c r="AS488" s="478"/>
      <c r="AT488" s="478"/>
      <c r="AU488" s="478"/>
      <c r="AV488" s="478"/>
      <c r="AW488" s="478"/>
      <c r="AX488" s="478"/>
      <c r="AY488" s="478"/>
      <c r="AZ488" s="478"/>
      <c r="BA488" s="478"/>
      <c r="BB488" s="478"/>
      <c r="BC488" s="478"/>
      <c r="BD488" s="478"/>
      <c r="BE488" s="478"/>
      <c r="BF488" s="478"/>
      <c r="BG488" s="478"/>
      <c r="BH488" s="478"/>
      <c r="BI488" s="478"/>
      <c r="BJ488" s="478"/>
    </row>
    <row r="489" spans="1:62" ht="15.75" customHeight="1" thickTop="1">
      <c r="A489" s="490" t="s">
        <v>466</v>
      </c>
      <c r="B489" s="475"/>
      <c r="C489" s="694" t="s">
        <v>465</v>
      </c>
      <c r="D489" s="478"/>
      <c r="E489" s="478"/>
      <c r="F489" s="617"/>
      <c r="G489" s="478"/>
      <c r="H489" s="478"/>
      <c r="I489" s="617"/>
      <c r="J489" s="478"/>
      <c r="K489" s="478"/>
      <c r="L489" s="478"/>
      <c r="M489" s="617"/>
      <c r="N489" s="478"/>
      <c r="O489" s="478"/>
      <c r="P489" s="478"/>
      <c r="Q489" s="617"/>
      <c r="R489" s="617"/>
      <c r="S489" s="617"/>
      <c r="T489" s="764"/>
      <c r="U489" s="764"/>
      <c r="V489" s="820"/>
      <c r="W489" s="478"/>
      <c r="X489" s="478"/>
      <c r="Y489" s="478"/>
      <c r="Z489" s="821"/>
      <c r="AA489" s="478"/>
      <c r="AB489" s="478"/>
      <c r="AC489" s="822"/>
      <c r="AD489" s="478"/>
      <c r="AE489" s="478"/>
      <c r="AF489" s="822"/>
      <c r="AG489" s="478"/>
      <c r="AH489" s="478"/>
      <c r="AI489" s="822"/>
      <c r="AJ489" s="478"/>
      <c r="AK489" s="478"/>
      <c r="AL489" s="823"/>
      <c r="AM489" s="824"/>
      <c r="AN489" s="478"/>
      <c r="AO489" s="825"/>
      <c r="AP489" s="478"/>
      <c r="AQ489" s="478"/>
      <c r="AR489" s="478"/>
      <c r="AS489" s="478"/>
      <c r="AT489" s="478"/>
      <c r="AU489" s="478"/>
      <c r="AV489" s="478"/>
      <c r="AW489" s="478"/>
      <c r="AX489" s="478"/>
      <c r="AY489" s="478"/>
      <c r="AZ489" s="478"/>
      <c r="BA489" s="478"/>
      <c r="BB489" s="478"/>
      <c r="BC489" s="478"/>
      <c r="BD489" s="478"/>
      <c r="BE489" s="478"/>
      <c r="BF489" s="478"/>
      <c r="BG489" s="478"/>
      <c r="BH489" s="478"/>
      <c r="BI489" s="478"/>
      <c r="BJ489" s="478"/>
    </row>
    <row r="490" spans="1:62" ht="15.75" customHeight="1">
      <c r="A490" s="490" t="s">
        <v>187</v>
      </c>
      <c r="B490" s="475"/>
      <c r="C490" s="694" t="s">
        <v>465</v>
      </c>
      <c r="D490" s="478"/>
      <c r="E490" s="478"/>
      <c r="F490" s="478"/>
      <c r="G490" s="478"/>
      <c r="H490" s="478"/>
      <c r="I490" s="478"/>
      <c r="J490" s="478"/>
      <c r="K490" s="478"/>
      <c r="L490" s="478"/>
      <c r="M490" s="478"/>
      <c r="N490" s="478"/>
      <c r="O490" s="478"/>
      <c r="P490" s="478"/>
      <c r="Q490" s="478"/>
      <c r="R490" s="478"/>
      <c r="S490" s="478"/>
      <c r="T490" s="478"/>
      <c r="U490" s="478"/>
      <c r="V490" s="565" t="s">
        <v>187</v>
      </c>
      <c r="W490" s="726"/>
      <c r="X490" s="719"/>
      <c r="Y490" s="727"/>
      <c r="Z490" s="720">
        <v>4664.0375000000004</v>
      </c>
      <c r="AA490" s="719"/>
      <c r="AB490" s="727"/>
      <c r="AC490" s="720"/>
      <c r="AD490" s="719"/>
      <c r="AE490" s="727"/>
      <c r="AF490" s="720">
        <v>4314.5</v>
      </c>
      <c r="AG490" s="719"/>
      <c r="AH490" s="722">
        <v>-349.53750000000036</v>
      </c>
      <c r="AI490" s="742">
        <v>-7.4943115272979755E-2</v>
      </c>
      <c r="AJ490" s="719"/>
      <c r="AK490" s="719"/>
      <c r="AL490" s="720">
        <v>4314.5</v>
      </c>
      <c r="AM490" s="724"/>
      <c r="AN490" s="722">
        <v>0</v>
      </c>
      <c r="AO490" s="729">
        <v>0</v>
      </c>
      <c r="AP490" s="478"/>
      <c r="AQ490" s="478"/>
      <c r="AR490" s="478"/>
      <c r="AS490" s="478"/>
      <c r="AT490" s="478"/>
      <c r="AU490" s="478"/>
      <c r="AV490" s="478"/>
      <c r="AW490" s="478"/>
      <c r="AX490" s="478"/>
      <c r="AY490" s="478"/>
      <c r="AZ490" s="478"/>
      <c r="BA490" s="478"/>
      <c r="BB490" s="478"/>
      <c r="BC490" s="478"/>
      <c r="BD490" s="478"/>
      <c r="BE490" s="478"/>
      <c r="BF490" s="478"/>
      <c r="BG490" s="478"/>
      <c r="BH490" s="478"/>
      <c r="BI490" s="478"/>
      <c r="BJ490" s="478"/>
    </row>
    <row r="491" spans="1:62" ht="15.75" customHeight="1">
      <c r="A491" s="490" t="s">
        <v>188</v>
      </c>
      <c r="B491" s="475"/>
      <c r="C491" s="694" t="s">
        <v>465</v>
      </c>
      <c r="D491" s="478"/>
      <c r="E491" s="478"/>
      <c r="F491" s="617"/>
      <c r="G491" s="478"/>
      <c r="H491" s="478"/>
      <c r="I491" s="617"/>
      <c r="J491" s="478"/>
      <c r="K491" s="478"/>
      <c r="L491" s="478"/>
      <c r="M491" s="617"/>
      <c r="N491" s="478"/>
      <c r="O491" s="478"/>
      <c r="P491" s="478"/>
      <c r="Q491" s="617"/>
      <c r="R491" s="617"/>
      <c r="S491" s="617"/>
      <c r="T491" s="478"/>
      <c r="U491" s="478"/>
      <c r="V491" s="565" t="s">
        <v>188</v>
      </c>
      <c r="W491" s="478"/>
      <c r="X491" s="478"/>
      <c r="Y491" s="478"/>
      <c r="Z491" s="720">
        <v>0</v>
      </c>
      <c r="AA491" s="478"/>
      <c r="AB491" s="478"/>
      <c r="AC491" s="720"/>
      <c r="AD491" s="478"/>
      <c r="AE491" s="481"/>
      <c r="AF491" s="720">
        <v>0</v>
      </c>
      <c r="AG491" s="478"/>
      <c r="AH491" s="722">
        <v>0</v>
      </c>
      <c r="AI491" s="742">
        <v>0</v>
      </c>
      <c r="AJ491" s="478"/>
      <c r="AK491" s="478"/>
      <c r="AL491" s="720">
        <v>0</v>
      </c>
      <c r="AM491" s="824"/>
      <c r="AN491" s="722">
        <v>0</v>
      </c>
      <c r="AO491" s="729">
        <v>0</v>
      </c>
      <c r="AP491" s="478"/>
      <c r="AQ491" s="478"/>
      <c r="AR491" s="478"/>
      <c r="AS491" s="478"/>
      <c r="AT491" s="478"/>
      <c r="AU491" s="478"/>
      <c r="AV491" s="478"/>
      <c r="AW491" s="478"/>
      <c r="AX491" s="478"/>
      <c r="AY491" s="478"/>
      <c r="AZ491" s="478"/>
      <c r="BA491" s="478"/>
      <c r="BB491" s="478"/>
      <c r="BC491" s="478"/>
      <c r="BD491" s="478"/>
      <c r="BE491" s="478"/>
      <c r="BF491" s="478"/>
      <c r="BG491" s="478"/>
      <c r="BH491" s="478"/>
      <c r="BI491" s="478"/>
      <c r="BJ491" s="478"/>
    </row>
    <row r="492" spans="1:62" ht="15.75" customHeight="1">
      <c r="A492" s="490" t="s">
        <v>189</v>
      </c>
      <c r="B492" s="475"/>
      <c r="C492" s="694" t="s">
        <v>465</v>
      </c>
      <c r="D492" s="478"/>
      <c r="E492" s="478"/>
      <c r="F492" s="617"/>
      <c r="G492" s="478"/>
      <c r="H492" s="478"/>
      <c r="I492" s="617"/>
      <c r="J492" s="478"/>
      <c r="K492" s="478"/>
      <c r="L492" s="478"/>
      <c r="M492" s="617"/>
      <c r="N492" s="478"/>
      <c r="O492" s="478"/>
      <c r="P492" s="478"/>
      <c r="Q492" s="617"/>
      <c r="R492" s="617"/>
      <c r="S492" s="617"/>
      <c r="T492" s="478"/>
      <c r="U492" s="478"/>
      <c r="V492" s="565" t="s">
        <v>189</v>
      </c>
      <c r="W492" s="481"/>
      <c r="X492" s="481"/>
      <c r="Y492" s="481"/>
      <c r="Z492" s="720">
        <v>423.53</v>
      </c>
      <c r="AA492" s="478"/>
      <c r="AB492" s="478"/>
      <c r="AC492" s="720"/>
      <c r="AD492" s="478"/>
      <c r="AE492" s="481"/>
      <c r="AF492" s="720">
        <v>0</v>
      </c>
      <c r="AG492" s="478"/>
      <c r="AH492" s="722">
        <v>-423.53</v>
      </c>
      <c r="AI492" s="742">
        <v>-1</v>
      </c>
      <c r="AJ492" s="478"/>
      <c r="AK492" s="478"/>
      <c r="AL492" s="720">
        <v>426.79</v>
      </c>
      <c r="AM492" s="824"/>
      <c r="AN492" s="722">
        <v>-426.79</v>
      </c>
      <c r="AO492" s="729">
        <v>-1</v>
      </c>
      <c r="AP492" s="478"/>
      <c r="AQ492" s="478"/>
      <c r="AR492" s="478"/>
      <c r="AS492" s="478"/>
      <c r="AT492" s="478"/>
      <c r="AU492" s="478"/>
      <c r="AV492" s="478"/>
      <c r="AW492" s="478"/>
      <c r="AX492" s="478"/>
      <c r="AY492" s="478"/>
      <c r="AZ492" s="478"/>
      <c r="BA492" s="478"/>
      <c r="BB492" s="478"/>
      <c r="BC492" s="478"/>
      <c r="BD492" s="478"/>
      <c r="BE492" s="478"/>
      <c r="BF492" s="478"/>
      <c r="BG492" s="478"/>
      <c r="BH492" s="478"/>
      <c r="BI492" s="478"/>
      <c r="BJ492" s="478"/>
    </row>
    <row r="493" spans="1:62" ht="15.75" customHeight="1" thickBot="1">
      <c r="A493" s="490" t="s">
        <v>190</v>
      </c>
      <c r="B493" s="475"/>
      <c r="C493" s="694" t="s">
        <v>465</v>
      </c>
      <c r="D493" s="478"/>
      <c r="E493" s="478"/>
      <c r="F493" s="617"/>
      <c r="G493" s="478"/>
      <c r="H493" s="478"/>
      <c r="I493" s="617"/>
      <c r="J493" s="478"/>
      <c r="K493" s="478"/>
      <c r="L493" s="478"/>
      <c r="M493" s="617"/>
      <c r="N493" s="478"/>
      <c r="O493" s="478"/>
      <c r="P493" s="478"/>
      <c r="Q493" s="617"/>
      <c r="R493" s="617"/>
      <c r="S493" s="617"/>
      <c r="T493" s="478"/>
      <c r="U493" s="478"/>
      <c r="V493" s="565" t="s">
        <v>190</v>
      </c>
      <c r="W493" s="481"/>
      <c r="X493" s="481"/>
      <c r="Y493" s="481"/>
      <c r="Z493" s="720">
        <v>0</v>
      </c>
      <c r="AA493" s="478"/>
      <c r="AB493" s="478"/>
      <c r="AC493" s="720"/>
      <c r="AD493" s="478"/>
      <c r="AE493" s="481"/>
      <c r="AF493" s="720">
        <v>0</v>
      </c>
      <c r="AG493" s="478"/>
      <c r="AH493" s="722">
        <v>0</v>
      </c>
      <c r="AI493" s="742">
        <v>0</v>
      </c>
      <c r="AJ493" s="478"/>
      <c r="AK493" s="478"/>
      <c r="AL493" s="720">
        <v>0</v>
      </c>
      <c r="AM493" s="824"/>
      <c r="AN493" s="722">
        <v>0</v>
      </c>
      <c r="AO493" s="729">
        <v>0</v>
      </c>
      <c r="AP493" s="478"/>
      <c r="AQ493" s="478"/>
      <c r="AR493" s="478"/>
      <c r="AS493" s="478"/>
      <c r="AT493" s="478"/>
      <c r="AU493" s="478"/>
      <c r="AV493" s="478"/>
      <c r="AW493" s="478"/>
      <c r="AX493" s="478"/>
      <c r="AY493" s="478"/>
      <c r="AZ493" s="478"/>
      <c r="BA493" s="478"/>
      <c r="BB493" s="478"/>
      <c r="BC493" s="478"/>
      <c r="BD493" s="478"/>
      <c r="BE493" s="478"/>
      <c r="BF493" s="478"/>
      <c r="BG493" s="478"/>
      <c r="BH493" s="478"/>
      <c r="BI493" s="478"/>
      <c r="BJ493" s="478"/>
    </row>
    <row r="494" spans="1:62" ht="15.75" hidden="1" customHeight="1">
      <c r="A494" s="490" t="s">
        <v>20</v>
      </c>
      <c r="B494" s="475"/>
      <c r="C494" s="694" t="s">
        <v>465</v>
      </c>
      <c r="D494" s="478"/>
      <c r="E494" s="478"/>
      <c r="F494" s="617"/>
      <c r="G494" s="478"/>
      <c r="H494" s="478"/>
      <c r="I494" s="617"/>
      <c r="J494" s="478"/>
      <c r="K494" s="478"/>
      <c r="L494" s="478"/>
      <c r="M494" s="617"/>
      <c r="N494" s="478"/>
      <c r="O494" s="478"/>
      <c r="P494" s="478"/>
      <c r="Q494" s="617"/>
      <c r="R494" s="617"/>
      <c r="S494" s="617"/>
      <c r="T494" s="478"/>
      <c r="U494" s="478"/>
      <c r="V494" s="565" t="s">
        <v>20</v>
      </c>
      <c r="W494" s="481"/>
      <c r="X494" s="481"/>
      <c r="Y494" s="481"/>
      <c r="Z494" s="720">
        <v>0</v>
      </c>
      <c r="AA494" s="719"/>
      <c r="AB494" s="719"/>
      <c r="AC494" s="720"/>
      <c r="AD494" s="728"/>
      <c r="AE494" s="727"/>
      <c r="AF494" s="720">
        <v>0</v>
      </c>
      <c r="AG494" s="721"/>
      <c r="AH494" s="722">
        <v>0</v>
      </c>
      <c r="AI494" s="723">
        <v>0</v>
      </c>
      <c r="AJ494" s="728"/>
      <c r="AK494" s="719"/>
      <c r="AL494" s="720">
        <v>0</v>
      </c>
      <c r="AM494" s="824"/>
      <c r="AN494" s="722">
        <v>0</v>
      </c>
      <c r="AO494" s="729">
        <v>0</v>
      </c>
      <c r="AP494" s="478"/>
      <c r="AQ494" s="478"/>
      <c r="AR494" s="478"/>
      <c r="AS494" s="478"/>
      <c r="AT494" s="478"/>
      <c r="AU494" s="478"/>
      <c r="AV494" s="478"/>
      <c r="AW494" s="478"/>
      <c r="AX494" s="478"/>
      <c r="AY494" s="478"/>
      <c r="AZ494" s="478"/>
      <c r="BA494" s="478"/>
      <c r="BB494" s="478"/>
      <c r="BC494" s="478"/>
      <c r="BD494" s="478"/>
      <c r="BE494" s="478"/>
      <c r="BF494" s="478"/>
      <c r="BG494" s="478"/>
      <c r="BH494" s="478"/>
      <c r="BI494" s="478"/>
      <c r="BJ494" s="478"/>
    </row>
    <row r="495" spans="1:62" ht="15.75" hidden="1" customHeight="1">
      <c r="A495" s="490" t="s">
        <v>20</v>
      </c>
      <c r="B495" s="475"/>
      <c r="C495" s="694" t="s">
        <v>465</v>
      </c>
      <c r="D495" s="478"/>
      <c r="E495" s="478"/>
      <c r="F495" s="617"/>
      <c r="G495" s="478"/>
      <c r="H495" s="478"/>
      <c r="I495" s="617"/>
      <c r="J495" s="478"/>
      <c r="K495" s="478"/>
      <c r="L495" s="478"/>
      <c r="M495" s="617"/>
      <c r="N495" s="478"/>
      <c r="O495" s="478"/>
      <c r="P495" s="478"/>
      <c r="Q495" s="617"/>
      <c r="R495" s="617"/>
      <c r="S495" s="617"/>
      <c r="T495" s="478"/>
      <c r="U495" s="478"/>
      <c r="V495" s="565" t="s">
        <v>20</v>
      </c>
      <c r="W495" s="481"/>
      <c r="X495" s="481"/>
      <c r="Y495" s="481"/>
      <c r="Z495" s="720">
        <v>0</v>
      </c>
      <c r="AA495" s="719"/>
      <c r="AB495" s="719"/>
      <c r="AC495" s="720"/>
      <c r="AD495" s="728"/>
      <c r="AE495" s="727"/>
      <c r="AF495" s="720">
        <v>0</v>
      </c>
      <c r="AG495" s="721"/>
      <c r="AH495" s="722">
        <v>0</v>
      </c>
      <c r="AI495" s="723">
        <v>0</v>
      </c>
      <c r="AJ495" s="728"/>
      <c r="AK495" s="719"/>
      <c r="AL495" s="720">
        <v>0</v>
      </c>
      <c r="AM495" s="824"/>
      <c r="AN495" s="722">
        <v>0</v>
      </c>
      <c r="AO495" s="729">
        <v>0</v>
      </c>
      <c r="AP495" s="478"/>
      <c r="AQ495" s="478"/>
      <c r="AR495" s="478"/>
      <c r="AS495" s="478"/>
      <c r="AT495" s="478"/>
      <c r="AU495" s="478"/>
      <c r="AV495" s="478"/>
      <c r="AW495" s="478"/>
      <c r="AX495" s="478"/>
      <c r="AY495" s="478"/>
      <c r="AZ495" s="478"/>
      <c r="BA495" s="478"/>
      <c r="BB495" s="478"/>
      <c r="BC495" s="478"/>
      <c r="BD495" s="478"/>
      <c r="BE495" s="478"/>
      <c r="BF495" s="478"/>
      <c r="BG495" s="478"/>
      <c r="BH495" s="478"/>
      <c r="BI495" s="478"/>
      <c r="BJ495" s="478"/>
    </row>
    <row r="496" spans="1:62" ht="15.75" hidden="1" customHeight="1">
      <c r="A496" s="490" t="s">
        <v>20</v>
      </c>
      <c r="B496" s="475"/>
      <c r="C496" s="694" t="s">
        <v>465</v>
      </c>
      <c r="D496" s="478"/>
      <c r="E496" s="478"/>
      <c r="F496" s="617"/>
      <c r="G496" s="478"/>
      <c r="H496" s="478"/>
      <c r="I496" s="617"/>
      <c r="J496" s="478"/>
      <c r="K496" s="478"/>
      <c r="L496" s="478"/>
      <c r="M496" s="617"/>
      <c r="N496" s="478"/>
      <c r="O496" s="478"/>
      <c r="P496" s="478"/>
      <c r="Q496" s="617"/>
      <c r="R496" s="617"/>
      <c r="S496" s="617"/>
      <c r="T496" s="478"/>
      <c r="U496" s="478"/>
      <c r="V496" s="565" t="s">
        <v>20</v>
      </c>
      <c r="W496" s="481"/>
      <c r="X496" s="478"/>
      <c r="Y496" s="481"/>
      <c r="Z496" s="720">
        <v>0</v>
      </c>
      <c r="AA496" s="719"/>
      <c r="AB496" s="719"/>
      <c r="AC496" s="720"/>
      <c r="AD496" s="728"/>
      <c r="AE496" s="727"/>
      <c r="AF496" s="720">
        <v>0</v>
      </c>
      <c r="AG496" s="721"/>
      <c r="AH496" s="722">
        <v>0</v>
      </c>
      <c r="AI496" s="723">
        <v>0</v>
      </c>
      <c r="AJ496" s="728"/>
      <c r="AK496" s="719"/>
      <c r="AL496" s="720">
        <v>0</v>
      </c>
      <c r="AM496" s="824"/>
      <c r="AN496" s="722">
        <v>0</v>
      </c>
      <c r="AO496" s="729">
        <v>0</v>
      </c>
      <c r="AP496" s="478"/>
      <c r="AQ496" s="478"/>
      <c r="AR496" s="478"/>
      <c r="AS496" s="478"/>
      <c r="AT496" s="478"/>
      <c r="AU496" s="478"/>
      <c r="AV496" s="478"/>
      <c r="AW496" s="478"/>
      <c r="AX496" s="478"/>
      <c r="AY496" s="478"/>
      <c r="AZ496" s="478"/>
      <c r="BA496" s="478"/>
      <c r="BB496" s="478"/>
      <c r="BC496" s="478"/>
      <c r="BD496" s="478"/>
      <c r="BE496" s="478"/>
      <c r="BF496" s="478"/>
      <c r="BG496" s="478"/>
      <c r="BH496" s="478"/>
      <c r="BI496" s="478"/>
      <c r="BJ496" s="478"/>
    </row>
    <row r="497" spans="1:62" ht="15.75" customHeight="1" thickTop="1" thickBot="1">
      <c r="A497" s="490" t="s">
        <v>192</v>
      </c>
      <c r="B497" s="475"/>
      <c r="C497" s="694" t="s">
        <v>465</v>
      </c>
      <c r="D497" s="478"/>
      <c r="E497" s="478"/>
      <c r="F497" s="617"/>
      <c r="G497" s="478"/>
      <c r="H497" s="478"/>
      <c r="I497" s="617"/>
      <c r="J497" s="478"/>
      <c r="K497" s="478"/>
      <c r="L497" s="478"/>
      <c r="M497" s="617"/>
      <c r="N497" s="478"/>
      <c r="O497" s="478"/>
      <c r="P497" s="478"/>
      <c r="Q497" s="617"/>
      <c r="R497" s="617"/>
      <c r="S497" s="617"/>
      <c r="T497" s="478"/>
      <c r="U497" s="478"/>
      <c r="V497" s="799" t="s">
        <v>192</v>
      </c>
      <c r="W497" s="800"/>
      <c r="X497" s="801" t="s">
        <v>185</v>
      </c>
      <c r="Y497" s="802">
        <v>3.9572517228640358E-2</v>
      </c>
      <c r="Z497" s="803">
        <v>191792.03515506402</v>
      </c>
      <c r="AA497" s="801"/>
      <c r="AB497" s="802"/>
      <c r="AC497" s="803"/>
      <c r="AD497" s="801" t="s">
        <v>185</v>
      </c>
      <c r="AE497" s="802">
        <v>3.6636071987100977E-2</v>
      </c>
      <c r="AF497" s="804">
        <v>194766.2399999999</v>
      </c>
      <c r="AG497" s="805"/>
      <c r="AH497" s="805">
        <v>2974.2048449358845</v>
      </c>
      <c r="AI497" s="806">
        <v>1.5507447129028259E-2</v>
      </c>
      <c r="AJ497" s="807" t="s">
        <v>185</v>
      </c>
      <c r="AK497" s="802">
        <v>5.6248111097097958E-2</v>
      </c>
      <c r="AL497" s="804">
        <v>342752.55999999971</v>
      </c>
      <c r="AM497" s="808"/>
      <c r="AN497" s="804">
        <v>-147986.3199999998</v>
      </c>
      <c r="AO497" s="826">
        <v>-0.43175846739116969</v>
      </c>
      <c r="AP497" s="478"/>
      <c r="AQ497" s="478"/>
      <c r="AR497" s="478"/>
      <c r="AS497" s="478"/>
      <c r="AT497" s="478"/>
      <c r="AU497" s="478"/>
      <c r="AV497" s="478"/>
      <c r="AW497" s="478"/>
      <c r="AX497" s="478"/>
      <c r="AY497" s="478"/>
      <c r="AZ497" s="478"/>
      <c r="BA497" s="478"/>
      <c r="BB497" s="478"/>
      <c r="BC497" s="478"/>
      <c r="BD497" s="478"/>
      <c r="BE497" s="478"/>
      <c r="BF497" s="478"/>
      <c r="BG497" s="478"/>
      <c r="BH497" s="478"/>
      <c r="BI497" s="478"/>
      <c r="BJ497" s="478"/>
    </row>
    <row r="498" spans="1:62" ht="15.75" customHeight="1" thickTop="1">
      <c r="A498" s="490" t="s">
        <v>466</v>
      </c>
      <c r="B498" s="475"/>
      <c r="C498" s="478"/>
      <c r="D498" s="478"/>
      <c r="E498" s="478"/>
      <c r="F498" s="617"/>
      <c r="G498" s="478"/>
      <c r="H498" s="478"/>
      <c r="I498" s="617"/>
      <c r="J498" s="478"/>
      <c r="K498" s="478"/>
      <c r="L498" s="478"/>
      <c r="M498" s="617"/>
      <c r="N498" s="478"/>
      <c r="O498" s="478"/>
      <c r="P498" s="478"/>
      <c r="Q498" s="617"/>
      <c r="R498" s="617"/>
      <c r="S498" s="617"/>
      <c r="T498" s="478"/>
      <c r="U498" s="478"/>
      <c r="V498" s="478"/>
      <c r="W498" s="478"/>
      <c r="X498" s="478"/>
      <c r="Y498" s="478"/>
      <c r="Z498" s="478"/>
      <c r="AA498" s="478"/>
      <c r="AB498" s="478"/>
      <c r="AC498" s="478"/>
      <c r="AD498" s="478"/>
      <c r="AE498" s="827"/>
      <c r="AF498" s="828"/>
      <c r="AG498" s="478"/>
      <c r="AH498" s="478"/>
      <c r="AI498" s="478"/>
      <c r="AJ498" s="478"/>
      <c r="AK498" s="478"/>
      <c r="AL498" s="478"/>
      <c r="AM498" s="478"/>
      <c r="AN498" s="478"/>
      <c r="AO498" s="478"/>
      <c r="AP498" s="478"/>
      <c r="AQ498" s="478"/>
      <c r="AR498" s="478"/>
      <c r="AS498" s="478"/>
      <c r="AT498" s="478"/>
      <c r="AU498" s="478"/>
      <c r="AV498" s="478"/>
      <c r="AW498" s="478"/>
      <c r="AX498" s="478"/>
      <c r="AY498" s="478"/>
      <c r="AZ498" s="478"/>
      <c r="BA498" s="478"/>
      <c r="BB498" s="478"/>
      <c r="BC498" s="478"/>
      <c r="BD498" s="478"/>
      <c r="BE498" s="478"/>
      <c r="BF498" s="478"/>
      <c r="BG498" s="478"/>
      <c r="BH498" s="478"/>
      <c r="BI498" s="478"/>
      <c r="BJ498" s="478"/>
    </row>
    <row r="499" spans="1:62" ht="15.75" customHeight="1">
      <c r="B499" s="475"/>
      <c r="T499" s="478"/>
      <c r="U499" s="478"/>
      <c r="V499" s="478"/>
      <c r="W499" s="478"/>
      <c r="X499" s="478"/>
      <c r="Y499" s="478"/>
      <c r="Z499" s="617"/>
      <c r="AA499" s="478"/>
      <c r="AB499" s="478"/>
      <c r="AC499" s="617"/>
      <c r="AE499" s="478" t="s">
        <v>478</v>
      </c>
      <c r="AF499" s="829">
        <v>150465.96825276979</v>
      </c>
      <c r="AG499" s="478"/>
      <c r="AH499" s="478"/>
      <c r="AI499" s="478"/>
      <c r="AJ499" s="830"/>
      <c r="AK499" s="831"/>
      <c r="AL499" s="832"/>
      <c r="AM499" s="478"/>
      <c r="AN499" s="478"/>
      <c r="AO499" s="478"/>
      <c r="AP499" s="478"/>
      <c r="AQ499" s="478"/>
      <c r="AR499" s="478"/>
      <c r="AS499" s="478"/>
      <c r="AT499" s="478"/>
      <c r="AU499" s="478"/>
      <c r="AV499" s="478"/>
      <c r="AW499" s="478"/>
      <c r="AX499" s="478"/>
      <c r="AY499" s="478"/>
      <c r="AZ499" s="478"/>
      <c r="BA499" s="478"/>
      <c r="BB499" s="478"/>
      <c r="BC499" s="478"/>
      <c r="BD499" s="478"/>
      <c r="BE499" s="478"/>
      <c r="BF499" s="478"/>
      <c r="BG499" s="478"/>
      <c r="BH499" s="478"/>
      <c r="BI499" s="478"/>
      <c r="BJ499" s="478"/>
    </row>
    <row r="500" spans="1:62" ht="15.75" customHeight="1">
      <c r="B500" s="475"/>
      <c r="C500" s="478"/>
      <c r="S500" s="617"/>
      <c r="W500" s="478"/>
      <c r="X500" s="478"/>
      <c r="Y500" s="478"/>
      <c r="Z500" s="617"/>
      <c r="AA500" s="478"/>
      <c r="AB500" s="478"/>
      <c r="AC500" s="617"/>
      <c r="AD500" s="478"/>
      <c r="AE500" s="478"/>
      <c r="AF500" s="833"/>
      <c r="AG500" s="478"/>
      <c r="AH500" s="478"/>
      <c r="AI500" s="478"/>
      <c r="AJ500" s="478"/>
      <c r="AL500" s="832"/>
      <c r="AM500" s="478"/>
      <c r="AN500" s="478"/>
      <c r="AO500" s="478"/>
      <c r="AP500" s="478"/>
      <c r="AQ500" s="478"/>
      <c r="AR500" s="478"/>
      <c r="AS500" s="478"/>
      <c r="AT500" s="478"/>
      <c r="AU500" s="478"/>
      <c r="AV500" s="478"/>
      <c r="AW500" s="478"/>
      <c r="AX500" s="478"/>
      <c r="AY500" s="478"/>
      <c r="AZ500" s="478"/>
      <c r="BA500" s="478"/>
      <c r="BB500" s="478"/>
      <c r="BC500" s="478"/>
      <c r="BD500" s="478"/>
      <c r="BE500" s="478"/>
      <c r="BF500" s="478"/>
      <c r="BG500" s="478"/>
      <c r="BH500" s="478"/>
      <c r="BI500" s="478"/>
      <c r="BJ500" s="478"/>
    </row>
    <row r="501" spans="1:62" ht="15.75" customHeight="1">
      <c r="B501" s="475"/>
      <c r="C501" s="719"/>
      <c r="W501" s="478"/>
      <c r="X501" s="478"/>
      <c r="Y501" s="478"/>
      <c r="AE501" s="478"/>
      <c r="AF501" s="833"/>
      <c r="AM501" s="478"/>
      <c r="AN501" s="478"/>
      <c r="AO501" s="478"/>
      <c r="AP501" s="478"/>
      <c r="AQ501" s="478"/>
      <c r="AR501" s="478"/>
      <c r="AS501" s="478"/>
      <c r="AT501" s="478"/>
      <c r="AU501" s="478"/>
      <c r="AV501" s="478"/>
      <c r="AW501" s="478"/>
      <c r="AX501" s="478"/>
      <c r="AY501" s="478"/>
      <c r="AZ501" s="478"/>
      <c r="BA501" s="478"/>
      <c r="BB501" s="478"/>
      <c r="BC501" s="478"/>
      <c r="BD501" s="478"/>
      <c r="BE501" s="478"/>
      <c r="BF501" s="478"/>
      <c r="BG501" s="478"/>
      <c r="BH501" s="478"/>
      <c r="BI501" s="478"/>
      <c r="BJ501" s="478"/>
    </row>
    <row r="502" spans="1:62" ht="15.75" customHeight="1">
      <c r="B502" s="475"/>
      <c r="C502" s="719"/>
      <c r="W502" s="478"/>
      <c r="X502" s="478"/>
      <c r="Y502" s="478"/>
      <c r="Z502" s="478"/>
      <c r="AA502" s="478"/>
      <c r="AB502" s="478"/>
      <c r="AC502" s="478"/>
      <c r="AD502" s="478"/>
      <c r="AE502" s="478"/>
      <c r="AF502" s="833"/>
      <c r="AG502" s="478"/>
      <c r="AH502" s="478"/>
      <c r="AI502" s="478"/>
      <c r="AJ502" s="834"/>
      <c r="AK502" s="831"/>
      <c r="AL502" s="832"/>
      <c r="AM502" s="478"/>
      <c r="AN502" s="478"/>
      <c r="AO502" s="478"/>
      <c r="AP502" s="478"/>
      <c r="AQ502" s="478"/>
      <c r="AR502" s="478"/>
      <c r="AS502" s="478"/>
      <c r="AT502" s="478"/>
      <c r="AU502" s="478"/>
      <c r="AV502" s="478"/>
      <c r="AW502" s="478"/>
      <c r="AX502" s="478"/>
      <c r="AY502" s="478"/>
      <c r="AZ502" s="478"/>
      <c r="BA502" s="478"/>
      <c r="BB502" s="478"/>
      <c r="BC502" s="478"/>
      <c r="BD502" s="478"/>
      <c r="BE502" s="478"/>
      <c r="BF502" s="478"/>
      <c r="BG502" s="478"/>
      <c r="BH502" s="478"/>
      <c r="BI502" s="478"/>
      <c r="BJ502" s="478"/>
    </row>
    <row r="503" spans="1:62" ht="15.75" customHeight="1">
      <c r="B503" s="475"/>
      <c r="C503" s="719"/>
      <c r="W503" s="478"/>
      <c r="X503" s="478"/>
      <c r="Y503" s="478"/>
      <c r="Z503" s="478"/>
      <c r="AA503" s="478"/>
      <c r="AB503" s="478"/>
      <c r="AC503" s="478"/>
      <c r="AD503" s="478"/>
      <c r="AE503" s="478"/>
      <c r="AF503" s="833"/>
      <c r="AG503" s="478"/>
      <c r="AH503" s="478"/>
      <c r="AI503" s="478"/>
      <c r="AJ503" s="478"/>
      <c r="AK503" s="478"/>
      <c r="AL503" s="478"/>
      <c r="AM503" s="478"/>
      <c r="AN503" s="478"/>
      <c r="AO503" s="478"/>
      <c r="AP503" s="478"/>
      <c r="AQ503" s="478"/>
      <c r="AR503" s="478"/>
      <c r="AS503" s="478"/>
      <c r="AT503" s="478"/>
      <c r="AU503" s="478"/>
      <c r="AV503" s="478"/>
      <c r="AW503" s="478"/>
      <c r="AX503" s="478"/>
      <c r="AY503" s="478"/>
      <c r="AZ503" s="478"/>
      <c r="BA503" s="478"/>
      <c r="BB503" s="478"/>
      <c r="BC503" s="478"/>
      <c r="BD503" s="478"/>
      <c r="BE503" s="478"/>
      <c r="BF503" s="478"/>
      <c r="BG503" s="478"/>
      <c r="BH503" s="478"/>
      <c r="BI503" s="478"/>
      <c r="BJ503" s="478"/>
    </row>
    <row r="504" spans="1:62" ht="15.75" customHeight="1">
      <c r="B504" s="475"/>
      <c r="C504" s="719"/>
      <c r="W504" s="478"/>
      <c r="X504" s="478"/>
      <c r="Y504" s="478"/>
      <c r="Z504" s="478"/>
      <c r="AA504" s="478"/>
      <c r="AB504" s="478"/>
      <c r="AC504" s="478"/>
      <c r="AD504" s="478"/>
      <c r="AE504" s="478"/>
      <c r="AF504" s="478"/>
      <c r="AG504" s="478"/>
      <c r="AH504" s="478"/>
      <c r="AI504" s="478"/>
      <c r="AJ504" s="478"/>
      <c r="AK504" s="478"/>
      <c r="AL504" s="478"/>
      <c r="AM504" s="478"/>
      <c r="AN504" s="478"/>
      <c r="AO504" s="478"/>
      <c r="AP504" s="478"/>
      <c r="AQ504" s="478"/>
      <c r="AR504" s="478"/>
      <c r="AS504" s="478"/>
      <c r="AT504" s="478"/>
      <c r="AU504" s="478"/>
      <c r="AV504" s="478"/>
      <c r="AW504" s="478"/>
      <c r="AX504" s="478"/>
      <c r="AY504" s="478"/>
      <c r="AZ504" s="478"/>
      <c r="BA504" s="478"/>
      <c r="BB504" s="478"/>
      <c r="BC504" s="478"/>
      <c r="BD504" s="478"/>
      <c r="BE504" s="478"/>
      <c r="BF504" s="478"/>
      <c r="BG504" s="478"/>
      <c r="BH504" s="478"/>
      <c r="BI504" s="478"/>
      <c r="BJ504" s="478"/>
    </row>
    <row r="505" spans="1:62" ht="15.75" customHeight="1">
      <c r="B505" s="475"/>
      <c r="C505" s="719"/>
      <c r="W505" s="478"/>
      <c r="X505" s="478"/>
      <c r="Y505" s="478"/>
      <c r="Z505" s="478"/>
      <c r="AA505" s="478"/>
      <c r="AB505" s="478"/>
      <c r="AC505" s="478"/>
      <c r="AD505" s="478"/>
      <c r="AE505" s="478"/>
      <c r="AF505" s="835"/>
      <c r="AG505" s="478"/>
      <c r="AH505" s="478"/>
      <c r="AI505" s="478"/>
      <c r="AJ505" s="478"/>
      <c r="AK505" s="478"/>
      <c r="AL505" s="478"/>
      <c r="AM505" s="478"/>
      <c r="AN505" s="478"/>
      <c r="AO505" s="478"/>
      <c r="AP505" s="478"/>
      <c r="AQ505" s="478"/>
      <c r="AR505" s="478"/>
      <c r="AS505" s="478"/>
      <c r="AT505" s="478"/>
      <c r="AU505" s="478"/>
      <c r="AV505" s="478"/>
      <c r="AW505" s="478"/>
      <c r="AX505" s="478"/>
      <c r="AY505" s="478"/>
      <c r="AZ505" s="478"/>
      <c r="BA505" s="478"/>
      <c r="BB505" s="478"/>
      <c r="BC505" s="478"/>
      <c r="BD505" s="478"/>
      <c r="BE505" s="478"/>
      <c r="BF505" s="478"/>
      <c r="BG505" s="478"/>
      <c r="BH505" s="478"/>
      <c r="BI505" s="478"/>
      <c r="BJ505" s="478"/>
    </row>
    <row r="506" spans="1:62" ht="15.75" customHeight="1">
      <c r="B506" s="475"/>
      <c r="C506" s="719"/>
      <c r="W506" s="478"/>
      <c r="X506" s="478"/>
      <c r="Y506" s="478"/>
      <c r="Z506" s="478"/>
      <c r="AA506" s="478"/>
      <c r="AB506" s="478"/>
      <c r="AC506" s="478"/>
      <c r="AD506" s="478"/>
      <c r="AE506" s="478"/>
      <c r="AF506" s="617"/>
      <c r="AG506" s="478"/>
      <c r="AH506" s="478"/>
      <c r="AI506" s="478"/>
      <c r="AJ506" s="478"/>
      <c r="AK506" s="478"/>
      <c r="AL506" s="478"/>
      <c r="AM506" s="478"/>
      <c r="AN506" s="478"/>
      <c r="AO506" s="478"/>
      <c r="AP506" s="478"/>
      <c r="AQ506" s="478"/>
      <c r="AR506" s="478"/>
      <c r="AS506" s="478"/>
      <c r="AT506" s="478"/>
      <c r="AU506" s="478"/>
      <c r="AV506" s="478"/>
      <c r="AW506" s="478"/>
      <c r="AX506" s="478"/>
      <c r="AY506" s="478"/>
      <c r="AZ506" s="478"/>
      <c r="BA506" s="478"/>
      <c r="BB506" s="478"/>
      <c r="BC506" s="478"/>
      <c r="BD506" s="478"/>
      <c r="BE506" s="478"/>
      <c r="BF506" s="478"/>
      <c r="BG506" s="478"/>
      <c r="BH506" s="478"/>
      <c r="BI506" s="478"/>
      <c r="BJ506" s="478"/>
    </row>
    <row r="507" spans="1:62" ht="15.75" customHeight="1">
      <c r="B507" s="475"/>
      <c r="C507" s="719"/>
      <c r="W507" s="478"/>
      <c r="X507" s="478"/>
      <c r="Y507" s="478"/>
      <c r="Z507" s="478"/>
      <c r="AA507" s="478"/>
      <c r="AB507" s="478"/>
      <c r="AC507" s="478"/>
      <c r="AD507" s="478"/>
      <c r="AE507" s="478"/>
      <c r="AF507" s="617"/>
      <c r="AG507" s="478"/>
      <c r="AH507" s="478"/>
      <c r="AI507" s="478"/>
      <c r="AJ507" s="478"/>
      <c r="AK507" s="478"/>
      <c r="AL507" s="478"/>
      <c r="AM507" s="478"/>
      <c r="AN507" s="478"/>
      <c r="AO507" s="478"/>
      <c r="AP507" s="478"/>
      <c r="AQ507" s="478"/>
      <c r="AR507" s="478"/>
      <c r="AS507" s="478"/>
      <c r="AT507" s="478"/>
      <c r="AU507" s="478"/>
      <c r="AV507" s="478"/>
      <c r="AW507" s="478"/>
      <c r="AX507" s="478"/>
      <c r="AY507" s="478"/>
      <c r="AZ507" s="478"/>
      <c r="BA507" s="478"/>
      <c r="BB507" s="478"/>
      <c r="BC507" s="478"/>
      <c r="BD507" s="478"/>
      <c r="BE507" s="478"/>
      <c r="BF507" s="478"/>
      <c r="BG507" s="478"/>
      <c r="BH507" s="478"/>
      <c r="BI507" s="478"/>
      <c r="BJ507" s="478"/>
    </row>
    <row r="508" spans="1:62" ht="15.75" customHeight="1">
      <c r="B508" s="475"/>
      <c r="C508" s="719"/>
      <c r="W508" s="478"/>
      <c r="X508" s="478"/>
      <c r="Y508" s="478"/>
      <c r="Z508" s="478"/>
      <c r="AA508" s="478"/>
      <c r="AB508" s="478"/>
      <c r="AC508" s="478"/>
      <c r="AD508" s="478"/>
      <c r="AE508" s="478"/>
      <c r="AF508" s="478"/>
      <c r="AG508" s="478"/>
      <c r="AH508" s="478"/>
      <c r="AI508" s="478"/>
      <c r="AJ508" s="478"/>
      <c r="AK508" s="478"/>
      <c r="AL508" s="478"/>
      <c r="AM508" s="478"/>
      <c r="AN508" s="478"/>
      <c r="AO508" s="478"/>
      <c r="AP508" s="478"/>
      <c r="AQ508" s="478"/>
      <c r="AR508" s="478"/>
      <c r="AS508" s="478"/>
      <c r="AT508" s="478"/>
      <c r="AU508" s="478"/>
      <c r="AV508" s="478"/>
      <c r="AW508" s="478"/>
      <c r="AX508" s="478"/>
      <c r="AY508" s="478"/>
      <c r="AZ508" s="478"/>
      <c r="BA508" s="478"/>
      <c r="BB508" s="478"/>
      <c r="BC508" s="478"/>
      <c r="BD508" s="478"/>
      <c r="BE508" s="478"/>
      <c r="BF508" s="478"/>
      <c r="BG508" s="478"/>
      <c r="BH508" s="478"/>
      <c r="BI508" s="478"/>
      <c r="BJ508" s="478"/>
    </row>
    <row r="509" spans="1:62" ht="15.75" customHeight="1">
      <c r="B509" s="475"/>
      <c r="C509" s="719"/>
      <c r="W509" s="764"/>
      <c r="X509" s="764"/>
      <c r="Y509" s="478"/>
      <c r="Z509" s="478"/>
      <c r="AA509" s="478"/>
      <c r="AB509" s="478"/>
      <c r="AC509" s="478"/>
      <c r="AD509" s="478"/>
      <c r="AE509" s="478"/>
      <c r="AF509" s="478"/>
      <c r="AG509" s="478"/>
      <c r="AH509" s="478"/>
      <c r="AI509" s="478"/>
      <c r="AJ509" s="478"/>
      <c r="AK509" s="478"/>
      <c r="AL509" s="478"/>
      <c r="AM509" s="478"/>
      <c r="AN509" s="478"/>
      <c r="AO509" s="478"/>
      <c r="AP509" s="478"/>
      <c r="AQ509" s="478"/>
      <c r="AR509" s="478"/>
      <c r="AS509" s="478"/>
      <c r="AT509" s="478"/>
      <c r="AU509" s="478"/>
      <c r="AV509" s="478"/>
      <c r="AW509" s="478"/>
      <c r="AX509" s="478"/>
      <c r="AY509" s="478"/>
      <c r="AZ509" s="478"/>
      <c r="BA509" s="478"/>
      <c r="BB509" s="478"/>
      <c r="BC509" s="478"/>
      <c r="BD509" s="478"/>
      <c r="BE509" s="478"/>
      <c r="BF509" s="478"/>
      <c r="BG509" s="478"/>
      <c r="BH509" s="478"/>
      <c r="BI509" s="478"/>
      <c r="BJ509" s="478"/>
    </row>
    <row r="510" spans="1:62" ht="15.75" customHeight="1">
      <c r="B510" s="475"/>
      <c r="C510" s="719"/>
      <c r="W510" s="764"/>
      <c r="X510" s="764"/>
      <c r="Y510" s="478"/>
      <c r="Z510" s="478"/>
      <c r="AA510" s="478"/>
      <c r="AB510" s="478"/>
      <c r="AC510" s="478"/>
      <c r="AD510" s="478"/>
      <c r="AE510" s="478"/>
      <c r="AF510" s="478"/>
      <c r="AG510" s="478"/>
      <c r="AH510" s="478"/>
      <c r="AI510" s="478"/>
      <c r="AJ510" s="478"/>
      <c r="AK510" s="478"/>
      <c r="AL510" s="478"/>
      <c r="AM510" s="478"/>
      <c r="AN510" s="478"/>
      <c r="AO510" s="478"/>
      <c r="AP510" s="478"/>
      <c r="AQ510" s="478"/>
      <c r="AR510" s="478"/>
      <c r="AS510" s="478"/>
      <c r="AT510" s="478"/>
      <c r="AU510" s="478"/>
      <c r="AV510" s="478"/>
      <c r="AW510" s="478"/>
      <c r="AX510" s="478"/>
      <c r="AY510" s="478"/>
      <c r="AZ510" s="478"/>
      <c r="BA510" s="478"/>
      <c r="BB510" s="478"/>
      <c r="BC510" s="478"/>
      <c r="BD510" s="478"/>
      <c r="BE510" s="478"/>
      <c r="BF510" s="478"/>
      <c r="BG510" s="478"/>
      <c r="BH510" s="478"/>
      <c r="BI510" s="478"/>
      <c r="BJ510" s="478"/>
    </row>
    <row r="511" spans="1:62" ht="15.75" customHeight="1">
      <c r="B511" s="475"/>
      <c r="C511" s="719"/>
      <c r="W511" s="764"/>
      <c r="X511" s="764"/>
      <c r="Y511" s="478"/>
      <c r="Z511" s="478"/>
      <c r="AA511" s="478"/>
      <c r="AB511" s="478"/>
      <c r="AC511" s="478"/>
      <c r="AD511" s="478"/>
      <c r="AE511" s="478"/>
      <c r="AF511" s="478"/>
      <c r="AG511" s="478"/>
      <c r="AH511" s="478"/>
      <c r="AI511" s="478"/>
      <c r="AJ511" s="478"/>
      <c r="AK511" s="478"/>
      <c r="AL511" s="478"/>
      <c r="AM511" s="478"/>
      <c r="AN511" s="478"/>
      <c r="AO511" s="478"/>
      <c r="AP511" s="478"/>
      <c r="AQ511" s="478"/>
      <c r="AR511" s="478"/>
      <c r="AS511" s="478"/>
      <c r="AT511" s="478"/>
      <c r="AU511" s="478"/>
      <c r="AV511" s="478"/>
      <c r="AW511" s="478"/>
      <c r="AX511" s="478"/>
      <c r="AY511" s="478"/>
      <c r="AZ511" s="478"/>
      <c r="BA511" s="478"/>
      <c r="BB511" s="478"/>
      <c r="BC511" s="478"/>
      <c r="BD511" s="478"/>
      <c r="BE511" s="478"/>
      <c r="BF511" s="478"/>
      <c r="BG511" s="478"/>
      <c r="BH511" s="478"/>
      <c r="BI511" s="478"/>
      <c r="BJ511" s="478"/>
    </row>
    <row r="512" spans="1:62" ht="15.75" customHeight="1">
      <c r="B512" s="475"/>
      <c r="C512" s="719"/>
      <c r="W512" s="764"/>
      <c r="X512" s="764"/>
      <c r="Y512" s="478"/>
      <c r="Z512" s="478"/>
      <c r="AA512" s="478"/>
      <c r="AB512" s="478"/>
      <c r="AC512" s="478"/>
      <c r="AD512" s="478"/>
      <c r="AE512" s="478"/>
      <c r="AF512" s="478"/>
      <c r="AG512" s="478"/>
      <c r="AH512" s="478"/>
      <c r="AI512" s="478"/>
      <c r="AJ512" s="478"/>
      <c r="AK512" s="478"/>
      <c r="AL512" s="478"/>
      <c r="AM512" s="478"/>
      <c r="AN512" s="478"/>
      <c r="AO512" s="478"/>
      <c r="AP512" s="478"/>
      <c r="AQ512" s="478"/>
      <c r="AR512" s="478"/>
      <c r="AS512" s="478"/>
      <c r="AT512" s="478"/>
      <c r="AU512" s="478"/>
      <c r="AV512" s="478"/>
      <c r="AW512" s="478"/>
      <c r="AX512" s="478"/>
      <c r="AY512" s="478"/>
      <c r="AZ512" s="478"/>
      <c r="BA512" s="478"/>
      <c r="BB512" s="478"/>
      <c r="BC512" s="478"/>
      <c r="BD512" s="478"/>
      <c r="BE512" s="478"/>
      <c r="BF512" s="478"/>
      <c r="BG512" s="478"/>
      <c r="BH512" s="478"/>
      <c r="BI512" s="478"/>
      <c r="BJ512" s="478"/>
    </row>
    <row r="513" spans="2:62" ht="15.75" customHeight="1">
      <c r="B513" s="475"/>
      <c r="C513" s="719"/>
      <c r="W513" s="764"/>
      <c r="X513" s="764"/>
      <c r="Y513" s="478"/>
      <c r="Z513" s="478"/>
      <c r="AA513" s="478"/>
      <c r="AB513" s="478"/>
      <c r="AC513" s="478"/>
      <c r="AD513" s="478"/>
      <c r="AE513" s="478"/>
      <c r="AF513" s="478"/>
      <c r="AG513" s="478"/>
      <c r="AH513" s="478"/>
      <c r="AI513" s="478"/>
      <c r="AJ513" s="478"/>
      <c r="AK513" s="478"/>
      <c r="AL513" s="478"/>
      <c r="AM513" s="478"/>
      <c r="AN513" s="478"/>
      <c r="AO513" s="478"/>
      <c r="AP513" s="478"/>
      <c r="AQ513" s="478"/>
      <c r="AR513" s="478"/>
      <c r="AS513" s="478"/>
      <c r="AT513" s="478"/>
      <c r="AU513" s="478"/>
      <c r="AV513" s="478"/>
      <c r="AW513" s="478"/>
      <c r="AX513" s="478"/>
      <c r="AY513" s="478"/>
      <c r="AZ513" s="478"/>
      <c r="BA513" s="478"/>
      <c r="BB513" s="478"/>
      <c r="BC513" s="478"/>
      <c r="BD513" s="478"/>
      <c r="BE513" s="478"/>
      <c r="BF513" s="478"/>
      <c r="BG513" s="478"/>
      <c r="BH513" s="478"/>
      <c r="BI513" s="478"/>
      <c r="BJ513" s="478"/>
    </row>
    <row r="514" spans="2:62" ht="15.75" customHeight="1">
      <c r="B514" s="475"/>
      <c r="C514" s="719"/>
      <c r="W514" s="764"/>
      <c r="X514" s="764"/>
      <c r="Y514" s="478"/>
      <c r="Z514" s="478"/>
      <c r="AA514" s="478"/>
      <c r="AB514" s="478"/>
      <c r="AC514" s="478"/>
      <c r="AD514" s="478"/>
      <c r="AE514" s="478"/>
      <c r="AF514" s="478"/>
      <c r="AG514" s="478"/>
      <c r="AH514" s="478"/>
      <c r="AI514" s="478"/>
      <c r="AJ514" s="478"/>
      <c r="AK514" s="478"/>
      <c r="AL514" s="478"/>
      <c r="AM514" s="478"/>
      <c r="AN514" s="478"/>
      <c r="AO514" s="478"/>
      <c r="AP514" s="478"/>
      <c r="AQ514" s="478"/>
      <c r="AR514" s="478"/>
      <c r="AS514" s="478"/>
      <c r="AT514" s="478"/>
      <c r="AU514" s="478"/>
      <c r="AV514" s="478"/>
      <c r="AW514" s="478"/>
      <c r="AX514" s="478"/>
      <c r="AY514" s="478"/>
      <c r="AZ514" s="478"/>
      <c r="BA514" s="478"/>
      <c r="BB514" s="478"/>
      <c r="BC514" s="478"/>
      <c r="BD514" s="478"/>
      <c r="BE514" s="478"/>
      <c r="BF514" s="478"/>
      <c r="BG514" s="478"/>
      <c r="BH514" s="478"/>
      <c r="BI514" s="478"/>
      <c r="BJ514" s="478"/>
    </row>
    <row r="515" spans="2:62" ht="15.75" customHeight="1">
      <c r="B515" s="475"/>
      <c r="W515" s="764"/>
      <c r="X515" s="764"/>
      <c r="Y515" s="478"/>
      <c r="Z515" s="478"/>
      <c r="AA515" s="478"/>
      <c r="AB515" s="478"/>
      <c r="AC515" s="478"/>
      <c r="AD515" s="478"/>
      <c r="AE515" s="478"/>
      <c r="AF515" s="478"/>
      <c r="AG515" s="478"/>
      <c r="AH515" s="478"/>
      <c r="AI515" s="478"/>
      <c r="AJ515" s="478"/>
      <c r="AK515" s="478"/>
      <c r="AL515" s="478"/>
      <c r="AM515" s="478"/>
      <c r="AN515" s="478"/>
      <c r="AO515" s="478"/>
      <c r="AP515" s="478"/>
      <c r="AQ515" s="478"/>
      <c r="AR515" s="478"/>
      <c r="AS515" s="478"/>
      <c r="AT515" s="478"/>
      <c r="AU515" s="478"/>
      <c r="AV515" s="478"/>
      <c r="AW515" s="478"/>
      <c r="AX515" s="478"/>
      <c r="AY515" s="478"/>
      <c r="AZ515" s="478"/>
      <c r="BA515" s="478"/>
      <c r="BB515" s="478"/>
      <c r="BC515" s="478"/>
      <c r="BD515" s="478"/>
      <c r="BE515" s="478"/>
      <c r="BF515" s="478"/>
      <c r="BG515" s="478"/>
      <c r="BH515" s="478"/>
      <c r="BI515" s="478"/>
      <c r="BJ515" s="478"/>
    </row>
    <row r="516" spans="2:62" ht="15.75" customHeight="1">
      <c r="B516" s="475"/>
      <c r="W516" s="764"/>
      <c r="X516" s="764"/>
      <c r="Y516" s="478"/>
      <c r="Z516" s="478"/>
      <c r="AA516" s="478"/>
      <c r="AB516" s="478"/>
      <c r="AC516" s="478"/>
      <c r="AD516" s="478"/>
      <c r="AE516" s="478"/>
      <c r="AF516" s="478"/>
      <c r="AG516" s="478"/>
      <c r="AH516" s="478"/>
      <c r="AI516" s="478"/>
      <c r="AJ516" s="478"/>
      <c r="AK516" s="478"/>
      <c r="AL516" s="478"/>
      <c r="AM516" s="478"/>
      <c r="AN516" s="478"/>
      <c r="AO516" s="478"/>
      <c r="AP516" s="478"/>
      <c r="AQ516" s="478"/>
      <c r="AR516" s="478"/>
      <c r="AS516" s="478"/>
      <c r="AT516" s="478"/>
      <c r="AU516" s="478"/>
      <c r="AV516" s="478"/>
      <c r="AW516" s="478"/>
      <c r="AX516" s="478"/>
      <c r="AY516" s="478"/>
      <c r="AZ516" s="478"/>
      <c r="BA516" s="478"/>
      <c r="BB516" s="478"/>
      <c r="BC516" s="478"/>
      <c r="BD516" s="478"/>
      <c r="BE516" s="478"/>
      <c r="BF516" s="478"/>
      <c r="BG516" s="478"/>
      <c r="BH516" s="478"/>
      <c r="BI516" s="478"/>
      <c r="BJ516" s="478"/>
    </row>
    <row r="517" spans="2:62" ht="15.75" customHeight="1">
      <c r="B517" s="475"/>
      <c r="W517" s="764"/>
      <c r="X517" s="764"/>
      <c r="Y517" s="478"/>
      <c r="Z517" s="478"/>
      <c r="AA517" s="478"/>
      <c r="AB517" s="478"/>
      <c r="AC517" s="478"/>
      <c r="AD517" s="478"/>
      <c r="AE517" s="478"/>
      <c r="AF517" s="478"/>
      <c r="AG517" s="478"/>
      <c r="AH517" s="478"/>
      <c r="AI517" s="478"/>
      <c r="AJ517" s="478"/>
      <c r="AK517" s="478"/>
      <c r="AL517" s="478"/>
      <c r="AM517" s="478"/>
      <c r="AN517" s="478"/>
      <c r="AO517" s="478"/>
      <c r="AP517" s="478"/>
      <c r="AQ517" s="478"/>
      <c r="AR517" s="478"/>
      <c r="AS517" s="478"/>
      <c r="AT517" s="478"/>
      <c r="AU517" s="478"/>
      <c r="AV517" s="478"/>
      <c r="AW517" s="478"/>
      <c r="AX517" s="478"/>
      <c r="AY517" s="478"/>
      <c r="AZ517" s="478"/>
      <c r="BA517" s="478"/>
      <c r="BB517" s="478"/>
      <c r="BC517" s="478"/>
      <c r="BD517" s="478"/>
      <c r="BE517" s="478"/>
      <c r="BF517" s="478"/>
      <c r="BG517" s="478"/>
      <c r="BH517" s="478"/>
      <c r="BI517" s="478"/>
      <c r="BJ517" s="478"/>
    </row>
    <row r="518" spans="2:62" ht="15.75" customHeight="1">
      <c r="B518" s="475"/>
      <c r="W518" s="764"/>
      <c r="X518" s="764"/>
      <c r="Y518" s="478"/>
      <c r="Z518" s="478"/>
      <c r="AA518" s="478"/>
      <c r="AB518" s="478"/>
      <c r="AC518" s="478"/>
      <c r="AD518" s="478"/>
      <c r="AE518" s="478"/>
      <c r="AF518" s="478"/>
      <c r="AG518" s="478"/>
      <c r="AH518" s="478"/>
      <c r="AI518" s="478"/>
      <c r="AJ518" s="478"/>
      <c r="AK518" s="478"/>
      <c r="AL518" s="478"/>
      <c r="AM518" s="478"/>
      <c r="AN518" s="478"/>
      <c r="AO518" s="478"/>
      <c r="AP518" s="478"/>
      <c r="AQ518" s="478"/>
      <c r="AR518" s="478"/>
      <c r="AS518" s="478"/>
      <c r="AT518" s="478"/>
      <c r="AU518" s="478"/>
      <c r="AV518" s="478"/>
      <c r="AW518" s="478"/>
      <c r="AX518" s="478"/>
      <c r="AY518" s="478"/>
      <c r="AZ518" s="478"/>
      <c r="BA518" s="478"/>
      <c r="BB518" s="478"/>
      <c r="BC518" s="478"/>
      <c r="BD518" s="478"/>
      <c r="BE518" s="478"/>
      <c r="BF518" s="478"/>
      <c r="BG518" s="478"/>
      <c r="BH518" s="478"/>
      <c r="BI518" s="478"/>
      <c r="BJ518" s="478"/>
    </row>
    <row r="519" spans="2:62" ht="15.75" customHeight="1">
      <c r="B519" s="475"/>
      <c r="W519" s="764"/>
      <c r="X519" s="764"/>
      <c r="Y519" s="478"/>
      <c r="Z519" s="478"/>
      <c r="AA519" s="478"/>
      <c r="AB519" s="478"/>
      <c r="AC519" s="478"/>
      <c r="AD519" s="478"/>
      <c r="AE519" s="478"/>
      <c r="AF519" s="478"/>
      <c r="AG519" s="478"/>
      <c r="AH519" s="478"/>
      <c r="AI519" s="478"/>
      <c r="AJ519" s="478"/>
      <c r="AK519" s="478"/>
      <c r="AL519" s="478"/>
      <c r="AM519" s="478"/>
      <c r="AN519" s="478"/>
      <c r="AO519" s="478"/>
      <c r="AP519" s="478"/>
      <c r="AQ519" s="478"/>
      <c r="AR519" s="478"/>
      <c r="AS519" s="478"/>
      <c r="AT519" s="478"/>
      <c r="AU519" s="478"/>
      <c r="AV519" s="478"/>
      <c r="AW519" s="478"/>
      <c r="AX519" s="478"/>
      <c r="AY519" s="478"/>
      <c r="AZ519" s="478"/>
      <c r="BA519" s="478"/>
      <c r="BB519" s="478"/>
      <c r="BC519" s="478"/>
      <c r="BD519" s="478"/>
      <c r="BE519" s="478"/>
      <c r="BF519" s="478"/>
      <c r="BG519" s="478"/>
      <c r="BH519" s="478"/>
      <c r="BI519" s="478"/>
      <c r="BJ519" s="478"/>
    </row>
    <row r="520" spans="2:62" ht="15.75" customHeight="1">
      <c r="B520" s="475"/>
      <c r="W520" s="764"/>
      <c r="X520" s="764"/>
      <c r="Y520" s="478"/>
      <c r="Z520" s="478"/>
      <c r="AA520" s="478"/>
      <c r="AB520" s="478"/>
      <c r="AC520" s="478"/>
      <c r="AD520" s="478"/>
      <c r="AE520" s="478"/>
      <c r="AF520" s="478"/>
      <c r="AG520" s="478"/>
      <c r="AH520" s="478"/>
      <c r="AI520" s="478"/>
      <c r="AJ520" s="478"/>
      <c r="AK520" s="478"/>
      <c r="AL520" s="478"/>
      <c r="AM520" s="478"/>
      <c r="AN520" s="478"/>
      <c r="AO520" s="478"/>
      <c r="AP520" s="478"/>
      <c r="AQ520" s="478"/>
      <c r="AR520" s="478"/>
      <c r="AS520" s="478"/>
      <c r="AT520" s="478"/>
      <c r="AU520" s="478"/>
      <c r="AV520" s="478"/>
      <c r="AW520" s="478"/>
      <c r="AX520" s="478"/>
      <c r="AY520" s="478"/>
      <c r="AZ520" s="478"/>
      <c r="BA520" s="478"/>
      <c r="BB520" s="478"/>
      <c r="BC520" s="478"/>
      <c r="BD520" s="478"/>
      <c r="BE520" s="478"/>
      <c r="BF520" s="478"/>
      <c r="BG520" s="478"/>
      <c r="BH520" s="478"/>
      <c r="BI520" s="478"/>
      <c r="BJ520" s="478"/>
    </row>
    <row r="521" spans="2:62" ht="15.75" customHeight="1">
      <c r="B521" s="475"/>
      <c r="W521" s="764"/>
      <c r="X521" s="764"/>
      <c r="Y521" s="478"/>
      <c r="Z521" s="478"/>
      <c r="AA521" s="478"/>
      <c r="AB521" s="478"/>
      <c r="AC521" s="478"/>
      <c r="AD521" s="478"/>
      <c r="AE521" s="478"/>
      <c r="AF521" s="478"/>
      <c r="AG521" s="478"/>
      <c r="AH521" s="478"/>
      <c r="AI521" s="478"/>
      <c r="AJ521" s="478"/>
      <c r="AK521" s="478"/>
      <c r="AL521" s="478"/>
      <c r="AM521" s="478"/>
      <c r="AN521" s="478"/>
      <c r="AO521" s="478"/>
      <c r="AP521" s="478"/>
      <c r="AQ521" s="478"/>
      <c r="AR521" s="478"/>
      <c r="AS521" s="478"/>
      <c r="AT521" s="478"/>
      <c r="AU521" s="478"/>
      <c r="AV521" s="478"/>
      <c r="AW521" s="478"/>
      <c r="AX521" s="478"/>
      <c r="AY521" s="478"/>
      <c r="AZ521" s="478"/>
      <c r="BA521" s="478"/>
      <c r="BB521" s="478"/>
      <c r="BC521" s="478"/>
      <c r="BD521" s="478"/>
      <c r="BE521" s="478"/>
      <c r="BF521" s="478"/>
      <c r="BG521" s="478"/>
      <c r="BH521" s="478"/>
      <c r="BI521" s="478"/>
      <c r="BJ521" s="478"/>
    </row>
    <row r="522" spans="2:62" ht="15.75" customHeight="1">
      <c r="B522" s="475"/>
      <c r="W522" s="764"/>
      <c r="X522" s="764"/>
      <c r="Y522" s="478"/>
      <c r="Z522" s="478"/>
      <c r="AA522" s="478"/>
      <c r="AB522" s="478"/>
      <c r="AC522" s="478"/>
      <c r="AD522" s="478"/>
      <c r="AE522" s="478"/>
      <c r="AF522" s="478"/>
      <c r="AG522" s="478"/>
      <c r="AH522" s="478"/>
      <c r="AI522" s="478"/>
      <c r="AJ522" s="478"/>
      <c r="AK522" s="478"/>
      <c r="AL522" s="478"/>
      <c r="AM522" s="478"/>
      <c r="AN522" s="478"/>
      <c r="AO522" s="478"/>
      <c r="AP522" s="478"/>
      <c r="AQ522" s="478"/>
      <c r="AR522" s="478"/>
      <c r="AS522" s="478"/>
      <c r="AT522" s="478"/>
      <c r="AU522" s="478"/>
      <c r="AV522" s="478"/>
      <c r="AW522" s="478"/>
      <c r="AX522" s="478"/>
      <c r="AY522" s="478"/>
      <c r="AZ522" s="478"/>
      <c r="BA522" s="478"/>
      <c r="BB522" s="478"/>
      <c r="BC522" s="478"/>
      <c r="BD522" s="478"/>
      <c r="BE522" s="478"/>
      <c r="BF522" s="478"/>
      <c r="BG522" s="478"/>
      <c r="BH522" s="478"/>
      <c r="BI522" s="478"/>
      <c r="BJ522" s="478"/>
    </row>
    <row r="523" spans="2:62" ht="15.75" customHeight="1">
      <c r="B523" s="475"/>
      <c r="W523" s="764"/>
      <c r="X523" s="764"/>
      <c r="Y523" s="478"/>
      <c r="Z523" s="478"/>
      <c r="AA523" s="478"/>
      <c r="AB523" s="478"/>
      <c r="AC523" s="478"/>
      <c r="AD523" s="478"/>
      <c r="AE523" s="478"/>
      <c r="AF523" s="478"/>
      <c r="AG523" s="478"/>
      <c r="AH523" s="478"/>
      <c r="AI523" s="478"/>
      <c r="AJ523" s="478"/>
      <c r="AK523" s="478"/>
      <c r="AL523" s="478"/>
      <c r="AM523" s="478"/>
      <c r="AN523" s="478"/>
      <c r="AO523" s="478"/>
      <c r="AP523" s="478"/>
      <c r="AQ523" s="478"/>
      <c r="AR523" s="478"/>
      <c r="AS523" s="478"/>
      <c r="AT523" s="478"/>
      <c r="AU523" s="478"/>
      <c r="AV523" s="478"/>
      <c r="AW523" s="478"/>
      <c r="AX523" s="478"/>
      <c r="AY523" s="478"/>
      <c r="AZ523" s="478"/>
      <c r="BA523" s="478"/>
      <c r="BB523" s="478"/>
      <c r="BC523" s="478"/>
      <c r="BD523" s="478"/>
      <c r="BE523" s="478"/>
      <c r="BF523" s="478"/>
      <c r="BG523" s="478"/>
      <c r="BH523" s="478"/>
      <c r="BI523" s="478"/>
      <c r="BJ523" s="478"/>
    </row>
    <row r="524" spans="2:62" ht="15.75" customHeight="1">
      <c r="B524" s="475"/>
      <c r="C524" s="719"/>
      <c r="W524" s="764"/>
      <c r="X524" s="764"/>
      <c r="Y524" s="478"/>
      <c r="Z524" s="478"/>
      <c r="AA524" s="478"/>
      <c r="AB524" s="478"/>
      <c r="AC524" s="478"/>
      <c r="AD524" s="478"/>
      <c r="AE524" s="478"/>
      <c r="AF524" s="478"/>
      <c r="AG524" s="478"/>
      <c r="AH524" s="478"/>
      <c r="AI524" s="478"/>
      <c r="AJ524" s="478"/>
      <c r="AK524" s="478"/>
      <c r="AL524" s="478"/>
      <c r="AM524" s="478"/>
      <c r="AN524" s="478"/>
      <c r="AO524" s="478"/>
      <c r="AP524" s="478"/>
      <c r="AQ524" s="478"/>
      <c r="AR524" s="478"/>
      <c r="AS524" s="478"/>
      <c r="AT524" s="478"/>
      <c r="AU524" s="478"/>
      <c r="AV524" s="478"/>
      <c r="AW524" s="478"/>
      <c r="AX524" s="478"/>
      <c r="AY524" s="478"/>
      <c r="AZ524" s="478"/>
      <c r="BA524" s="478"/>
      <c r="BB524" s="478"/>
      <c r="BC524" s="478"/>
      <c r="BD524" s="478"/>
      <c r="BE524" s="478"/>
      <c r="BF524" s="478"/>
      <c r="BG524" s="478"/>
      <c r="BH524" s="478"/>
      <c r="BI524" s="478"/>
      <c r="BJ524" s="478"/>
    </row>
    <row r="525" spans="2:62" ht="15.75" customHeight="1">
      <c r="B525" s="475"/>
      <c r="C525" s="719"/>
      <c r="W525" s="764"/>
      <c r="X525" s="764"/>
      <c r="Y525" s="478"/>
      <c r="Z525" s="478"/>
      <c r="AA525" s="478"/>
      <c r="AB525" s="478"/>
      <c r="AC525" s="478"/>
      <c r="AD525" s="478"/>
      <c r="AE525" s="478"/>
      <c r="AF525" s="478"/>
      <c r="AG525" s="478"/>
      <c r="AH525" s="478"/>
      <c r="AI525" s="478"/>
      <c r="AJ525" s="478"/>
      <c r="AK525" s="478"/>
      <c r="AL525" s="478"/>
      <c r="AM525" s="478"/>
      <c r="AN525" s="478"/>
      <c r="AO525" s="478"/>
      <c r="AP525" s="478"/>
      <c r="AQ525" s="478"/>
      <c r="AR525" s="478"/>
      <c r="AS525" s="478"/>
      <c r="AT525" s="478"/>
      <c r="AU525" s="478"/>
      <c r="AV525" s="478"/>
      <c r="AW525" s="478"/>
      <c r="AX525" s="478"/>
      <c r="AY525" s="478"/>
      <c r="AZ525" s="478"/>
      <c r="BA525" s="478"/>
      <c r="BB525" s="478"/>
      <c r="BC525" s="478"/>
      <c r="BD525" s="478"/>
      <c r="BE525" s="478"/>
      <c r="BF525" s="478"/>
      <c r="BG525" s="478"/>
      <c r="BH525" s="478"/>
      <c r="BI525" s="478"/>
      <c r="BJ525" s="478"/>
    </row>
    <row r="526" spans="2:62" ht="15.75" customHeight="1">
      <c r="B526" s="475"/>
      <c r="C526" s="719"/>
      <c r="W526" s="764"/>
      <c r="X526" s="764"/>
      <c r="Y526" s="478"/>
      <c r="Z526" s="478"/>
      <c r="AA526" s="478"/>
      <c r="AB526" s="478"/>
      <c r="AC526" s="478"/>
      <c r="AD526" s="478"/>
      <c r="AE526" s="478"/>
      <c r="AF526" s="478"/>
      <c r="AG526" s="478"/>
      <c r="AH526" s="478"/>
      <c r="AI526" s="478"/>
      <c r="AJ526" s="478"/>
      <c r="AK526" s="478"/>
      <c r="AL526" s="478"/>
      <c r="AM526" s="478"/>
      <c r="AN526" s="478"/>
      <c r="AO526" s="478"/>
      <c r="AP526" s="478"/>
      <c r="AQ526" s="478"/>
      <c r="AR526" s="478"/>
      <c r="AS526" s="478"/>
      <c r="AT526" s="478"/>
      <c r="AU526" s="478"/>
      <c r="AV526" s="478"/>
      <c r="AW526" s="478"/>
      <c r="AX526" s="478"/>
      <c r="AY526" s="478"/>
      <c r="AZ526" s="478"/>
      <c r="BA526" s="478"/>
      <c r="BB526" s="478"/>
      <c r="BC526" s="478"/>
      <c r="BD526" s="478"/>
      <c r="BE526" s="478"/>
      <c r="BF526" s="478"/>
      <c r="BG526" s="478"/>
      <c r="BH526" s="478"/>
      <c r="BI526" s="478"/>
      <c r="BJ526" s="478"/>
    </row>
    <row r="527" spans="2:62" ht="15.75" customHeight="1">
      <c r="B527" s="475"/>
      <c r="C527" s="719"/>
      <c r="W527" s="764"/>
      <c r="X527" s="764"/>
      <c r="Y527" s="478"/>
      <c r="Z527" s="478"/>
      <c r="AA527" s="478"/>
      <c r="AB527" s="478"/>
      <c r="AC527" s="478"/>
      <c r="AD527" s="478"/>
      <c r="AE527" s="478"/>
      <c r="AF527" s="478"/>
      <c r="AG527" s="478"/>
      <c r="AH527" s="478"/>
      <c r="AI527" s="478"/>
      <c r="AJ527" s="478"/>
      <c r="AK527" s="478"/>
      <c r="AL527" s="478"/>
      <c r="AM527" s="478"/>
      <c r="AN527" s="478"/>
      <c r="AO527" s="478"/>
      <c r="AP527" s="478"/>
      <c r="AQ527" s="478"/>
      <c r="AR527" s="478"/>
      <c r="AS527" s="478"/>
      <c r="AT527" s="478"/>
      <c r="AU527" s="478"/>
      <c r="AV527" s="478"/>
      <c r="AW527" s="478"/>
      <c r="AX527" s="478"/>
      <c r="AY527" s="478"/>
      <c r="AZ527" s="478"/>
      <c r="BA527" s="478"/>
      <c r="BB527" s="478"/>
      <c r="BC527" s="478"/>
      <c r="BD527" s="478"/>
      <c r="BE527" s="478"/>
      <c r="BF527" s="478"/>
      <c r="BG527" s="478"/>
      <c r="BH527" s="478"/>
      <c r="BI527" s="478"/>
      <c r="BJ527" s="478"/>
    </row>
    <row r="528" spans="2:62" ht="15.75" customHeight="1">
      <c r="B528" s="475"/>
      <c r="C528" s="719"/>
      <c r="W528" s="764"/>
      <c r="X528" s="764"/>
      <c r="Y528" s="478"/>
      <c r="Z528" s="478"/>
      <c r="AA528" s="478"/>
      <c r="AB528" s="478"/>
      <c r="AC528" s="478"/>
      <c r="AD528" s="478"/>
      <c r="AE528" s="478"/>
      <c r="AF528" s="478"/>
      <c r="AG528" s="478"/>
      <c r="AH528" s="478"/>
      <c r="AI528" s="478"/>
      <c r="AJ528" s="478"/>
      <c r="AK528" s="478"/>
      <c r="AL528" s="478"/>
      <c r="AM528" s="478"/>
      <c r="AN528" s="478"/>
      <c r="AO528" s="478"/>
      <c r="AP528" s="478"/>
      <c r="AQ528" s="478"/>
      <c r="AR528" s="478"/>
      <c r="AS528" s="478"/>
      <c r="AT528" s="478"/>
      <c r="AU528" s="478"/>
      <c r="AV528" s="478"/>
      <c r="AW528" s="478"/>
      <c r="AX528" s="478"/>
      <c r="AY528" s="478"/>
      <c r="AZ528" s="478"/>
      <c r="BA528" s="478"/>
      <c r="BB528" s="478"/>
      <c r="BC528" s="478"/>
      <c r="BD528" s="478"/>
      <c r="BE528" s="478"/>
      <c r="BF528" s="478"/>
      <c r="BG528" s="478"/>
      <c r="BH528" s="478"/>
      <c r="BI528" s="478"/>
      <c r="BJ528" s="478"/>
    </row>
    <row r="529" spans="2:62" ht="15.75" customHeight="1">
      <c r="B529" s="475"/>
      <c r="C529" s="719"/>
      <c r="W529" s="764"/>
      <c r="X529" s="764"/>
      <c r="Y529" s="478"/>
      <c r="Z529" s="478"/>
      <c r="AA529" s="478"/>
      <c r="AB529" s="478"/>
      <c r="AC529" s="478"/>
      <c r="AD529" s="478"/>
      <c r="AE529" s="478"/>
      <c r="AF529" s="478"/>
      <c r="AG529" s="478"/>
      <c r="AH529" s="478"/>
      <c r="AI529" s="478"/>
      <c r="AJ529" s="478"/>
      <c r="AK529" s="478"/>
      <c r="AL529" s="478"/>
      <c r="AM529" s="478"/>
      <c r="AN529" s="478"/>
      <c r="AO529" s="478"/>
      <c r="AP529" s="478"/>
      <c r="AQ529" s="478"/>
      <c r="AR529" s="478"/>
      <c r="AS529" s="478"/>
      <c r="AT529" s="478"/>
      <c r="AU529" s="478"/>
      <c r="AV529" s="478"/>
      <c r="AW529" s="478"/>
      <c r="AX529" s="478"/>
      <c r="AY529" s="478"/>
      <c r="AZ529" s="478"/>
      <c r="BA529" s="478"/>
      <c r="BB529" s="478"/>
      <c r="BC529" s="478"/>
      <c r="BD529" s="478"/>
      <c r="BE529" s="478"/>
      <c r="BF529" s="478"/>
      <c r="BG529" s="478"/>
      <c r="BH529" s="478"/>
      <c r="BI529" s="478"/>
      <c r="BJ529" s="478"/>
    </row>
    <row r="530" spans="2:62" ht="15.75" customHeight="1">
      <c r="B530" s="475"/>
      <c r="C530" s="719"/>
      <c r="W530" s="764"/>
      <c r="X530" s="764"/>
      <c r="Y530" s="478"/>
      <c r="Z530" s="478"/>
      <c r="AA530" s="478"/>
      <c r="AB530" s="478"/>
      <c r="AC530" s="478"/>
      <c r="AD530" s="478"/>
      <c r="AE530" s="478"/>
      <c r="AF530" s="478"/>
      <c r="AG530" s="478"/>
      <c r="AH530" s="478"/>
      <c r="AI530" s="478"/>
      <c r="AJ530" s="478"/>
      <c r="AK530" s="478"/>
      <c r="AL530" s="478"/>
      <c r="AM530" s="478"/>
      <c r="AN530" s="478"/>
      <c r="AO530" s="478"/>
      <c r="AP530" s="478"/>
      <c r="AQ530" s="478"/>
      <c r="AR530" s="478"/>
      <c r="AS530" s="478"/>
      <c r="AT530" s="478"/>
      <c r="AU530" s="478"/>
      <c r="AV530" s="478"/>
      <c r="AW530" s="478"/>
      <c r="AX530" s="478"/>
      <c r="AY530" s="478"/>
      <c r="AZ530" s="478"/>
      <c r="BA530" s="478"/>
      <c r="BB530" s="478"/>
      <c r="BC530" s="478"/>
      <c r="BD530" s="478"/>
      <c r="BE530" s="478"/>
      <c r="BF530" s="478"/>
      <c r="BG530" s="478"/>
      <c r="BH530" s="478"/>
      <c r="BI530" s="478"/>
      <c r="BJ530" s="478"/>
    </row>
    <row r="531" spans="2:62" ht="15.75" customHeight="1">
      <c r="B531" s="475"/>
      <c r="C531" s="719"/>
      <c r="W531" s="764"/>
      <c r="X531" s="764"/>
      <c r="Y531" s="478"/>
      <c r="Z531" s="478"/>
      <c r="AA531" s="478"/>
      <c r="AB531" s="478"/>
      <c r="AC531" s="478"/>
      <c r="AD531" s="478"/>
      <c r="AE531" s="478"/>
      <c r="AF531" s="478"/>
      <c r="AG531" s="478"/>
      <c r="AH531" s="478"/>
      <c r="AI531" s="478"/>
      <c r="AJ531" s="478"/>
      <c r="AK531" s="478"/>
      <c r="AL531" s="478"/>
      <c r="AM531" s="478"/>
      <c r="AN531" s="478"/>
      <c r="AO531" s="478"/>
      <c r="AP531" s="478"/>
      <c r="AQ531" s="478"/>
      <c r="AR531" s="478"/>
      <c r="AS531" s="478"/>
      <c r="AT531" s="478"/>
      <c r="AU531" s="478"/>
      <c r="AV531" s="478"/>
      <c r="AW531" s="478"/>
      <c r="AX531" s="478"/>
      <c r="AY531" s="478"/>
      <c r="AZ531" s="478"/>
      <c r="BA531" s="478"/>
      <c r="BB531" s="478"/>
      <c r="BC531" s="478"/>
      <c r="BD531" s="478"/>
      <c r="BE531" s="478"/>
      <c r="BF531" s="478"/>
      <c r="BG531" s="478"/>
      <c r="BH531" s="478"/>
      <c r="BI531" s="478"/>
      <c r="BJ531" s="478"/>
    </row>
    <row r="532" spans="2:62" ht="15.75" customHeight="1">
      <c r="B532" s="475"/>
      <c r="C532" s="719"/>
      <c r="W532" s="764"/>
      <c r="X532" s="764"/>
      <c r="Y532" s="478"/>
      <c r="Z532" s="478"/>
      <c r="AA532" s="478"/>
      <c r="AB532" s="478"/>
      <c r="AC532" s="478"/>
      <c r="AD532" s="478"/>
      <c r="AE532" s="478"/>
      <c r="AF532" s="478"/>
      <c r="AG532" s="478"/>
      <c r="AH532" s="478"/>
      <c r="AI532" s="478"/>
      <c r="AJ532" s="478"/>
      <c r="AK532" s="478"/>
      <c r="AL532" s="478"/>
      <c r="AM532" s="478"/>
      <c r="AN532" s="478"/>
      <c r="AO532" s="478"/>
      <c r="AP532" s="478"/>
      <c r="AQ532" s="478"/>
      <c r="AR532" s="478"/>
      <c r="AS532" s="478"/>
      <c r="AT532" s="478"/>
      <c r="AU532" s="478"/>
      <c r="AV532" s="478"/>
      <c r="AW532" s="478"/>
      <c r="AX532" s="478"/>
      <c r="AY532" s="478"/>
      <c r="AZ532" s="478"/>
      <c r="BA532" s="478"/>
      <c r="BB532" s="478"/>
      <c r="BC532" s="478"/>
      <c r="BD532" s="478"/>
      <c r="BE532" s="478"/>
      <c r="BF532" s="478"/>
      <c r="BG532" s="478"/>
      <c r="BH532" s="478"/>
      <c r="BI532" s="478"/>
      <c r="BJ532" s="478"/>
    </row>
    <row r="533" spans="2:62" ht="15.75" customHeight="1">
      <c r="B533" s="475"/>
      <c r="C533" s="719"/>
      <c r="W533" s="764"/>
      <c r="X533" s="764"/>
      <c r="Y533" s="478"/>
      <c r="Z533" s="478"/>
      <c r="AA533" s="478"/>
      <c r="AB533" s="478"/>
      <c r="AC533" s="478"/>
      <c r="AD533" s="478"/>
      <c r="AE533" s="478"/>
      <c r="AF533" s="478"/>
      <c r="AG533" s="478"/>
      <c r="AH533" s="478"/>
      <c r="AI533" s="478"/>
      <c r="AJ533" s="478"/>
      <c r="AK533" s="478"/>
      <c r="AL533" s="478"/>
      <c r="AM533" s="478"/>
      <c r="AN533" s="478"/>
      <c r="AO533" s="478"/>
      <c r="AP533" s="478"/>
      <c r="AQ533" s="478"/>
      <c r="AR533" s="478"/>
      <c r="AS533" s="478"/>
      <c r="AT533" s="478"/>
      <c r="AU533" s="478"/>
      <c r="AV533" s="478"/>
      <c r="AW533" s="478"/>
      <c r="AX533" s="478"/>
      <c r="AY533" s="478"/>
      <c r="AZ533" s="478"/>
      <c r="BA533" s="478"/>
      <c r="BB533" s="478"/>
      <c r="BC533" s="478"/>
      <c r="BD533" s="478"/>
      <c r="BE533" s="478"/>
      <c r="BF533" s="478"/>
      <c r="BG533" s="478"/>
      <c r="BH533" s="478"/>
      <c r="BI533" s="478"/>
      <c r="BJ533" s="478"/>
    </row>
    <row r="534" spans="2:62" ht="15.75" customHeight="1">
      <c r="B534" s="475"/>
      <c r="W534" s="764"/>
      <c r="X534" s="764"/>
      <c r="Y534" s="478"/>
      <c r="Z534" s="478"/>
      <c r="AA534" s="478"/>
      <c r="AB534" s="478"/>
      <c r="AC534" s="478"/>
      <c r="AD534" s="478"/>
      <c r="AE534" s="478"/>
      <c r="AF534" s="478"/>
      <c r="AG534" s="478"/>
      <c r="AH534" s="478"/>
      <c r="AI534" s="478"/>
      <c r="AJ534" s="478"/>
      <c r="AK534" s="478"/>
      <c r="AL534" s="478"/>
      <c r="AM534" s="478"/>
      <c r="AN534" s="478"/>
      <c r="AO534" s="478"/>
      <c r="AP534" s="478"/>
      <c r="AQ534" s="478"/>
      <c r="AR534" s="478"/>
      <c r="AS534" s="478"/>
      <c r="AT534" s="478"/>
      <c r="AU534" s="478"/>
      <c r="AV534" s="478"/>
      <c r="AW534" s="478"/>
      <c r="AX534" s="478"/>
      <c r="AY534" s="478"/>
      <c r="AZ534" s="478"/>
      <c r="BA534" s="478"/>
      <c r="BB534" s="478"/>
      <c r="BC534" s="478"/>
      <c r="BD534" s="478"/>
      <c r="BE534" s="478"/>
      <c r="BF534" s="478"/>
      <c r="BG534" s="478"/>
      <c r="BH534" s="478"/>
      <c r="BI534" s="478"/>
      <c r="BJ534" s="478"/>
    </row>
    <row r="535" spans="2:62" ht="15.75" customHeight="1">
      <c r="B535" s="475"/>
      <c r="W535" s="764"/>
      <c r="X535" s="764"/>
      <c r="Y535" s="478"/>
      <c r="Z535" s="478"/>
      <c r="AA535" s="478"/>
      <c r="AB535" s="478"/>
      <c r="AC535" s="478"/>
      <c r="AD535" s="478"/>
      <c r="AE535" s="478"/>
      <c r="AF535" s="478"/>
      <c r="AG535" s="478"/>
      <c r="AH535" s="478"/>
      <c r="AI535" s="478"/>
      <c r="AJ535" s="478"/>
      <c r="AK535" s="478"/>
      <c r="AL535" s="478"/>
      <c r="AM535" s="478"/>
      <c r="AN535" s="478"/>
      <c r="AO535" s="478"/>
      <c r="AP535" s="478"/>
      <c r="AQ535" s="478"/>
      <c r="AR535" s="478"/>
      <c r="AS535" s="478"/>
      <c r="AT535" s="478"/>
      <c r="AU535" s="478"/>
      <c r="AV535" s="478"/>
      <c r="AW535" s="478"/>
      <c r="AX535" s="478"/>
      <c r="AY535" s="478"/>
      <c r="AZ535" s="478"/>
      <c r="BA535" s="478"/>
      <c r="BB535" s="478"/>
      <c r="BC535" s="478"/>
      <c r="BD535" s="478"/>
      <c r="BE535" s="478"/>
      <c r="BF535" s="478"/>
      <c r="BG535" s="478"/>
      <c r="BH535" s="478"/>
      <c r="BI535" s="478"/>
      <c r="BJ535" s="478"/>
    </row>
    <row r="536" spans="2:62" ht="15.75" customHeight="1">
      <c r="B536" s="475"/>
      <c r="W536" s="764"/>
      <c r="X536" s="764"/>
      <c r="Y536" s="478"/>
      <c r="Z536" s="478"/>
      <c r="AA536" s="478"/>
      <c r="AB536" s="478"/>
      <c r="AC536" s="478"/>
      <c r="AD536" s="478"/>
      <c r="AE536" s="478"/>
      <c r="AF536" s="478"/>
      <c r="AG536" s="478"/>
      <c r="AH536" s="478"/>
      <c r="AI536" s="478"/>
      <c r="AJ536" s="478"/>
      <c r="AK536" s="478"/>
      <c r="AL536" s="478"/>
      <c r="AM536" s="478"/>
      <c r="AN536" s="478"/>
      <c r="AO536" s="478"/>
      <c r="AP536" s="478"/>
      <c r="AQ536" s="478"/>
      <c r="AR536" s="478"/>
      <c r="AS536" s="478"/>
      <c r="AT536" s="478"/>
      <c r="AU536" s="478"/>
      <c r="AV536" s="478"/>
      <c r="AW536" s="478"/>
      <c r="AX536" s="478"/>
      <c r="AY536" s="478"/>
      <c r="AZ536" s="478"/>
      <c r="BA536" s="478"/>
      <c r="BB536" s="478"/>
      <c r="BC536" s="478"/>
      <c r="BD536" s="478"/>
      <c r="BE536" s="478"/>
      <c r="BF536" s="478"/>
      <c r="BG536" s="478"/>
      <c r="BH536" s="478"/>
      <c r="BI536" s="478"/>
      <c r="BJ536" s="478"/>
    </row>
    <row r="537" spans="2:62" ht="15.75" customHeight="1">
      <c r="B537" s="475"/>
      <c r="W537" s="764"/>
      <c r="X537" s="764"/>
      <c r="Y537" s="478"/>
      <c r="Z537" s="478"/>
      <c r="AA537" s="478"/>
      <c r="AB537" s="478"/>
      <c r="AC537" s="478"/>
      <c r="AD537" s="478"/>
      <c r="AE537" s="478"/>
      <c r="AF537" s="478"/>
      <c r="AG537" s="478"/>
      <c r="AH537" s="478"/>
      <c r="AI537" s="478"/>
      <c r="AJ537" s="478"/>
      <c r="AK537" s="478"/>
      <c r="AL537" s="478"/>
      <c r="AM537" s="478"/>
      <c r="AN537" s="478"/>
      <c r="AO537" s="478"/>
      <c r="AP537" s="478"/>
      <c r="AQ537" s="478"/>
      <c r="AR537" s="478"/>
      <c r="AS537" s="478"/>
      <c r="AT537" s="478"/>
      <c r="AU537" s="478"/>
      <c r="AV537" s="478"/>
      <c r="AW537" s="478"/>
      <c r="AX537" s="478"/>
      <c r="AY537" s="478"/>
      <c r="AZ537" s="478"/>
      <c r="BA537" s="478"/>
      <c r="BB537" s="478"/>
      <c r="BC537" s="478"/>
      <c r="BD537" s="478"/>
      <c r="BE537" s="478"/>
      <c r="BF537" s="478"/>
      <c r="BG537" s="478"/>
      <c r="BH537" s="478"/>
      <c r="BI537" s="478"/>
      <c r="BJ537" s="47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121" priority="60" stopIfTrue="1">
      <formula>"esterreur(reference)"</formula>
    </cfRule>
  </conditionalFormatting>
  <conditionalFormatting sqref="D171:D180">
    <cfRule type="expression" dxfId="120" priority="57" stopIfTrue="1">
      <formula>"esterreur(reference)"</formula>
    </cfRule>
  </conditionalFormatting>
  <conditionalFormatting sqref="D399">
    <cfRule type="expression" dxfId="119" priority="1" stopIfTrue="1">
      <formula>"esterreur(reference)"</formula>
    </cfRule>
  </conditionalFormatting>
  <conditionalFormatting sqref="E185">
    <cfRule type="expression" dxfId="118" priority="58" stopIfTrue="1">
      <formula>"esterreur(reference)"</formula>
    </cfRule>
  </conditionalFormatting>
  <conditionalFormatting sqref="F5">
    <cfRule type="expression" dxfId="117" priority="55" stopIfTrue="1">
      <formula>"esterreur(reference)"</formula>
    </cfRule>
  </conditionalFormatting>
  <conditionalFormatting sqref="F83:F85">
    <cfRule type="expression" dxfId="116" priority="54" stopIfTrue="1">
      <formula>"esterreur(reference)"</formula>
    </cfRule>
  </conditionalFormatting>
  <conditionalFormatting sqref="F100">
    <cfRule type="expression" dxfId="115" priority="59" stopIfTrue="1">
      <formula>"esterreur(reference)"</formula>
    </cfRule>
  </conditionalFormatting>
  <conditionalFormatting sqref="F183">
    <cfRule type="expression" dxfId="114" priority="23" stopIfTrue="1">
      <formula>"esterreur(reference)"</formula>
    </cfRule>
  </conditionalFormatting>
  <conditionalFormatting sqref="G31:G32">
    <cfRule type="expression" dxfId="113" priority="52" stopIfTrue="1">
      <formula>"esterreur(reference)"</formula>
    </cfRule>
  </conditionalFormatting>
  <conditionalFormatting sqref="G111:G112">
    <cfRule type="expression" dxfId="112" priority="49" stopIfTrue="1">
      <formula>"esterreur(reference)"</formula>
    </cfRule>
  </conditionalFormatting>
  <conditionalFormatting sqref="G171:G180">
    <cfRule type="expression" dxfId="111" priority="56" stopIfTrue="1">
      <formula>"esterreur(reference)"</formula>
    </cfRule>
  </conditionalFormatting>
  <conditionalFormatting sqref="H25:H26 H28:H72">
    <cfRule type="expression" dxfId="110" priority="51" stopIfTrue="1">
      <formula>"esterreur(reference)"</formula>
    </cfRule>
  </conditionalFormatting>
  <conditionalFormatting sqref="H359 J359:L359">
    <cfRule type="expression" dxfId="109" priority="11" stopIfTrue="1">
      <formula>"esterreur(reference)"</formula>
    </cfRule>
  </conditionalFormatting>
  <conditionalFormatting sqref="H196:L196">
    <cfRule type="expression" dxfId="108" priority="13" stopIfTrue="1">
      <formula>"esterreur(reference)"</formula>
    </cfRule>
  </conditionalFormatting>
  <conditionalFormatting sqref="H395:L398">
    <cfRule type="expression" dxfId="107" priority="9" stopIfTrue="1">
      <formula>"esterreur(reference)"</formula>
    </cfRule>
  </conditionalFormatting>
  <conditionalFormatting sqref="I16:I18 I20 I24:I30">
    <cfRule type="expression" dxfId="106" priority="53" stopIfTrue="1">
      <formula>"esterreur(reference)"</formula>
    </cfRule>
  </conditionalFormatting>
  <conditionalFormatting sqref="I376:L376 J377:L393 H377:H394">
    <cfRule type="expression" dxfId="105" priority="10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04" priority="2" stopIfTrue="1">
      <formula>"esterreur(reference)"</formula>
    </cfRule>
  </conditionalFormatting>
  <conditionalFormatting sqref="K394">
    <cfRule type="expression" dxfId="103" priority="12" stopIfTrue="1">
      <formula>"esterreur(reference)"</formula>
    </cfRule>
  </conditionalFormatting>
  <conditionalFormatting sqref="K5:L5">
    <cfRule type="expression" dxfId="102" priority="22" stopIfTrue="1">
      <formula>"esterreur(reference)"</formula>
    </cfRule>
  </conditionalFormatting>
  <conditionalFormatting sqref="K243:L243">
    <cfRule type="expression" dxfId="101" priority="19" stopIfTrue="1">
      <formula>"esterreur(reference)"</formula>
    </cfRule>
  </conditionalFormatting>
  <conditionalFormatting sqref="K246:L246">
    <cfRule type="expression" dxfId="100" priority="20" stopIfTrue="1">
      <formula>"esterreur(reference)"</formula>
    </cfRule>
  </conditionalFormatting>
  <conditionalFormatting sqref="L42:L48">
    <cfRule type="expression" dxfId="99" priority="15" stopIfTrue="1">
      <formula>"esterreur(reference)"</formula>
    </cfRule>
  </conditionalFormatting>
  <conditionalFormatting sqref="L75:L82">
    <cfRule type="expression" dxfId="98" priority="4" stopIfTrue="1">
      <formula>"esterreur(reference)"</formula>
    </cfRule>
  </conditionalFormatting>
  <conditionalFormatting sqref="L155:L161">
    <cfRule type="expression" dxfId="97" priority="18" stopIfTrue="1">
      <formula>"esterreur(reference)"</formula>
    </cfRule>
  </conditionalFormatting>
  <conditionalFormatting sqref="L197:L208">
    <cfRule type="expression" dxfId="96" priority="16" stopIfTrue="1">
      <formula>"esterreur(reference)"</formula>
    </cfRule>
  </conditionalFormatting>
  <conditionalFormatting sqref="L210:L227">
    <cfRule type="expression" dxfId="95" priority="17" stopIfTrue="1">
      <formula>"esterreur(reference)"</formula>
    </cfRule>
  </conditionalFormatting>
  <conditionalFormatting sqref="L253:L264">
    <cfRule type="expression" dxfId="94" priority="21" stopIfTrue="1">
      <formula>"esterreur(reference)"</formula>
    </cfRule>
  </conditionalFormatting>
  <conditionalFormatting sqref="L330:L347">
    <cfRule type="expression" dxfId="93" priority="14" stopIfTrue="1">
      <formula>"esterreur(reference)"</formula>
    </cfRule>
  </conditionalFormatting>
  <conditionalFormatting sqref="L355:L356 H356:I356 K356 J356:J357 H358:L358">
    <cfRule type="expression" dxfId="92" priority="8" stopIfTrue="1">
      <formula>"esterreur(reference)"</formula>
    </cfRule>
  </conditionalFormatting>
  <conditionalFormatting sqref="M95:M96">
    <cfRule type="expression" dxfId="91" priority="3" stopIfTrue="1">
      <formula>"esterreur(reference)"</formula>
    </cfRule>
  </conditionalFormatting>
  <conditionalFormatting sqref="O294:P302 O303:Q305 O306:P307 O308:Q316 Q317:Q328 O317:P347 O348:Q348 O351:Q351 O352:P352">
    <cfRule type="expression" dxfId="90" priority="44" stopIfTrue="1">
      <formula>"esterreur(reference)"</formula>
    </cfRule>
  </conditionalFormatting>
  <conditionalFormatting sqref="O196:Q196">
    <cfRule type="expression" dxfId="89" priority="33" stopIfTrue="1">
      <formula>"esterreur(reference)"</formula>
    </cfRule>
  </conditionalFormatting>
  <conditionalFormatting sqref="O242:Q242 O251:Q252 O253:P283 Q266:Q284 O284 O287:Q287 O288:P288">
    <cfRule type="expression" dxfId="88" priority="39" stopIfTrue="1">
      <formula>"esterreur(reference)"</formula>
    </cfRule>
  </conditionalFormatting>
  <conditionalFormatting sqref="O358:Q393">
    <cfRule type="expression" dxfId="87" priority="46" stopIfTrue="1">
      <formula>"esterreur(reference)"</formula>
    </cfRule>
  </conditionalFormatting>
  <conditionalFormatting sqref="O395:Q398">
    <cfRule type="expression" dxfId="86" priority="47" stopIfTrue="1">
      <formula>"esterreur(reference)"</formula>
    </cfRule>
  </conditionalFormatting>
  <conditionalFormatting sqref="P5">
    <cfRule type="expression" dxfId="85" priority="27" stopIfTrue="1">
      <formula>"esterreur(reference)"</formula>
    </cfRule>
  </conditionalFormatting>
  <conditionalFormatting sqref="P174">
    <cfRule type="expression" dxfId="84" priority="36" stopIfTrue="1">
      <formula>"esterreur(reference)"</formula>
    </cfRule>
  </conditionalFormatting>
  <conditionalFormatting sqref="P177">
    <cfRule type="expression" dxfId="83" priority="37" stopIfTrue="1">
      <formula>"esterreur(reference)"</formula>
    </cfRule>
  </conditionalFormatting>
  <conditionalFormatting sqref="P180">
    <cfRule type="expression" dxfId="82" priority="38" stopIfTrue="1">
      <formula>"esterreur(reference)"</formula>
    </cfRule>
  </conditionalFormatting>
  <conditionalFormatting sqref="P394">
    <cfRule type="expression" dxfId="81" priority="48" stopIfTrue="1">
      <formula>"esterreur(reference)"</formula>
    </cfRule>
  </conditionalFormatting>
  <conditionalFormatting sqref="P93:Q95 O96:Q97 O155:P156 O163:Q163 O164:P164">
    <cfRule type="expression" dxfId="80" priority="30" stopIfTrue="1">
      <formula>"esterreur(reference)"</formula>
    </cfRule>
  </conditionalFormatting>
  <conditionalFormatting sqref="P98:Q99">
    <cfRule type="expression" dxfId="79" priority="29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78" priority="32" stopIfTrue="1">
      <formula>"esterreur(reference)"</formula>
    </cfRule>
  </conditionalFormatting>
  <conditionalFormatting sqref="P240:Q240">
    <cfRule type="expression" dxfId="77" priority="43" stopIfTrue="1">
      <formula>"esterreur(reference)"</formula>
    </cfRule>
  </conditionalFormatting>
  <conditionalFormatting sqref="P243:Q243">
    <cfRule type="expression" dxfId="76" priority="40" stopIfTrue="1">
      <formula>"esterreur(reference)"</formula>
    </cfRule>
  </conditionalFormatting>
  <conditionalFormatting sqref="P246:Q246">
    <cfRule type="expression" dxfId="75" priority="41" stopIfTrue="1">
      <formula>"esterreur(reference)"</formula>
    </cfRule>
  </conditionalFormatting>
  <conditionalFormatting sqref="Q5:Q14 O13:O14 O16 Q16:Q24 O18:O24 O25:Q26 O27 Q27 O28:Q72 O83:Q85">
    <cfRule type="expression" dxfId="74" priority="26" stopIfTrue="1">
      <formula>"esterreur(reference)"</formula>
    </cfRule>
  </conditionalFormatting>
  <conditionalFormatting sqref="Q75:Q82">
    <cfRule type="expression" dxfId="73" priority="28" stopIfTrue="1">
      <formula>"esterreur(reference)"</formula>
    </cfRule>
  </conditionalFormatting>
  <conditionalFormatting sqref="Q155:Q161">
    <cfRule type="expression" dxfId="72" priority="31" stopIfTrue="1">
      <formula>"esterreur(reference)"</formula>
    </cfRule>
  </conditionalFormatting>
  <conditionalFormatting sqref="Q197:Q208">
    <cfRule type="expression" dxfId="71" priority="34" stopIfTrue="1">
      <formula>"esterreur(reference)"</formula>
    </cfRule>
  </conditionalFormatting>
  <conditionalFormatting sqref="Q210:Q227">
    <cfRule type="expression" dxfId="70" priority="35" stopIfTrue="1">
      <formula>"esterreur(reference)"</formula>
    </cfRule>
  </conditionalFormatting>
  <conditionalFormatting sqref="Q253:Q264">
    <cfRule type="expression" dxfId="69" priority="42" stopIfTrue="1">
      <formula>"esterreur(reference)"</formula>
    </cfRule>
  </conditionalFormatting>
  <conditionalFormatting sqref="Q330:Q347">
    <cfRule type="expression" dxfId="68" priority="45" stopIfTrue="1">
      <formula>"esterreur(reference)"</formula>
    </cfRule>
  </conditionalFormatting>
  <conditionalFormatting sqref="R311">
    <cfRule type="expression" dxfId="67" priority="5" stopIfTrue="1">
      <formula>"esterreur(reference)"</formula>
    </cfRule>
  </conditionalFormatting>
  <conditionalFormatting sqref="S185">
    <cfRule type="expression" dxfId="66" priority="24" stopIfTrue="1">
      <formula>"esterreur(reference)"</formula>
    </cfRule>
  </conditionalFormatting>
  <conditionalFormatting sqref="AG408:AI417 AH419:AI450 AH452:AI459 AH460:AH461 AH462:AI467 AH490:AI496">
    <cfRule type="cellIs" dxfId="65" priority="6" operator="greaterThan">
      <formula>0</formula>
    </cfRule>
  </conditionalFormatting>
  <conditionalFormatting sqref="AH468:AI475 AH479:AI479">
    <cfRule type="cellIs" dxfId="64" priority="7" operator="lessThan">
      <formula>0</formula>
    </cfRule>
  </conditionalFormatting>
  <conditionalFormatting sqref="AH476:AI478">
    <cfRule type="cellIs" dxfId="63" priority="50" operator="greaterThan">
      <formula>0</formula>
    </cfRule>
  </conditionalFormatting>
  <conditionalFormatting sqref="AO408:AO417">
    <cfRule type="cellIs" dxfId="62" priority="25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BBBC-FF4F-4D90-943E-329BD9F2CB60}">
  <sheetPr>
    <tabColor rgb="FFFFC000"/>
  </sheetPr>
  <dimension ref="A1:BJ692"/>
  <sheetViews>
    <sheetView tabSelected="1" topLeftCell="A414" zoomScale="80" zoomScaleNormal="80" workbookViewId="0">
      <pane xSplit="3" topLeftCell="U1" activePane="topRight" state="frozen"/>
      <selection pane="topRight" activeCell="V433" sqref="V433"/>
    </sheetView>
  </sheetViews>
  <sheetFormatPr defaultColWidth="12.59765625" defaultRowHeight="15" customHeight="1"/>
  <cols>
    <col min="1" max="1" width="37.5" style="466" hidden="1" customWidth="1"/>
    <col min="2" max="2" width="21.8984375" style="466" hidden="1" customWidth="1"/>
    <col min="3" max="3" width="31.19921875" style="466" customWidth="1"/>
    <col min="4" max="4" width="16.5" style="466" customWidth="1"/>
    <col min="5" max="5" width="14.59765625" style="466" customWidth="1"/>
    <col min="6" max="6" width="14" style="466" customWidth="1"/>
    <col min="7" max="7" width="17.69921875" style="466" hidden="1" customWidth="1"/>
    <col min="8" max="8" width="15.09765625" style="466" hidden="1" customWidth="1"/>
    <col min="9" max="9" width="14" style="466" hidden="1" customWidth="1"/>
    <col min="10" max="10" width="15.59765625" style="466" customWidth="1"/>
    <col min="11" max="11" width="15.5" style="466" customWidth="1"/>
    <col min="12" max="12" width="14.8984375" style="466" customWidth="1"/>
    <col min="13" max="14" width="16.19921875" style="466" customWidth="1"/>
    <col min="15" max="15" width="15.5" style="466" customWidth="1"/>
    <col min="16" max="16" width="14.59765625" style="466" customWidth="1"/>
    <col min="17" max="17" width="14" style="466" customWidth="1"/>
    <col min="18" max="18" width="14.69921875" style="466" customWidth="1"/>
    <col min="19" max="19" width="19" style="466" customWidth="1"/>
    <col min="20" max="20" width="4.59765625" style="466" customWidth="1"/>
    <col min="21" max="21" width="31.69921875" style="466" customWidth="1"/>
    <col min="22" max="22" width="34" style="466" customWidth="1"/>
    <col min="23" max="23" width="12.19921875" style="466" customWidth="1"/>
    <col min="24" max="24" width="13.69921875" style="466" customWidth="1"/>
    <col min="25" max="25" width="15.09765625" style="466" customWidth="1"/>
    <col min="26" max="26" width="15" style="466" customWidth="1"/>
    <col min="27" max="27" width="11.09765625" style="466" hidden="1" customWidth="1"/>
    <col min="28" max="28" width="9.3984375" style="466" hidden="1" customWidth="1"/>
    <col min="29" max="29" width="14.5" style="466" hidden="1" customWidth="1"/>
    <col min="30" max="30" width="13.5" style="466" customWidth="1"/>
    <col min="31" max="31" width="14.19921875" style="466" customWidth="1"/>
    <col min="32" max="32" width="14.09765625" style="466" customWidth="1"/>
    <col min="33" max="33" width="9" style="466" customWidth="1"/>
    <col min="34" max="34" width="13.5" style="466" customWidth="1"/>
    <col min="35" max="35" width="11.5" style="466" bestFit="1" customWidth="1"/>
    <col min="36" max="36" width="10.8984375" style="466" customWidth="1"/>
    <col min="37" max="37" width="11.3984375" style="466" customWidth="1"/>
    <col min="38" max="38" width="12.69921875" style="466" customWidth="1"/>
    <col min="39" max="39" width="9" style="466" customWidth="1"/>
    <col min="40" max="40" width="11" style="466" customWidth="1"/>
    <col min="41" max="41" width="14.69921875" style="466" customWidth="1"/>
    <col min="42" max="42" width="11" style="466" customWidth="1"/>
    <col min="43" max="43" width="48.3984375" style="466" customWidth="1"/>
    <col min="44" max="62" width="11" style="466" customWidth="1"/>
    <col min="63" max="16384" width="12.59765625" style="466"/>
  </cols>
  <sheetData>
    <row r="1" spans="1:40" ht="36" thickBot="1">
      <c r="B1" s="467"/>
      <c r="C1" s="468" t="s">
        <v>223</v>
      </c>
      <c r="D1" s="469"/>
      <c r="E1" s="470"/>
      <c r="F1" s="469"/>
      <c r="G1" s="469"/>
      <c r="H1" s="467"/>
      <c r="I1" s="469"/>
      <c r="J1" s="467"/>
      <c r="K1" s="471" t="s">
        <v>0</v>
      </c>
      <c r="L1" s="469"/>
      <c r="M1" s="469"/>
      <c r="N1" s="472"/>
      <c r="O1" s="468"/>
      <c r="P1" s="473"/>
      <c r="Q1" s="468"/>
      <c r="R1" s="473"/>
      <c r="S1" s="474" t="s">
        <v>484</v>
      </c>
      <c r="T1" s="469" t="s">
        <v>1</v>
      </c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</row>
    <row r="2" spans="1:40" ht="15" customHeight="1" thickTop="1" thickBot="1">
      <c r="B2" s="475"/>
      <c r="C2" s="476"/>
      <c r="D2" s="477" t="s">
        <v>2</v>
      </c>
      <c r="E2" s="477" t="s">
        <v>3</v>
      </c>
      <c r="F2" s="477" t="s">
        <v>4</v>
      </c>
      <c r="G2" s="477"/>
      <c r="H2" s="477"/>
      <c r="I2" s="477"/>
      <c r="J2" s="477" t="s">
        <v>213</v>
      </c>
      <c r="K2" s="477"/>
      <c r="L2" s="477" t="s">
        <v>210</v>
      </c>
      <c r="M2" s="478"/>
      <c r="N2" s="478"/>
      <c r="O2" s="477" t="s">
        <v>213</v>
      </c>
      <c r="P2" s="477"/>
      <c r="Q2" s="477" t="s">
        <v>210</v>
      </c>
      <c r="R2" s="478"/>
      <c r="S2" s="478"/>
      <c r="T2" s="478"/>
      <c r="U2" s="478"/>
      <c r="V2" s="479" t="s">
        <v>469</v>
      </c>
      <c r="W2" s="480"/>
    </row>
    <row r="3" spans="1:40" ht="21.6" thickTop="1">
      <c r="B3" s="481"/>
      <c r="C3" s="482"/>
      <c r="D3" s="864" t="s">
        <v>5</v>
      </c>
      <c r="E3" s="865"/>
      <c r="F3" s="866"/>
      <c r="G3" s="867"/>
      <c r="H3" s="865"/>
      <c r="I3" s="866"/>
      <c r="J3" s="867" t="s">
        <v>7</v>
      </c>
      <c r="K3" s="865"/>
      <c r="L3" s="866"/>
      <c r="M3" s="867" t="s">
        <v>472</v>
      </c>
      <c r="N3" s="866"/>
      <c r="O3" s="864" t="s">
        <v>9</v>
      </c>
      <c r="P3" s="865"/>
      <c r="Q3" s="866"/>
      <c r="R3" s="867" t="s">
        <v>473</v>
      </c>
      <c r="S3" s="866"/>
      <c r="T3" s="481"/>
      <c r="U3" s="481"/>
      <c r="V3" s="483" t="s">
        <v>218</v>
      </c>
      <c r="W3" s="484">
        <v>0.45</v>
      </c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M3" s="481"/>
      <c r="AN3" s="481"/>
    </row>
    <row r="4" spans="1:40" ht="20.399999999999999">
      <c r="B4" s="481"/>
      <c r="C4" s="485"/>
      <c r="D4" s="486" t="s">
        <v>474</v>
      </c>
      <c r="E4" s="487" t="s">
        <v>12</v>
      </c>
      <c r="F4" s="488" t="s">
        <v>13</v>
      </c>
      <c r="G4" s="489"/>
      <c r="H4" s="487"/>
      <c r="I4" s="488"/>
      <c r="J4" s="489" t="s">
        <v>474</v>
      </c>
      <c r="K4" s="487" t="s">
        <v>14</v>
      </c>
      <c r="L4" s="488" t="s">
        <v>13</v>
      </c>
      <c r="M4" s="489" t="s">
        <v>474</v>
      </c>
      <c r="N4" s="488" t="s">
        <v>13</v>
      </c>
      <c r="O4" s="487" t="s">
        <v>474</v>
      </c>
      <c r="P4" s="487" t="s">
        <v>14</v>
      </c>
      <c r="Q4" s="488" t="s">
        <v>13</v>
      </c>
      <c r="R4" s="489" t="s">
        <v>474</v>
      </c>
      <c r="S4" s="488" t="s">
        <v>13</v>
      </c>
      <c r="T4" s="481"/>
      <c r="U4" s="481"/>
      <c r="V4" s="483" t="s">
        <v>219</v>
      </c>
      <c r="W4" s="484">
        <v>0.1</v>
      </c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481"/>
      <c r="AL4" s="481"/>
      <c r="AM4" s="481"/>
      <c r="AN4" s="481"/>
    </row>
    <row r="5" spans="1:40" ht="20.399999999999999">
      <c r="A5" s="490" t="s">
        <v>224</v>
      </c>
      <c r="B5" s="481" t="s">
        <v>0</v>
      </c>
      <c r="C5" s="491" t="s">
        <v>15</v>
      </c>
      <c r="D5" s="492"/>
      <c r="E5" s="492"/>
      <c r="F5" s="493">
        <v>2522034.9461046858</v>
      </c>
      <c r="G5" s="492"/>
      <c r="H5" s="492"/>
      <c r="I5" s="494"/>
      <c r="J5" s="491"/>
      <c r="K5" s="495"/>
      <c r="L5" s="493">
        <v>2612584.64</v>
      </c>
      <c r="M5" s="496"/>
      <c r="N5" s="497"/>
      <c r="O5" s="491"/>
      <c r="P5" s="495"/>
      <c r="Q5" s="493">
        <v>2490545.3400000003</v>
      </c>
      <c r="R5" s="496"/>
      <c r="S5" s="497"/>
      <c r="T5" s="481"/>
      <c r="U5" s="481"/>
      <c r="V5" s="483" t="s">
        <v>214</v>
      </c>
      <c r="W5" s="484">
        <v>0.22500000000000001</v>
      </c>
      <c r="X5" s="481"/>
      <c r="Y5" s="481"/>
      <c r="Z5" s="481"/>
      <c r="AA5" s="481"/>
      <c r="AB5" s="481"/>
      <c r="AC5" s="481"/>
      <c r="AD5" s="481"/>
      <c r="AE5" s="481"/>
      <c r="AF5" s="481"/>
      <c r="AG5" s="481"/>
      <c r="AH5" s="481"/>
      <c r="AI5" s="481"/>
      <c r="AJ5" s="481"/>
      <c r="AK5" s="481"/>
      <c r="AL5" s="481"/>
      <c r="AM5" s="481"/>
      <c r="AN5" s="481"/>
    </row>
    <row r="6" spans="1:40" ht="20.399999999999999">
      <c r="A6" s="490" t="s">
        <v>225</v>
      </c>
      <c r="B6" s="481" t="s">
        <v>0</v>
      </c>
      <c r="C6" s="498" t="s">
        <v>16</v>
      </c>
      <c r="D6" s="499">
        <v>10.765714285714285</v>
      </c>
      <c r="E6" s="499">
        <v>1988.434</v>
      </c>
      <c r="F6" s="499">
        <v>21406.912319999999</v>
      </c>
      <c r="G6" s="500"/>
      <c r="H6" s="499"/>
      <c r="I6" s="499"/>
      <c r="J6" s="500">
        <v>17</v>
      </c>
      <c r="K6" s="499">
        <v>1804.1035294117628</v>
      </c>
      <c r="L6" s="501">
        <v>30669.759999999966</v>
      </c>
      <c r="M6" s="500">
        <v>6.2342857142857149</v>
      </c>
      <c r="N6" s="501">
        <v>9262.8476799999662</v>
      </c>
      <c r="O6" s="500">
        <v>16</v>
      </c>
      <c r="P6" s="499">
        <v>1902.3999999999987</v>
      </c>
      <c r="Q6" s="501">
        <v>30438.39999999998</v>
      </c>
      <c r="R6" s="500">
        <v>1</v>
      </c>
      <c r="S6" s="501">
        <v>231.35999999998603</v>
      </c>
      <c r="T6" s="481"/>
      <c r="U6" s="481"/>
      <c r="V6" s="483" t="s">
        <v>220</v>
      </c>
      <c r="W6" s="484">
        <v>2.5000000000000001E-2</v>
      </c>
      <c r="X6" s="481"/>
      <c r="Y6" s="481"/>
      <c r="Z6" s="481"/>
      <c r="AA6" s="481"/>
      <c r="AB6" s="481"/>
      <c r="AC6" s="481"/>
      <c r="AD6" s="481"/>
      <c r="AE6" s="481"/>
      <c r="AF6" s="481"/>
      <c r="AG6" s="481"/>
      <c r="AH6" s="481"/>
      <c r="AI6" s="481"/>
      <c r="AJ6" s="481"/>
      <c r="AK6" s="481"/>
      <c r="AL6" s="481"/>
      <c r="AM6" s="481"/>
      <c r="AN6" s="481"/>
    </row>
    <row r="7" spans="1:40" ht="20.399999999999999">
      <c r="A7" s="490" t="s">
        <v>226</v>
      </c>
      <c r="B7" s="481" t="s">
        <v>0</v>
      </c>
      <c r="C7" s="498" t="s">
        <v>17</v>
      </c>
      <c r="D7" s="499">
        <v>43.058550857142862</v>
      </c>
      <c r="E7" s="499">
        <v>2556.333633363336</v>
      </c>
      <c r="F7" s="499">
        <v>110072.02176</v>
      </c>
      <c r="G7" s="500"/>
      <c r="H7" s="499"/>
      <c r="I7" s="499"/>
      <c r="J7" s="500">
        <v>36</v>
      </c>
      <c r="K7" s="499">
        <v>2493.9233333333332</v>
      </c>
      <c r="L7" s="501">
        <v>89781.239999999991</v>
      </c>
      <c r="M7" s="500">
        <v>-7.0585508571428619</v>
      </c>
      <c r="N7" s="501">
        <v>-20290.781760000013</v>
      </c>
      <c r="O7" s="500">
        <v>33</v>
      </c>
      <c r="P7" s="499">
        <v>2621.6851515151511</v>
      </c>
      <c r="Q7" s="501">
        <v>86515.609999999986</v>
      </c>
      <c r="R7" s="500">
        <v>3</v>
      </c>
      <c r="S7" s="501">
        <v>3265.6300000000047</v>
      </c>
      <c r="T7" s="481"/>
      <c r="U7" s="481"/>
      <c r="V7" s="483" t="s">
        <v>221</v>
      </c>
      <c r="W7" s="484">
        <v>0.2</v>
      </c>
      <c r="X7" s="481"/>
      <c r="Y7" s="481"/>
      <c r="Z7" s="481"/>
      <c r="AA7" s="481"/>
      <c r="AB7" s="481"/>
      <c r="AC7" s="481"/>
      <c r="AD7" s="481"/>
      <c r="AE7" s="481"/>
      <c r="AF7" s="481"/>
      <c r="AG7" s="481"/>
      <c r="AH7" s="481"/>
      <c r="AI7" s="481"/>
      <c r="AJ7" s="481"/>
      <c r="AK7" s="481"/>
      <c r="AL7" s="481"/>
      <c r="AM7" s="481"/>
      <c r="AN7" s="481"/>
    </row>
    <row r="8" spans="1:40" ht="21" thickBot="1">
      <c r="A8" s="490" t="s">
        <v>227</v>
      </c>
      <c r="B8" s="481" t="s">
        <v>0</v>
      </c>
      <c r="C8" s="498" t="s">
        <v>18</v>
      </c>
      <c r="D8" s="499">
        <v>0</v>
      </c>
      <c r="E8" s="499">
        <v>0</v>
      </c>
      <c r="F8" s="499">
        <v>0</v>
      </c>
      <c r="G8" s="500"/>
      <c r="H8" s="499"/>
      <c r="I8" s="499"/>
      <c r="J8" s="500">
        <v>0</v>
      </c>
      <c r="K8" s="499">
        <v>0</v>
      </c>
      <c r="L8" s="501">
        <v>0</v>
      </c>
      <c r="M8" s="500">
        <v>0</v>
      </c>
      <c r="N8" s="501">
        <v>0</v>
      </c>
      <c r="O8" s="500">
        <v>0</v>
      </c>
      <c r="P8" s="499">
        <v>0</v>
      </c>
      <c r="Q8" s="501">
        <v>0</v>
      </c>
      <c r="R8" s="500">
        <v>0</v>
      </c>
      <c r="S8" s="501">
        <v>0</v>
      </c>
      <c r="T8" s="481"/>
      <c r="U8" s="481"/>
      <c r="V8" s="502"/>
      <c r="W8" s="503">
        <v>1</v>
      </c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1"/>
      <c r="AL8" s="481"/>
      <c r="AM8" s="481"/>
      <c r="AN8" s="481"/>
    </row>
    <row r="9" spans="1:40" ht="21" thickTop="1">
      <c r="A9" s="490" t="s">
        <v>228</v>
      </c>
      <c r="B9" s="481" t="s">
        <v>0</v>
      </c>
      <c r="C9" s="498" t="s">
        <v>19</v>
      </c>
      <c r="D9" s="499">
        <v>0</v>
      </c>
      <c r="E9" s="499">
        <v>0</v>
      </c>
      <c r="F9" s="499">
        <v>0</v>
      </c>
      <c r="G9" s="500"/>
      <c r="H9" s="499"/>
      <c r="I9" s="499"/>
      <c r="J9" s="500">
        <v>0</v>
      </c>
      <c r="K9" s="499">
        <v>0</v>
      </c>
      <c r="L9" s="501">
        <v>0</v>
      </c>
      <c r="M9" s="500">
        <v>0</v>
      </c>
      <c r="N9" s="501">
        <v>0</v>
      </c>
      <c r="O9" s="500">
        <v>0</v>
      </c>
      <c r="P9" s="499">
        <v>0</v>
      </c>
      <c r="Q9" s="501">
        <v>0</v>
      </c>
      <c r="R9" s="500">
        <v>0</v>
      </c>
      <c r="S9" s="501">
        <v>0</v>
      </c>
      <c r="T9" s="481"/>
      <c r="U9" s="481"/>
      <c r="V9" s="481"/>
      <c r="W9" s="481"/>
      <c r="X9" s="481"/>
      <c r="Y9" s="481"/>
      <c r="Z9" s="481"/>
      <c r="AA9" s="481"/>
      <c r="AB9" s="481"/>
      <c r="AC9" s="481"/>
      <c r="AD9" s="481"/>
      <c r="AE9" s="481"/>
      <c r="AF9" s="481"/>
      <c r="AG9" s="481"/>
      <c r="AH9" s="481"/>
      <c r="AI9" s="481"/>
      <c r="AJ9" s="481"/>
      <c r="AK9" s="481"/>
      <c r="AL9" s="481"/>
      <c r="AM9" s="481"/>
      <c r="AN9" s="481"/>
    </row>
    <row r="10" spans="1:40" ht="20.25" hidden="1" customHeight="1">
      <c r="A10" s="490" t="s">
        <v>229</v>
      </c>
      <c r="B10" s="481" t="s">
        <v>0</v>
      </c>
      <c r="C10" s="498" t="s">
        <v>20</v>
      </c>
      <c r="D10" s="499">
        <v>0</v>
      </c>
      <c r="E10" s="499">
        <v>0</v>
      </c>
      <c r="F10" s="499">
        <v>0</v>
      </c>
      <c r="G10" s="500"/>
      <c r="H10" s="499"/>
      <c r="I10" s="499"/>
      <c r="J10" s="500">
        <v>0</v>
      </c>
      <c r="K10" s="499">
        <v>0</v>
      </c>
      <c r="L10" s="501">
        <v>0</v>
      </c>
      <c r="M10" s="500">
        <v>0</v>
      </c>
      <c r="N10" s="501">
        <v>0</v>
      </c>
      <c r="O10" s="500">
        <v>0</v>
      </c>
      <c r="P10" s="499">
        <v>0</v>
      </c>
      <c r="Q10" s="501">
        <v>0</v>
      </c>
      <c r="R10" s="500">
        <v>0</v>
      </c>
      <c r="S10" s="501">
        <v>0</v>
      </c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</row>
    <row r="11" spans="1:40" ht="20.25" hidden="1" customHeight="1">
      <c r="A11" s="490" t="s">
        <v>229</v>
      </c>
      <c r="B11" s="481" t="s">
        <v>0</v>
      </c>
      <c r="C11" s="498" t="s">
        <v>20</v>
      </c>
      <c r="D11" s="499">
        <v>0</v>
      </c>
      <c r="E11" s="499">
        <v>0</v>
      </c>
      <c r="F11" s="499">
        <v>0</v>
      </c>
      <c r="G11" s="500"/>
      <c r="H11" s="499"/>
      <c r="I11" s="499"/>
      <c r="J11" s="500">
        <v>0</v>
      </c>
      <c r="K11" s="499">
        <v>0</v>
      </c>
      <c r="L11" s="501">
        <v>0</v>
      </c>
      <c r="M11" s="500">
        <v>0</v>
      </c>
      <c r="N11" s="501">
        <v>0</v>
      </c>
      <c r="O11" s="500">
        <v>0</v>
      </c>
      <c r="P11" s="499">
        <v>0</v>
      </c>
      <c r="Q11" s="501">
        <v>0</v>
      </c>
      <c r="R11" s="500">
        <v>0</v>
      </c>
      <c r="S11" s="501">
        <v>0</v>
      </c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</row>
    <row r="12" spans="1:40" ht="20.25" hidden="1" customHeight="1">
      <c r="A12" s="490" t="s">
        <v>229</v>
      </c>
      <c r="B12" s="481" t="s">
        <v>0</v>
      </c>
      <c r="C12" s="498" t="s">
        <v>20</v>
      </c>
      <c r="D12" s="499">
        <v>0</v>
      </c>
      <c r="E12" s="499">
        <v>0</v>
      </c>
      <c r="F12" s="499">
        <v>0</v>
      </c>
      <c r="G12" s="500"/>
      <c r="H12" s="499"/>
      <c r="I12" s="499"/>
      <c r="J12" s="500">
        <v>0</v>
      </c>
      <c r="K12" s="499">
        <v>0</v>
      </c>
      <c r="L12" s="501">
        <v>0</v>
      </c>
      <c r="M12" s="500">
        <v>0</v>
      </c>
      <c r="N12" s="501">
        <v>0</v>
      </c>
      <c r="O12" s="500">
        <v>0</v>
      </c>
      <c r="P12" s="499">
        <v>0</v>
      </c>
      <c r="Q12" s="501">
        <v>0</v>
      </c>
      <c r="R12" s="500">
        <v>0</v>
      </c>
      <c r="S12" s="501">
        <v>0</v>
      </c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</row>
    <row r="13" spans="1:40" ht="21">
      <c r="A13" s="490" t="s">
        <v>230</v>
      </c>
      <c r="B13" s="481" t="s">
        <v>0</v>
      </c>
      <c r="C13" s="504" t="s">
        <v>21</v>
      </c>
      <c r="D13" s="505">
        <v>53.824265142857143</v>
      </c>
      <c r="E13" s="505">
        <v>2442.7446195695657</v>
      </c>
      <c r="F13" s="506">
        <v>131478.93408000001</v>
      </c>
      <c r="G13" s="507"/>
      <c r="H13" s="505"/>
      <c r="I13" s="506"/>
      <c r="J13" s="507">
        <v>53</v>
      </c>
      <c r="K13" s="505">
        <v>2272.6603773584898</v>
      </c>
      <c r="L13" s="506">
        <v>120450.99999999996</v>
      </c>
      <c r="M13" s="507">
        <v>-0.82426514285714703</v>
      </c>
      <c r="N13" s="506">
        <v>-11027.934080000046</v>
      </c>
      <c r="O13" s="507">
        <v>49</v>
      </c>
      <c r="P13" s="505">
        <v>2386.8165306122442</v>
      </c>
      <c r="Q13" s="506">
        <v>116954.00999999997</v>
      </c>
      <c r="R13" s="507">
        <v>4</v>
      </c>
      <c r="S13" s="506">
        <v>3496.9899999999907</v>
      </c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</row>
    <row r="14" spans="1:40" ht="20.399999999999999">
      <c r="A14" s="490" t="s">
        <v>0</v>
      </c>
      <c r="B14" s="481" t="s">
        <v>0</v>
      </c>
      <c r="C14" s="498"/>
      <c r="D14" s="481"/>
      <c r="E14" s="499"/>
      <c r="F14" s="508"/>
      <c r="G14" s="498"/>
      <c r="H14" s="499"/>
      <c r="I14" s="508"/>
      <c r="J14" s="498"/>
      <c r="K14" s="499"/>
      <c r="L14" s="508"/>
      <c r="M14" s="509">
        <v>-1.5314006436863222E-2</v>
      </c>
      <c r="N14" s="510">
        <v>-8.3876053279302989E-2</v>
      </c>
      <c r="O14" s="498"/>
      <c r="P14" s="499"/>
      <c r="Q14" s="508"/>
      <c r="R14" s="509">
        <v>8.1632653061224483E-2</v>
      </c>
      <c r="S14" s="510">
        <v>2.9900556637604745E-2</v>
      </c>
      <c r="T14" s="481"/>
      <c r="U14" s="481"/>
      <c r="V14" s="481"/>
      <c r="W14" s="499"/>
      <c r="X14" s="499"/>
      <c r="Y14" s="481"/>
      <c r="Z14" s="481"/>
      <c r="AA14" s="481"/>
      <c r="AB14" s="481"/>
      <c r="AC14" s="481"/>
      <c r="AD14" s="481">
        <v>20</v>
      </c>
      <c r="AE14" s="481">
        <v>1000</v>
      </c>
      <c r="AF14" s="481">
        <v>20000</v>
      </c>
      <c r="AG14" s="481"/>
      <c r="AH14" s="481"/>
      <c r="AI14" s="481"/>
      <c r="AJ14" s="481"/>
      <c r="AK14" s="481"/>
      <c r="AL14" s="481"/>
      <c r="AM14" s="481"/>
      <c r="AN14" s="481"/>
    </row>
    <row r="15" spans="1:40" ht="21">
      <c r="A15" s="490" t="s">
        <v>231</v>
      </c>
      <c r="B15" s="481" t="s">
        <v>0</v>
      </c>
      <c r="C15" s="511" t="s">
        <v>22</v>
      </c>
      <c r="D15" s="495">
        <v>2.5714285714285716</v>
      </c>
      <c r="E15" s="495">
        <v>2442.5491999999999</v>
      </c>
      <c r="F15" s="493">
        <v>6280.8407999999999</v>
      </c>
      <c r="G15" s="512"/>
      <c r="H15" s="495"/>
      <c r="I15" s="493"/>
      <c r="J15" s="513">
        <v>1</v>
      </c>
      <c r="K15" s="514">
        <v>975.83000000000175</v>
      </c>
      <c r="L15" s="514">
        <v>975.83000000000175</v>
      </c>
      <c r="M15" s="512">
        <v>-1.5714285714285716</v>
      </c>
      <c r="N15" s="493">
        <v>-5305.0107999999982</v>
      </c>
      <c r="O15" s="513">
        <v>1</v>
      </c>
      <c r="P15" s="514">
        <v>239.68000000000029</v>
      </c>
      <c r="Q15" s="514">
        <v>239.68000000000029</v>
      </c>
      <c r="R15" s="512">
        <v>0</v>
      </c>
      <c r="S15" s="493">
        <v>736.15000000000146</v>
      </c>
      <c r="T15" s="481"/>
      <c r="U15" s="481"/>
      <c r="V15" s="499"/>
      <c r="W15" s="481"/>
      <c r="X15" s="481"/>
      <c r="Y15" s="481"/>
      <c r="Z15" s="481"/>
      <c r="AA15" s="481"/>
      <c r="AB15" s="481"/>
      <c r="AC15" s="481"/>
      <c r="AD15" s="481">
        <v>25</v>
      </c>
      <c r="AE15" s="481">
        <v>800</v>
      </c>
      <c r="AF15" s="481">
        <v>20000</v>
      </c>
      <c r="AG15" s="481"/>
      <c r="AH15" s="481"/>
      <c r="AI15" s="481"/>
      <c r="AJ15" s="481"/>
      <c r="AK15" s="481"/>
      <c r="AL15" s="481"/>
      <c r="AM15" s="481"/>
      <c r="AN15" s="481"/>
    </row>
    <row r="16" spans="1:40" ht="21">
      <c r="A16" s="490" t="s">
        <v>0</v>
      </c>
      <c r="B16" s="481" t="s">
        <v>0</v>
      </c>
      <c r="C16" s="498"/>
      <c r="D16" s="481"/>
      <c r="E16" s="499"/>
      <c r="F16" s="508"/>
      <c r="G16" s="498"/>
      <c r="H16" s="499"/>
      <c r="I16" s="508"/>
      <c r="J16" s="498"/>
      <c r="K16" s="499"/>
      <c r="L16" s="501"/>
      <c r="M16" s="515"/>
      <c r="N16" s="516"/>
      <c r="O16" s="498"/>
      <c r="P16" s="499"/>
      <c r="Q16" s="501"/>
      <c r="R16" s="515"/>
      <c r="S16" s="516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</row>
    <row r="17" spans="1:40" ht="21">
      <c r="A17" s="490" t="s">
        <v>232</v>
      </c>
      <c r="B17" s="481" t="s">
        <v>0</v>
      </c>
      <c r="C17" s="517" t="s">
        <v>23</v>
      </c>
      <c r="D17" s="499">
        <v>2.0571428571428569</v>
      </c>
      <c r="E17" s="499">
        <v>2442.5491999999999</v>
      </c>
      <c r="F17" s="499">
        <v>5024.6726399999998</v>
      </c>
      <c r="G17" s="500"/>
      <c r="H17" s="499"/>
      <c r="I17" s="499"/>
      <c r="J17" s="512">
        <v>1</v>
      </c>
      <c r="K17" s="499">
        <v>3198</v>
      </c>
      <c r="L17" s="501">
        <v>3198</v>
      </c>
      <c r="M17" s="512">
        <v>-1.0571428571428569</v>
      </c>
      <c r="N17" s="501">
        <v>-1826.6726399999998</v>
      </c>
      <c r="O17" s="512">
        <v>3</v>
      </c>
      <c r="P17" s="499">
        <v>1695.9099999999987</v>
      </c>
      <c r="Q17" s="501">
        <v>5087.7299999999959</v>
      </c>
      <c r="R17" s="500">
        <v>-2</v>
      </c>
      <c r="S17" s="501">
        <v>-1889.7299999999959</v>
      </c>
      <c r="T17" s="481"/>
      <c r="U17" s="481"/>
      <c r="V17" s="518">
        <v>120624.82999999996</v>
      </c>
      <c r="W17" s="481"/>
      <c r="X17" s="481"/>
      <c r="Y17" s="481"/>
      <c r="Z17" s="481"/>
      <c r="AA17" s="499"/>
      <c r="AB17" s="481"/>
      <c r="AC17" s="481"/>
      <c r="AD17" s="481"/>
      <c r="AE17" s="481"/>
      <c r="AF17" s="481"/>
      <c r="AG17" s="481"/>
      <c r="AH17" s="481"/>
      <c r="AI17" s="481"/>
      <c r="AJ17" s="481"/>
      <c r="AK17" s="481"/>
      <c r="AL17" s="481"/>
      <c r="AM17" s="481"/>
      <c r="AN17" s="481"/>
    </row>
    <row r="18" spans="1:40" ht="21">
      <c r="A18" s="490" t="s">
        <v>0</v>
      </c>
      <c r="B18" s="481" t="s">
        <v>0</v>
      </c>
      <c r="C18" s="504"/>
      <c r="D18" s="519"/>
      <c r="E18" s="519"/>
      <c r="F18" s="520"/>
      <c r="G18" s="521"/>
      <c r="H18" s="519"/>
      <c r="I18" s="520"/>
      <c r="J18" s="500"/>
      <c r="K18" s="519"/>
      <c r="L18" s="520"/>
      <c r="M18" s="500"/>
      <c r="N18" s="520"/>
      <c r="O18" s="500"/>
      <c r="P18" s="519"/>
      <c r="Q18" s="520"/>
      <c r="R18" s="521"/>
      <c r="S18" s="520"/>
      <c r="T18" s="481"/>
      <c r="U18" s="481"/>
      <c r="V18" s="466">
        <v>0.19778465180013111</v>
      </c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</row>
    <row r="19" spans="1:40" ht="21">
      <c r="A19" s="490" t="s">
        <v>233</v>
      </c>
      <c r="B19" s="481" t="s">
        <v>0</v>
      </c>
      <c r="C19" s="511" t="s">
        <v>24</v>
      </c>
      <c r="D19" s="499">
        <v>0</v>
      </c>
      <c r="E19" s="499">
        <v>0</v>
      </c>
      <c r="F19" s="499">
        <v>6720.0000000000009</v>
      </c>
      <c r="G19" s="500"/>
      <c r="H19" s="499"/>
      <c r="I19" s="499"/>
      <c r="J19" s="512"/>
      <c r="K19" s="499"/>
      <c r="L19" s="501">
        <v>7932.0800000000163</v>
      </c>
      <c r="M19" s="500"/>
      <c r="N19" s="501">
        <v>1212.0800000000154</v>
      </c>
      <c r="O19" s="512"/>
      <c r="P19" s="499"/>
      <c r="Q19" s="501">
        <v>13692.75</v>
      </c>
      <c r="R19" s="500">
        <v>0</v>
      </c>
      <c r="S19" s="501">
        <v>-5760.6699999999837</v>
      </c>
      <c r="T19" s="481"/>
      <c r="W19" s="499"/>
      <c r="X19" s="522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1"/>
      <c r="AL19" s="481"/>
      <c r="AM19" s="481"/>
      <c r="AN19" s="481"/>
    </row>
    <row r="20" spans="1:40" ht="21">
      <c r="A20" s="490" t="s">
        <v>0</v>
      </c>
      <c r="B20" s="481" t="s">
        <v>0</v>
      </c>
      <c r="C20" s="504"/>
      <c r="D20" s="519"/>
      <c r="E20" s="519"/>
      <c r="F20" s="520"/>
      <c r="G20" s="521"/>
      <c r="H20" s="519"/>
      <c r="I20" s="520"/>
      <c r="J20" s="500"/>
      <c r="K20" s="519"/>
      <c r="L20" s="520"/>
      <c r="M20" s="521"/>
      <c r="N20" s="520"/>
      <c r="O20" s="500"/>
      <c r="P20" s="519"/>
      <c r="Q20" s="520"/>
      <c r="R20" s="521"/>
      <c r="S20" s="520"/>
      <c r="T20" s="481"/>
      <c r="U20" s="481"/>
      <c r="W20" s="499"/>
      <c r="X20" s="522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K20" s="481"/>
      <c r="AL20" s="481"/>
      <c r="AM20" s="481"/>
      <c r="AN20" s="481"/>
    </row>
    <row r="21" spans="1:40" ht="15.75" customHeight="1">
      <c r="A21" s="490" t="s">
        <v>234</v>
      </c>
      <c r="B21" s="481" t="s">
        <v>0</v>
      </c>
      <c r="C21" s="498" t="s">
        <v>25</v>
      </c>
      <c r="D21" s="499">
        <v>0</v>
      </c>
      <c r="E21" s="499">
        <v>0</v>
      </c>
      <c r="F21" s="499">
        <v>9700.059318857142</v>
      </c>
      <c r="G21" s="500"/>
      <c r="H21" s="499"/>
      <c r="I21" s="499"/>
      <c r="J21" s="500"/>
      <c r="K21" s="499">
        <v>92.308148148148149</v>
      </c>
      <c r="L21" s="501">
        <v>4984.6400000000003</v>
      </c>
      <c r="M21" s="500"/>
      <c r="N21" s="501">
        <v>-4715.4193188571417</v>
      </c>
      <c r="O21" s="500"/>
      <c r="P21" s="499">
        <v>211.38400000000001</v>
      </c>
      <c r="Q21" s="501">
        <v>10569.2</v>
      </c>
      <c r="R21" s="500">
        <v>-92.308148148148149</v>
      </c>
      <c r="S21" s="501">
        <v>-5584.56</v>
      </c>
      <c r="T21" s="481"/>
      <c r="U21" s="481"/>
      <c r="W21" s="481"/>
      <c r="X21" s="522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</row>
    <row r="22" spans="1:40" ht="18" customHeight="1">
      <c r="A22" s="490" t="s">
        <v>235</v>
      </c>
      <c r="B22" s="481" t="s">
        <v>0</v>
      </c>
      <c r="C22" s="498" t="s">
        <v>26</v>
      </c>
      <c r="D22" s="499">
        <v>0</v>
      </c>
      <c r="E22" s="499">
        <v>0</v>
      </c>
      <c r="F22" s="499">
        <v>53350.326253714287</v>
      </c>
      <c r="G22" s="500"/>
      <c r="H22" s="499"/>
      <c r="I22" s="499"/>
      <c r="J22" s="500"/>
      <c r="K22" s="499">
        <v>1111.5049999999999</v>
      </c>
      <c r="L22" s="501">
        <v>60021.27</v>
      </c>
      <c r="M22" s="500"/>
      <c r="N22" s="501">
        <v>6670.9437462857095</v>
      </c>
      <c r="O22" s="500"/>
      <c r="P22" s="499">
        <v>866.21759999999995</v>
      </c>
      <c r="Q22" s="501">
        <v>43310.879999999997</v>
      </c>
      <c r="R22" s="500">
        <v>-1111.5049999999999</v>
      </c>
      <c r="S22" s="501">
        <v>16710.39</v>
      </c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K22" s="481"/>
      <c r="AL22" s="481"/>
      <c r="AM22" s="481"/>
      <c r="AN22" s="481"/>
    </row>
    <row r="23" spans="1:40" ht="19.5" customHeight="1">
      <c r="A23" s="490" t="s">
        <v>236</v>
      </c>
      <c r="B23" s="481" t="s">
        <v>0</v>
      </c>
      <c r="C23" s="498" t="s">
        <v>27</v>
      </c>
      <c r="D23" s="499">
        <v>0</v>
      </c>
      <c r="E23" s="499">
        <v>0</v>
      </c>
      <c r="F23" s="499">
        <v>1635.4751177142857</v>
      </c>
      <c r="G23" s="500"/>
      <c r="H23" s="499"/>
      <c r="I23" s="499"/>
      <c r="J23" s="500"/>
      <c r="K23" s="499">
        <v>9.5077777777777772</v>
      </c>
      <c r="L23" s="501">
        <v>513.41999999999996</v>
      </c>
      <c r="M23" s="512"/>
      <c r="N23" s="501">
        <v>-1122.0551177142856</v>
      </c>
      <c r="O23" s="500"/>
      <c r="P23" s="499">
        <v>32.4756</v>
      </c>
      <c r="Q23" s="501">
        <v>1623.78</v>
      </c>
      <c r="R23" s="500">
        <v>-9.5077777777777772</v>
      </c>
      <c r="S23" s="501">
        <v>-1110.3600000000001</v>
      </c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81"/>
      <c r="AF23" s="481"/>
      <c r="AG23" s="481"/>
      <c r="AH23" s="481"/>
      <c r="AI23" s="481"/>
      <c r="AJ23" s="481"/>
      <c r="AK23" s="481"/>
      <c r="AL23" s="481"/>
      <c r="AM23" s="481"/>
      <c r="AN23" s="481"/>
    </row>
    <row r="24" spans="1:40" ht="18" customHeight="1">
      <c r="A24" s="490" t="s">
        <v>237</v>
      </c>
      <c r="B24" s="481" t="s">
        <v>0</v>
      </c>
      <c r="C24" s="504" t="s">
        <v>28</v>
      </c>
      <c r="D24" s="505">
        <v>56.395693714285713</v>
      </c>
      <c r="E24" s="505">
        <v>1147</v>
      </c>
      <c r="F24" s="506">
        <v>64685.860690285714</v>
      </c>
      <c r="G24" s="507"/>
      <c r="H24" s="505"/>
      <c r="I24" s="506"/>
      <c r="J24" s="507">
        <v>54</v>
      </c>
      <c r="K24" s="505">
        <v>1213.3209259259258</v>
      </c>
      <c r="L24" s="506">
        <v>65519.329999999994</v>
      </c>
      <c r="M24" s="523">
        <v>-2.3956937142857129</v>
      </c>
      <c r="N24" s="506">
        <v>833.46930971428083</v>
      </c>
      <c r="O24" s="507">
        <v>50</v>
      </c>
      <c r="P24" s="505">
        <v>1110.0771999999999</v>
      </c>
      <c r="Q24" s="506">
        <v>55503.86</v>
      </c>
      <c r="R24" s="521"/>
      <c r="S24" s="506">
        <v>10015.469999999994</v>
      </c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81"/>
      <c r="AF24" s="481"/>
      <c r="AG24" s="481"/>
      <c r="AH24" s="481"/>
      <c r="AI24" s="481"/>
      <c r="AJ24" s="481"/>
      <c r="AK24" s="481"/>
      <c r="AL24" s="481"/>
      <c r="AM24" s="481"/>
      <c r="AN24" s="481"/>
    </row>
    <row r="25" spans="1:40" ht="15.75" customHeight="1">
      <c r="A25" s="490" t="s">
        <v>0</v>
      </c>
      <c r="B25" s="481" t="s">
        <v>0</v>
      </c>
      <c r="C25" s="498"/>
      <c r="D25" s="481"/>
      <c r="E25" s="481"/>
      <c r="F25" s="524"/>
      <c r="G25" s="498"/>
      <c r="H25" s="481"/>
      <c r="I25" s="524"/>
      <c r="J25" s="498"/>
      <c r="K25" s="481"/>
      <c r="L25" s="524"/>
      <c r="M25" s="515"/>
      <c r="N25" s="516">
        <v>1.2884876243742216E-2</v>
      </c>
      <c r="O25" s="498"/>
      <c r="P25" s="481"/>
      <c r="Q25" s="524"/>
      <c r="R25" s="525"/>
      <c r="S25" s="516">
        <v>0.18044636895524011</v>
      </c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81"/>
      <c r="AF25" s="481"/>
      <c r="AG25" s="481"/>
      <c r="AH25" s="481"/>
      <c r="AI25" s="481"/>
      <c r="AJ25" s="481"/>
      <c r="AK25" s="481"/>
      <c r="AL25" s="481"/>
      <c r="AM25" s="481"/>
      <c r="AN25" s="481"/>
    </row>
    <row r="26" spans="1:40" ht="15.75" customHeight="1" thickBot="1">
      <c r="A26" s="490" t="s">
        <v>0</v>
      </c>
      <c r="B26" s="481" t="s">
        <v>0</v>
      </c>
      <c r="C26" s="498"/>
      <c r="D26" s="481"/>
      <c r="E26" s="481"/>
      <c r="F26" s="508"/>
      <c r="G26" s="498"/>
      <c r="H26" s="481"/>
      <c r="I26" s="508"/>
      <c r="J26" s="498"/>
      <c r="K26" s="481"/>
      <c r="L26" s="508"/>
      <c r="M26" s="498"/>
      <c r="N26" s="508"/>
      <c r="O26" s="498"/>
      <c r="P26" s="481"/>
      <c r="Q26" s="508"/>
      <c r="R26" s="498"/>
      <c r="S26" s="508"/>
      <c r="T26" s="481"/>
      <c r="U26" s="481"/>
      <c r="V26" s="481"/>
      <c r="W26" s="481"/>
      <c r="X26" s="481"/>
      <c r="Y26" s="481"/>
      <c r="Z26" s="481"/>
      <c r="AA26" s="481"/>
      <c r="AB26" s="481"/>
      <c r="AC26" s="481"/>
      <c r="AD26" s="481"/>
      <c r="AE26" s="481"/>
      <c r="AF26" s="481"/>
      <c r="AG26" s="481"/>
      <c r="AH26" s="481"/>
      <c r="AI26" s="481"/>
      <c r="AJ26" s="481"/>
      <c r="AK26" s="481"/>
      <c r="AL26" s="481"/>
      <c r="AM26" s="481"/>
      <c r="AN26" s="481"/>
    </row>
    <row r="27" spans="1:40" ht="18" customHeight="1" thickTop="1">
      <c r="A27" s="490" t="s">
        <v>238</v>
      </c>
      <c r="B27" s="481" t="s">
        <v>0</v>
      </c>
      <c r="C27" s="526" t="s">
        <v>29</v>
      </c>
      <c r="D27" s="527">
        <v>58.45283657142857</v>
      </c>
      <c r="E27" s="528">
        <v>3664.3270159960175</v>
      </c>
      <c r="F27" s="529">
        <v>214190.30821028573</v>
      </c>
      <c r="G27" s="530"/>
      <c r="H27" s="528"/>
      <c r="I27" s="529"/>
      <c r="J27" s="530">
        <v>55</v>
      </c>
      <c r="K27" s="528">
        <v>3601.3861818181817</v>
      </c>
      <c r="L27" s="529">
        <v>198076.24</v>
      </c>
      <c r="M27" s="530">
        <v>-3.4528365714285698</v>
      </c>
      <c r="N27" s="529">
        <v>-16114.068210285739</v>
      </c>
      <c r="O27" s="530">
        <v>53</v>
      </c>
      <c r="P27" s="528">
        <v>3612.7930188679238</v>
      </c>
      <c r="Q27" s="529">
        <v>191478.02999999997</v>
      </c>
      <c r="R27" s="530">
        <v>2</v>
      </c>
      <c r="S27" s="529">
        <v>6598.210000000021</v>
      </c>
      <c r="T27" s="481"/>
      <c r="U27" s="481"/>
      <c r="V27" s="481"/>
      <c r="W27" s="481"/>
      <c r="X27" s="481"/>
      <c r="Y27" s="481"/>
      <c r="Z27" s="481"/>
      <c r="AA27" s="481"/>
      <c r="AB27" s="481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M27" s="481"/>
      <c r="AN27" s="481"/>
    </row>
    <row r="28" spans="1:40" ht="22.5" customHeight="1" thickBot="1">
      <c r="A28" s="490" t="s">
        <v>0</v>
      </c>
      <c r="B28" s="481" t="s">
        <v>0</v>
      </c>
      <c r="C28" s="531"/>
      <c r="D28" s="532"/>
      <c r="E28" s="532"/>
      <c r="F28" s="533"/>
      <c r="G28" s="531"/>
      <c r="H28" s="532"/>
      <c r="I28" s="533"/>
      <c r="J28" s="531"/>
      <c r="K28" s="532"/>
      <c r="L28" s="534">
        <v>0.92476751938530566</v>
      </c>
      <c r="M28" s="535">
        <v>-5.9070470724021246E-2</v>
      </c>
      <c r="N28" s="536">
        <v>-7.5232480614694397E-2</v>
      </c>
      <c r="O28" s="531"/>
      <c r="P28" s="532"/>
      <c r="Q28" s="533"/>
      <c r="R28" s="535">
        <v>3.7735849056603772E-2</v>
      </c>
      <c r="S28" s="536">
        <v>3.4459358078835579E-2</v>
      </c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481"/>
      <c r="AL28" s="481"/>
      <c r="AM28" s="481"/>
      <c r="AN28" s="481"/>
    </row>
    <row r="29" spans="1:40" ht="15.75" customHeight="1" thickTop="1">
      <c r="A29" s="490" t="s">
        <v>0</v>
      </c>
      <c r="B29" s="481" t="s">
        <v>0</v>
      </c>
      <c r="C29" s="517"/>
      <c r="D29" s="537"/>
      <c r="E29" s="537"/>
      <c r="F29" s="538"/>
      <c r="G29" s="517"/>
      <c r="H29" s="537"/>
      <c r="I29" s="538"/>
      <c r="J29" s="517"/>
      <c r="K29" s="537"/>
      <c r="L29" s="538"/>
      <c r="M29" s="515"/>
      <c r="N29" s="516"/>
      <c r="O29" s="517"/>
      <c r="P29" s="537"/>
      <c r="Q29" s="538"/>
      <c r="R29" s="515"/>
      <c r="S29" s="516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</row>
    <row r="30" spans="1:40" ht="15.75" customHeight="1">
      <c r="A30" s="490" t="s">
        <v>239</v>
      </c>
      <c r="B30" s="481" t="s">
        <v>0</v>
      </c>
      <c r="C30" s="539" t="s">
        <v>30</v>
      </c>
      <c r="D30" s="481"/>
      <c r="E30" s="540"/>
      <c r="F30" s="524"/>
      <c r="G30" s="498"/>
      <c r="H30" s="540"/>
      <c r="I30" s="524"/>
      <c r="J30" s="498"/>
      <c r="K30" s="540"/>
      <c r="L30" s="508"/>
      <c r="M30" s="498"/>
      <c r="N30" s="508"/>
      <c r="O30" s="498"/>
      <c r="P30" s="540"/>
      <c r="Q30" s="508"/>
      <c r="R30" s="498"/>
      <c r="S30" s="508"/>
      <c r="T30" s="481"/>
      <c r="U30" s="481"/>
      <c r="V30" s="481"/>
      <c r="W30" s="481"/>
      <c r="X30" s="481"/>
      <c r="Y30" s="481"/>
      <c r="Z30" s="481"/>
      <c r="AA30" s="481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</row>
    <row r="31" spans="1:40" ht="15.75" customHeight="1">
      <c r="A31" s="490" t="s">
        <v>240</v>
      </c>
      <c r="B31" s="481" t="s">
        <v>0</v>
      </c>
      <c r="C31" s="498" t="s">
        <v>31</v>
      </c>
      <c r="D31" s="541">
        <v>0.30191185275546439</v>
      </c>
      <c r="E31" s="542">
        <v>764.39022656279008</v>
      </c>
      <c r="F31" s="499">
        <v>43108.317095428574</v>
      </c>
      <c r="G31" s="543"/>
      <c r="H31" s="542"/>
      <c r="I31" s="499"/>
      <c r="J31" s="543">
        <v>0.19143648982309552</v>
      </c>
      <c r="K31" s="542">
        <v>441.81</v>
      </c>
      <c r="L31" s="499">
        <v>23857.74</v>
      </c>
      <c r="M31" s="498"/>
      <c r="N31" s="524">
        <v>-19250.577095428573</v>
      </c>
      <c r="O31" s="498"/>
      <c r="P31" s="542">
        <v>768.08720000000005</v>
      </c>
      <c r="Q31" s="501">
        <v>38404.36</v>
      </c>
      <c r="R31" s="498"/>
      <c r="S31" s="524">
        <v>-14546.619999999999</v>
      </c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81"/>
      <c r="AF31" s="481"/>
      <c r="AG31" s="481"/>
      <c r="AH31" s="481"/>
      <c r="AI31" s="481"/>
      <c r="AJ31" s="481"/>
      <c r="AK31" s="481"/>
      <c r="AL31" s="481"/>
      <c r="AM31" s="481"/>
      <c r="AN31" s="481"/>
    </row>
    <row r="32" spans="1:40" ht="15.75" customHeight="1">
      <c r="A32" s="490" t="s">
        <v>241</v>
      </c>
      <c r="B32" s="481" t="s">
        <v>0</v>
      </c>
      <c r="C32" s="491" t="s">
        <v>32</v>
      </c>
      <c r="D32" s="544">
        <v>0.3</v>
      </c>
      <c r="E32" s="545">
        <v>344.09999999999997</v>
      </c>
      <c r="F32" s="493">
        <v>19405.758207085713</v>
      </c>
      <c r="G32" s="546"/>
      <c r="H32" s="545"/>
      <c r="I32" s="493"/>
      <c r="J32" s="546">
        <v>0.30030542131612159</v>
      </c>
      <c r="K32" s="545">
        <v>364.36685185185189</v>
      </c>
      <c r="L32" s="493">
        <v>19675.810000000001</v>
      </c>
      <c r="M32" s="491"/>
      <c r="N32" s="547">
        <v>270.05179291428794</v>
      </c>
      <c r="O32" s="491"/>
      <c r="P32" s="545">
        <v>385.74599999999998</v>
      </c>
      <c r="Q32" s="493">
        <v>19287.3</v>
      </c>
      <c r="R32" s="491"/>
      <c r="S32" s="547">
        <v>388.51000000000204</v>
      </c>
      <c r="T32" s="481"/>
      <c r="U32" s="548">
        <v>0.28234130240841526</v>
      </c>
      <c r="V32" s="549" t="s">
        <v>467</v>
      </c>
      <c r="X32" s="466">
        <v>18498.812965126752</v>
      </c>
      <c r="Y32" s="518">
        <v>1176.9970348732495</v>
      </c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</row>
    <row r="33" spans="1:40" ht="15.75" customHeight="1">
      <c r="A33" s="490" t="s">
        <v>242</v>
      </c>
      <c r="B33" s="481" t="s">
        <v>0</v>
      </c>
      <c r="C33" s="498" t="s">
        <v>33</v>
      </c>
      <c r="D33" s="550"/>
      <c r="E33" s="542">
        <v>113.25897667238421</v>
      </c>
      <c r="F33" s="499">
        <v>6387.3185588092101</v>
      </c>
      <c r="G33" s="551"/>
      <c r="H33" s="542"/>
      <c r="I33" s="499"/>
      <c r="J33" s="498"/>
      <c r="K33" s="542">
        <v>85.562222222222218</v>
      </c>
      <c r="L33" s="499">
        <v>4620.3599999999997</v>
      </c>
      <c r="M33" s="498"/>
      <c r="N33" s="524">
        <v>-1766.9585588092104</v>
      </c>
      <c r="O33" s="498"/>
      <c r="P33" s="542">
        <v>-22.500999999999998</v>
      </c>
      <c r="Q33" s="501">
        <v>-1125.05</v>
      </c>
      <c r="R33" s="498"/>
      <c r="S33" s="524">
        <v>5745.41</v>
      </c>
      <c r="T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</row>
    <row r="34" spans="1:40" ht="15.75" customHeight="1">
      <c r="A34" s="490" t="s">
        <v>243</v>
      </c>
      <c r="B34" s="481" t="s">
        <v>0</v>
      </c>
      <c r="C34" s="498" t="s">
        <v>34</v>
      </c>
      <c r="D34" s="550"/>
      <c r="E34" s="542">
        <v>5.1177856446126109</v>
      </c>
      <c r="F34" s="499">
        <v>288.62107170894109</v>
      </c>
      <c r="G34" s="551"/>
      <c r="H34" s="542"/>
      <c r="I34" s="499"/>
      <c r="J34" s="498"/>
      <c r="K34" s="542">
        <v>3.9803703703703701</v>
      </c>
      <c r="L34" s="499">
        <v>214.94</v>
      </c>
      <c r="M34" s="498"/>
      <c r="N34" s="524">
        <v>-73.68107170894109</v>
      </c>
      <c r="O34" s="498"/>
      <c r="P34" s="542">
        <v>0.57999999999999996</v>
      </c>
      <c r="Q34" s="501">
        <v>29</v>
      </c>
      <c r="R34" s="498"/>
      <c r="S34" s="524">
        <v>185.94</v>
      </c>
      <c r="T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</row>
    <row r="35" spans="1:40" ht="15.75" customHeight="1">
      <c r="A35" s="490" t="s">
        <v>244</v>
      </c>
      <c r="B35" s="481" t="s">
        <v>0</v>
      </c>
      <c r="C35" s="491" t="s">
        <v>35</v>
      </c>
      <c r="D35" s="552"/>
      <c r="E35" s="545">
        <v>105.01044339622641</v>
      </c>
      <c r="F35" s="493">
        <v>5922.1368025749216</v>
      </c>
      <c r="G35" s="553"/>
      <c r="H35" s="545"/>
      <c r="I35" s="493"/>
      <c r="J35" s="491"/>
      <c r="K35" s="545">
        <v>80.21648148148148</v>
      </c>
      <c r="L35" s="493">
        <v>4331.6899999999996</v>
      </c>
      <c r="M35" s="491"/>
      <c r="N35" s="547">
        <v>-1590.446802574922</v>
      </c>
      <c r="O35" s="491"/>
      <c r="P35" s="545">
        <v>71.921800000000005</v>
      </c>
      <c r="Q35" s="501">
        <v>3596.09</v>
      </c>
      <c r="R35" s="491"/>
      <c r="S35" s="547">
        <v>735.59999999999945</v>
      </c>
      <c r="T35" s="481"/>
      <c r="Z35" s="481"/>
      <c r="AA35" s="481"/>
      <c r="AB35" s="481"/>
      <c r="AC35" s="481"/>
      <c r="AD35" s="481"/>
      <c r="AE35" s="481"/>
      <c r="AF35" s="481"/>
      <c r="AG35" s="481"/>
      <c r="AH35" s="481"/>
      <c r="AI35" s="481"/>
      <c r="AJ35" s="481"/>
      <c r="AK35" s="481"/>
      <c r="AL35" s="481"/>
      <c r="AM35" s="481"/>
      <c r="AN35" s="481"/>
    </row>
    <row r="36" spans="1:40" ht="15.75" customHeight="1">
      <c r="A36" s="490" t="s">
        <v>245</v>
      </c>
      <c r="B36" s="481" t="s">
        <v>0</v>
      </c>
      <c r="C36" s="498" t="s">
        <v>36</v>
      </c>
      <c r="D36" s="550"/>
      <c r="E36" s="542">
        <v>300.75552273170513</v>
      </c>
      <c r="F36" s="499">
        <v>16961.316342857135</v>
      </c>
      <c r="G36" s="551"/>
      <c r="H36" s="542"/>
      <c r="I36" s="499"/>
      <c r="J36" s="498"/>
      <c r="K36" s="542">
        <v>102.5535185185185</v>
      </c>
      <c r="L36" s="554">
        <v>5537.8899999999994</v>
      </c>
      <c r="M36" s="481"/>
      <c r="N36" s="524">
        <v>-11423.426342857136</v>
      </c>
      <c r="O36" s="498"/>
      <c r="P36" s="542">
        <v>40.187400000000018</v>
      </c>
      <c r="Q36" s="520">
        <v>2009.3700000000008</v>
      </c>
      <c r="R36" s="498"/>
      <c r="S36" s="524">
        <v>3528.5199999999986</v>
      </c>
      <c r="T36" s="481"/>
      <c r="Z36" s="481"/>
      <c r="AA36" s="481"/>
      <c r="AB36" s="481"/>
      <c r="AC36" s="481"/>
      <c r="AD36" s="481"/>
      <c r="AE36" s="481"/>
      <c r="AF36" s="481"/>
      <c r="AG36" s="481"/>
      <c r="AH36" s="481"/>
      <c r="AI36" s="481"/>
      <c r="AJ36" s="481"/>
      <c r="AK36" s="481"/>
      <c r="AL36" s="481"/>
      <c r="AM36" s="481"/>
      <c r="AN36" s="481"/>
    </row>
    <row r="37" spans="1:40" ht="15.75" customHeight="1">
      <c r="A37" s="490" t="s">
        <v>246</v>
      </c>
      <c r="B37" s="481" t="s">
        <v>0</v>
      </c>
      <c r="C37" s="498" t="s">
        <v>37</v>
      </c>
      <c r="D37" s="550"/>
      <c r="E37" s="542">
        <v>63.366312970399001</v>
      </c>
      <c r="F37" s="499">
        <v>3573.5871780821922</v>
      </c>
      <c r="G37" s="551"/>
      <c r="H37" s="542"/>
      <c r="I37" s="499"/>
      <c r="J37" s="498"/>
      <c r="K37" s="542">
        <v>95.057592592592584</v>
      </c>
      <c r="L37" s="555">
        <v>5133.1099999999997</v>
      </c>
      <c r="M37" s="481"/>
      <c r="N37" s="524">
        <v>1559.5228219178075</v>
      </c>
      <c r="O37" s="498"/>
      <c r="P37" s="542">
        <v>105.5194</v>
      </c>
      <c r="Q37" s="501">
        <v>5275.97</v>
      </c>
      <c r="R37" s="498"/>
      <c r="S37" s="524">
        <v>-142.86000000000058</v>
      </c>
      <c r="T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481"/>
      <c r="AL37" s="481"/>
      <c r="AM37" s="481"/>
      <c r="AN37" s="481"/>
    </row>
    <row r="38" spans="1:40" ht="15.75" hidden="1" customHeight="1">
      <c r="A38" s="490" t="s">
        <v>229</v>
      </c>
      <c r="B38" s="481" t="s">
        <v>0</v>
      </c>
      <c r="C38" s="498" t="s">
        <v>20</v>
      </c>
      <c r="D38" s="550"/>
      <c r="E38" s="542">
        <v>0</v>
      </c>
      <c r="F38" s="499">
        <v>0</v>
      </c>
      <c r="G38" s="551"/>
      <c r="H38" s="542"/>
      <c r="I38" s="499"/>
      <c r="J38" s="498"/>
      <c r="K38" s="542">
        <v>0</v>
      </c>
      <c r="L38" s="555">
        <v>0</v>
      </c>
      <c r="M38" s="481"/>
      <c r="N38" s="524">
        <v>0</v>
      </c>
      <c r="O38" s="498"/>
      <c r="P38" s="542">
        <v>0</v>
      </c>
      <c r="Q38" s="501">
        <v>0</v>
      </c>
      <c r="R38" s="498"/>
      <c r="S38" s="524">
        <v>0</v>
      </c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81"/>
      <c r="AF38" s="481"/>
      <c r="AG38" s="481"/>
      <c r="AH38" s="481"/>
      <c r="AI38" s="481"/>
      <c r="AJ38" s="481"/>
      <c r="AK38" s="481"/>
      <c r="AL38" s="481"/>
      <c r="AM38" s="481"/>
      <c r="AN38" s="481"/>
    </row>
    <row r="39" spans="1:40" ht="15.75" hidden="1" customHeight="1">
      <c r="A39" s="490" t="s">
        <v>229</v>
      </c>
      <c r="B39" s="481" t="s">
        <v>0</v>
      </c>
      <c r="C39" s="498" t="s">
        <v>20</v>
      </c>
      <c r="D39" s="550"/>
      <c r="E39" s="542">
        <v>0</v>
      </c>
      <c r="F39" s="499">
        <v>0</v>
      </c>
      <c r="G39" s="551"/>
      <c r="H39" s="542"/>
      <c r="I39" s="499"/>
      <c r="J39" s="498"/>
      <c r="K39" s="542">
        <v>0</v>
      </c>
      <c r="L39" s="555">
        <v>0</v>
      </c>
      <c r="M39" s="481"/>
      <c r="N39" s="524">
        <v>0</v>
      </c>
      <c r="O39" s="498"/>
      <c r="P39" s="542">
        <v>0</v>
      </c>
      <c r="Q39" s="501">
        <v>0</v>
      </c>
      <c r="R39" s="498"/>
      <c r="S39" s="524">
        <v>0</v>
      </c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81"/>
      <c r="AL39" s="481"/>
      <c r="AM39" s="481"/>
      <c r="AN39" s="481"/>
    </row>
    <row r="40" spans="1:40" ht="15.75" hidden="1" customHeight="1">
      <c r="A40" s="490" t="s">
        <v>229</v>
      </c>
      <c r="B40" s="481" t="s">
        <v>0</v>
      </c>
      <c r="C40" s="498" t="s">
        <v>20</v>
      </c>
      <c r="D40" s="550"/>
      <c r="E40" s="542">
        <v>0</v>
      </c>
      <c r="F40" s="499">
        <v>0</v>
      </c>
      <c r="G40" s="551"/>
      <c r="H40" s="542"/>
      <c r="I40" s="499"/>
      <c r="J40" s="498"/>
      <c r="K40" s="542">
        <v>0</v>
      </c>
      <c r="L40" s="556">
        <v>0</v>
      </c>
      <c r="M40" s="481"/>
      <c r="N40" s="524">
        <v>0</v>
      </c>
      <c r="O40" s="498"/>
      <c r="P40" s="542">
        <v>0</v>
      </c>
      <c r="Q40" s="501">
        <v>0</v>
      </c>
      <c r="R40" s="498"/>
      <c r="S40" s="524">
        <v>0</v>
      </c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1"/>
      <c r="AF40" s="481"/>
      <c r="AG40" s="481"/>
      <c r="AH40" s="481"/>
      <c r="AI40" s="481"/>
      <c r="AJ40" s="481"/>
      <c r="AK40" s="481"/>
      <c r="AL40" s="481"/>
      <c r="AM40" s="481"/>
      <c r="AN40" s="481"/>
    </row>
    <row r="41" spans="1:40" ht="15.75" customHeight="1">
      <c r="A41" s="490" t="s">
        <v>247</v>
      </c>
      <c r="B41" s="481" t="s">
        <v>0</v>
      </c>
      <c r="C41" s="557" t="s">
        <v>38</v>
      </c>
      <c r="D41" s="558" t="s">
        <v>39</v>
      </c>
      <c r="E41" s="559">
        <v>0.44655174202673648</v>
      </c>
      <c r="F41" s="560">
        <v>95647.055256546693</v>
      </c>
      <c r="G41" s="561"/>
      <c r="H41" s="559"/>
      <c r="I41" s="560"/>
      <c r="J41" s="561" t="s">
        <v>39</v>
      </c>
      <c r="K41" s="559">
        <v>0.31993509165965595</v>
      </c>
      <c r="L41" s="560">
        <v>63371.540000000008</v>
      </c>
      <c r="M41" s="562"/>
      <c r="N41" s="560">
        <v>-32275.515256546685</v>
      </c>
      <c r="O41" s="561" t="s">
        <v>39</v>
      </c>
      <c r="P41" s="559">
        <v>0.35240095169142904</v>
      </c>
      <c r="Q41" s="563">
        <v>67477.039999999994</v>
      </c>
      <c r="R41" s="564"/>
      <c r="S41" s="560">
        <v>-4105.4999999999854</v>
      </c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481"/>
      <c r="AL41" s="481"/>
      <c r="AM41" s="481"/>
      <c r="AN41" s="481"/>
    </row>
    <row r="42" spans="1:40" ht="15.75" customHeight="1">
      <c r="A42" s="490" t="s">
        <v>248</v>
      </c>
      <c r="B42" s="481" t="s">
        <v>0</v>
      </c>
      <c r="C42" s="565" t="s">
        <v>41</v>
      </c>
      <c r="D42" s="481"/>
      <c r="E42" s="481"/>
      <c r="F42" s="499">
        <v>17292.496551724136</v>
      </c>
      <c r="G42" s="498"/>
      <c r="H42" s="481"/>
      <c r="I42" s="499"/>
      <c r="J42" s="498"/>
      <c r="K42" s="481"/>
      <c r="L42" s="501">
        <v>14161.33</v>
      </c>
      <c r="M42" s="498"/>
      <c r="N42" s="524">
        <v>-3131.1665517241363</v>
      </c>
      <c r="O42" s="498"/>
      <c r="P42" s="481"/>
      <c r="Q42" s="501">
        <v>15311.7</v>
      </c>
      <c r="R42" s="498"/>
      <c r="S42" s="524">
        <v>-1150.3700000000008</v>
      </c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1"/>
      <c r="AF42" s="481"/>
      <c r="AG42" s="481"/>
      <c r="AH42" s="481"/>
      <c r="AI42" s="481"/>
      <c r="AJ42" s="481"/>
      <c r="AK42" s="481"/>
      <c r="AL42" s="481"/>
      <c r="AM42" s="481"/>
      <c r="AN42" s="481"/>
    </row>
    <row r="43" spans="1:40" ht="15.75" customHeight="1">
      <c r="A43" s="490" t="s">
        <v>249</v>
      </c>
      <c r="B43" s="481" t="s">
        <v>0</v>
      </c>
      <c r="C43" s="566" t="s">
        <v>42</v>
      </c>
      <c r="D43" s="550"/>
      <c r="E43" s="481"/>
      <c r="F43" s="493">
        <v>10224.637241379311</v>
      </c>
      <c r="G43" s="551"/>
      <c r="H43" s="481"/>
      <c r="I43" s="493"/>
      <c r="J43" s="498"/>
      <c r="K43" s="481"/>
      <c r="L43" s="501">
        <v>16026.9</v>
      </c>
      <c r="M43" s="498"/>
      <c r="N43" s="524">
        <v>5802.2627586206891</v>
      </c>
      <c r="O43" s="498"/>
      <c r="P43" s="481"/>
      <c r="Q43" s="501">
        <v>7250.31</v>
      </c>
      <c r="R43" s="498"/>
      <c r="S43" s="524">
        <v>8776.59</v>
      </c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</row>
    <row r="44" spans="1:40" ht="15.75" customHeight="1">
      <c r="A44" s="490" t="s">
        <v>250</v>
      </c>
      <c r="B44" s="481" t="s">
        <v>0</v>
      </c>
      <c r="C44" s="565" t="s">
        <v>43</v>
      </c>
      <c r="D44" s="567"/>
      <c r="E44" s="568"/>
      <c r="F44" s="499">
        <v>8208.9839080459769</v>
      </c>
      <c r="G44" s="569"/>
      <c r="H44" s="568"/>
      <c r="I44" s="499"/>
      <c r="J44" s="485"/>
      <c r="K44" s="568"/>
      <c r="L44" s="520">
        <v>6488.86</v>
      </c>
      <c r="M44" s="485"/>
      <c r="N44" s="570">
        <v>-1720.1239080459773</v>
      </c>
      <c r="O44" s="485"/>
      <c r="P44" s="568"/>
      <c r="Q44" s="520">
        <v>4701.9799999999996</v>
      </c>
      <c r="R44" s="485"/>
      <c r="S44" s="570">
        <v>1786.88</v>
      </c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</row>
    <row r="45" spans="1:40" ht="15.75" customHeight="1">
      <c r="A45" s="490" t="s">
        <v>251</v>
      </c>
      <c r="B45" s="481" t="s">
        <v>0</v>
      </c>
      <c r="C45" s="565" t="s">
        <v>44</v>
      </c>
      <c r="D45" s="550"/>
      <c r="E45" s="481"/>
      <c r="F45" s="499">
        <v>0</v>
      </c>
      <c r="G45" s="551"/>
      <c r="H45" s="481"/>
      <c r="I45" s="499"/>
      <c r="J45" s="498"/>
      <c r="K45" s="481"/>
      <c r="L45" s="501">
        <v>0</v>
      </c>
      <c r="M45" s="498"/>
      <c r="N45" s="524">
        <v>0</v>
      </c>
      <c r="O45" s="498"/>
      <c r="P45" s="481"/>
      <c r="Q45" s="501">
        <v>0</v>
      </c>
      <c r="R45" s="498"/>
      <c r="S45" s="524">
        <v>0</v>
      </c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</row>
    <row r="46" spans="1:40" ht="15.75" hidden="1" customHeight="1">
      <c r="A46" s="490" t="s">
        <v>229</v>
      </c>
      <c r="B46" s="481" t="s">
        <v>0</v>
      </c>
      <c r="C46" s="565" t="s">
        <v>20</v>
      </c>
      <c r="D46" s="550"/>
      <c r="E46" s="481"/>
      <c r="F46" s="499">
        <v>0</v>
      </c>
      <c r="G46" s="551"/>
      <c r="H46" s="481"/>
      <c r="I46" s="499"/>
      <c r="J46" s="498"/>
      <c r="K46" s="481"/>
      <c r="L46" s="501">
        <v>0</v>
      </c>
      <c r="M46" s="498"/>
      <c r="N46" s="524">
        <v>0</v>
      </c>
      <c r="O46" s="498"/>
      <c r="P46" s="481"/>
      <c r="Q46" s="501">
        <v>0</v>
      </c>
      <c r="R46" s="498"/>
      <c r="S46" s="524">
        <v>0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</row>
    <row r="47" spans="1:40" ht="15.75" hidden="1" customHeight="1">
      <c r="A47" s="490" t="s">
        <v>229</v>
      </c>
      <c r="B47" s="481" t="s">
        <v>0</v>
      </c>
      <c r="C47" s="565" t="s">
        <v>20</v>
      </c>
      <c r="D47" s="550"/>
      <c r="E47" s="481"/>
      <c r="F47" s="499">
        <v>0</v>
      </c>
      <c r="G47" s="551"/>
      <c r="H47" s="481"/>
      <c r="I47" s="499"/>
      <c r="J47" s="498"/>
      <c r="K47" s="481"/>
      <c r="L47" s="501">
        <v>0</v>
      </c>
      <c r="M47" s="498"/>
      <c r="N47" s="524">
        <v>0</v>
      </c>
      <c r="O47" s="498"/>
      <c r="P47" s="481"/>
      <c r="Q47" s="501">
        <v>0</v>
      </c>
      <c r="R47" s="498"/>
      <c r="S47" s="524">
        <v>0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</row>
    <row r="48" spans="1:40" ht="15.75" hidden="1" customHeight="1">
      <c r="A48" s="490" t="s">
        <v>229</v>
      </c>
      <c r="B48" s="481" t="s">
        <v>0</v>
      </c>
      <c r="C48" s="565" t="s">
        <v>20</v>
      </c>
      <c r="D48" s="550"/>
      <c r="E48" s="481"/>
      <c r="F48" s="499">
        <v>0</v>
      </c>
      <c r="G48" s="551"/>
      <c r="H48" s="481"/>
      <c r="I48" s="499"/>
      <c r="J48" s="498"/>
      <c r="K48" s="481"/>
      <c r="L48" s="501">
        <v>0</v>
      </c>
      <c r="M48" s="498"/>
      <c r="N48" s="524">
        <v>0</v>
      </c>
      <c r="O48" s="498"/>
      <c r="P48" s="481"/>
      <c r="Q48" s="501">
        <v>0</v>
      </c>
      <c r="R48" s="498"/>
      <c r="S48" s="524">
        <v>0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</row>
    <row r="49" spans="1:40" ht="15.75" customHeight="1">
      <c r="A49" s="490" t="s">
        <v>252</v>
      </c>
      <c r="B49" s="481" t="s">
        <v>0</v>
      </c>
      <c r="C49" s="566" t="s">
        <v>45</v>
      </c>
      <c r="D49" s="550"/>
      <c r="E49" s="481"/>
      <c r="F49" s="493">
        <v>11885.828346847427</v>
      </c>
      <c r="G49" s="551"/>
      <c r="H49" s="481"/>
      <c r="I49" s="493"/>
      <c r="J49" s="498"/>
      <c r="K49" s="481"/>
      <c r="L49" s="493">
        <v>10273.68</v>
      </c>
      <c r="M49" s="498"/>
      <c r="N49" s="524">
        <v>-1612.1483468474271</v>
      </c>
      <c r="O49" s="498"/>
      <c r="P49" s="481"/>
      <c r="Q49" s="493">
        <v>16149.39</v>
      </c>
      <c r="R49" s="498"/>
      <c r="S49" s="524">
        <v>-5875.7099999999991</v>
      </c>
      <c r="T49" s="481"/>
      <c r="U49" s="481"/>
      <c r="V49" s="481"/>
      <c r="W49" s="481"/>
      <c r="X49" s="478"/>
      <c r="Y49" s="481"/>
      <c r="Z49" s="481"/>
      <c r="AA49" s="481"/>
      <c r="AB49" s="481"/>
      <c r="AC49" s="481"/>
      <c r="AD49" s="481"/>
      <c r="AE49" s="481"/>
      <c r="AF49" s="481"/>
      <c r="AG49" s="481"/>
      <c r="AH49" s="481"/>
      <c r="AI49" s="481"/>
      <c r="AJ49" s="481"/>
      <c r="AK49" s="481"/>
      <c r="AL49" s="481"/>
      <c r="AM49" s="481"/>
      <c r="AN49" s="481"/>
    </row>
    <row r="50" spans="1:40" ht="15.75" customHeight="1">
      <c r="A50" s="490" t="s">
        <v>253</v>
      </c>
      <c r="B50" s="481" t="s">
        <v>0</v>
      </c>
      <c r="C50" s="565" t="s">
        <v>46</v>
      </c>
      <c r="D50" s="567"/>
      <c r="E50" s="568"/>
      <c r="F50" s="499">
        <v>11815.68362326237</v>
      </c>
      <c r="G50" s="569"/>
      <c r="H50" s="568"/>
      <c r="I50" s="499"/>
      <c r="J50" s="485"/>
      <c r="K50" s="568"/>
      <c r="L50" s="501">
        <v>10461.01</v>
      </c>
      <c r="M50" s="485"/>
      <c r="N50" s="570">
        <v>-1354.6736232623698</v>
      </c>
      <c r="O50" s="485"/>
      <c r="P50" s="568"/>
      <c r="Q50" s="501">
        <v>15963.55</v>
      </c>
      <c r="R50" s="485"/>
      <c r="S50" s="570">
        <v>-5502.5399999999991</v>
      </c>
      <c r="T50" s="481"/>
      <c r="U50" s="481"/>
      <c r="V50" s="481"/>
      <c r="W50" s="481"/>
      <c r="X50" s="478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481"/>
      <c r="AL50" s="481"/>
      <c r="AM50" s="481"/>
      <c r="AN50" s="481"/>
    </row>
    <row r="51" spans="1:40" ht="15.75" customHeight="1">
      <c r="A51" s="490" t="s">
        <v>254</v>
      </c>
      <c r="B51" s="481" t="s">
        <v>0</v>
      </c>
      <c r="C51" s="565" t="s">
        <v>47</v>
      </c>
      <c r="D51" s="550"/>
      <c r="E51" s="481"/>
      <c r="F51" s="499">
        <v>8274.0273835405715</v>
      </c>
      <c r="G51" s="551"/>
      <c r="H51" s="481"/>
      <c r="I51" s="499"/>
      <c r="J51" s="498"/>
      <c r="K51" s="481"/>
      <c r="L51" s="501">
        <v>6088.21</v>
      </c>
      <c r="M51" s="498"/>
      <c r="N51" s="524">
        <v>-2185.8173835405714</v>
      </c>
      <c r="O51" s="498"/>
      <c r="P51" s="481"/>
      <c r="Q51" s="501">
        <v>3861.07</v>
      </c>
      <c r="R51" s="498"/>
      <c r="S51" s="524">
        <v>2227.14</v>
      </c>
      <c r="T51" s="481"/>
      <c r="U51" s="481"/>
      <c r="V51" s="481"/>
      <c r="W51" s="481"/>
      <c r="X51" s="478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481"/>
      <c r="AM51" s="481"/>
      <c r="AN51" s="481"/>
    </row>
    <row r="52" spans="1:40" ht="15.75" customHeight="1">
      <c r="A52" s="490" t="s">
        <v>255</v>
      </c>
      <c r="B52" s="481" t="s">
        <v>0</v>
      </c>
      <c r="C52" s="565" t="s">
        <v>48</v>
      </c>
      <c r="D52" s="550"/>
      <c r="E52" s="481"/>
      <c r="F52" s="499">
        <v>3952.7413677813015</v>
      </c>
      <c r="G52" s="551"/>
      <c r="H52" s="481"/>
      <c r="I52" s="499"/>
      <c r="J52" s="498"/>
      <c r="K52" s="481"/>
      <c r="L52" s="501">
        <v>1526.89</v>
      </c>
      <c r="M52" s="498"/>
      <c r="N52" s="524">
        <v>-2425.8513677813016</v>
      </c>
      <c r="O52" s="498"/>
      <c r="P52" s="481"/>
      <c r="Q52" s="501">
        <v>3464</v>
      </c>
      <c r="R52" s="498"/>
      <c r="S52" s="524">
        <v>-1937.11</v>
      </c>
      <c r="T52" s="481"/>
      <c r="U52" s="481"/>
      <c r="V52" s="481"/>
      <c r="W52" s="481"/>
      <c r="X52" s="478"/>
      <c r="Y52" s="481"/>
      <c r="Z52" s="481"/>
      <c r="AA52" s="481"/>
      <c r="AB52" s="481"/>
      <c r="AC52" s="481"/>
      <c r="AD52" s="481"/>
      <c r="AE52" s="481"/>
      <c r="AF52" s="481"/>
      <c r="AG52" s="481"/>
      <c r="AH52" s="481"/>
      <c r="AI52" s="481"/>
      <c r="AJ52" s="481"/>
      <c r="AK52" s="481"/>
      <c r="AL52" s="481"/>
      <c r="AM52" s="481"/>
      <c r="AN52" s="481"/>
    </row>
    <row r="53" spans="1:40" ht="15.75" hidden="1" customHeight="1">
      <c r="A53" s="490" t="s">
        <v>229</v>
      </c>
      <c r="B53" s="481" t="s">
        <v>0</v>
      </c>
      <c r="C53" s="498" t="s">
        <v>20</v>
      </c>
      <c r="D53" s="552"/>
      <c r="E53" s="571"/>
      <c r="F53" s="499">
        <v>0</v>
      </c>
      <c r="G53" s="553"/>
      <c r="H53" s="571"/>
      <c r="I53" s="499"/>
      <c r="J53" s="491"/>
      <c r="K53" s="571"/>
      <c r="L53" s="501">
        <v>0</v>
      </c>
      <c r="M53" s="491"/>
      <c r="N53" s="547">
        <v>0</v>
      </c>
      <c r="O53" s="491"/>
      <c r="P53" s="571"/>
      <c r="Q53" s="501">
        <v>0</v>
      </c>
      <c r="R53" s="491"/>
      <c r="S53" s="547">
        <v>0</v>
      </c>
      <c r="T53" s="481"/>
      <c r="U53" s="481"/>
      <c r="V53" s="481"/>
      <c r="W53" s="481"/>
      <c r="X53" s="478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481"/>
      <c r="AL53" s="481"/>
      <c r="AM53" s="481"/>
      <c r="AN53" s="481"/>
    </row>
    <row r="54" spans="1:40" ht="15.75" customHeight="1">
      <c r="A54" s="490" t="s">
        <v>256</v>
      </c>
      <c r="B54" s="481" t="s">
        <v>0</v>
      </c>
      <c r="C54" s="557" t="s">
        <v>49</v>
      </c>
      <c r="D54" s="558" t="s">
        <v>39</v>
      </c>
      <c r="E54" s="559">
        <v>0.33453613761194512</v>
      </c>
      <c r="F54" s="560">
        <v>71654.398422581085</v>
      </c>
      <c r="G54" s="561"/>
      <c r="H54" s="559"/>
      <c r="I54" s="560"/>
      <c r="J54" s="561" t="s">
        <v>39</v>
      </c>
      <c r="K54" s="559">
        <v>0.32829217679010869</v>
      </c>
      <c r="L54" s="560">
        <v>65026.879999999997</v>
      </c>
      <c r="M54" s="564"/>
      <c r="N54" s="560">
        <v>-6627.5184225810945</v>
      </c>
      <c r="O54" s="561" t="s">
        <v>39</v>
      </c>
      <c r="P54" s="559">
        <v>0.34835328105266183</v>
      </c>
      <c r="Q54" s="560">
        <v>66702</v>
      </c>
      <c r="R54" s="564"/>
      <c r="S54" s="560">
        <v>-1675.1199999999997</v>
      </c>
      <c r="T54" s="542"/>
      <c r="U54" s="481"/>
      <c r="V54" s="481"/>
      <c r="W54" s="481"/>
      <c r="X54" s="478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1"/>
      <c r="AK54" s="481"/>
      <c r="AL54" s="481"/>
      <c r="AM54" s="481"/>
      <c r="AN54" s="481"/>
    </row>
    <row r="55" spans="1:40" ht="15.75" hidden="1" customHeight="1">
      <c r="A55" s="490" t="s">
        <v>257</v>
      </c>
      <c r="B55" s="481" t="s">
        <v>0</v>
      </c>
      <c r="C55" s="498" t="s">
        <v>50</v>
      </c>
      <c r="D55" s="550"/>
      <c r="E55" s="481"/>
      <c r="F55" s="499">
        <v>0</v>
      </c>
      <c r="G55" s="551"/>
      <c r="H55" s="481"/>
      <c r="I55" s="499"/>
      <c r="J55" s="498"/>
      <c r="K55" s="481"/>
      <c r="L55" s="501">
        <v>0</v>
      </c>
      <c r="M55" s="498"/>
      <c r="N55" s="524">
        <v>0</v>
      </c>
      <c r="O55" s="498"/>
      <c r="P55" s="481"/>
      <c r="Q55" s="501">
        <v>0</v>
      </c>
      <c r="R55" s="498"/>
      <c r="S55" s="524">
        <v>0</v>
      </c>
      <c r="T55" s="542"/>
      <c r="U55" s="481"/>
      <c r="V55" s="481"/>
      <c r="W55" s="481"/>
      <c r="X55" s="478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</row>
    <row r="56" spans="1:40" ht="15.75" hidden="1" customHeight="1">
      <c r="A56" s="490" t="s">
        <v>258</v>
      </c>
      <c r="B56" s="481" t="s">
        <v>0</v>
      </c>
      <c r="C56" s="498" t="s">
        <v>51</v>
      </c>
      <c r="D56" s="550"/>
      <c r="E56" s="481"/>
      <c r="F56" s="499">
        <v>0</v>
      </c>
      <c r="G56" s="551"/>
      <c r="H56" s="481"/>
      <c r="I56" s="499"/>
      <c r="J56" s="498"/>
      <c r="K56" s="481"/>
      <c r="L56" s="501">
        <v>0</v>
      </c>
      <c r="M56" s="498"/>
      <c r="N56" s="524">
        <v>0</v>
      </c>
      <c r="O56" s="498"/>
      <c r="P56" s="481"/>
      <c r="Q56" s="501">
        <v>0</v>
      </c>
      <c r="R56" s="498"/>
      <c r="S56" s="524">
        <v>0</v>
      </c>
      <c r="T56" s="542"/>
      <c r="U56" s="481"/>
      <c r="V56" s="481"/>
      <c r="W56" s="481"/>
      <c r="X56" s="478"/>
      <c r="Y56" s="481"/>
      <c r="Z56" s="481"/>
      <c r="AA56" s="481"/>
      <c r="AB56" s="481"/>
      <c r="AC56" s="481"/>
      <c r="AD56" s="481"/>
      <c r="AE56" s="481"/>
      <c r="AF56" s="481"/>
      <c r="AG56" s="481"/>
      <c r="AH56" s="481"/>
      <c r="AI56" s="481"/>
      <c r="AJ56" s="481"/>
      <c r="AK56" s="481"/>
      <c r="AL56" s="481"/>
      <c r="AM56" s="481"/>
      <c r="AN56" s="481"/>
    </row>
    <row r="57" spans="1:40" ht="15.75" customHeight="1">
      <c r="A57" s="490" t="s">
        <v>259</v>
      </c>
      <c r="B57" s="481" t="s">
        <v>0</v>
      </c>
      <c r="C57" s="491" t="s">
        <v>52</v>
      </c>
      <c r="D57" s="552"/>
      <c r="E57" s="571"/>
      <c r="F57" s="493">
        <v>7945.833333333333</v>
      </c>
      <c r="G57" s="553"/>
      <c r="H57" s="571"/>
      <c r="I57" s="493"/>
      <c r="J57" s="491"/>
      <c r="K57" s="571"/>
      <c r="L57" s="493">
        <v>5210.8500000000004</v>
      </c>
      <c r="M57" s="491"/>
      <c r="N57" s="547">
        <v>-2734.9833333333327</v>
      </c>
      <c r="O57" s="491"/>
      <c r="P57" s="571"/>
      <c r="Q57" s="493">
        <v>10992.77</v>
      </c>
      <c r="R57" s="491"/>
      <c r="S57" s="547">
        <v>-5781.92</v>
      </c>
      <c r="T57" s="572"/>
      <c r="U57" s="481"/>
      <c r="V57" s="481"/>
      <c r="W57" s="481"/>
      <c r="X57" s="478"/>
      <c r="Y57" s="481"/>
      <c r="Z57" s="481"/>
      <c r="AA57" s="481"/>
      <c r="AB57" s="481"/>
      <c r="AC57" s="481"/>
      <c r="AD57" s="481"/>
      <c r="AE57" s="481"/>
      <c r="AF57" s="481"/>
      <c r="AG57" s="481"/>
      <c r="AH57" s="481"/>
      <c r="AI57" s="481"/>
      <c r="AJ57" s="481"/>
      <c r="AK57" s="481"/>
      <c r="AL57" s="481"/>
      <c r="AM57" s="481"/>
      <c r="AN57" s="481"/>
    </row>
    <row r="58" spans="1:40" ht="15.75" customHeight="1">
      <c r="A58" s="490" t="s">
        <v>260</v>
      </c>
      <c r="B58" s="481" t="s">
        <v>0</v>
      </c>
      <c r="C58" s="498" t="s">
        <v>53</v>
      </c>
      <c r="D58" s="550"/>
      <c r="E58" s="481"/>
      <c r="F58" s="499">
        <v>6260.866398666667</v>
      </c>
      <c r="G58" s="551"/>
      <c r="H58" s="481"/>
      <c r="I58" s="499"/>
      <c r="J58" s="498"/>
      <c r="K58" s="481"/>
      <c r="L58" s="501">
        <v>7114.48</v>
      </c>
      <c r="M58" s="498"/>
      <c r="N58" s="524">
        <v>853.61360133333255</v>
      </c>
      <c r="O58" s="498"/>
      <c r="P58" s="481"/>
      <c r="Q58" s="501">
        <v>9124.25</v>
      </c>
      <c r="R58" s="498"/>
      <c r="S58" s="524">
        <v>-2009.7700000000004</v>
      </c>
      <c r="T58" s="542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81"/>
      <c r="AF58" s="481"/>
      <c r="AG58" s="481"/>
      <c r="AH58" s="481"/>
      <c r="AI58" s="481"/>
      <c r="AJ58" s="481"/>
      <c r="AK58" s="481"/>
      <c r="AL58" s="481"/>
      <c r="AM58" s="481"/>
      <c r="AN58" s="481"/>
    </row>
    <row r="59" spans="1:40" ht="15.75" customHeight="1">
      <c r="A59" s="490" t="s">
        <v>261</v>
      </c>
      <c r="B59" s="481" t="s">
        <v>0</v>
      </c>
      <c r="C59" s="498" t="s">
        <v>54</v>
      </c>
      <c r="D59" s="550"/>
      <c r="E59" s="481"/>
      <c r="F59" s="499">
        <v>1000.0880446666665</v>
      </c>
      <c r="G59" s="551"/>
      <c r="H59" s="481"/>
      <c r="I59" s="499"/>
      <c r="J59" s="498"/>
      <c r="K59" s="481"/>
      <c r="L59" s="501">
        <v>1420.02</v>
      </c>
      <c r="M59" s="498"/>
      <c r="N59" s="524">
        <v>419.93195533333346</v>
      </c>
      <c r="O59" s="498"/>
      <c r="P59" s="481"/>
      <c r="Q59" s="501">
        <v>1275.21</v>
      </c>
      <c r="R59" s="498"/>
      <c r="S59" s="524">
        <v>144.80999999999995</v>
      </c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481"/>
      <c r="AM59" s="481"/>
      <c r="AN59" s="481"/>
    </row>
    <row r="60" spans="1:40" ht="15.75" customHeight="1">
      <c r="A60" s="490" t="s">
        <v>262</v>
      </c>
      <c r="B60" s="481" t="s">
        <v>0</v>
      </c>
      <c r="C60" s="491" t="s">
        <v>55</v>
      </c>
      <c r="D60" s="552"/>
      <c r="E60" s="571"/>
      <c r="F60" s="493">
        <v>6527.9741297777782</v>
      </c>
      <c r="G60" s="553"/>
      <c r="H60" s="571"/>
      <c r="I60" s="493"/>
      <c r="J60" s="491"/>
      <c r="K60" s="571"/>
      <c r="L60" s="493">
        <v>6350.63</v>
      </c>
      <c r="M60" s="491"/>
      <c r="N60" s="547">
        <v>-177.34412977777811</v>
      </c>
      <c r="O60" s="491"/>
      <c r="P60" s="571"/>
      <c r="Q60" s="493">
        <v>6733.83</v>
      </c>
      <c r="R60" s="491"/>
      <c r="S60" s="547">
        <v>-383.19999999999982</v>
      </c>
      <c r="T60" s="481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81"/>
      <c r="AF60" s="481"/>
      <c r="AG60" s="481"/>
      <c r="AH60" s="481"/>
      <c r="AI60" s="481"/>
      <c r="AJ60" s="481"/>
      <c r="AK60" s="481"/>
      <c r="AL60" s="481"/>
      <c r="AM60" s="481"/>
      <c r="AN60" s="481"/>
    </row>
    <row r="61" spans="1:40" ht="15.75" customHeight="1">
      <c r="A61" s="490" t="s">
        <v>263</v>
      </c>
      <c r="B61" s="481" t="s">
        <v>0</v>
      </c>
      <c r="C61" s="498" t="s">
        <v>56</v>
      </c>
      <c r="D61" s="550"/>
      <c r="E61" s="481"/>
      <c r="F61" s="499">
        <v>124.76419008019599</v>
      </c>
      <c r="G61" s="551"/>
      <c r="H61" s="481"/>
      <c r="I61" s="499"/>
      <c r="J61" s="498"/>
      <c r="K61" s="481"/>
      <c r="L61" s="501">
        <v>141.18</v>
      </c>
      <c r="M61" s="498"/>
      <c r="N61" s="524">
        <v>16.415809919804019</v>
      </c>
      <c r="O61" s="498"/>
      <c r="P61" s="481"/>
      <c r="Q61" s="501">
        <v>137.58000000000001</v>
      </c>
      <c r="R61" s="498"/>
      <c r="S61" s="524">
        <v>3.5999999999999943</v>
      </c>
      <c r="T61" s="481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81"/>
      <c r="AF61" s="481"/>
      <c r="AG61" s="481"/>
      <c r="AH61" s="481"/>
      <c r="AI61" s="481"/>
      <c r="AJ61" s="481"/>
      <c r="AK61" s="481"/>
      <c r="AL61" s="481"/>
      <c r="AM61" s="481"/>
      <c r="AN61" s="481"/>
    </row>
    <row r="62" spans="1:40" ht="15.75" customHeight="1">
      <c r="A62" s="490" t="s">
        <v>264</v>
      </c>
      <c r="B62" s="481" t="s">
        <v>0</v>
      </c>
      <c r="C62" s="498" t="s">
        <v>57</v>
      </c>
      <c r="D62" s="550"/>
      <c r="E62" s="481"/>
      <c r="F62" s="499">
        <v>64.42680525197018</v>
      </c>
      <c r="G62" s="551"/>
      <c r="H62" s="481"/>
      <c r="I62" s="499"/>
      <c r="J62" s="498"/>
      <c r="K62" s="481"/>
      <c r="L62" s="501">
        <v>0</v>
      </c>
      <c r="M62" s="498"/>
      <c r="N62" s="524">
        <v>-64.42680525197018</v>
      </c>
      <c r="O62" s="498"/>
      <c r="P62" s="481"/>
      <c r="Q62" s="501">
        <v>0</v>
      </c>
      <c r="R62" s="498"/>
      <c r="S62" s="524">
        <v>0</v>
      </c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481"/>
      <c r="AL62" s="481"/>
      <c r="AM62" s="481"/>
      <c r="AN62" s="481"/>
    </row>
    <row r="63" spans="1:40" ht="15.75" customHeight="1">
      <c r="A63" s="490" t="s">
        <v>265</v>
      </c>
      <c r="B63" s="481" t="s">
        <v>0</v>
      </c>
      <c r="C63" s="498" t="s">
        <v>58</v>
      </c>
      <c r="D63" s="550"/>
      <c r="E63" s="481"/>
      <c r="F63" s="499">
        <v>763.45103519999975</v>
      </c>
      <c r="G63" s="551"/>
      <c r="H63" s="481"/>
      <c r="I63" s="499"/>
      <c r="J63" s="498"/>
      <c r="K63" s="481"/>
      <c r="L63" s="501">
        <v>751.79</v>
      </c>
      <c r="M63" s="498"/>
      <c r="N63" s="524">
        <v>-11.661035199999787</v>
      </c>
      <c r="O63" s="498"/>
      <c r="P63" s="481"/>
      <c r="Q63" s="501">
        <v>903.86</v>
      </c>
      <c r="R63" s="498"/>
      <c r="S63" s="524">
        <v>-152.07000000000005</v>
      </c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481"/>
      <c r="AL63" s="481"/>
      <c r="AM63" s="481"/>
      <c r="AN63" s="481"/>
    </row>
    <row r="64" spans="1:40" ht="15.75" customHeight="1">
      <c r="A64" s="490" t="s">
        <v>266</v>
      </c>
      <c r="B64" s="481" t="s">
        <v>0</v>
      </c>
      <c r="C64" s="498" t="s">
        <v>59</v>
      </c>
      <c r="D64" s="550"/>
      <c r="E64" s="481"/>
      <c r="F64" s="499">
        <v>258.72025015555556</v>
      </c>
      <c r="G64" s="551"/>
      <c r="H64" s="481"/>
      <c r="I64" s="499"/>
      <c r="J64" s="498"/>
      <c r="K64" s="481"/>
      <c r="L64" s="501">
        <v>294.13</v>
      </c>
      <c r="M64" s="498"/>
      <c r="N64" s="524">
        <v>35.409749844444434</v>
      </c>
      <c r="O64" s="498"/>
      <c r="P64" s="481"/>
      <c r="Q64" s="501">
        <v>252.48</v>
      </c>
      <c r="R64" s="498"/>
      <c r="S64" s="524">
        <v>41.650000000000006</v>
      </c>
      <c r="T64" s="481"/>
      <c r="U64" s="481"/>
      <c r="V64" s="481"/>
      <c r="W64" s="481"/>
      <c r="X64" s="481"/>
      <c r="Y64" s="481"/>
      <c r="Z64" s="481"/>
      <c r="AA64" s="481"/>
      <c r="AB64" s="481"/>
      <c r="AC64" s="481"/>
      <c r="AD64" s="481"/>
      <c r="AE64" s="481"/>
      <c r="AF64" s="481"/>
      <c r="AG64" s="481"/>
      <c r="AH64" s="481"/>
      <c r="AI64" s="481"/>
      <c r="AJ64" s="481"/>
      <c r="AK64" s="481"/>
      <c r="AL64" s="481"/>
      <c r="AM64" s="481"/>
      <c r="AN64" s="481"/>
    </row>
    <row r="65" spans="1:40" ht="15.75" customHeight="1">
      <c r="A65" s="490" t="s">
        <v>267</v>
      </c>
      <c r="B65" s="481" t="s">
        <v>0</v>
      </c>
      <c r="C65" s="498" t="s">
        <v>60</v>
      </c>
      <c r="D65" s="550"/>
      <c r="E65" s="481"/>
      <c r="F65" s="499">
        <v>123.74429384444443</v>
      </c>
      <c r="G65" s="551"/>
      <c r="H65" s="481"/>
      <c r="I65" s="499"/>
      <c r="J65" s="498"/>
      <c r="K65" s="481"/>
      <c r="L65" s="501">
        <v>133.46</v>
      </c>
      <c r="M65" s="498"/>
      <c r="N65" s="524">
        <v>9.7157061555555799</v>
      </c>
      <c r="O65" s="498"/>
      <c r="P65" s="481"/>
      <c r="Q65" s="501">
        <v>152.24</v>
      </c>
      <c r="R65" s="498"/>
      <c r="S65" s="524">
        <v>-18.78</v>
      </c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81"/>
      <c r="AF65" s="481"/>
      <c r="AG65" s="481"/>
      <c r="AH65" s="481"/>
      <c r="AI65" s="481"/>
      <c r="AJ65" s="481"/>
      <c r="AK65" s="481"/>
      <c r="AL65" s="481"/>
      <c r="AM65" s="481"/>
      <c r="AN65" s="481"/>
    </row>
    <row r="66" spans="1:40" ht="15.75" customHeight="1">
      <c r="A66" s="490" t="s">
        <v>268</v>
      </c>
      <c r="B66" s="481" t="s">
        <v>0</v>
      </c>
      <c r="C66" s="498" t="s">
        <v>61</v>
      </c>
      <c r="D66" s="550"/>
      <c r="E66" s="481"/>
      <c r="F66" s="499">
        <v>470.18236304444446</v>
      </c>
      <c r="G66" s="551"/>
      <c r="H66" s="481"/>
      <c r="I66" s="499"/>
      <c r="J66" s="498"/>
      <c r="K66" s="481"/>
      <c r="L66" s="501">
        <v>199.88</v>
      </c>
      <c r="M66" s="498"/>
      <c r="N66" s="524">
        <v>-270.30236304444446</v>
      </c>
      <c r="O66" s="498"/>
      <c r="P66" s="481"/>
      <c r="Q66" s="501">
        <v>151.58000000000001</v>
      </c>
      <c r="R66" s="498"/>
      <c r="S66" s="524">
        <v>48.299999999999983</v>
      </c>
      <c r="T66" s="481"/>
      <c r="U66" s="481"/>
      <c r="V66" s="481"/>
      <c r="W66" s="481"/>
      <c r="X66" s="481"/>
      <c r="Y66" s="481"/>
      <c r="Z66" s="481"/>
      <c r="AA66" s="481"/>
      <c r="AB66" s="481"/>
      <c r="AC66" s="481"/>
      <c r="AD66" s="481"/>
      <c r="AE66" s="481"/>
      <c r="AF66" s="481"/>
      <c r="AG66" s="481"/>
      <c r="AH66" s="481"/>
      <c r="AI66" s="481"/>
      <c r="AJ66" s="481"/>
      <c r="AK66" s="481"/>
      <c r="AL66" s="481"/>
      <c r="AM66" s="481"/>
      <c r="AN66" s="481"/>
    </row>
    <row r="67" spans="1:40" ht="15.75" customHeight="1">
      <c r="A67" s="490" t="s">
        <v>269</v>
      </c>
      <c r="B67" s="481" t="s">
        <v>0</v>
      </c>
      <c r="C67" s="498" t="s">
        <v>62</v>
      </c>
      <c r="D67" s="550"/>
      <c r="E67" s="481"/>
      <c r="F67" s="499">
        <v>612.74030200304071</v>
      </c>
      <c r="G67" s="551"/>
      <c r="H67" s="481"/>
      <c r="I67" s="499"/>
      <c r="J67" s="498"/>
      <c r="K67" s="481"/>
      <c r="L67" s="501">
        <v>1644.02</v>
      </c>
      <c r="M67" s="498"/>
      <c r="N67" s="524">
        <v>1031.2796979969594</v>
      </c>
      <c r="O67" s="498"/>
      <c r="P67" s="481"/>
      <c r="Q67" s="501">
        <v>1314.69</v>
      </c>
      <c r="R67" s="498"/>
      <c r="S67" s="524">
        <v>329.32999999999993</v>
      </c>
      <c r="T67" s="481"/>
      <c r="X67" s="481"/>
      <c r="Y67" s="481"/>
      <c r="Z67" s="481"/>
      <c r="AA67" s="481"/>
      <c r="AB67" s="481"/>
      <c r="AC67" s="481"/>
      <c r="AD67" s="481"/>
      <c r="AE67" s="481"/>
      <c r="AF67" s="481"/>
      <c r="AG67" s="481"/>
      <c r="AH67" s="481"/>
      <c r="AI67" s="481"/>
      <c r="AJ67" s="481"/>
      <c r="AK67" s="481"/>
      <c r="AL67" s="481"/>
      <c r="AM67" s="481"/>
      <c r="AN67" s="481"/>
    </row>
    <row r="68" spans="1:40" ht="15.75" customHeight="1">
      <c r="A68" s="490" t="s">
        <v>270</v>
      </c>
      <c r="B68" s="481" t="s">
        <v>0</v>
      </c>
      <c r="C68" s="498" t="s">
        <v>63</v>
      </c>
      <c r="D68" s="550"/>
      <c r="E68" s="481"/>
      <c r="F68" s="499">
        <v>929.83857394744143</v>
      </c>
      <c r="G68" s="551"/>
      <c r="H68" s="481"/>
      <c r="I68" s="499"/>
      <c r="J68" s="498"/>
      <c r="K68" s="481"/>
      <c r="L68" s="501">
        <v>3603.56</v>
      </c>
      <c r="M68" s="498"/>
      <c r="N68" s="524">
        <v>2673.7214260525584</v>
      </c>
      <c r="O68" s="498"/>
      <c r="P68" s="481"/>
      <c r="Q68" s="501">
        <v>3438.8235</v>
      </c>
      <c r="R68" s="498"/>
      <c r="S68" s="524">
        <v>164.73649999999998</v>
      </c>
      <c r="T68" s="481"/>
      <c r="X68" s="481"/>
      <c r="Y68" s="481"/>
      <c r="Z68" s="481"/>
      <c r="AA68" s="481"/>
      <c r="AB68" s="481"/>
      <c r="AC68" s="481"/>
      <c r="AD68" s="481"/>
      <c r="AE68" s="481"/>
      <c r="AF68" s="481"/>
      <c r="AG68" s="481"/>
      <c r="AH68" s="481"/>
      <c r="AI68" s="481"/>
      <c r="AJ68" s="481"/>
      <c r="AK68" s="481"/>
      <c r="AL68" s="481"/>
      <c r="AM68" s="481"/>
      <c r="AN68" s="481"/>
    </row>
    <row r="69" spans="1:40" ht="15.75" hidden="1" customHeight="1">
      <c r="A69" s="490" t="s">
        <v>229</v>
      </c>
      <c r="B69" s="481" t="s">
        <v>0</v>
      </c>
      <c r="C69" s="498" t="s">
        <v>20</v>
      </c>
      <c r="D69" s="550"/>
      <c r="E69" s="481"/>
      <c r="F69" s="499">
        <v>0</v>
      </c>
      <c r="G69" s="551"/>
      <c r="H69" s="481"/>
      <c r="I69" s="499"/>
      <c r="J69" s="498"/>
      <c r="K69" s="481"/>
      <c r="L69" s="501"/>
      <c r="M69" s="498"/>
      <c r="N69" s="524">
        <v>0</v>
      </c>
      <c r="O69" s="498"/>
      <c r="P69" s="481"/>
      <c r="Q69" s="501">
        <v>0</v>
      </c>
      <c r="R69" s="498"/>
      <c r="S69" s="524">
        <v>0</v>
      </c>
      <c r="T69" s="481"/>
      <c r="X69" s="481"/>
      <c r="Y69" s="481"/>
      <c r="Z69" s="481"/>
      <c r="AA69" s="481"/>
      <c r="AB69" s="481"/>
      <c r="AC69" s="481"/>
      <c r="AD69" s="481"/>
      <c r="AE69" s="481"/>
      <c r="AF69" s="481"/>
      <c r="AG69" s="481"/>
      <c r="AH69" s="481"/>
      <c r="AI69" s="481"/>
      <c r="AJ69" s="481"/>
      <c r="AK69" s="481"/>
      <c r="AL69" s="481"/>
      <c r="AM69" s="481"/>
      <c r="AN69" s="481"/>
    </row>
    <row r="70" spans="1:40" ht="15.75" hidden="1" customHeight="1">
      <c r="A70" s="490" t="s">
        <v>229</v>
      </c>
      <c r="B70" s="481" t="s">
        <v>0</v>
      </c>
      <c r="C70" s="498" t="s">
        <v>20</v>
      </c>
      <c r="D70" s="550"/>
      <c r="E70" s="481"/>
      <c r="F70" s="499">
        <v>0</v>
      </c>
      <c r="G70" s="551"/>
      <c r="H70" s="481"/>
      <c r="I70" s="499"/>
      <c r="J70" s="498"/>
      <c r="K70" s="481"/>
      <c r="L70" s="501">
        <v>0</v>
      </c>
      <c r="M70" s="498"/>
      <c r="N70" s="524">
        <v>0</v>
      </c>
      <c r="O70" s="498"/>
      <c r="P70" s="481"/>
      <c r="Q70" s="501">
        <v>0</v>
      </c>
      <c r="R70" s="498"/>
      <c r="S70" s="524">
        <v>0</v>
      </c>
      <c r="T70" s="481"/>
      <c r="X70" s="481"/>
      <c r="Y70" s="481"/>
      <c r="Z70" s="481"/>
      <c r="AA70" s="481"/>
      <c r="AB70" s="481"/>
      <c r="AC70" s="481"/>
      <c r="AD70" s="481"/>
      <c r="AE70" s="481"/>
      <c r="AF70" s="481"/>
      <c r="AG70" s="481"/>
      <c r="AH70" s="481"/>
      <c r="AI70" s="481"/>
      <c r="AJ70" s="481"/>
      <c r="AK70" s="481"/>
      <c r="AL70" s="481"/>
      <c r="AM70" s="481"/>
      <c r="AN70" s="481"/>
    </row>
    <row r="71" spans="1:40" ht="15.75" hidden="1" customHeight="1">
      <c r="A71" s="490" t="s">
        <v>229</v>
      </c>
      <c r="B71" s="481" t="s">
        <v>0</v>
      </c>
      <c r="C71" s="498" t="s">
        <v>20</v>
      </c>
      <c r="D71" s="550"/>
      <c r="E71" s="481"/>
      <c r="F71" s="499">
        <v>0</v>
      </c>
      <c r="G71" s="551"/>
      <c r="H71" s="481"/>
      <c r="I71" s="499"/>
      <c r="J71" s="498"/>
      <c r="K71" s="481"/>
      <c r="L71" s="501">
        <v>0</v>
      </c>
      <c r="M71" s="498"/>
      <c r="N71" s="524">
        <v>0</v>
      </c>
      <c r="O71" s="498"/>
      <c r="P71" s="481"/>
      <c r="Q71" s="501">
        <v>0</v>
      </c>
      <c r="R71" s="498"/>
      <c r="S71" s="524">
        <v>0</v>
      </c>
      <c r="T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481"/>
      <c r="AL71" s="481"/>
      <c r="AM71" s="481"/>
      <c r="AN71" s="481"/>
    </row>
    <row r="72" spans="1:40" ht="15.75" customHeight="1">
      <c r="A72" s="490" t="s">
        <v>271</v>
      </c>
      <c r="B72" s="481" t="s">
        <v>0</v>
      </c>
      <c r="C72" s="557" t="s">
        <v>64</v>
      </c>
      <c r="D72" s="558" t="s">
        <v>39</v>
      </c>
      <c r="E72" s="559">
        <v>0.1171044102301125</v>
      </c>
      <c r="F72" s="560">
        <v>25082.629719971534</v>
      </c>
      <c r="G72" s="561"/>
      <c r="H72" s="559"/>
      <c r="I72" s="560"/>
      <c r="J72" s="561" t="s">
        <v>39</v>
      </c>
      <c r="K72" s="559">
        <v>0.13562454537707302</v>
      </c>
      <c r="L72" s="560">
        <v>26864.000000000004</v>
      </c>
      <c r="M72" s="564"/>
      <c r="N72" s="560">
        <v>1781.3702800284625</v>
      </c>
      <c r="O72" s="561" t="s">
        <v>39</v>
      </c>
      <c r="P72" s="559">
        <v>0.18005884800465102</v>
      </c>
      <c r="Q72" s="560">
        <v>34477.313500000004</v>
      </c>
      <c r="R72" s="564"/>
      <c r="S72" s="560">
        <v>-7613.3135000000002</v>
      </c>
      <c r="T72" s="481"/>
      <c r="X72" s="481"/>
      <c r="Y72" s="481"/>
      <c r="Z72" s="481"/>
      <c r="AA72" s="481"/>
      <c r="AB72" s="481"/>
      <c r="AC72" s="481"/>
      <c r="AD72" s="481"/>
      <c r="AE72" s="481"/>
      <c r="AF72" s="481"/>
      <c r="AG72" s="481"/>
      <c r="AH72" s="481"/>
      <c r="AI72" s="481"/>
      <c r="AJ72" s="481"/>
      <c r="AK72" s="481"/>
      <c r="AL72" s="481"/>
      <c r="AM72" s="481"/>
      <c r="AN72" s="481"/>
    </row>
    <row r="73" spans="1:40" ht="15.75" customHeight="1">
      <c r="A73" s="490" t="s">
        <v>0</v>
      </c>
      <c r="B73" s="481" t="s">
        <v>0</v>
      </c>
      <c r="C73" s="491"/>
      <c r="D73" s="552"/>
      <c r="E73" s="571"/>
      <c r="F73" s="524"/>
      <c r="G73" s="553"/>
      <c r="H73" s="571"/>
      <c r="I73" s="524"/>
      <c r="J73" s="491"/>
      <c r="K73" s="571"/>
      <c r="L73" s="547"/>
      <c r="M73" s="491"/>
      <c r="N73" s="547"/>
      <c r="O73" s="491"/>
      <c r="P73" s="571"/>
      <c r="Q73" s="547"/>
      <c r="R73" s="491"/>
      <c r="S73" s="547"/>
      <c r="T73" s="481"/>
      <c r="U73" s="481"/>
      <c r="V73" s="481"/>
      <c r="W73" s="481"/>
      <c r="X73" s="481"/>
      <c r="Y73" s="481"/>
      <c r="Z73" s="481"/>
      <c r="AA73" s="481"/>
      <c r="AB73" s="481"/>
      <c r="AC73" s="481"/>
      <c r="AD73" s="481"/>
      <c r="AE73" s="481"/>
      <c r="AF73" s="481"/>
      <c r="AG73" s="481"/>
      <c r="AH73" s="481"/>
      <c r="AI73" s="481"/>
      <c r="AJ73" s="481"/>
      <c r="AK73" s="481"/>
      <c r="AL73" s="481"/>
      <c r="AM73" s="481"/>
      <c r="AN73" s="481"/>
    </row>
    <row r="74" spans="1:40" ht="15.75" customHeight="1">
      <c r="A74" s="490" t="s">
        <v>272</v>
      </c>
      <c r="B74" s="481" t="s">
        <v>0</v>
      </c>
      <c r="C74" s="557" t="s">
        <v>65</v>
      </c>
      <c r="D74" s="558" t="s">
        <v>39</v>
      </c>
      <c r="E74" s="559">
        <v>0.89819228986879418</v>
      </c>
      <c r="F74" s="560">
        <v>192384.08339909933</v>
      </c>
      <c r="G74" s="561"/>
      <c r="H74" s="559"/>
      <c r="I74" s="560"/>
      <c r="J74" s="561" t="s">
        <v>39</v>
      </c>
      <c r="K74" s="559">
        <v>0.78385181382683766</v>
      </c>
      <c r="L74" s="560">
        <v>155262.42000000001</v>
      </c>
      <c r="M74" s="564"/>
      <c r="N74" s="573">
        <v>-37121.663399099314</v>
      </c>
      <c r="O74" s="561" t="s">
        <v>39</v>
      </c>
      <c r="P74" s="559">
        <v>0.88081308074874176</v>
      </c>
      <c r="Q74" s="560">
        <v>168656.35349999997</v>
      </c>
      <c r="R74" s="564"/>
      <c r="S74" s="573">
        <v>-13393.933499999956</v>
      </c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81"/>
      <c r="AF74" s="481"/>
      <c r="AG74" s="481"/>
      <c r="AH74" s="481"/>
      <c r="AI74" s="481"/>
      <c r="AJ74" s="481"/>
      <c r="AK74" s="481"/>
      <c r="AL74" s="481"/>
      <c r="AM74" s="481"/>
      <c r="AN74" s="481"/>
    </row>
    <row r="75" spans="1:40" ht="15.75" customHeight="1">
      <c r="A75" s="490" t="s">
        <v>273</v>
      </c>
      <c r="B75" s="481" t="s">
        <v>0</v>
      </c>
      <c r="C75" s="498" t="s">
        <v>198</v>
      </c>
      <c r="D75" s="550"/>
      <c r="E75" s="481"/>
      <c r="F75" s="499">
        <v>15729.130133089158</v>
      </c>
      <c r="G75" s="551"/>
      <c r="H75" s="481"/>
      <c r="I75" s="499"/>
      <c r="J75" s="498"/>
      <c r="K75" s="481"/>
      <c r="L75" s="501">
        <v>0</v>
      </c>
      <c r="M75" s="498"/>
      <c r="N75" s="524">
        <v>-15729.130133089158</v>
      </c>
      <c r="O75" s="498"/>
      <c r="P75" s="481"/>
      <c r="Q75" s="501">
        <v>0</v>
      </c>
      <c r="R75" s="498"/>
      <c r="S75" s="524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1"/>
      <c r="AE75" s="481"/>
      <c r="AF75" s="481"/>
      <c r="AG75" s="481"/>
      <c r="AH75" s="481"/>
      <c r="AI75" s="481"/>
      <c r="AJ75" s="481"/>
      <c r="AK75" s="481"/>
      <c r="AL75" s="481"/>
      <c r="AM75" s="481"/>
      <c r="AN75" s="481"/>
    </row>
    <row r="76" spans="1:40" ht="15.75" customHeight="1">
      <c r="A76" s="490" t="s">
        <v>274</v>
      </c>
      <c r="B76" s="481" t="s">
        <v>0</v>
      </c>
      <c r="C76" s="498" t="s">
        <v>195</v>
      </c>
      <c r="D76" s="550"/>
      <c r="E76" s="481"/>
      <c r="F76" s="499">
        <v>0</v>
      </c>
      <c r="G76" s="551"/>
      <c r="H76" s="481"/>
      <c r="I76" s="499"/>
      <c r="J76" s="498"/>
      <c r="K76" s="481"/>
      <c r="L76" s="501">
        <v>0</v>
      </c>
      <c r="M76" s="498"/>
      <c r="N76" s="524">
        <v>0</v>
      </c>
      <c r="O76" s="498"/>
      <c r="P76" s="481"/>
      <c r="Q76" s="501">
        <v>0</v>
      </c>
      <c r="R76" s="498"/>
      <c r="S76" s="524">
        <v>0</v>
      </c>
      <c r="T76" s="481"/>
      <c r="U76" s="481"/>
      <c r="V76" s="481"/>
      <c r="W76" s="481"/>
      <c r="X76" s="481"/>
      <c r="Y76" s="481"/>
      <c r="Z76" s="481"/>
      <c r="AA76" s="481"/>
      <c r="AB76" s="481"/>
      <c r="AC76" s="481"/>
      <c r="AD76" s="481"/>
      <c r="AE76" s="481"/>
      <c r="AF76" s="481"/>
      <c r="AG76" s="481"/>
      <c r="AH76" s="481"/>
      <c r="AI76" s="481"/>
      <c r="AJ76" s="481"/>
      <c r="AK76" s="481"/>
      <c r="AL76" s="481"/>
      <c r="AM76" s="481"/>
      <c r="AN76" s="481"/>
    </row>
    <row r="77" spans="1:40" ht="15.75" customHeight="1">
      <c r="A77" s="490" t="s">
        <v>275</v>
      </c>
      <c r="B77" s="481" t="s">
        <v>0</v>
      </c>
      <c r="C77" s="498" t="s">
        <v>68</v>
      </c>
      <c r="D77" s="550"/>
      <c r="E77" s="481"/>
      <c r="F77" s="499">
        <v>0</v>
      </c>
      <c r="G77" s="551"/>
      <c r="H77" s="481"/>
      <c r="I77" s="499"/>
      <c r="J77" s="498"/>
      <c r="K77" s="481"/>
      <c r="L77" s="501">
        <v>0</v>
      </c>
      <c r="M77" s="498"/>
      <c r="N77" s="524">
        <v>0</v>
      </c>
      <c r="O77" s="498"/>
      <c r="P77" s="481"/>
      <c r="Q77" s="501">
        <v>0</v>
      </c>
      <c r="R77" s="498"/>
      <c r="S77" s="524">
        <v>0</v>
      </c>
      <c r="T77" s="481"/>
      <c r="U77" s="481"/>
      <c r="V77" s="481"/>
      <c r="W77" s="481"/>
      <c r="X77" s="481"/>
      <c r="Y77" s="481"/>
      <c r="Z77" s="481"/>
      <c r="AA77" s="481"/>
      <c r="AB77" s="481"/>
      <c r="AC77" s="481"/>
      <c r="AD77" s="481"/>
      <c r="AE77" s="481"/>
      <c r="AF77" s="481"/>
      <c r="AG77" s="481"/>
      <c r="AH77" s="481"/>
      <c r="AI77" s="481"/>
      <c r="AJ77" s="481"/>
      <c r="AK77" s="481"/>
      <c r="AL77" s="481"/>
      <c r="AM77" s="481"/>
      <c r="AN77" s="481"/>
    </row>
    <row r="78" spans="1:40" ht="15.75" customHeight="1">
      <c r="A78" s="490" t="s">
        <v>276</v>
      </c>
      <c r="B78" s="481" t="s">
        <v>0</v>
      </c>
      <c r="C78" s="498" t="s">
        <v>69</v>
      </c>
      <c r="D78" s="550"/>
      <c r="E78" s="574">
        <v>1181.3417167759831</v>
      </c>
      <c r="F78" s="499">
        <v>66622.585631206806</v>
      </c>
      <c r="G78" s="551"/>
      <c r="H78" s="481"/>
      <c r="I78" s="499"/>
      <c r="J78" s="498"/>
      <c r="K78" s="574">
        <v>1091.4444444444443</v>
      </c>
      <c r="L78" s="501">
        <v>58938</v>
      </c>
      <c r="M78" s="498"/>
      <c r="N78" s="524">
        <v>-7684.5856312068063</v>
      </c>
      <c r="O78" s="498"/>
      <c r="P78" s="481"/>
      <c r="Q78" s="501">
        <v>62788</v>
      </c>
      <c r="R78" s="498"/>
      <c r="S78" s="524">
        <v>-3850</v>
      </c>
      <c r="T78" s="481"/>
      <c r="U78" s="481"/>
      <c r="V78" s="481"/>
      <c r="W78" s="481"/>
      <c r="X78" s="481"/>
      <c r="Y78" s="481"/>
      <c r="Z78" s="481"/>
      <c r="AA78" s="481"/>
      <c r="AB78" s="481"/>
      <c r="AC78" s="481"/>
      <c r="AD78" s="481"/>
      <c r="AE78" s="481"/>
      <c r="AF78" s="481"/>
      <c r="AG78" s="481"/>
      <c r="AH78" s="481"/>
      <c r="AI78" s="481"/>
      <c r="AJ78" s="481"/>
      <c r="AK78" s="481"/>
      <c r="AL78" s="481"/>
      <c r="AM78" s="481"/>
      <c r="AN78" s="481"/>
    </row>
    <row r="79" spans="1:40" ht="15.75" hidden="1" customHeight="1">
      <c r="A79" s="490" t="s">
        <v>229</v>
      </c>
      <c r="B79" s="481" t="s">
        <v>0</v>
      </c>
      <c r="C79" s="498" t="s">
        <v>20</v>
      </c>
      <c r="D79" s="550"/>
      <c r="E79" s="481"/>
      <c r="F79" s="499">
        <v>0</v>
      </c>
      <c r="G79" s="551"/>
      <c r="H79" s="481"/>
      <c r="I79" s="499"/>
      <c r="J79" s="498"/>
      <c r="K79" s="481"/>
      <c r="L79" s="501">
        <v>0</v>
      </c>
      <c r="M79" s="498"/>
      <c r="N79" s="524">
        <v>0</v>
      </c>
      <c r="O79" s="498"/>
      <c r="P79" s="481"/>
      <c r="Q79" s="501">
        <v>0</v>
      </c>
      <c r="R79" s="498"/>
      <c r="S79" s="524">
        <v>0</v>
      </c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481"/>
      <c r="AM79" s="481"/>
      <c r="AN79" s="481"/>
    </row>
    <row r="80" spans="1:40" ht="15.75" hidden="1" customHeight="1">
      <c r="A80" s="490" t="s">
        <v>229</v>
      </c>
      <c r="B80" s="481" t="s">
        <v>0</v>
      </c>
      <c r="C80" s="498" t="s">
        <v>20</v>
      </c>
      <c r="D80" s="550"/>
      <c r="E80" s="481"/>
      <c r="F80" s="499">
        <v>0</v>
      </c>
      <c r="G80" s="551"/>
      <c r="H80" s="481"/>
      <c r="I80" s="499"/>
      <c r="J80" s="498"/>
      <c r="K80" s="481"/>
      <c r="L80" s="501">
        <v>0</v>
      </c>
      <c r="M80" s="498"/>
      <c r="N80" s="524">
        <v>0</v>
      </c>
      <c r="O80" s="498"/>
      <c r="P80" s="481"/>
      <c r="Q80" s="501">
        <v>0</v>
      </c>
      <c r="R80" s="498"/>
      <c r="S80" s="524">
        <v>0</v>
      </c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81"/>
      <c r="AF80" s="481"/>
      <c r="AG80" s="481"/>
      <c r="AH80" s="481"/>
      <c r="AI80" s="481"/>
      <c r="AJ80" s="481"/>
      <c r="AK80" s="481"/>
      <c r="AL80" s="481"/>
      <c r="AM80" s="481"/>
      <c r="AN80" s="481"/>
    </row>
    <row r="81" spans="1:40" ht="15.75" hidden="1" customHeight="1">
      <c r="A81" s="490" t="s">
        <v>229</v>
      </c>
      <c r="B81" s="481" t="s">
        <v>0</v>
      </c>
      <c r="C81" s="498" t="s">
        <v>20</v>
      </c>
      <c r="D81" s="550"/>
      <c r="E81" s="481"/>
      <c r="F81" s="499">
        <v>0</v>
      </c>
      <c r="G81" s="551"/>
      <c r="H81" s="481"/>
      <c r="I81" s="499"/>
      <c r="J81" s="498"/>
      <c r="K81" s="481"/>
      <c r="L81" s="501">
        <v>0</v>
      </c>
      <c r="M81" s="498"/>
      <c r="N81" s="524">
        <v>0</v>
      </c>
      <c r="O81" s="498"/>
      <c r="P81" s="481"/>
      <c r="Q81" s="501">
        <v>0</v>
      </c>
      <c r="R81" s="498"/>
      <c r="S81" s="524">
        <v>0</v>
      </c>
      <c r="T81" s="481"/>
      <c r="U81" s="481"/>
      <c r="V81" s="481"/>
      <c r="W81" s="481"/>
      <c r="X81" s="481"/>
      <c r="Y81" s="481"/>
      <c r="Z81" s="481"/>
      <c r="AA81" s="481"/>
      <c r="AB81" s="481"/>
      <c r="AC81" s="481"/>
      <c r="AD81" s="481"/>
      <c r="AE81" s="481"/>
      <c r="AF81" s="481"/>
      <c r="AG81" s="481"/>
      <c r="AH81" s="481"/>
      <c r="AI81" s="481"/>
      <c r="AJ81" s="481"/>
      <c r="AK81" s="481"/>
      <c r="AL81" s="481"/>
      <c r="AM81" s="481"/>
      <c r="AN81" s="481"/>
    </row>
    <row r="82" spans="1:40" ht="15.75" customHeight="1">
      <c r="A82" s="575" t="s">
        <v>277</v>
      </c>
      <c r="B82" s="576" t="s">
        <v>0</v>
      </c>
      <c r="C82" s="498" t="s">
        <v>70</v>
      </c>
      <c r="D82" s="550"/>
      <c r="E82" s="481"/>
      <c r="F82" s="499">
        <v>20990.413612800003</v>
      </c>
      <c r="G82" s="551"/>
      <c r="H82" s="481"/>
      <c r="I82" s="499"/>
      <c r="J82" s="577">
        <v>55</v>
      </c>
      <c r="K82" s="578">
        <v>466.63636363636363</v>
      </c>
      <c r="L82" s="501">
        <v>25665</v>
      </c>
      <c r="M82" s="498"/>
      <c r="N82" s="524">
        <v>4674.5863871999973</v>
      </c>
      <c r="O82" s="498"/>
      <c r="P82" s="481"/>
      <c r="Q82" s="501">
        <v>19054</v>
      </c>
      <c r="R82" s="498"/>
      <c r="S82" s="524">
        <v>6611</v>
      </c>
      <c r="T82" s="481"/>
      <c r="U82" s="481"/>
      <c r="V82" s="481"/>
      <c r="W82" s="481"/>
      <c r="X82" s="481"/>
      <c r="Y82" s="481"/>
      <c r="Z82" s="481"/>
      <c r="AA82" s="481"/>
      <c r="AB82" s="481"/>
      <c r="AC82" s="481"/>
      <c r="AD82" s="481"/>
      <c r="AE82" s="481"/>
      <c r="AF82" s="481"/>
      <c r="AG82" s="481"/>
      <c r="AH82" s="481"/>
      <c r="AI82" s="481"/>
      <c r="AJ82" s="481"/>
      <c r="AK82" s="481"/>
      <c r="AL82" s="481"/>
      <c r="AM82" s="481"/>
      <c r="AN82" s="481"/>
    </row>
    <row r="83" spans="1:40" ht="15.75" customHeight="1">
      <c r="A83" s="490" t="s">
        <v>278</v>
      </c>
      <c r="B83" s="481" t="s">
        <v>0</v>
      </c>
      <c r="C83" s="557" t="s">
        <v>71</v>
      </c>
      <c r="D83" s="558"/>
      <c r="E83" s="559"/>
      <c r="F83" s="560">
        <v>103342.12937709596</v>
      </c>
      <c r="G83" s="561"/>
      <c r="H83" s="559"/>
      <c r="I83" s="560"/>
      <c r="J83" s="561"/>
      <c r="K83" s="559"/>
      <c r="L83" s="560">
        <v>84603</v>
      </c>
      <c r="M83" s="564"/>
      <c r="N83" s="560">
        <v>-18739.129377095967</v>
      </c>
      <c r="O83" s="561"/>
      <c r="P83" s="559"/>
      <c r="Q83" s="560">
        <v>81842</v>
      </c>
      <c r="R83" s="564"/>
      <c r="S83" s="560">
        <v>2761</v>
      </c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81"/>
      <c r="AF83" s="481"/>
      <c r="AG83" s="481"/>
      <c r="AH83" s="481"/>
      <c r="AI83" s="481"/>
      <c r="AJ83" s="481"/>
      <c r="AK83" s="481"/>
      <c r="AL83" s="481"/>
      <c r="AM83" s="481"/>
      <c r="AN83" s="481"/>
    </row>
    <row r="84" spans="1:40" ht="15.75" customHeight="1">
      <c r="A84" s="490" t="s">
        <v>0</v>
      </c>
      <c r="B84" s="481" t="s">
        <v>0</v>
      </c>
      <c r="C84" s="579"/>
      <c r="D84" s="580"/>
      <c r="E84" s="581"/>
      <c r="F84" s="582"/>
      <c r="G84" s="583"/>
      <c r="H84" s="581"/>
      <c r="I84" s="582"/>
      <c r="J84" s="584"/>
      <c r="K84" s="585"/>
      <c r="L84" s="582"/>
      <c r="M84" s="584"/>
      <c r="N84" s="586"/>
      <c r="O84" s="584"/>
      <c r="P84" s="585"/>
      <c r="Q84" s="582"/>
      <c r="R84" s="584"/>
      <c r="S84" s="586"/>
      <c r="T84" s="481"/>
      <c r="U84" s="481"/>
      <c r="V84" s="481"/>
      <c r="W84" s="481"/>
      <c r="X84" s="481"/>
      <c r="Y84" s="481"/>
      <c r="Z84" s="481"/>
      <c r="AA84" s="481"/>
      <c r="AB84" s="481"/>
      <c r="AC84" s="481"/>
      <c r="AD84" s="481"/>
      <c r="AE84" s="481"/>
      <c r="AF84" s="481"/>
      <c r="AG84" s="481"/>
      <c r="AH84" s="481"/>
      <c r="AI84" s="481"/>
      <c r="AJ84" s="481"/>
      <c r="AK84" s="481"/>
      <c r="AL84" s="481"/>
      <c r="AM84" s="481"/>
      <c r="AN84" s="481"/>
    </row>
    <row r="85" spans="1:40" ht="22.5" customHeight="1" thickBot="1">
      <c r="A85" s="490" t="s">
        <v>279</v>
      </c>
      <c r="B85" s="481" t="s">
        <v>0</v>
      </c>
      <c r="C85" s="587" t="s">
        <v>72</v>
      </c>
      <c r="D85" s="588"/>
      <c r="E85" s="589"/>
      <c r="F85" s="590">
        <v>125148.35418828236</v>
      </c>
      <c r="G85" s="591"/>
      <c r="H85" s="589"/>
      <c r="I85" s="590"/>
      <c r="J85" s="591"/>
      <c r="K85" s="588"/>
      <c r="L85" s="590">
        <v>127416.81999999998</v>
      </c>
      <c r="M85" s="591"/>
      <c r="N85" s="590">
        <v>2268.4658117176114</v>
      </c>
      <c r="O85" s="591"/>
      <c r="P85" s="588"/>
      <c r="Q85" s="590">
        <v>104663.6765</v>
      </c>
      <c r="R85" s="591"/>
      <c r="S85" s="590">
        <v>22753.143500000006</v>
      </c>
      <c r="T85" s="481"/>
      <c r="U85" s="481"/>
      <c r="V85" s="481"/>
      <c r="W85" s="481"/>
      <c r="X85" s="481"/>
      <c r="Y85" s="481"/>
      <c r="Z85" s="481"/>
      <c r="AA85" s="481"/>
      <c r="AB85" s="481"/>
      <c r="AC85" s="481"/>
      <c r="AD85" s="481"/>
      <c r="AE85" s="481"/>
      <c r="AF85" s="481"/>
      <c r="AG85" s="481"/>
      <c r="AH85" s="481"/>
      <c r="AI85" s="481"/>
      <c r="AJ85" s="481"/>
      <c r="AK85" s="481"/>
      <c r="AL85" s="481"/>
      <c r="AM85" s="481"/>
      <c r="AN85" s="481"/>
    </row>
    <row r="86" spans="1:40" ht="15.75" customHeight="1" thickTop="1">
      <c r="B86" s="592"/>
      <c r="C86" s="592"/>
      <c r="D86" s="592"/>
      <c r="E86" s="592"/>
      <c r="F86" s="592"/>
      <c r="G86" s="592"/>
      <c r="H86" s="592"/>
      <c r="I86" s="592"/>
      <c r="J86" s="593"/>
      <c r="K86" s="592"/>
      <c r="L86" s="594"/>
      <c r="M86" s="592"/>
      <c r="N86" s="592"/>
      <c r="O86" s="592"/>
      <c r="P86" s="592"/>
      <c r="Q86" s="592"/>
      <c r="R86" s="592"/>
      <c r="S86" s="592"/>
      <c r="T86" s="592"/>
      <c r="U86" s="592"/>
      <c r="V86" s="592"/>
      <c r="W86" s="592"/>
      <c r="X86" s="592"/>
      <c r="Y86" s="592"/>
      <c r="Z86" s="592"/>
      <c r="AA86" s="592"/>
      <c r="AB86" s="592"/>
      <c r="AC86" s="592"/>
      <c r="AD86" s="592"/>
      <c r="AE86" s="592"/>
      <c r="AF86" s="592"/>
      <c r="AG86" s="592"/>
      <c r="AH86" s="592"/>
      <c r="AI86" s="592"/>
      <c r="AJ86" s="592"/>
      <c r="AK86" s="592"/>
      <c r="AL86" s="592"/>
      <c r="AM86" s="592"/>
      <c r="AN86" s="592"/>
    </row>
    <row r="87" spans="1:40" ht="12.75" customHeight="1">
      <c r="B87" s="592"/>
      <c r="C87" s="592"/>
      <c r="D87" s="592"/>
      <c r="E87" s="592"/>
      <c r="F87" s="592"/>
      <c r="G87" s="592"/>
      <c r="H87" s="592"/>
      <c r="I87" s="594"/>
      <c r="J87" s="592"/>
      <c r="K87" s="592"/>
      <c r="L87" s="592"/>
      <c r="M87" s="592"/>
      <c r="N87" s="592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  <c r="AA87" s="592"/>
      <c r="AB87" s="592"/>
      <c r="AC87" s="592"/>
      <c r="AD87" s="592"/>
      <c r="AE87" s="592"/>
      <c r="AF87" s="592"/>
      <c r="AG87" s="592"/>
      <c r="AH87" s="592"/>
      <c r="AI87" s="592"/>
      <c r="AJ87" s="592"/>
      <c r="AK87" s="592"/>
      <c r="AL87" s="592"/>
      <c r="AM87" s="592"/>
      <c r="AN87" s="592"/>
    </row>
    <row r="88" spans="1:40" ht="15.75" hidden="1" customHeight="1">
      <c r="B88" s="475"/>
      <c r="C88" s="478"/>
      <c r="D88" s="478"/>
      <c r="E88" s="478"/>
      <c r="F88" s="478"/>
      <c r="G88" s="478"/>
      <c r="H88" s="478"/>
      <c r="I88" s="478"/>
      <c r="J88" s="478"/>
      <c r="K88" s="478"/>
      <c r="L88" s="478"/>
      <c r="M88" s="478"/>
      <c r="N88" s="478"/>
      <c r="O88" s="478"/>
      <c r="P88" s="478"/>
      <c r="Q88" s="478"/>
      <c r="R88" s="478"/>
      <c r="S88" s="478"/>
      <c r="T88" s="478"/>
      <c r="U88" s="478"/>
    </row>
    <row r="89" spans="1:40" ht="33" customHeight="1">
      <c r="B89" s="467"/>
      <c r="C89" s="595" t="s">
        <v>223</v>
      </c>
      <c r="D89" s="469"/>
      <c r="E89" s="469"/>
      <c r="F89" s="469"/>
      <c r="G89" s="469"/>
      <c r="H89" s="467"/>
      <c r="I89" s="467"/>
      <c r="J89" s="467"/>
      <c r="K89" s="471" t="s">
        <v>73</v>
      </c>
      <c r="L89" s="469"/>
      <c r="M89" s="469"/>
      <c r="N89" s="467"/>
      <c r="O89" s="467"/>
      <c r="P89" s="469"/>
      <c r="Q89" s="467"/>
      <c r="R89" s="469"/>
      <c r="S89" s="596" t="s">
        <v>484</v>
      </c>
      <c r="T89" s="467"/>
      <c r="U89" s="467"/>
      <c r="V89" s="467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467"/>
      <c r="AH89" s="467"/>
      <c r="AI89" s="467"/>
      <c r="AJ89" s="467"/>
      <c r="AK89" s="467"/>
      <c r="AL89" s="467"/>
      <c r="AM89" s="467"/>
      <c r="AN89" s="467"/>
    </row>
    <row r="90" spans="1:40" ht="15.75" customHeight="1" thickBot="1">
      <c r="B90" s="475"/>
      <c r="C90" s="476"/>
      <c r="D90" s="478"/>
      <c r="E90" s="478"/>
      <c r="F90" s="478"/>
      <c r="G90" s="478"/>
      <c r="H90" s="478"/>
      <c r="I90" s="478"/>
      <c r="J90" s="478"/>
      <c r="K90" s="478"/>
      <c r="L90" s="478"/>
      <c r="M90" s="478"/>
      <c r="N90" s="478"/>
      <c r="O90" s="478"/>
      <c r="P90" s="478"/>
      <c r="Q90" s="478"/>
      <c r="R90" s="478"/>
      <c r="S90" s="478"/>
      <c r="T90" s="478"/>
      <c r="U90" s="478"/>
    </row>
    <row r="91" spans="1:40" ht="15.75" customHeight="1" thickTop="1">
      <c r="B91" s="481"/>
      <c r="C91" s="482"/>
      <c r="D91" s="864" t="s">
        <v>5</v>
      </c>
      <c r="E91" s="865"/>
      <c r="F91" s="866"/>
      <c r="G91" s="867"/>
      <c r="H91" s="865"/>
      <c r="I91" s="866"/>
      <c r="J91" s="867" t="s">
        <v>7</v>
      </c>
      <c r="K91" s="865"/>
      <c r="L91" s="866"/>
      <c r="M91" s="867" t="s">
        <v>472</v>
      </c>
      <c r="N91" s="866"/>
      <c r="O91" s="864" t="s">
        <v>9</v>
      </c>
      <c r="P91" s="865"/>
      <c r="Q91" s="866"/>
      <c r="R91" s="867" t="s">
        <v>473</v>
      </c>
      <c r="S91" s="866"/>
      <c r="T91" s="481"/>
      <c r="U91" s="481"/>
      <c r="V91" s="481"/>
      <c r="W91" s="481"/>
      <c r="X91" s="481"/>
      <c r="Y91" s="481"/>
      <c r="Z91" s="481"/>
      <c r="AA91" s="481"/>
      <c r="AB91" s="481"/>
      <c r="AC91" s="481"/>
      <c r="AD91" s="481"/>
      <c r="AE91" s="481"/>
      <c r="AF91" s="481"/>
      <c r="AG91" s="481"/>
      <c r="AH91" s="481"/>
      <c r="AI91" s="481"/>
      <c r="AJ91" s="481"/>
      <c r="AK91" s="481"/>
      <c r="AL91" s="481"/>
      <c r="AM91" s="481"/>
      <c r="AN91" s="481"/>
    </row>
    <row r="92" spans="1:40" ht="15.75" customHeight="1">
      <c r="B92" s="481"/>
      <c r="C92" s="498"/>
      <c r="D92" s="486" t="s">
        <v>474</v>
      </c>
      <c r="E92" s="487" t="s">
        <v>12</v>
      </c>
      <c r="F92" s="488" t="s">
        <v>13</v>
      </c>
      <c r="G92" s="489"/>
      <c r="H92" s="487"/>
      <c r="I92" s="488"/>
      <c r="J92" s="489" t="s">
        <v>474</v>
      </c>
      <c r="K92" s="487" t="s">
        <v>14</v>
      </c>
      <c r="L92" s="488" t="s">
        <v>13</v>
      </c>
      <c r="M92" s="489" t="s">
        <v>474</v>
      </c>
      <c r="N92" s="488" t="s">
        <v>13</v>
      </c>
      <c r="O92" s="487" t="s">
        <v>474</v>
      </c>
      <c r="P92" s="487" t="s">
        <v>14</v>
      </c>
      <c r="Q92" s="488" t="s">
        <v>13</v>
      </c>
      <c r="R92" s="489" t="s">
        <v>474</v>
      </c>
      <c r="S92" s="488" t="s">
        <v>13</v>
      </c>
      <c r="T92" s="481"/>
      <c r="U92" s="481"/>
      <c r="V92" s="481"/>
      <c r="W92" s="481"/>
      <c r="X92" s="481"/>
      <c r="Y92" s="481"/>
      <c r="Z92" s="481"/>
      <c r="AA92" s="481"/>
      <c r="AB92" s="481"/>
      <c r="AC92" s="481"/>
      <c r="AD92" s="481"/>
      <c r="AE92" s="481"/>
      <c r="AF92" s="481"/>
      <c r="AG92" s="481"/>
      <c r="AH92" s="481"/>
      <c r="AI92" s="481"/>
      <c r="AJ92" s="481"/>
      <c r="AK92" s="481"/>
      <c r="AL92" s="481"/>
      <c r="AM92" s="481"/>
      <c r="AN92" s="481"/>
    </row>
    <row r="93" spans="1:40" ht="24" customHeight="1">
      <c r="A93" s="490" t="s">
        <v>280</v>
      </c>
      <c r="B93" s="481" t="s">
        <v>73</v>
      </c>
      <c r="C93" s="491" t="s">
        <v>15</v>
      </c>
      <c r="D93" s="495"/>
      <c r="E93" s="495"/>
      <c r="F93" s="493">
        <v>1587792.7155555976</v>
      </c>
      <c r="G93" s="512"/>
      <c r="H93" s="495"/>
      <c r="I93" s="493"/>
      <c r="J93" s="491"/>
      <c r="K93" s="495"/>
      <c r="L93" s="493">
        <v>1244144.2600000002</v>
      </c>
      <c r="M93" s="597"/>
      <c r="N93" s="598"/>
      <c r="O93" s="491"/>
      <c r="P93" s="495"/>
      <c r="Q93" s="493">
        <v>1750102.0199999998</v>
      </c>
      <c r="R93" s="597"/>
      <c r="S93" s="598"/>
      <c r="T93" s="481"/>
      <c r="U93" s="481"/>
      <c r="V93" s="481"/>
      <c r="W93" s="481"/>
      <c r="X93" s="481"/>
      <c r="Y93" s="481"/>
      <c r="Z93" s="481"/>
      <c r="AA93" s="481"/>
      <c r="AB93" s="481"/>
      <c r="AC93" s="481"/>
      <c r="AD93" s="481"/>
      <c r="AE93" s="481"/>
      <c r="AF93" s="481"/>
      <c r="AG93" s="481"/>
      <c r="AH93" s="481"/>
      <c r="AI93" s="481"/>
      <c r="AJ93" s="481"/>
      <c r="AK93" s="481"/>
      <c r="AL93" s="481"/>
      <c r="AM93" s="481"/>
      <c r="AN93" s="481"/>
    </row>
    <row r="94" spans="1:40" ht="21.75" customHeight="1">
      <c r="A94" s="490" t="s">
        <v>281</v>
      </c>
      <c r="B94" s="481" t="s">
        <v>73</v>
      </c>
      <c r="C94" s="498" t="s">
        <v>75</v>
      </c>
      <c r="D94" s="499">
        <v>38</v>
      </c>
      <c r="E94" s="499">
        <v>1858</v>
      </c>
      <c r="F94" s="499">
        <v>70604</v>
      </c>
      <c r="G94" s="500"/>
      <c r="H94" s="499"/>
      <c r="I94" s="499"/>
      <c r="J94" s="500">
        <v>29</v>
      </c>
      <c r="K94" s="499">
        <v>1929.9779310344838</v>
      </c>
      <c r="L94" s="501">
        <v>55969.36000000003</v>
      </c>
      <c r="M94" s="500">
        <v>-9</v>
      </c>
      <c r="N94" s="501">
        <v>-14634.63999999997</v>
      </c>
      <c r="O94" s="500">
        <v>34</v>
      </c>
      <c r="P94" s="499">
        <v>1821.8273529411758</v>
      </c>
      <c r="Q94" s="501">
        <v>61942.129999999976</v>
      </c>
      <c r="R94" s="500">
        <v>-5</v>
      </c>
      <c r="S94" s="501">
        <v>-5972.7699999999459</v>
      </c>
      <c r="T94" s="481"/>
      <c r="U94" s="481"/>
      <c r="V94" s="481"/>
      <c r="W94" s="481"/>
      <c r="X94" s="481"/>
      <c r="Y94" s="481"/>
      <c r="Z94" s="481"/>
      <c r="AA94" s="481"/>
      <c r="AB94" s="481"/>
      <c r="AC94" s="481"/>
      <c r="AD94" s="481"/>
      <c r="AE94" s="481"/>
      <c r="AF94" s="481"/>
      <c r="AG94" s="481"/>
      <c r="AH94" s="481"/>
      <c r="AI94" s="481"/>
      <c r="AJ94" s="481"/>
      <c r="AK94" s="481"/>
      <c r="AL94" s="481"/>
      <c r="AM94" s="481"/>
      <c r="AN94" s="481"/>
    </row>
    <row r="95" spans="1:40" ht="18.75" customHeight="1">
      <c r="A95" s="490" t="s">
        <v>282</v>
      </c>
      <c r="B95" s="481" t="s">
        <v>73</v>
      </c>
      <c r="C95" s="498" t="s">
        <v>76</v>
      </c>
      <c r="D95" s="499">
        <v>0</v>
      </c>
      <c r="E95" s="495">
        <v>0</v>
      </c>
      <c r="F95" s="499">
        <v>0</v>
      </c>
      <c r="G95" s="500"/>
      <c r="H95" s="499"/>
      <c r="I95" s="499"/>
      <c r="J95" s="500">
        <v>4</v>
      </c>
      <c r="K95" s="499">
        <v>2172.4674999999997</v>
      </c>
      <c r="L95" s="501">
        <v>8689.869999999999</v>
      </c>
      <c r="M95" s="500">
        <v>4</v>
      </c>
      <c r="N95" s="501">
        <v>8689.869999999999</v>
      </c>
      <c r="O95" s="500">
        <v>0</v>
      </c>
      <c r="P95" s="499">
        <v>0</v>
      </c>
      <c r="Q95" s="501">
        <v>0</v>
      </c>
      <c r="R95" s="500">
        <v>4</v>
      </c>
      <c r="S95" s="501">
        <v>8689.869999999999</v>
      </c>
      <c r="T95" s="481"/>
      <c r="U95" s="481"/>
      <c r="V95" s="599"/>
      <c r="W95" s="481"/>
      <c r="X95" s="481"/>
      <c r="Y95" s="481"/>
      <c r="Z95" s="481"/>
      <c r="AA95" s="481"/>
      <c r="AB95" s="481"/>
      <c r="AC95" s="481"/>
      <c r="AD95" s="481"/>
      <c r="AE95" s="481"/>
      <c r="AF95" s="481"/>
      <c r="AG95" s="481"/>
      <c r="AH95" s="481"/>
      <c r="AI95" s="481"/>
      <c r="AJ95" s="481"/>
      <c r="AK95" s="481"/>
      <c r="AL95" s="481"/>
      <c r="AM95" s="481"/>
      <c r="AN95" s="481"/>
    </row>
    <row r="96" spans="1:40" ht="15.75" customHeight="1">
      <c r="A96" s="490" t="s">
        <v>283</v>
      </c>
      <c r="B96" s="481" t="s">
        <v>73</v>
      </c>
      <c r="C96" s="504" t="s">
        <v>77</v>
      </c>
      <c r="D96" s="505">
        <v>38</v>
      </c>
      <c r="E96" s="499">
        <v>1858</v>
      </c>
      <c r="F96" s="506">
        <v>70604</v>
      </c>
      <c r="G96" s="507"/>
      <c r="H96" s="505"/>
      <c r="I96" s="506"/>
      <c r="J96" s="507">
        <v>33</v>
      </c>
      <c r="K96" s="505">
        <v>1959.3706060606069</v>
      </c>
      <c r="L96" s="506">
        <v>64659.230000000025</v>
      </c>
      <c r="M96" s="507">
        <v>-5</v>
      </c>
      <c r="N96" s="506">
        <v>-5944.769999999975</v>
      </c>
      <c r="O96" s="507">
        <v>34</v>
      </c>
      <c r="P96" s="505">
        <v>1821.8273529411758</v>
      </c>
      <c r="Q96" s="506">
        <v>61942.129999999976</v>
      </c>
      <c r="R96" s="507">
        <v>-1</v>
      </c>
      <c r="S96" s="506">
        <v>2717.1000000000531</v>
      </c>
      <c r="T96" s="481"/>
      <c r="U96" s="481"/>
      <c r="V96" s="481"/>
      <c r="W96" s="481"/>
      <c r="X96" s="481"/>
      <c r="Y96" s="481"/>
      <c r="Z96" s="481"/>
      <c r="AA96" s="481"/>
      <c r="AB96" s="481"/>
      <c r="AC96" s="542"/>
      <c r="AD96" s="481"/>
      <c r="AE96" s="481"/>
      <c r="AF96" s="542"/>
      <c r="AG96" s="481"/>
      <c r="AH96" s="481"/>
      <c r="AI96" s="481"/>
      <c r="AJ96" s="481"/>
      <c r="AK96" s="481"/>
      <c r="AL96" s="481"/>
      <c r="AM96" s="481"/>
      <c r="AN96" s="481"/>
    </row>
    <row r="97" spans="1:40" ht="15.75" customHeight="1">
      <c r="A97" s="490" t="s">
        <v>73</v>
      </c>
      <c r="B97" s="481" t="s">
        <v>73</v>
      </c>
      <c r="C97" s="498"/>
      <c r="D97" s="481"/>
      <c r="E97" s="499">
        <v>0</v>
      </c>
      <c r="F97" s="508"/>
      <c r="G97" s="498"/>
      <c r="H97" s="481"/>
      <c r="I97" s="508"/>
      <c r="J97" s="498"/>
      <c r="K97" s="481"/>
      <c r="L97" s="508"/>
      <c r="M97" s="600">
        <v>-0.13157894736842105</v>
      </c>
      <c r="N97" s="601">
        <v>-8.4198770607897211E-2</v>
      </c>
      <c r="O97" s="498"/>
      <c r="P97" s="481"/>
      <c r="Q97" s="508"/>
      <c r="R97" s="600">
        <v>-2.9411764705882353E-2</v>
      </c>
      <c r="S97" s="601">
        <v>4.3865136700982903E-2</v>
      </c>
      <c r="T97" s="481"/>
      <c r="U97" s="481"/>
      <c r="V97" s="481"/>
      <c r="W97" s="481"/>
      <c r="X97" s="481"/>
      <c r="Y97" s="481"/>
      <c r="Z97" s="481"/>
      <c r="AA97" s="481"/>
      <c r="AB97" s="481"/>
      <c r="AC97" s="481"/>
      <c r="AD97" s="481"/>
      <c r="AE97" s="481"/>
      <c r="AF97" s="481"/>
      <c r="AG97" s="481"/>
      <c r="AH97" s="481"/>
      <c r="AI97" s="481"/>
      <c r="AJ97" s="481"/>
      <c r="AK97" s="481"/>
      <c r="AL97" s="481"/>
      <c r="AM97" s="481"/>
      <c r="AN97" s="481"/>
    </row>
    <row r="98" spans="1:40" ht="15.75" customHeight="1">
      <c r="A98" s="490" t="s">
        <v>284</v>
      </c>
      <c r="B98" s="481" t="s">
        <v>73</v>
      </c>
      <c r="C98" s="498" t="s">
        <v>194</v>
      </c>
      <c r="D98" s="499"/>
      <c r="E98" s="499"/>
      <c r="F98" s="499"/>
      <c r="G98" s="500"/>
      <c r="H98" s="499"/>
      <c r="I98" s="499"/>
      <c r="J98" s="500"/>
      <c r="K98" s="499"/>
      <c r="L98" s="501"/>
      <c r="M98" s="500"/>
      <c r="N98" s="501"/>
      <c r="O98" s="500"/>
      <c r="P98" s="499"/>
      <c r="Q98" s="501"/>
      <c r="R98" s="500"/>
      <c r="S98" s="501"/>
      <c r="T98" s="481"/>
      <c r="U98" s="481"/>
      <c r="V98" s="481"/>
      <c r="W98" s="499"/>
      <c r="X98" s="499"/>
      <c r="Y98" s="481"/>
      <c r="Z98" s="481"/>
      <c r="AA98" s="481"/>
      <c r="AB98" s="481"/>
      <c r="AC98" s="481"/>
      <c r="AD98" s="481"/>
      <c r="AE98" s="481"/>
      <c r="AF98" s="481"/>
      <c r="AG98" s="481"/>
      <c r="AH98" s="481"/>
      <c r="AI98" s="481"/>
      <c r="AJ98" s="481"/>
      <c r="AK98" s="481"/>
      <c r="AL98" s="481"/>
      <c r="AM98" s="481"/>
      <c r="AN98" s="481"/>
    </row>
    <row r="99" spans="1:40" ht="15.75" customHeight="1">
      <c r="A99" s="490" t="s">
        <v>285</v>
      </c>
      <c r="B99" s="481" t="s">
        <v>73</v>
      </c>
      <c r="C99" s="498" t="s">
        <v>78</v>
      </c>
      <c r="D99" s="499">
        <v>32.153846153846153</v>
      </c>
      <c r="E99" s="499">
        <v>399</v>
      </c>
      <c r="F99" s="499">
        <v>12829.384615384615</v>
      </c>
      <c r="G99" s="500"/>
      <c r="H99" s="499"/>
      <c r="I99" s="499"/>
      <c r="J99" s="500">
        <v>26</v>
      </c>
      <c r="K99" s="499">
        <v>442.14423076923077</v>
      </c>
      <c r="L99" s="501">
        <v>11495.75</v>
      </c>
      <c r="M99" s="500">
        <v>-6.1538461538461533</v>
      </c>
      <c r="N99" s="501">
        <v>-1333.6346153846152</v>
      </c>
      <c r="O99" s="500">
        <v>39</v>
      </c>
      <c r="P99" s="499">
        <v>400.72128205128217</v>
      </c>
      <c r="Q99" s="501">
        <v>15628.130000000005</v>
      </c>
      <c r="R99" s="500">
        <v>-13</v>
      </c>
      <c r="S99" s="501">
        <v>-4132.3800000000047</v>
      </c>
      <c r="T99" s="481"/>
      <c r="U99" s="481"/>
      <c r="V99" s="481"/>
      <c r="W99" s="481"/>
      <c r="X99" s="481"/>
      <c r="Y99" s="481"/>
      <c r="Z99" s="481"/>
      <c r="AA99" s="481"/>
      <c r="AB99" s="481"/>
      <c r="AC99" s="542"/>
      <c r="AD99" s="481"/>
      <c r="AE99" s="481"/>
      <c r="AF99" s="602"/>
      <c r="AG99" s="481"/>
      <c r="AH99" s="481"/>
      <c r="AI99" s="481"/>
      <c r="AJ99" s="481"/>
      <c r="AK99" s="481"/>
      <c r="AL99" s="481"/>
      <c r="AM99" s="481"/>
      <c r="AN99" s="481"/>
    </row>
    <row r="100" spans="1:40" ht="15.75" customHeight="1">
      <c r="A100" s="490" t="s">
        <v>73</v>
      </c>
      <c r="B100" s="481" t="s">
        <v>73</v>
      </c>
      <c r="C100" s="491"/>
      <c r="D100" s="495"/>
      <c r="E100" s="495"/>
      <c r="F100" s="493"/>
      <c r="G100" s="512"/>
      <c r="H100" s="495"/>
      <c r="I100" s="493"/>
      <c r="J100" s="512"/>
      <c r="K100" s="495"/>
      <c r="L100" s="493"/>
      <c r="M100" s="513"/>
      <c r="N100" s="603"/>
      <c r="O100" s="512"/>
      <c r="P100" s="495"/>
      <c r="Q100" s="493"/>
      <c r="R100" s="513"/>
      <c r="S100" s="603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602"/>
      <c r="AG100" s="481"/>
      <c r="AH100" s="481"/>
      <c r="AI100" s="481"/>
      <c r="AJ100" s="481"/>
      <c r="AK100" s="481"/>
      <c r="AL100" s="481"/>
      <c r="AM100" s="481"/>
      <c r="AN100" s="481"/>
    </row>
    <row r="101" spans="1:40" ht="15.75" customHeight="1">
      <c r="A101" s="490" t="s">
        <v>286</v>
      </c>
      <c r="B101" s="481" t="s">
        <v>73</v>
      </c>
      <c r="C101" s="498" t="s">
        <v>25</v>
      </c>
      <c r="D101" s="499">
        <v>0</v>
      </c>
      <c r="E101" s="499">
        <v>0</v>
      </c>
      <c r="F101" s="501">
        <v>19000</v>
      </c>
      <c r="G101" s="500"/>
      <c r="H101" s="499"/>
      <c r="I101" s="499"/>
      <c r="J101" s="500"/>
      <c r="K101" s="499">
        <v>444.8366666666667</v>
      </c>
      <c r="L101" s="501">
        <v>14679.61</v>
      </c>
      <c r="M101" s="500"/>
      <c r="N101" s="501">
        <v>-4320.3899999999994</v>
      </c>
      <c r="O101" s="500"/>
      <c r="P101" s="499">
        <v>769.67676470588231</v>
      </c>
      <c r="Q101" s="501">
        <v>26169.01</v>
      </c>
      <c r="R101" s="500">
        <v>-444.8366666666667</v>
      </c>
      <c r="S101" s="501">
        <v>-11489.399999999998</v>
      </c>
      <c r="T101" s="481"/>
      <c r="U101" s="481"/>
      <c r="V101" s="481"/>
      <c r="W101" s="481"/>
      <c r="X101" s="481"/>
      <c r="Y101" s="481"/>
      <c r="Z101" s="481"/>
      <c r="AA101" s="481"/>
      <c r="AB101" s="481"/>
      <c r="AC101" s="481"/>
      <c r="AD101" s="481"/>
      <c r="AE101" s="481"/>
      <c r="AF101" s="481"/>
      <c r="AG101" s="481"/>
      <c r="AH101" s="481"/>
      <c r="AI101" s="481"/>
      <c r="AJ101" s="481"/>
      <c r="AK101" s="481"/>
      <c r="AL101" s="481"/>
      <c r="AM101" s="481"/>
      <c r="AN101" s="481"/>
    </row>
    <row r="102" spans="1:40" ht="15.75" customHeight="1">
      <c r="A102" s="490" t="s">
        <v>287</v>
      </c>
      <c r="B102" s="481" t="s">
        <v>73</v>
      </c>
      <c r="C102" s="498" t="s">
        <v>26</v>
      </c>
      <c r="D102" s="499">
        <v>0</v>
      </c>
      <c r="E102" s="499">
        <v>0</v>
      </c>
      <c r="F102" s="501">
        <v>47500</v>
      </c>
      <c r="G102" s="500"/>
      <c r="H102" s="499"/>
      <c r="I102" s="499"/>
      <c r="J102" s="500"/>
      <c r="K102" s="499">
        <v>1292.9415151515152</v>
      </c>
      <c r="L102" s="501">
        <v>42667.07</v>
      </c>
      <c r="M102" s="500"/>
      <c r="N102" s="501">
        <v>-4832.93</v>
      </c>
      <c r="O102" s="500"/>
      <c r="P102" s="499">
        <v>1083.0561764705883</v>
      </c>
      <c r="Q102" s="501">
        <v>36823.910000000003</v>
      </c>
      <c r="R102" s="500">
        <v>-1292.9415151515152</v>
      </c>
      <c r="S102" s="501">
        <v>5843.1599999999962</v>
      </c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</row>
    <row r="103" spans="1:40" ht="15.75" customHeight="1">
      <c r="A103" s="490" t="s">
        <v>288</v>
      </c>
      <c r="B103" s="481" t="s">
        <v>73</v>
      </c>
      <c r="C103" s="498" t="s">
        <v>27</v>
      </c>
      <c r="D103" s="499">
        <v>0</v>
      </c>
      <c r="E103" s="495">
        <v>0</v>
      </c>
      <c r="F103" s="501">
        <v>13300</v>
      </c>
      <c r="G103" s="500"/>
      <c r="H103" s="495"/>
      <c r="I103" s="499"/>
      <c r="J103" s="500"/>
      <c r="K103" s="495">
        <v>40.802424242424244</v>
      </c>
      <c r="L103" s="501">
        <v>1346.48</v>
      </c>
      <c r="M103" s="512"/>
      <c r="N103" s="501">
        <v>-11953.52</v>
      </c>
      <c r="O103" s="500"/>
      <c r="P103" s="495">
        <v>14.570294117647059</v>
      </c>
      <c r="Q103" s="501">
        <v>495.39</v>
      </c>
      <c r="R103" s="500">
        <v>-40.802424242424244</v>
      </c>
      <c r="S103" s="501">
        <v>851.09</v>
      </c>
      <c r="T103" s="481"/>
      <c r="U103" s="481"/>
      <c r="V103" s="481"/>
      <c r="W103" s="481"/>
      <c r="X103" s="481"/>
      <c r="Y103" s="481"/>
      <c r="Z103" s="481"/>
      <c r="AA103" s="481"/>
      <c r="AB103" s="481"/>
      <c r="AC103" s="481"/>
      <c r="AD103" s="481"/>
      <c r="AE103" s="481"/>
      <c r="AF103" s="481"/>
      <c r="AG103" s="481"/>
      <c r="AH103" s="481"/>
      <c r="AI103" s="481"/>
      <c r="AJ103" s="481"/>
      <c r="AK103" s="481"/>
      <c r="AL103" s="481"/>
      <c r="AM103" s="481"/>
      <c r="AN103" s="481"/>
    </row>
    <row r="104" spans="1:40" ht="15.75" customHeight="1">
      <c r="A104" s="490" t="s">
        <v>289</v>
      </c>
      <c r="B104" s="481" t="s">
        <v>73</v>
      </c>
      <c r="C104" s="504" t="s">
        <v>28</v>
      </c>
      <c r="D104" s="505">
        <v>38</v>
      </c>
      <c r="E104" s="499">
        <v>2100</v>
      </c>
      <c r="F104" s="506">
        <v>79800</v>
      </c>
      <c r="G104" s="507"/>
      <c r="H104" s="505"/>
      <c r="I104" s="506"/>
      <c r="J104" s="507">
        <v>33</v>
      </c>
      <c r="K104" s="505">
        <v>1778.5806060606062</v>
      </c>
      <c r="L104" s="506">
        <v>58693.16</v>
      </c>
      <c r="M104" s="500">
        <v>-5</v>
      </c>
      <c r="N104" s="506">
        <v>-21106.839999999997</v>
      </c>
      <c r="O104" s="507">
        <v>34</v>
      </c>
      <c r="P104" s="505">
        <v>1867.3032352941175</v>
      </c>
      <c r="Q104" s="506">
        <v>63488.31</v>
      </c>
      <c r="R104" s="521"/>
      <c r="S104" s="506">
        <v>-4795.1499999999942</v>
      </c>
      <c r="T104" s="481"/>
      <c r="U104" s="481"/>
      <c r="V104" s="481"/>
      <c r="W104" s="481"/>
      <c r="X104" s="481"/>
      <c r="Y104" s="481"/>
      <c r="Z104" s="481"/>
      <c r="AA104" s="481"/>
      <c r="AB104" s="481"/>
      <c r="AC104" s="481"/>
      <c r="AD104" s="481"/>
      <c r="AE104" s="481"/>
      <c r="AF104" s="481"/>
      <c r="AG104" s="481"/>
      <c r="AH104" s="481"/>
      <c r="AI104" s="481"/>
      <c r="AJ104" s="481"/>
      <c r="AK104" s="481"/>
      <c r="AL104" s="481"/>
      <c r="AM104" s="481"/>
      <c r="AN104" s="481"/>
    </row>
    <row r="105" spans="1:40" ht="15.75" customHeight="1">
      <c r="A105" s="490" t="s">
        <v>73</v>
      </c>
      <c r="B105" s="481" t="s">
        <v>73</v>
      </c>
      <c r="C105" s="498"/>
      <c r="D105" s="481"/>
      <c r="E105" s="481"/>
      <c r="F105" s="524"/>
      <c r="G105" s="498"/>
      <c r="H105" s="604"/>
      <c r="I105" s="524"/>
      <c r="J105" s="498"/>
      <c r="K105" s="481"/>
      <c r="L105" s="524"/>
      <c r="M105" s="515"/>
      <c r="N105" s="516">
        <v>-0.26449674185463656</v>
      </c>
      <c r="O105" s="498"/>
      <c r="P105" s="481"/>
      <c r="Q105" s="524"/>
      <c r="R105" s="525"/>
      <c r="S105" s="516">
        <v>-7.5528077531123353E-2</v>
      </c>
      <c r="T105" s="481"/>
      <c r="U105" s="481"/>
      <c r="V105" s="481"/>
      <c r="W105" s="481"/>
      <c r="X105" s="481"/>
      <c r="Y105" s="481"/>
      <c r="Z105" s="481"/>
      <c r="AA105" s="481"/>
      <c r="AB105" s="481"/>
      <c r="AC105" s="481"/>
      <c r="AD105" s="481"/>
      <c r="AE105" s="481"/>
      <c r="AF105" s="481"/>
      <c r="AG105" s="481"/>
      <c r="AH105" s="481"/>
      <c r="AI105" s="481"/>
      <c r="AJ105" s="481"/>
      <c r="AK105" s="481"/>
      <c r="AL105" s="481"/>
      <c r="AM105" s="481"/>
      <c r="AN105" s="481"/>
    </row>
    <row r="106" spans="1:40" ht="15.75" customHeight="1" thickBot="1">
      <c r="A106" s="490" t="s">
        <v>73</v>
      </c>
      <c r="B106" s="481" t="s">
        <v>73</v>
      </c>
      <c r="C106" s="498"/>
      <c r="D106" s="481"/>
      <c r="E106" s="481"/>
      <c r="F106" s="524"/>
      <c r="G106" s="498"/>
      <c r="H106" s="604"/>
      <c r="I106" s="524"/>
      <c r="J106" s="498"/>
      <c r="K106" s="481"/>
      <c r="L106" s="524"/>
      <c r="M106" s="515"/>
      <c r="N106" s="516"/>
      <c r="O106" s="498"/>
      <c r="P106" s="481"/>
      <c r="Q106" s="524"/>
      <c r="R106" s="525"/>
      <c r="S106" s="516"/>
      <c r="T106" s="481"/>
      <c r="U106" s="481"/>
      <c r="V106" s="481"/>
      <c r="W106" s="481"/>
      <c r="X106" s="481"/>
      <c r="Y106" s="481"/>
      <c r="Z106" s="481"/>
      <c r="AA106" s="481"/>
      <c r="AB106" s="481"/>
      <c r="AC106" s="481"/>
      <c r="AD106" s="481"/>
      <c r="AE106" s="481"/>
      <c r="AF106" s="481"/>
      <c r="AG106" s="481"/>
      <c r="AH106" s="481"/>
      <c r="AI106" s="481"/>
      <c r="AJ106" s="481"/>
      <c r="AK106" s="481"/>
      <c r="AL106" s="481"/>
      <c r="AM106" s="481"/>
      <c r="AN106" s="481"/>
    </row>
    <row r="107" spans="1:40" ht="23.25" customHeight="1" thickTop="1">
      <c r="A107" s="490" t="s">
        <v>290</v>
      </c>
      <c r="B107" s="481" t="s">
        <v>73</v>
      </c>
      <c r="C107" s="526" t="s">
        <v>79</v>
      </c>
      <c r="D107" s="527">
        <v>70.15384615384616</v>
      </c>
      <c r="E107" s="528">
        <v>2326.7916666666665</v>
      </c>
      <c r="F107" s="529">
        <v>163233.38461538462</v>
      </c>
      <c r="G107" s="530"/>
      <c r="H107" s="605"/>
      <c r="I107" s="529"/>
      <c r="J107" s="530">
        <v>59</v>
      </c>
      <c r="K107" s="528">
        <v>2285.5616949152545</v>
      </c>
      <c r="L107" s="529">
        <v>134848.14000000001</v>
      </c>
      <c r="M107" s="530">
        <v>-11.15384615384616</v>
      </c>
      <c r="N107" s="529">
        <v>-28385.24461538461</v>
      </c>
      <c r="O107" s="530">
        <v>73</v>
      </c>
      <c r="P107" s="528">
        <v>1932.3091780821915</v>
      </c>
      <c r="Q107" s="529">
        <v>141058.56999999998</v>
      </c>
      <c r="R107" s="530">
        <v>-14</v>
      </c>
      <c r="S107" s="529">
        <v>-6210.4299999999639</v>
      </c>
      <c r="T107" s="481"/>
      <c r="U107" s="481"/>
      <c r="V107" s="481"/>
      <c r="W107" s="481"/>
      <c r="X107" s="481"/>
      <c r="Y107" s="481"/>
      <c r="Z107" s="481"/>
      <c r="AA107" s="481"/>
      <c r="AB107" s="481"/>
      <c r="AC107" s="481"/>
      <c r="AD107" s="481"/>
      <c r="AE107" s="481"/>
      <c r="AF107" s="481"/>
      <c r="AG107" s="481"/>
      <c r="AH107" s="481"/>
      <c r="AI107" s="481"/>
      <c r="AJ107" s="481"/>
      <c r="AK107" s="481"/>
      <c r="AL107" s="481"/>
      <c r="AM107" s="481"/>
      <c r="AN107" s="481"/>
    </row>
    <row r="108" spans="1:40" ht="19.5" customHeight="1" thickBot="1">
      <c r="A108" s="490" t="s">
        <v>73</v>
      </c>
      <c r="B108" s="481" t="s">
        <v>73</v>
      </c>
      <c r="C108" s="531"/>
      <c r="D108" s="532"/>
      <c r="E108" s="532"/>
      <c r="F108" s="533"/>
      <c r="G108" s="531"/>
      <c r="H108" s="532"/>
      <c r="I108" s="533"/>
      <c r="J108" s="531"/>
      <c r="K108" s="532"/>
      <c r="L108" s="534">
        <v>0.82610637718340052</v>
      </c>
      <c r="M108" s="535">
        <v>-0.15899122807017552</v>
      </c>
      <c r="N108" s="536">
        <v>-0.17389362281659951</v>
      </c>
      <c r="O108" s="531"/>
      <c r="P108" s="532"/>
      <c r="Q108" s="533"/>
      <c r="R108" s="606">
        <v>-5.2142857142857144</v>
      </c>
      <c r="S108" s="607">
        <v>-4.4027314327658114E-2</v>
      </c>
      <c r="T108" s="481"/>
      <c r="U108" s="481"/>
      <c r="V108" s="481"/>
      <c r="W108" s="481"/>
      <c r="X108" s="481"/>
      <c r="Y108" s="481"/>
      <c r="Z108" s="481"/>
      <c r="AA108" s="481"/>
      <c r="AB108" s="481"/>
      <c r="AC108" s="481"/>
      <c r="AD108" s="481"/>
      <c r="AE108" s="481"/>
      <c r="AF108" s="481"/>
      <c r="AG108" s="481"/>
      <c r="AH108" s="481"/>
      <c r="AI108" s="481"/>
      <c r="AJ108" s="481"/>
      <c r="AK108" s="481"/>
      <c r="AL108" s="481"/>
      <c r="AM108" s="481"/>
      <c r="AN108" s="481"/>
    </row>
    <row r="109" spans="1:40" ht="15.75" customHeight="1" thickTop="1">
      <c r="A109" s="490" t="s">
        <v>73</v>
      </c>
      <c r="B109" s="481" t="s">
        <v>73</v>
      </c>
      <c r="C109" s="517"/>
      <c r="D109" s="537"/>
      <c r="E109" s="537"/>
      <c r="F109" s="538"/>
      <c r="G109" s="517"/>
      <c r="H109" s="537"/>
      <c r="I109" s="538"/>
      <c r="J109" s="517"/>
      <c r="K109" s="537"/>
      <c r="L109" s="538"/>
      <c r="M109" s="515"/>
      <c r="N109" s="516"/>
      <c r="O109" s="517"/>
      <c r="P109" s="537"/>
      <c r="Q109" s="538"/>
      <c r="R109" s="515"/>
      <c r="S109" s="516"/>
      <c r="T109" s="481"/>
      <c r="U109" s="481"/>
      <c r="V109" s="481"/>
      <c r="W109" s="481"/>
      <c r="X109" s="481"/>
      <c r="Y109" s="481"/>
      <c r="Z109" s="481"/>
      <c r="AA109" s="481"/>
      <c r="AB109" s="481"/>
      <c r="AC109" s="481"/>
      <c r="AD109" s="481"/>
      <c r="AE109" s="481"/>
      <c r="AF109" s="481"/>
      <c r="AG109" s="481"/>
      <c r="AH109" s="481"/>
      <c r="AI109" s="481"/>
      <c r="AJ109" s="481"/>
      <c r="AK109" s="481"/>
      <c r="AL109" s="481"/>
      <c r="AM109" s="481"/>
      <c r="AN109" s="481"/>
    </row>
    <row r="110" spans="1:40" ht="15.75" customHeight="1">
      <c r="A110" s="490" t="s">
        <v>291</v>
      </c>
      <c r="B110" s="481" t="s">
        <v>73</v>
      </c>
      <c r="C110" s="539" t="s">
        <v>30</v>
      </c>
      <c r="D110" s="481"/>
      <c r="E110" s="540"/>
      <c r="F110" s="524"/>
      <c r="G110" s="498"/>
      <c r="H110" s="540"/>
      <c r="I110" s="524"/>
      <c r="J110" s="498"/>
      <c r="K110" s="540"/>
      <c r="L110" s="508"/>
      <c r="M110" s="498"/>
      <c r="N110" s="508"/>
      <c r="O110" s="498"/>
      <c r="P110" s="540"/>
      <c r="Q110" s="508"/>
      <c r="R110" s="498"/>
      <c r="S110" s="508"/>
      <c r="T110" s="481"/>
      <c r="U110" s="481"/>
      <c r="V110" s="481"/>
      <c r="W110" s="481"/>
      <c r="X110" s="481"/>
      <c r="Y110" s="481"/>
      <c r="Z110" s="481"/>
      <c r="AA110" s="481"/>
      <c r="AB110" s="481"/>
      <c r="AC110" s="481"/>
      <c r="AD110" s="481"/>
      <c r="AE110" s="481"/>
      <c r="AF110" s="481"/>
      <c r="AG110" s="481"/>
      <c r="AH110" s="481"/>
      <c r="AI110" s="481"/>
      <c r="AJ110" s="481"/>
      <c r="AK110" s="481"/>
      <c r="AL110" s="481"/>
      <c r="AM110" s="481"/>
      <c r="AN110" s="481"/>
    </row>
    <row r="111" spans="1:40" ht="15.75" customHeight="1">
      <c r="A111" s="490" t="s">
        <v>292</v>
      </c>
      <c r="B111" s="481" t="s">
        <v>73</v>
      </c>
      <c r="C111" s="498" t="s">
        <v>31</v>
      </c>
      <c r="D111" s="608">
        <v>0.31560534813891566</v>
      </c>
      <c r="E111" s="542">
        <v>586.39473684210532</v>
      </c>
      <c r="F111" s="499">
        <v>22283</v>
      </c>
      <c r="G111" s="543"/>
      <c r="H111" s="542"/>
      <c r="I111" s="499"/>
      <c r="J111" s="543">
        <v>0.41499891044171094</v>
      </c>
      <c r="K111" s="542">
        <v>813.13666666666666</v>
      </c>
      <c r="L111" s="501">
        <v>26833.51</v>
      </c>
      <c r="M111" s="498"/>
      <c r="N111" s="524">
        <v>4550.5099999999984</v>
      </c>
      <c r="O111" s="498"/>
      <c r="P111" s="542">
        <v>751.67205882352937</v>
      </c>
      <c r="Q111" s="501">
        <v>25556.85</v>
      </c>
      <c r="R111" s="498"/>
      <c r="S111" s="524">
        <v>1276.6599999999999</v>
      </c>
      <c r="T111" s="481"/>
      <c r="U111" s="481"/>
      <c r="V111" s="481"/>
      <c r="W111" s="481"/>
      <c r="X111" s="481"/>
      <c r="Y111" s="481"/>
      <c r="Z111" s="481"/>
      <c r="AA111" s="481"/>
      <c r="AB111" s="481"/>
      <c r="AC111" s="481"/>
      <c r="AD111" s="481"/>
      <c r="AE111" s="481"/>
      <c r="AF111" s="481"/>
      <c r="AG111" s="481"/>
      <c r="AH111" s="481"/>
      <c r="AI111" s="481"/>
      <c r="AJ111" s="481"/>
      <c r="AK111" s="481"/>
      <c r="AL111" s="481"/>
      <c r="AM111" s="481"/>
      <c r="AN111" s="481"/>
    </row>
    <row r="112" spans="1:40" ht="15.75" customHeight="1">
      <c r="A112" s="490" t="s">
        <v>293</v>
      </c>
      <c r="B112" s="481" t="s">
        <v>73</v>
      </c>
      <c r="C112" s="491" t="s">
        <v>32</v>
      </c>
      <c r="D112" s="609">
        <v>0.27669902912621358</v>
      </c>
      <c r="E112" s="545">
        <v>630</v>
      </c>
      <c r="F112" s="493">
        <v>23940</v>
      </c>
      <c r="G112" s="546"/>
      <c r="H112" s="545"/>
      <c r="I112" s="493"/>
      <c r="J112" s="546">
        <v>0.26467536927446711</v>
      </c>
      <c r="K112" s="545">
        <v>534.36545454545455</v>
      </c>
      <c r="L112" s="501">
        <v>17634.060000000001</v>
      </c>
      <c r="M112" s="491"/>
      <c r="N112" s="547">
        <v>-6305.9399999999987</v>
      </c>
      <c r="O112" s="491"/>
      <c r="P112" s="545">
        <v>362.60117647058826</v>
      </c>
      <c r="Q112" s="501">
        <v>12328.44</v>
      </c>
      <c r="R112" s="491"/>
      <c r="S112" s="547">
        <v>5305.6200000000008</v>
      </c>
      <c r="T112" s="481"/>
      <c r="U112" s="481"/>
      <c r="V112" s="481"/>
      <c r="W112" s="481"/>
      <c r="X112" s="481"/>
      <c r="Y112" s="481"/>
      <c r="Z112" s="481"/>
      <c r="AA112" s="481"/>
      <c r="AB112" s="481"/>
      <c r="AC112" s="481"/>
      <c r="AD112" s="481"/>
      <c r="AE112" s="481"/>
      <c r="AF112" s="481"/>
      <c r="AG112" s="481"/>
      <c r="AH112" s="481"/>
      <c r="AI112" s="481"/>
      <c r="AJ112" s="481"/>
      <c r="AK112" s="481"/>
      <c r="AL112" s="481"/>
      <c r="AM112" s="481"/>
      <c r="AN112" s="481"/>
    </row>
    <row r="113" spans="1:40" ht="15.75" customHeight="1">
      <c r="A113" s="490" t="s">
        <v>294</v>
      </c>
      <c r="B113" s="481" t="s">
        <v>73</v>
      </c>
      <c r="C113" s="498" t="s">
        <v>33</v>
      </c>
      <c r="D113" s="550"/>
      <c r="E113" s="542">
        <v>43.638219139208324</v>
      </c>
      <c r="F113" s="499">
        <v>1658.2523272899164</v>
      </c>
      <c r="G113" s="551"/>
      <c r="H113" s="542"/>
      <c r="I113" s="499"/>
      <c r="J113" s="498"/>
      <c r="K113" s="542">
        <v>-31.004848484848484</v>
      </c>
      <c r="L113" s="520">
        <v>-1023.16</v>
      </c>
      <c r="M113" s="498"/>
      <c r="N113" s="524">
        <v>-2681.4123272899164</v>
      </c>
      <c r="O113" s="498"/>
      <c r="P113" s="542">
        <v>3.1208823529411767</v>
      </c>
      <c r="Q113" s="520">
        <v>106.11</v>
      </c>
      <c r="R113" s="498"/>
      <c r="S113" s="524">
        <v>-1129.27</v>
      </c>
      <c r="T113" s="481"/>
      <c r="U113" s="481"/>
      <c r="V113" s="481"/>
      <c r="W113" s="499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481"/>
      <c r="AL113" s="481"/>
      <c r="AM113" s="481"/>
      <c r="AN113" s="481"/>
    </row>
    <row r="114" spans="1:40" ht="15.75" customHeight="1">
      <c r="A114" s="490" t="s">
        <v>295</v>
      </c>
      <c r="B114" s="481" t="s">
        <v>73</v>
      </c>
      <c r="C114" s="498" t="s">
        <v>34</v>
      </c>
      <c r="D114" s="550"/>
      <c r="E114" s="542">
        <v>15.731566240051016</v>
      </c>
      <c r="F114" s="499">
        <v>597.79951712193861</v>
      </c>
      <c r="G114" s="551"/>
      <c r="H114" s="542"/>
      <c r="I114" s="499"/>
      <c r="J114" s="498"/>
      <c r="K114" s="542">
        <v>17.09212121212121</v>
      </c>
      <c r="L114" s="501">
        <v>564.04</v>
      </c>
      <c r="M114" s="498"/>
      <c r="N114" s="524">
        <v>-33.759517121938643</v>
      </c>
      <c r="O114" s="498"/>
      <c r="P114" s="542">
        <v>0</v>
      </c>
      <c r="Q114" s="501">
        <v>0</v>
      </c>
      <c r="R114" s="498"/>
      <c r="S114" s="524">
        <v>564.04</v>
      </c>
      <c r="T114" s="481"/>
      <c r="U114" s="481"/>
      <c r="V114" s="481"/>
      <c r="W114" s="499"/>
      <c r="X114" s="481"/>
      <c r="Y114" s="481"/>
      <c r="Z114" s="481"/>
      <c r="AA114" s="481"/>
      <c r="AB114" s="481"/>
      <c r="AC114" s="481"/>
      <c r="AD114" s="481"/>
      <c r="AE114" s="481"/>
      <c r="AF114" s="481"/>
      <c r="AG114" s="481"/>
      <c r="AH114" s="481"/>
      <c r="AI114" s="481"/>
      <c r="AJ114" s="481"/>
      <c r="AK114" s="481"/>
      <c r="AL114" s="481"/>
      <c r="AM114" s="481"/>
      <c r="AN114" s="481"/>
    </row>
    <row r="115" spans="1:40" ht="15.75" customHeight="1">
      <c r="A115" s="490" t="s">
        <v>296</v>
      </c>
      <c r="B115" s="481" t="s">
        <v>73</v>
      </c>
      <c r="C115" s="491" t="s">
        <v>35</v>
      </c>
      <c r="D115" s="552"/>
      <c r="E115" s="545">
        <v>125.42456696334295</v>
      </c>
      <c r="F115" s="493">
        <v>4766.1335446070325</v>
      </c>
      <c r="G115" s="553"/>
      <c r="H115" s="545"/>
      <c r="I115" s="493"/>
      <c r="J115" s="491"/>
      <c r="K115" s="545">
        <v>127.50151515151515</v>
      </c>
      <c r="L115" s="493">
        <v>4207.55</v>
      </c>
      <c r="M115" s="491"/>
      <c r="N115" s="547">
        <v>-558.58354460703231</v>
      </c>
      <c r="O115" s="491"/>
      <c r="P115" s="545">
        <v>138.97735294117646</v>
      </c>
      <c r="Q115" s="493">
        <v>4725.2299999999996</v>
      </c>
      <c r="R115" s="491"/>
      <c r="S115" s="547">
        <v>-517.67999999999938</v>
      </c>
      <c r="T115" s="481"/>
      <c r="U115" s="542"/>
      <c r="V115" s="481"/>
      <c r="W115" s="499"/>
      <c r="X115" s="481"/>
      <c r="Y115" s="481"/>
      <c r="Z115" s="481"/>
      <c r="AA115" s="481"/>
      <c r="AB115" s="481"/>
      <c r="AC115" s="481"/>
      <c r="AD115" s="481"/>
      <c r="AE115" s="481"/>
      <c r="AF115" s="481"/>
      <c r="AG115" s="481"/>
      <c r="AH115" s="481"/>
      <c r="AI115" s="481"/>
      <c r="AJ115" s="481"/>
      <c r="AK115" s="481"/>
      <c r="AL115" s="481"/>
      <c r="AM115" s="481"/>
      <c r="AN115" s="481"/>
    </row>
    <row r="116" spans="1:40" ht="19.5" customHeight="1">
      <c r="A116" s="490" t="s">
        <v>297</v>
      </c>
      <c r="B116" s="481" t="s">
        <v>73</v>
      </c>
      <c r="C116" s="498" t="s">
        <v>36</v>
      </c>
      <c r="D116" s="550"/>
      <c r="E116" s="542">
        <v>69.006410256410263</v>
      </c>
      <c r="F116" s="499">
        <v>2622.2435897435898</v>
      </c>
      <c r="G116" s="551"/>
      <c r="H116" s="542"/>
      <c r="I116" s="499"/>
      <c r="J116" s="498"/>
      <c r="K116" s="542">
        <v>270.76727272727271</v>
      </c>
      <c r="L116" s="501">
        <v>8935.32</v>
      </c>
      <c r="M116" s="498"/>
      <c r="N116" s="524">
        <v>6313.0764102564099</v>
      </c>
      <c r="O116" s="498"/>
      <c r="P116" s="542">
        <v>152.15911764705882</v>
      </c>
      <c r="Q116" s="501">
        <v>5173.41</v>
      </c>
      <c r="R116" s="498"/>
      <c r="S116" s="524">
        <v>3761.91</v>
      </c>
      <c r="T116" s="481"/>
      <c r="U116" s="481"/>
      <c r="V116" s="481"/>
      <c r="W116" s="499"/>
      <c r="Z116" s="481"/>
      <c r="AA116" s="481"/>
      <c r="AB116" s="481"/>
      <c r="AC116" s="481"/>
      <c r="AD116" s="481"/>
      <c r="AE116" s="481"/>
      <c r="AF116" s="481"/>
      <c r="AG116" s="481"/>
      <c r="AH116" s="481"/>
      <c r="AI116" s="481"/>
      <c r="AJ116" s="481"/>
      <c r="AK116" s="481"/>
      <c r="AL116" s="481"/>
      <c r="AM116" s="481"/>
      <c r="AN116" s="481"/>
    </row>
    <row r="117" spans="1:40" ht="15.75" customHeight="1">
      <c r="A117" s="490" t="s">
        <v>298</v>
      </c>
      <c r="B117" s="481" t="s">
        <v>73</v>
      </c>
      <c r="C117" s="498" t="s">
        <v>37</v>
      </c>
      <c r="D117" s="550"/>
      <c r="E117" s="542">
        <v>173.81113193943762</v>
      </c>
      <c r="F117" s="499">
        <v>6604.8230136986294</v>
      </c>
      <c r="G117" s="551"/>
      <c r="H117" s="542"/>
      <c r="I117" s="499"/>
      <c r="J117" s="498"/>
      <c r="K117" s="542">
        <v>15.888181818181817</v>
      </c>
      <c r="L117" s="501">
        <v>524.30999999999995</v>
      </c>
      <c r="M117" s="498"/>
      <c r="N117" s="524">
        <v>-6080.5130136986299</v>
      </c>
      <c r="O117" s="498"/>
      <c r="P117" s="542">
        <v>137.27941176470588</v>
      </c>
      <c r="Q117" s="501">
        <v>4667.5</v>
      </c>
      <c r="R117" s="498"/>
      <c r="S117" s="524">
        <v>-4143.1900000000005</v>
      </c>
      <c r="T117" s="481"/>
      <c r="U117" s="481"/>
      <c r="V117" s="481"/>
      <c r="W117" s="499"/>
      <c r="X117" s="481"/>
      <c r="Y117" s="481"/>
      <c r="Z117" s="481"/>
      <c r="AA117" s="481"/>
      <c r="AB117" s="481"/>
      <c r="AC117" s="481"/>
      <c r="AD117" s="481"/>
      <c r="AE117" s="481"/>
      <c r="AF117" s="481"/>
      <c r="AG117" s="481"/>
      <c r="AH117" s="481"/>
      <c r="AI117" s="481"/>
      <c r="AJ117" s="481"/>
      <c r="AK117" s="481"/>
      <c r="AL117" s="481"/>
      <c r="AM117" s="481"/>
      <c r="AN117" s="481"/>
    </row>
    <row r="118" spans="1:40" ht="15.75" hidden="1" customHeight="1">
      <c r="A118" s="490" t="s">
        <v>299</v>
      </c>
      <c r="B118" s="481" t="s">
        <v>73</v>
      </c>
      <c r="C118" s="498" t="s">
        <v>20</v>
      </c>
      <c r="D118" s="550"/>
      <c r="E118" s="542">
        <v>0</v>
      </c>
      <c r="F118" s="499">
        <v>0</v>
      </c>
      <c r="G118" s="551"/>
      <c r="H118" s="542"/>
      <c r="I118" s="499"/>
      <c r="J118" s="498"/>
      <c r="K118" s="542">
        <v>0</v>
      </c>
      <c r="L118" s="501">
        <v>0</v>
      </c>
      <c r="M118" s="498"/>
      <c r="N118" s="524">
        <v>0</v>
      </c>
      <c r="O118" s="498"/>
      <c r="P118" s="542">
        <v>0</v>
      </c>
      <c r="Q118" s="501">
        <v>0</v>
      </c>
      <c r="R118" s="498"/>
      <c r="S118" s="524">
        <v>0</v>
      </c>
      <c r="T118" s="481"/>
      <c r="U118" s="481"/>
      <c r="V118" s="481"/>
      <c r="W118" s="481"/>
      <c r="X118" s="481"/>
      <c r="Y118" s="481"/>
      <c r="Z118" s="481"/>
      <c r="AA118" s="481"/>
      <c r="AB118" s="481"/>
      <c r="AC118" s="481"/>
      <c r="AD118" s="481"/>
      <c r="AE118" s="481"/>
      <c r="AF118" s="481"/>
      <c r="AG118" s="481"/>
      <c r="AH118" s="481"/>
      <c r="AI118" s="481"/>
      <c r="AJ118" s="481"/>
      <c r="AK118" s="481"/>
      <c r="AL118" s="481"/>
      <c r="AM118" s="481"/>
      <c r="AN118" s="481"/>
    </row>
    <row r="119" spans="1:40" ht="15.75" hidden="1" customHeight="1">
      <c r="A119" s="490" t="s">
        <v>299</v>
      </c>
      <c r="B119" s="481" t="s">
        <v>73</v>
      </c>
      <c r="C119" s="498" t="s">
        <v>20</v>
      </c>
      <c r="D119" s="550"/>
      <c r="E119" s="542">
        <v>0</v>
      </c>
      <c r="F119" s="499">
        <v>0</v>
      </c>
      <c r="G119" s="551"/>
      <c r="H119" s="542"/>
      <c r="I119" s="499"/>
      <c r="J119" s="498"/>
      <c r="K119" s="542">
        <v>0</v>
      </c>
      <c r="L119" s="501">
        <v>0</v>
      </c>
      <c r="M119" s="498"/>
      <c r="N119" s="524">
        <v>0</v>
      </c>
      <c r="O119" s="498"/>
      <c r="P119" s="542">
        <v>0</v>
      </c>
      <c r="Q119" s="501">
        <v>0</v>
      </c>
      <c r="R119" s="498"/>
      <c r="S119" s="524">
        <v>0</v>
      </c>
      <c r="T119" s="481"/>
      <c r="U119" s="481"/>
      <c r="V119" s="481"/>
      <c r="W119" s="481"/>
      <c r="X119" s="481"/>
      <c r="Y119" s="481"/>
      <c r="Z119" s="481"/>
      <c r="AA119" s="481"/>
      <c r="AB119" s="481"/>
      <c r="AC119" s="481"/>
      <c r="AD119" s="481"/>
      <c r="AE119" s="481"/>
      <c r="AF119" s="481"/>
      <c r="AG119" s="481"/>
      <c r="AH119" s="481"/>
      <c r="AI119" s="481"/>
      <c r="AJ119" s="481"/>
      <c r="AK119" s="481"/>
      <c r="AL119" s="481"/>
      <c r="AM119" s="481"/>
      <c r="AN119" s="481"/>
    </row>
    <row r="120" spans="1:40" ht="15.75" hidden="1" customHeight="1">
      <c r="A120" s="490" t="s">
        <v>299</v>
      </c>
      <c r="B120" s="481" t="s">
        <v>73</v>
      </c>
      <c r="C120" s="498" t="s">
        <v>20</v>
      </c>
      <c r="D120" s="550"/>
      <c r="E120" s="542">
        <v>0</v>
      </c>
      <c r="F120" s="499">
        <v>0</v>
      </c>
      <c r="G120" s="551"/>
      <c r="H120" s="542"/>
      <c r="I120" s="499"/>
      <c r="J120" s="498"/>
      <c r="K120" s="542">
        <v>0</v>
      </c>
      <c r="L120" s="501">
        <v>0</v>
      </c>
      <c r="M120" s="498"/>
      <c r="N120" s="524">
        <v>0</v>
      </c>
      <c r="O120" s="498"/>
      <c r="P120" s="542">
        <v>0</v>
      </c>
      <c r="Q120" s="501">
        <v>0</v>
      </c>
      <c r="R120" s="498"/>
      <c r="S120" s="524">
        <v>0</v>
      </c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</row>
    <row r="121" spans="1:40" ht="15.75" customHeight="1">
      <c r="A121" s="490" t="s">
        <v>300</v>
      </c>
      <c r="B121" s="481" t="s">
        <v>73</v>
      </c>
      <c r="C121" s="557" t="s">
        <v>38</v>
      </c>
      <c r="D121" s="558" t="s">
        <v>39</v>
      </c>
      <c r="E121" s="559">
        <v>0.38271737206001144</v>
      </c>
      <c r="F121" s="560">
        <v>62472.251992461104</v>
      </c>
      <c r="G121" s="561"/>
      <c r="H121" s="559"/>
      <c r="I121" s="560"/>
      <c r="J121" s="561" t="s">
        <v>39</v>
      </c>
      <c r="K121" s="559">
        <v>0.42770801288026661</v>
      </c>
      <c r="L121" s="560">
        <v>57675.63</v>
      </c>
      <c r="M121" s="564"/>
      <c r="N121" s="560">
        <v>-4796.6219924611069</v>
      </c>
      <c r="O121" s="561" t="s">
        <v>39</v>
      </c>
      <c r="P121" s="559">
        <v>0.37259373889867176</v>
      </c>
      <c r="Q121" s="560">
        <v>52557.540000000008</v>
      </c>
      <c r="R121" s="564"/>
      <c r="S121" s="560">
        <v>5118.0899999999892</v>
      </c>
      <c r="T121" s="481"/>
      <c r="U121" s="481"/>
      <c r="X121" s="481"/>
      <c r="Y121" s="481"/>
      <c r="Z121" s="481"/>
      <c r="AA121" s="481"/>
      <c r="AB121" s="481"/>
      <c r="AC121" s="481"/>
      <c r="AD121" s="481"/>
      <c r="AE121" s="481"/>
      <c r="AF121" s="481"/>
      <c r="AG121" s="481"/>
      <c r="AH121" s="481"/>
      <c r="AI121" s="481"/>
      <c r="AJ121" s="481"/>
      <c r="AK121" s="481"/>
      <c r="AL121" s="481"/>
      <c r="AM121" s="481"/>
      <c r="AN121" s="481"/>
    </row>
    <row r="122" spans="1:40" ht="15.75" customHeight="1">
      <c r="A122" s="490" t="s">
        <v>301</v>
      </c>
      <c r="B122" s="481" t="s">
        <v>73</v>
      </c>
      <c r="C122" s="565" t="s">
        <v>41</v>
      </c>
      <c r="D122" s="481"/>
      <c r="E122" s="481"/>
      <c r="F122" s="499">
        <v>10057.767432950193</v>
      </c>
      <c r="G122" s="498"/>
      <c r="H122" s="481"/>
      <c r="I122" s="499"/>
      <c r="J122" s="498"/>
      <c r="K122" s="481"/>
      <c r="L122" s="501">
        <v>11464.55</v>
      </c>
      <c r="M122" s="498"/>
      <c r="N122" s="524">
        <v>1406.7825670498059</v>
      </c>
      <c r="O122" s="498"/>
      <c r="P122" s="481"/>
      <c r="Q122" s="501">
        <v>13371.45</v>
      </c>
      <c r="R122" s="498"/>
      <c r="S122" s="524">
        <v>-1906.9000000000015</v>
      </c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</row>
    <row r="123" spans="1:40" ht="15.75" customHeight="1">
      <c r="A123" s="490" t="s">
        <v>302</v>
      </c>
      <c r="B123" s="481" t="s">
        <v>73</v>
      </c>
      <c r="C123" s="566" t="s">
        <v>42</v>
      </c>
      <c r="D123" s="550"/>
      <c r="E123" s="481"/>
      <c r="F123" s="493">
        <v>2272.1416091954025</v>
      </c>
      <c r="G123" s="551"/>
      <c r="H123" s="481"/>
      <c r="I123" s="493"/>
      <c r="J123" s="498"/>
      <c r="K123" s="481"/>
      <c r="L123" s="493">
        <v>6049.73</v>
      </c>
      <c r="M123" s="498"/>
      <c r="N123" s="524">
        <v>3777.5883908045971</v>
      </c>
      <c r="O123" s="498"/>
      <c r="P123" s="481"/>
      <c r="Q123" s="493">
        <v>1611.17</v>
      </c>
      <c r="R123" s="498"/>
      <c r="S123" s="524">
        <v>4438.5599999999995</v>
      </c>
      <c r="T123" s="481"/>
      <c r="U123" s="481"/>
      <c r="V123" s="481"/>
      <c r="W123" s="481"/>
      <c r="X123" s="481"/>
      <c r="Y123" s="481"/>
      <c r="Z123" s="481"/>
      <c r="AA123" s="481"/>
      <c r="AB123" s="481"/>
      <c r="AC123" s="481"/>
      <c r="AD123" s="481"/>
      <c r="AE123" s="481"/>
      <c r="AF123" s="481"/>
      <c r="AG123" s="481"/>
      <c r="AH123" s="481"/>
      <c r="AI123" s="481"/>
      <c r="AJ123" s="481"/>
      <c r="AK123" s="481"/>
      <c r="AL123" s="481"/>
      <c r="AM123" s="481"/>
      <c r="AN123" s="481"/>
    </row>
    <row r="124" spans="1:40" ht="15.75" customHeight="1">
      <c r="A124" s="490" t="s">
        <v>303</v>
      </c>
      <c r="B124" s="481" t="s">
        <v>73</v>
      </c>
      <c r="C124" s="565" t="s">
        <v>43</v>
      </c>
      <c r="D124" s="567"/>
      <c r="E124" s="568"/>
      <c r="F124" s="499">
        <v>7779.2674329501933</v>
      </c>
      <c r="G124" s="569"/>
      <c r="H124" s="568"/>
      <c r="I124" s="499"/>
      <c r="J124" s="485"/>
      <c r="K124" s="568"/>
      <c r="L124" s="501">
        <v>6286.83</v>
      </c>
      <c r="M124" s="485"/>
      <c r="N124" s="570">
        <v>-1492.4374329501934</v>
      </c>
      <c r="O124" s="485"/>
      <c r="P124" s="568"/>
      <c r="Q124" s="501">
        <v>7749.98</v>
      </c>
      <c r="R124" s="485"/>
      <c r="S124" s="570">
        <v>-1463.1499999999996</v>
      </c>
      <c r="T124" s="481"/>
      <c r="U124" s="481"/>
      <c r="V124" s="481"/>
      <c r="W124" s="481"/>
      <c r="X124" s="481"/>
      <c r="Y124" s="481"/>
      <c r="Z124" s="481"/>
      <c r="AA124" s="481"/>
      <c r="AB124" s="481"/>
      <c r="AC124" s="481"/>
      <c r="AD124" s="481"/>
      <c r="AE124" s="481"/>
      <c r="AF124" s="481"/>
      <c r="AG124" s="481"/>
      <c r="AH124" s="481"/>
      <c r="AI124" s="481"/>
      <c r="AJ124" s="481"/>
      <c r="AK124" s="481"/>
      <c r="AL124" s="481"/>
      <c r="AM124" s="481"/>
      <c r="AN124" s="481"/>
    </row>
    <row r="125" spans="1:40" ht="15.75" customHeight="1">
      <c r="A125" s="490" t="s">
        <v>304</v>
      </c>
      <c r="B125" s="481" t="s">
        <v>73</v>
      </c>
      <c r="C125" s="565" t="s">
        <v>44</v>
      </c>
      <c r="D125" s="550"/>
      <c r="E125" s="481"/>
      <c r="F125" s="499">
        <v>0</v>
      </c>
      <c r="G125" s="551"/>
      <c r="H125" s="481"/>
      <c r="I125" s="499"/>
      <c r="J125" s="498"/>
      <c r="K125" s="481"/>
      <c r="L125" s="501">
        <v>0</v>
      </c>
      <c r="M125" s="498"/>
      <c r="N125" s="524">
        <v>0</v>
      </c>
      <c r="O125" s="498"/>
      <c r="P125" s="481"/>
      <c r="Q125" s="501">
        <v>0</v>
      </c>
      <c r="R125" s="498"/>
      <c r="S125" s="524">
        <v>0</v>
      </c>
      <c r="T125" s="481"/>
      <c r="U125" s="481"/>
      <c r="V125" s="481"/>
      <c r="W125" s="481"/>
      <c r="X125" s="481"/>
      <c r="Y125" s="481"/>
      <c r="Z125" s="481"/>
      <c r="AA125" s="481"/>
      <c r="AB125" s="481"/>
      <c r="AC125" s="481"/>
      <c r="AD125" s="481"/>
      <c r="AE125" s="481"/>
      <c r="AF125" s="481"/>
      <c r="AG125" s="481"/>
      <c r="AH125" s="481"/>
      <c r="AI125" s="481"/>
      <c r="AJ125" s="481"/>
      <c r="AK125" s="481"/>
      <c r="AL125" s="481"/>
      <c r="AM125" s="481"/>
      <c r="AN125" s="481"/>
    </row>
    <row r="126" spans="1:40" ht="15.75" hidden="1" customHeight="1">
      <c r="A126" s="490" t="s">
        <v>299</v>
      </c>
      <c r="B126" s="481" t="s">
        <v>73</v>
      </c>
      <c r="C126" s="565" t="s">
        <v>20</v>
      </c>
      <c r="D126" s="550"/>
      <c r="E126" s="481"/>
      <c r="F126" s="499">
        <v>0</v>
      </c>
      <c r="G126" s="551"/>
      <c r="H126" s="481"/>
      <c r="I126" s="499"/>
      <c r="J126" s="498"/>
      <c r="K126" s="481"/>
      <c r="L126" s="501">
        <v>0</v>
      </c>
      <c r="M126" s="498"/>
      <c r="N126" s="524">
        <v>0</v>
      </c>
      <c r="O126" s="498"/>
      <c r="P126" s="481"/>
      <c r="Q126" s="501">
        <v>0</v>
      </c>
      <c r="R126" s="498"/>
      <c r="S126" s="524">
        <v>0</v>
      </c>
      <c r="T126" s="481"/>
      <c r="U126" s="481"/>
      <c r="V126" s="481"/>
      <c r="W126" s="481"/>
      <c r="X126" s="481"/>
      <c r="Y126" s="481"/>
      <c r="Z126" s="481"/>
      <c r="AA126" s="481"/>
      <c r="AB126" s="481"/>
      <c r="AC126" s="481"/>
      <c r="AD126" s="481"/>
      <c r="AE126" s="481"/>
      <c r="AF126" s="481"/>
      <c r="AG126" s="481"/>
      <c r="AH126" s="481"/>
      <c r="AI126" s="481"/>
      <c r="AJ126" s="481"/>
      <c r="AK126" s="481"/>
      <c r="AL126" s="481"/>
      <c r="AM126" s="481"/>
      <c r="AN126" s="481"/>
    </row>
    <row r="127" spans="1:40" ht="15.75" hidden="1" customHeight="1">
      <c r="A127" s="490" t="s">
        <v>299</v>
      </c>
      <c r="B127" s="481" t="s">
        <v>73</v>
      </c>
      <c r="C127" s="565" t="s">
        <v>20</v>
      </c>
      <c r="D127" s="550"/>
      <c r="E127" s="481"/>
      <c r="F127" s="499">
        <v>0</v>
      </c>
      <c r="G127" s="551"/>
      <c r="H127" s="481"/>
      <c r="I127" s="499"/>
      <c r="J127" s="498"/>
      <c r="K127" s="481"/>
      <c r="L127" s="501">
        <v>0</v>
      </c>
      <c r="M127" s="498"/>
      <c r="N127" s="524">
        <v>0</v>
      </c>
      <c r="O127" s="498"/>
      <c r="P127" s="481"/>
      <c r="Q127" s="501">
        <v>0</v>
      </c>
      <c r="R127" s="498"/>
      <c r="S127" s="524">
        <v>0</v>
      </c>
      <c r="T127" s="481"/>
      <c r="U127" s="481"/>
      <c r="V127" s="481"/>
      <c r="W127" s="481"/>
      <c r="X127" s="481"/>
      <c r="Y127" s="481"/>
      <c r="Z127" s="481"/>
      <c r="AA127" s="481"/>
      <c r="AB127" s="481"/>
      <c r="AC127" s="481"/>
      <c r="AD127" s="481"/>
      <c r="AE127" s="481"/>
      <c r="AF127" s="481"/>
      <c r="AG127" s="481"/>
      <c r="AH127" s="481"/>
      <c r="AI127" s="481"/>
      <c r="AJ127" s="481"/>
      <c r="AK127" s="481"/>
      <c r="AL127" s="481"/>
      <c r="AM127" s="481"/>
      <c r="AN127" s="481"/>
    </row>
    <row r="128" spans="1:40" ht="15.75" hidden="1" customHeight="1">
      <c r="A128" s="490" t="s">
        <v>299</v>
      </c>
      <c r="B128" s="481" t="s">
        <v>73</v>
      </c>
      <c r="C128" s="565" t="s">
        <v>20</v>
      </c>
      <c r="D128" s="550"/>
      <c r="E128" s="481"/>
      <c r="F128" s="499">
        <v>0</v>
      </c>
      <c r="G128" s="551"/>
      <c r="H128" s="481"/>
      <c r="I128" s="499"/>
      <c r="J128" s="498"/>
      <c r="K128" s="481"/>
      <c r="L128" s="501">
        <v>0</v>
      </c>
      <c r="M128" s="498"/>
      <c r="N128" s="524">
        <v>0</v>
      </c>
      <c r="O128" s="498"/>
      <c r="P128" s="481"/>
      <c r="Q128" s="501">
        <v>0</v>
      </c>
      <c r="R128" s="498"/>
      <c r="S128" s="524">
        <v>0</v>
      </c>
      <c r="T128" s="481"/>
      <c r="U128" s="481"/>
      <c r="V128" s="481"/>
      <c r="W128" s="481"/>
      <c r="X128" s="481"/>
      <c r="Y128" s="481"/>
      <c r="Z128" s="481"/>
      <c r="AA128" s="481"/>
      <c r="AB128" s="481"/>
      <c r="AC128" s="481"/>
      <c r="AD128" s="481"/>
      <c r="AE128" s="481"/>
      <c r="AF128" s="481"/>
      <c r="AG128" s="481"/>
      <c r="AH128" s="481"/>
      <c r="AI128" s="481"/>
      <c r="AJ128" s="481"/>
      <c r="AK128" s="481"/>
      <c r="AL128" s="481"/>
      <c r="AM128" s="481"/>
      <c r="AN128" s="481"/>
    </row>
    <row r="129" spans="1:40" ht="15.75" customHeight="1">
      <c r="A129" s="490" t="s">
        <v>305</v>
      </c>
      <c r="B129" s="481" t="s">
        <v>73</v>
      </c>
      <c r="C129" s="566" t="s">
        <v>45</v>
      </c>
      <c r="D129" s="550"/>
      <c r="E129" s="481"/>
      <c r="F129" s="499">
        <v>7663.5863733606639</v>
      </c>
      <c r="G129" s="551"/>
      <c r="H129" s="481"/>
      <c r="I129" s="499"/>
      <c r="J129" s="498"/>
      <c r="K129" s="481"/>
      <c r="L129" s="501">
        <v>3616.31</v>
      </c>
      <c r="M129" s="498"/>
      <c r="N129" s="524">
        <v>-4047.2763733606639</v>
      </c>
      <c r="O129" s="498"/>
      <c r="P129" s="481"/>
      <c r="Q129" s="501">
        <v>2864.92</v>
      </c>
      <c r="R129" s="498"/>
      <c r="S129" s="524">
        <v>751.38999999999987</v>
      </c>
      <c r="T129" s="481"/>
      <c r="U129" s="481"/>
      <c r="V129" s="481"/>
      <c r="W129" s="481"/>
      <c r="X129" s="481"/>
      <c r="Y129" s="481"/>
      <c r="Z129" s="481"/>
      <c r="AA129" s="481"/>
      <c r="AB129" s="481"/>
      <c r="AC129" s="481"/>
      <c r="AD129" s="481"/>
      <c r="AE129" s="481"/>
      <c r="AF129" s="481"/>
      <c r="AG129" s="481"/>
      <c r="AH129" s="481"/>
      <c r="AI129" s="481"/>
      <c r="AJ129" s="481"/>
      <c r="AK129" s="481"/>
      <c r="AL129" s="481"/>
      <c r="AM129" s="481"/>
      <c r="AN129" s="481"/>
    </row>
    <row r="130" spans="1:40" ht="15.75" customHeight="1">
      <c r="A130" s="490" t="s">
        <v>306</v>
      </c>
      <c r="B130" s="481" t="s">
        <v>73</v>
      </c>
      <c r="C130" s="565" t="s">
        <v>46</v>
      </c>
      <c r="D130" s="567"/>
      <c r="E130" s="568"/>
      <c r="F130" s="519">
        <v>7618.3593910971867</v>
      </c>
      <c r="G130" s="569"/>
      <c r="H130" s="568"/>
      <c r="I130" s="519"/>
      <c r="J130" s="485"/>
      <c r="K130" s="568"/>
      <c r="L130" s="520">
        <v>7425.03</v>
      </c>
      <c r="M130" s="485"/>
      <c r="N130" s="570">
        <v>-193.329391097187</v>
      </c>
      <c r="O130" s="485"/>
      <c r="P130" s="568"/>
      <c r="Q130" s="520">
        <v>3036.4</v>
      </c>
      <c r="R130" s="485"/>
      <c r="S130" s="570">
        <v>4388.6299999999992</v>
      </c>
      <c r="T130" s="481"/>
      <c r="U130" s="481"/>
      <c r="V130" s="481"/>
      <c r="W130" s="481"/>
      <c r="X130" s="481"/>
      <c r="Y130" s="481"/>
      <c r="Z130" s="481"/>
      <c r="AA130" s="481"/>
      <c r="AB130" s="481"/>
      <c r="AC130" s="481"/>
      <c r="AD130" s="481"/>
      <c r="AE130" s="481"/>
      <c r="AF130" s="481"/>
      <c r="AG130" s="481"/>
      <c r="AH130" s="481"/>
      <c r="AI130" s="481"/>
      <c r="AJ130" s="481"/>
      <c r="AK130" s="481"/>
      <c r="AL130" s="481"/>
      <c r="AM130" s="481"/>
      <c r="AN130" s="481"/>
    </row>
    <row r="131" spans="1:40" ht="15.75" customHeight="1">
      <c r="A131" s="490" t="s">
        <v>307</v>
      </c>
      <c r="B131" s="481" t="s">
        <v>73</v>
      </c>
      <c r="C131" s="565" t="s">
        <v>47</v>
      </c>
      <c r="D131" s="550"/>
      <c r="E131" s="481"/>
      <c r="F131" s="499">
        <v>5334.8173689663718</v>
      </c>
      <c r="G131" s="551"/>
      <c r="H131" s="481"/>
      <c r="I131" s="499"/>
      <c r="J131" s="498"/>
      <c r="K131" s="481"/>
      <c r="L131" s="501">
        <v>2608.88</v>
      </c>
      <c r="M131" s="498"/>
      <c r="N131" s="524">
        <v>-2725.9373689663717</v>
      </c>
      <c r="O131" s="498"/>
      <c r="P131" s="481"/>
      <c r="Q131" s="501">
        <v>1447.9</v>
      </c>
      <c r="R131" s="498"/>
      <c r="S131" s="524">
        <v>1160.98</v>
      </c>
      <c r="T131" s="481"/>
      <c r="U131" s="481"/>
      <c r="V131" s="481"/>
      <c r="W131" s="481"/>
      <c r="X131" s="481"/>
      <c r="Y131" s="481"/>
      <c r="Z131" s="481"/>
      <c r="AA131" s="481"/>
      <c r="AB131" s="481"/>
      <c r="AC131" s="481"/>
      <c r="AD131" s="481"/>
      <c r="AE131" s="481"/>
      <c r="AF131" s="481"/>
      <c r="AG131" s="481"/>
      <c r="AH131" s="481"/>
      <c r="AI131" s="481"/>
      <c r="AJ131" s="481"/>
      <c r="AK131" s="481"/>
      <c r="AL131" s="481"/>
      <c r="AM131" s="481"/>
      <c r="AN131" s="481"/>
    </row>
    <row r="132" spans="1:40" ht="15.75" customHeight="1">
      <c r="A132" s="490" t="s">
        <v>308</v>
      </c>
      <c r="B132" s="481" t="s">
        <v>73</v>
      </c>
      <c r="C132" s="565" t="s">
        <v>48</v>
      </c>
      <c r="D132" s="550"/>
      <c r="E132" s="481"/>
      <c r="F132" s="499">
        <v>2548.5960254156294</v>
      </c>
      <c r="G132" s="551"/>
      <c r="H132" s="481"/>
      <c r="I132" s="499"/>
      <c r="J132" s="498"/>
      <c r="K132" s="481"/>
      <c r="L132" s="501">
        <v>1265.72</v>
      </c>
      <c r="M132" s="498"/>
      <c r="N132" s="524">
        <v>-1282.8760254156293</v>
      </c>
      <c r="O132" s="498"/>
      <c r="P132" s="481"/>
      <c r="Q132" s="501">
        <v>1461</v>
      </c>
      <c r="R132" s="498"/>
      <c r="S132" s="524">
        <v>-195.27999999999997</v>
      </c>
      <c r="T132" s="481"/>
      <c r="U132" s="481"/>
      <c r="V132" s="481"/>
      <c r="W132" s="481"/>
      <c r="X132" s="481"/>
      <c r="Y132" s="481"/>
      <c r="Z132" s="481"/>
      <c r="AA132" s="481"/>
      <c r="AB132" s="481"/>
      <c r="AC132" s="481"/>
      <c r="AD132" s="481"/>
      <c r="AE132" s="481"/>
      <c r="AF132" s="481"/>
      <c r="AG132" s="481"/>
      <c r="AH132" s="481"/>
      <c r="AI132" s="481"/>
      <c r="AJ132" s="481"/>
      <c r="AK132" s="481"/>
      <c r="AL132" s="481"/>
      <c r="AM132" s="481"/>
      <c r="AN132" s="481"/>
    </row>
    <row r="133" spans="1:40" ht="15.75" hidden="1" customHeight="1">
      <c r="A133" s="490" t="s">
        <v>299</v>
      </c>
      <c r="B133" s="481" t="s">
        <v>73</v>
      </c>
      <c r="C133" s="498" t="s">
        <v>20</v>
      </c>
      <c r="D133" s="552"/>
      <c r="E133" s="571"/>
      <c r="F133" s="499">
        <v>0</v>
      </c>
      <c r="G133" s="553"/>
      <c r="H133" s="571"/>
      <c r="I133" s="499"/>
      <c r="J133" s="491"/>
      <c r="K133" s="571"/>
      <c r="L133" s="501">
        <v>0</v>
      </c>
      <c r="M133" s="491"/>
      <c r="N133" s="547">
        <v>0</v>
      </c>
      <c r="O133" s="491"/>
      <c r="P133" s="571"/>
      <c r="Q133" s="501">
        <v>0</v>
      </c>
      <c r="R133" s="491"/>
      <c r="S133" s="547">
        <v>0</v>
      </c>
      <c r="T133" s="481"/>
      <c r="U133" s="481"/>
      <c r="V133" s="481"/>
      <c r="W133" s="481"/>
      <c r="X133" s="481"/>
      <c r="Y133" s="481"/>
      <c r="Z133" s="481"/>
      <c r="AA133" s="481"/>
      <c r="AB133" s="481"/>
      <c r="AC133" s="481"/>
      <c r="AD133" s="481"/>
      <c r="AE133" s="481"/>
      <c r="AF133" s="481"/>
      <c r="AG133" s="481"/>
      <c r="AH133" s="481"/>
      <c r="AI133" s="481"/>
      <c r="AJ133" s="481"/>
      <c r="AK133" s="481"/>
      <c r="AL133" s="481"/>
      <c r="AM133" s="481"/>
      <c r="AN133" s="481"/>
    </row>
    <row r="134" spans="1:40" ht="15.75" customHeight="1">
      <c r="A134" s="490" t="s">
        <v>309</v>
      </c>
      <c r="B134" s="481" t="s">
        <v>73</v>
      </c>
      <c r="C134" s="557" t="s">
        <v>49</v>
      </c>
      <c r="D134" s="558" t="s">
        <v>39</v>
      </c>
      <c r="E134" s="559">
        <v>0.26510836454136144</v>
      </c>
      <c r="F134" s="560">
        <v>43274.535633935644</v>
      </c>
      <c r="G134" s="561"/>
      <c r="H134" s="559"/>
      <c r="I134" s="560"/>
      <c r="J134" s="561" t="s">
        <v>39</v>
      </c>
      <c r="K134" s="559">
        <v>0.28711593648974321</v>
      </c>
      <c r="L134" s="560">
        <v>38717.050000000003</v>
      </c>
      <c r="M134" s="610"/>
      <c r="N134" s="573">
        <v>-4557.4856339356411</v>
      </c>
      <c r="O134" s="561" t="s">
        <v>39</v>
      </c>
      <c r="P134" s="559">
        <v>0.22361505578852817</v>
      </c>
      <c r="Q134" s="560">
        <v>31542.82</v>
      </c>
      <c r="R134" s="610"/>
      <c r="S134" s="573">
        <v>7174.2300000000032</v>
      </c>
      <c r="T134" s="481"/>
      <c r="U134" s="481"/>
      <c r="V134" s="481"/>
      <c r="W134" s="481"/>
      <c r="X134" s="481"/>
      <c r="Y134" s="481"/>
      <c r="Z134" s="481"/>
      <c r="AA134" s="481"/>
      <c r="AB134" s="481"/>
      <c r="AC134" s="481"/>
      <c r="AD134" s="481"/>
      <c r="AE134" s="481"/>
      <c r="AF134" s="481"/>
      <c r="AG134" s="481"/>
      <c r="AH134" s="481"/>
      <c r="AI134" s="481"/>
      <c r="AJ134" s="481"/>
      <c r="AK134" s="481"/>
      <c r="AL134" s="481"/>
      <c r="AM134" s="481"/>
      <c r="AN134" s="481"/>
    </row>
    <row r="135" spans="1:40" ht="15.75" hidden="1" customHeight="1">
      <c r="A135" s="490" t="s">
        <v>310</v>
      </c>
      <c r="B135" s="481" t="s">
        <v>73</v>
      </c>
      <c r="C135" s="498" t="s">
        <v>50</v>
      </c>
      <c r="D135" s="550"/>
      <c r="E135" s="481"/>
      <c r="F135" s="499">
        <v>0</v>
      </c>
      <c r="G135" s="551"/>
      <c r="H135" s="481"/>
      <c r="I135" s="499"/>
      <c r="J135" s="498"/>
      <c r="K135" s="481"/>
      <c r="L135" s="501">
        <v>0</v>
      </c>
      <c r="M135" s="498"/>
      <c r="N135" s="524">
        <v>0</v>
      </c>
      <c r="O135" s="498"/>
      <c r="P135" s="481"/>
      <c r="Q135" s="501">
        <v>0</v>
      </c>
      <c r="R135" s="498"/>
      <c r="S135" s="524">
        <v>0</v>
      </c>
      <c r="T135" s="481"/>
      <c r="U135" s="481"/>
      <c r="V135" s="481"/>
      <c r="W135" s="481"/>
      <c r="X135" s="481"/>
      <c r="Y135" s="481"/>
      <c r="Z135" s="481"/>
      <c r="AA135" s="481"/>
      <c r="AB135" s="481"/>
      <c r="AC135" s="481"/>
      <c r="AD135" s="481"/>
      <c r="AE135" s="481"/>
      <c r="AF135" s="481"/>
      <c r="AG135" s="481"/>
      <c r="AH135" s="481"/>
      <c r="AI135" s="481"/>
      <c r="AJ135" s="481"/>
      <c r="AK135" s="481"/>
      <c r="AL135" s="481"/>
      <c r="AM135" s="481"/>
      <c r="AN135" s="481"/>
    </row>
    <row r="136" spans="1:40" ht="15.75" hidden="1" customHeight="1">
      <c r="A136" s="490" t="s">
        <v>311</v>
      </c>
      <c r="B136" s="481" t="s">
        <v>73</v>
      </c>
      <c r="C136" s="498" t="s">
        <v>51</v>
      </c>
      <c r="D136" s="550"/>
      <c r="E136" s="481"/>
      <c r="F136" s="499">
        <v>0</v>
      </c>
      <c r="G136" s="551"/>
      <c r="H136" s="481"/>
      <c r="I136" s="499"/>
      <c r="J136" s="498"/>
      <c r="K136" s="481"/>
      <c r="L136" s="501">
        <v>0</v>
      </c>
      <c r="M136" s="498"/>
      <c r="N136" s="524">
        <v>0</v>
      </c>
      <c r="O136" s="498"/>
      <c r="P136" s="481"/>
      <c r="Q136" s="501">
        <v>0</v>
      </c>
      <c r="R136" s="498"/>
      <c r="S136" s="524">
        <v>0</v>
      </c>
      <c r="T136" s="481"/>
      <c r="U136" s="481"/>
      <c r="V136" s="481"/>
      <c r="W136" s="481"/>
      <c r="X136" s="481"/>
      <c r="Y136" s="481"/>
      <c r="Z136" s="481"/>
      <c r="AA136" s="481"/>
      <c r="AB136" s="481"/>
      <c r="AC136" s="481"/>
      <c r="AD136" s="481"/>
      <c r="AE136" s="481"/>
      <c r="AF136" s="481"/>
      <c r="AG136" s="481"/>
      <c r="AH136" s="481"/>
      <c r="AI136" s="481"/>
      <c r="AJ136" s="481"/>
      <c r="AK136" s="481"/>
      <c r="AL136" s="481"/>
      <c r="AM136" s="481"/>
      <c r="AN136" s="481"/>
    </row>
    <row r="137" spans="1:40" ht="15.75" customHeight="1">
      <c r="A137" s="490" t="s">
        <v>312</v>
      </c>
      <c r="B137" s="481" t="s">
        <v>73</v>
      </c>
      <c r="C137" s="491" t="s">
        <v>52</v>
      </c>
      <c r="D137" s="552"/>
      <c r="E137" s="571"/>
      <c r="F137" s="493">
        <v>180</v>
      </c>
      <c r="G137" s="553"/>
      <c r="H137" s="571"/>
      <c r="I137" s="493"/>
      <c r="J137" s="491"/>
      <c r="K137" s="571"/>
      <c r="L137" s="493">
        <v>1464.28</v>
      </c>
      <c r="M137" s="491"/>
      <c r="N137" s="547">
        <v>1284.28</v>
      </c>
      <c r="O137" s="491"/>
      <c r="P137" s="571"/>
      <c r="Q137" s="493">
        <v>132.36000000000001</v>
      </c>
      <c r="R137" s="491"/>
      <c r="S137" s="547">
        <v>1331.92</v>
      </c>
      <c r="T137" s="481"/>
      <c r="U137" s="481"/>
      <c r="V137" s="481"/>
      <c r="W137" s="481"/>
      <c r="X137" s="481"/>
      <c r="Y137" s="481"/>
      <c r="Z137" s="481"/>
      <c r="AA137" s="481"/>
      <c r="AB137" s="481"/>
      <c r="AC137" s="481"/>
      <c r="AD137" s="481"/>
      <c r="AE137" s="481"/>
      <c r="AF137" s="481"/>
      <c r="AG137" s="481"/>
      <c r="AH137" s="481"/>
      <c r="AI137" s="481"/>
      <c r="AJ137" s="481"/>
      <c r="AK137" s="481"/>
      <c r="AL137" s="481"/>
      <c r="AM137" s="481"/>
      <c r="AN137" s="481"/>
    </row>
    <row r="138" spans="1:40" ht="15.75" customHeight="1">
      <c r="A138" s="490" t="s">
        <v>313</v>
      </c>
      <c r="B138" s="481" t="s">
        <v>73</v>
      </c>
      <c r="C138" s="498" t="s">
        <v>53</v>
      </c>
      <c r="D138" s="550"/>
      <c r="E138" s="481"/>
      <c r="F138" s="499">
        <v>2754.3646119999999</v>
      </c>
      <c r="G138" s="551"/>
      <c r="H138" s="481"/>
      <c r="I138" s="499"/>
      <c r="J138" s="498"/>
      <c r="K138" s="481"/>
      <c r="L138" s="501">
        <v>3651.6</v>
      </c>
      <c r="M138" s="498"/>
      <c r="N138" s="524">
        <v>897.23538800000006</v>
      </c>
      <c r="O138" s="498"/>
      <c r="P138" s="481"/>
      <c r="Q138" s="501">
        <v>4459.3100000000004</v>
      </c>
      <c r="R138" s="498"/>
      <c r="S138" s="524">
        <v>-807.71000000000049</v>
      </c>
      <c r="T138" s="481"/>
      <c r="U138" s="481"/>
      <c r="V138" s="481"/>
      <c r="W138" s="481"/>
      <c r="X138" s="481"/>
      <c r="Y138" s="481"/>
      <c r="Z138" s="481"/>
      <c r="AA138" s="481"/>
      <c r="AB138" s="481"/>
      <c r="AC138" s="481"/>
      <c r="AD138" s="481"/>
      <c r="AE138" s="481"/>
      <c r="AF138" s="481"/>
      <c r="AG138" s="481"/>
      <c r="AH138" s="481"/>
      <c r="AI138" s="481"/>
      <c r="AJ138" s="481"/>
      <c r="AK138" s="481"/>
      <c r="AL138" s="481"/>
      <c r="AM138" s="481"/>
      <c r="AN138" s="481"/>
    </row>
    <row r="139" spans="1:40" ht="15.75" customHeight="1">
      <c r="A139" s="490" t="s">
        <v>314</v>
      </c>
      <c r="B139" s="481" t="s">
        <v>73</v>
      </c>
      <c r="C139" s="498" t="s">
        <v>54</v>
      </c>
      <c r="D139" s="550"/>
      <c r="E139" s="481"/>
      <c r="F139" s="499">
        <v>375.03301674999994</v>
      </c>
      <c r="G139" s="551"/>
      <c r="H139" s="481"/>
      <c r="I139" s="499"/>
      <c r="J139" s="498"/>
      <c r="K139" s="481"/>
      <c r="L139" s="501">
        <v>580.28</v>
      </c>
      <c r="M139" s="498"/>
      <c r="N139" s="524">
        <v>205.24698325000003</v>
      </c>
      <c r="O139" s="498"/>
      <c r="P139" s="481"/>
      <c r="Q139" s="501">
        <v>464.13</v>
      </c>
      <c r="R139" s="498"/>
      <c r="S139" s="524">
        <v>116.14999999999998</v>
      </c>
      <c r="T139" s="608"/>
      <c r="U139" s="481"/>
      <c r="V139" s="481"/>
      <c r="W139" s="481"/>
      <c r="X139" s="481"/>
      <c r="Y139" s="481"/>
      <c r="Z139" s="481"/>
      <c r="AA139" s="481"/>
      <c r="AB139" s="481"/>
      <c r="AC139" s="481"/>
      <c r="AD139" s="481"/>
      <c r="AE139" s="481"/>
      <c r="AF139" s="481"/>
      <c r="AG139" s="481"/>
      <c r="AH139" s="481"/>
      <c r="AI139" s="481"/>
      <c r="AJ139" s="481"/>
      <c r="AK139" s="481"/>
      <c r="AL139" s="481"/>
      <c r="AM139" s="481"/>
      <c r="AN139" s="481"/>
    </row>
    <row r="140" spans="1:40" ht="15.75" customHeight="1">
      <c r="A140" s="490" t="s">
        <v>315</v>
      </c>
      <c r="B140" s="481" t="s">
        <v>73</v>
      </c>
      <c r="C140" s="491" t="s">
        <v>55</v>
      </c>
      <c r="D140" s="552"/>
      <c r="E140" s="571"/>
      <c r="F140" s="493">
        <v>1444.8652986666666</v>
      </c>
      <c r="G140" s="553"/>
      <c r="H140" s="571"/>
      <c r="I140" s="493"/>
      <c r="J140" s="491"/>
      <c r="K140" s="571"/>
      <c r="L140" s="493">
        <v>909.96</v>
      </c>
      <c r="M140" s="491"/>
      <c r="N140" s="547">
        <v>-534.90529866666657</v>
      </c>
      <c r="O140" s="491"/>
      <c r="P140" s="571"/>
      <c r="Q140" s="493">
        <v>1053.6500000000001</v>
      </c>
      <c r="R140" s="491"/>
      <c r="S140" s="547">
        <v>-143.69000000000005</v>
      </c>
      <c r="T140" s="481"/>
      <c r="U140" s="481"/>
      <c r="V140" s="481"/>
      <c r="W140" s="481"/>
      <c r="X140" s="481"/>
      <c r="Y140" s="481"/>
      <c r="Z140" s="481"/>
      <c r="AA140" s="481"/>
      <c r="AB140" s="481"/>
      <c r="AC140" s="481"/>
      <c r="AD140" s="481"/>
      <c r="AE140" s="481"/>
      <c r="AF140" s="481"/>
      <c r="AG140" s="481"/>
      <c r="AH140" s="481"/>
      <c r="AI140" s="481"/>
      <c r="AJ140" s="481"/>
      <c r="AK140" s="481"/>
      <c r="AL140" s="481"/>
      <c r="AM140" s="481"/>
      <c r="AN140" s="481"/>
    </row>
    <row r="141" spans="1:40" ht="15.75" customHeight="1">
      <c r="A141" s="490" t="s">
        <v>316</v>
      </c>
      <c r="B141" s="481" t="s">
        <v>73</v>
      </c>
      <c r="C141" s="498" t="s">
        <v>56</v>
      </c>
      <c r="D141" s="550"/>
      <c r="E141" s="481"/>
      <c r="F141" s="499">
        <v>124.76419008019599</v>
      </c>
      <c r="G141" s="551"/>
      <c r="H141" s="481"/>
      <c r="I141" s="499"/>
      <c r="J141" s="498"/>
      <c r="K141" s="481"/>
      <c r="L141" s="501">
        <v>52.94</v>
      </c>
      <c r="M141" s="498"/>
      <c r="N141" s="524">
        <v>-71.82419008019599</v>
      </c>
      <c r="O141" s="498"/>
      <c r="P141" s="481"/>
      <c r="Q141" s="501">
        <v>51.59</v>
      </c>
      <c r="R141" s="498"/>
      <c r="S141" s="524">
        <v>1.3499999999999943</v>
      </c>
      <c r="T141" s="481"/>
      <c r="U141" s="481"/>
      <c r="V141" s="481"/>
      <c r="W141" s="481"/>
      <c r="X141" s="481"/>
      <c r="Y141" s="481"/>
      <c r="Z141" s="481"/>
      <c r="AA141" s="481"/>
      <c r="AB141" s="481"/>
      <c r="AC141" s="481"/>
      <c r="AD141" s="481"/>
      <c r="AE141" s="481"/>
      <c r="AF141" s="481"/>
      <c r="AG141" s="481"/>
      <c r="AH141" s="481"/>
      <c r="AI141" s="481"/>
      <c r="AJ141" s="481"/>
      <c r="AK141" s="481"/>
      <c r="AL141" s="481"/>
      <c r="AM141" s="481"/>
      <c r="AN141" s="481"/>
    </row>
    <row r="142" spans="1:40" ht="15.75" customHeight="1">
      <c r="A142" s="490" t="s">
        <v>317</v>
      </c>
      <c r="B142" s="481" t="s">
        <v>73</v>
      </c>
      <c r="C142" s="498" t="s">
        <v>57</v>
      </c>
      <c r="D142" s="550"/>
      <c r="E142" s="481"/>
      <c r="F142" s="499">
        <v>64.42680525197018</v>
      </c>
      <c r="G142" s="551"/>
      <c r="H142" s="481"/>
      <c r="I142" s="499"/>
      <c r="J142" s="498"/>
      <c r="K142" s="481"/>
      <c r="L142" s="501">
        <v>0</v>
      </c>
      <c r="M142" s="498"/>
      <c r="N142" s="524">
        <v>-64.42680525197018</v>
      </c>
      <c r="O142" s="498"/>
      <c r="P142" s="481"/>
      <c r="Q142" s="501">
        <v>0</v>
      </c>
      <c r="R142" s="498"/>
      <c r="S142" s="524">
        <v>0</v>
      </c>
      <c r="T142" s="481"/>
      <c r="U142" s="481"/>
      <c r="V142" s="481"/>
      <c r="W142" s="481"/>
      <c r="X142" s="481"/>
      <c r="Y142" s="481"/>
      <c r="Z142" s="481"/>
      <c r="AA142" s="481"/>
      <c r="AB142" s="481"/>
      <c r="AC142" s="481"/>
      <c r="AD142" s="481"/>
      <c r="AE142" s="481"/>
      <c r="AF142" s="481"/>
      <c r="AG142" s="481"/>
      <c r="AH142" s="481"/>
      <c r="AI142" s="481"/>
      <c r="AJ142" s="481"/>
      <c r="AK142" s="481"/>
      <c r="AL142" s="481"/>
      <c r="AM142" s="481"/>
      <c r="AN142" s="481"/>
    </row>
    <row r="143" spans="1:40" ht="15.75" customHeight="1">
      <c r="A143" s="490" t="s">
        <v>318</v>
      </c>
      <c r="B143" s="481" t="s">
        <v>73</v>
      </c>
      <c r="C143" s="498" t="s">
        <v>58</v>
      </c>
      <c r="D143" s="550"/>
      <c r="E143" s="481"/>
      <c r="F143" s="499">
        <v>286.29413819999991</v>
      </c>
      <c r="G143" s="551"/>
      <c r="H143" s="481"/>
      <c r="I143" s="499"/>
      <c r="J143" s="498"/>
      <c r="K143" s="481"/>
      <c r="L143" s="501">
        <v>323.17</v>
      </c>
      <c r="M143" s="498"/>
      <c r="N143" s="524">
        <v>36.875861800000109</v>
      </c>
      <c r="O143" s="498"/>
      <c r="P143" s="481"/>
      <c r="Q143" s="501">
        <v>338.94</v>
      </c>
      <c r="R143" s="498"/>
      <c r="S143" s="524">
        <v>-15.769999999999982</v>
      </c>
      <c r="T143" s="481"/>
      <c r="U143" s="481"/>
      <c r="V143" s="481"/>
      <c r="W143" s="481"/>
      <c r="X143" s="481"/>
      <c r="Y143" s="481"/>
      <c r="Z143" s="481"/>
      <c r="AA143" s="481"/>
      <c r="AB143" s="481"/>
      <c r="AC143" s="481"/>
      <c r="AD143" s="481"/>
      <c r="AE143" s="481"/>
      <c r="AF143" s="481"/>
      <c r="AG143" s="481"/>
      <c r="AH143" s="481"/>
      <c r="AI143" s="481"/>
      <c r="AJ143" s="481"/>
      <c r="AK143" s="481"/>
      <c r="AL143" s="481"/>
      <c r="AM143" s="481"/>
      <c r="AN143" s="481"/>
    </row>
    <row r="144" spans="1:40" ht="15.75" customHeight="1">
      <c r="A144" s="490" t="s">
        <v>319</v>
      </c>
      <c r="B144" s="481" t="s">
        <v>73</v>
      </c>
      <c r="C144" s="498" t="s">
        <v>59</v>
      </c>
      <c r="D144" s="550"/>
      <c r="E144" s="481"/>
      <c r="F144" s="499">
        <v>97.020093808333328</v>
      </c>
      <c r="G144" s="551"/>
      <c r="H144" s="481"/>
      <c r="I144" s="499"/>
      <c r="J144" s="498"/>
      <c r="K144" s="481"/>
      <c r="L144" s="501">
        <v>134.41999999999999</v>
      </c>
      <c r="M144" s="498"/>
      <c r="N144" s="524">
        <v>37.399906191666659</v>
      </c>
      <c r="O144" s="498"/>
      <c r="P144" s="481"/>
      <c r="Q144" s="501">
        <v>43.31</v>
      </c>
      <c r="R144" s="498"/>
      <c r="S144" s="524">
        <v>91.109999999999985</v>
      </c>
      <c r="T144" s="481"/>
      <c r="U144" s="481"/>
      <c r="V144" s="481"/>
      <c r="W144" s="481"/>
      <c r="X144" s="481"/>
      <c r="Y144" s="481"/>
      <c r="Z144" s="481"/>
      <c r="AA144" s="481"/>
      <c r="AB144" s="481"/>
      <c r="AC144" s="481"/>
      <c r="AD144" s="481"/>
      <c r="AE144" s="481"/>
      <c r="AF144" s="481"/>
      <c r="AG144" s="481"/>
      <c r="AH144" s="481"/>
      <c r="AI144" s="481"/>
      <c r="AJ144" s="481"/>
      <c r="AK144" s="481"/>
      <c r="AL144" s="481"/>
      <c r="AM144" s="481"/>
      <c r="AN144" s="481"/>
    </row>
    <row r="145" spans="1:40" ht="15.75" customHeight="1">
      <c r="A145" s="490" t="s">
        <v>320</v>
      </c>
      <c r="B145" s="481" t="s">
        <v>73</v>
      </c>
      <c r="C145" s="498" t="s">
        <v>60</v>
      </c>
      <c r="D145" s="550"/>
      <c r="E145" s="481"/>
      <c r="F145" s="499">
        <v>46.404110191666653</v>
      </c>
      <c r="G145" s="551"/>
      <c r="H145" s="481"/>
      <c r="I145" s="499"/>
      <c r="J145" s="498"/>
      <c r="K145" s="481"/>
      <c r="L145" s="501">
        <v>119.77</v>
      </c>
      <c r="M145" s="498"/>
      <c r="N145" s="524">
        <v>73.36588980833335</v>
      </c>
      <c r="O145" s="498"/>
      <c r="P145" s="481"/>
      <c r="Q145" s="501">
        <v>81.97</v>
      </c>
      <c r="R145" s="498"/>
      <c r="S145" s="524">
        <v>37.799999999999997</v>
      </c>
      <c r="T145" s="481"/>
      <c r="U145" s="481"/>
      <c r="V145" s="481"/>
      <c r="W145" s="481"/>
      <c r="X145" s="481"/>
      <c r="Y145" s="481"/>
      <c r="Z145" s="481"/>
      <c r="AA145" s="481"/>
      <c r="AB145" s="481"/>
      <c r="AC145" s="481"/>
      <c r="AD145" s="481"/>
      <c r="AE145" s="481"/>
      <c r="AF145" s="481"/>
      <c r="AG145" s="481"/>
      <c r="AH145" s="481"/>
      <c r="AI145" s="481"/>
      <c r="AJ145" s="481"/>
      <c r="AK145" s="481"/>
      <c r="AL145" s="481"/>
      <c r="AM145" s="481"/>
      <c r="AN145" s="481"/>
    </row>
    <row r="146" spans="1:40" ht="15.75" customHeight="1">
      <c r="A146" s="490" t="s">
        <v>321</v>
      </c>
      <c r="B146" s="481" t="s">
        <v>73</v>
      </c>
      <c r="C146" s="498" t="s">
        <v>61</v>
      </c>
      <c r="D146" s="550"/>
      <c r="E146" s="481"/>
      <c r="F146" s="499">
        <v>176.31838614166665</v>
      </c>
      <c r="G146" s="551"/>
      <c r="H146" s="481"/>
      <c r="I146" s="499"/>
      <c r="J146" s="498"/>
      <c r="K146" s="481"/>
      <c r="L146" s="501">
        <v>74.959999999999994</v>
      </c>
      <c r="M146" s="498"/>
      <c r="N146" s="524">
        <v>-101.35838614166666</v>
      </c>
      <c r="O146" s="498"/>
      <c r="P146" s="481"/>
      <c r="Q146" s="501">
        <v>56.84</v>
      </c>
      <c r="R146" s="498"/>
      <c r="S146" s="524">
        <v>18.11999999999999</v>
      </c>
      <c r="T146" s="481"/>
      <c r="U146" s="481"/>
      <c r="V146" s="481"/>
      <c r="W146" s="481"/>
      <c r="X146" s="481"/>
      <c r="Y146" s="481"/>
      <c r="Z146" s="481"/>
      <c r="AA146" s="481"/>
      <c r="AB146" s="481"/>
      <c r="AC146" s="481"/>
      <c r="AD146" s="481"/>
      <c r="AE146" s="481"/>
      <c r="AF146" s="481"/>
      <c r="AG146" s="481"/>
      <c r="AH146" s="481"/>
      <c r="AI146" s="481"/>
      <c r="AJ146" s="481"/>
      <c r="AK146" s="481"/>
      <c r="AL146" s="481"/>
      <c r="AM146" s="481"/>
      <c r="AN146" s="481"/>
    </row>
    <row r="147" spans="1:40" ht="15.75" customHeight="1">
      <c r="A147" s="490" t="s">
        <v>322</v>
      </c>
      <c r="B147" s="481" t="s">
        <v>73</v>
      </c>
      <c r="C147" s="498" t="s">
        <v>62</v>
      </c>
      <c r="D147" s="550"/>
      <c r="E147" s="481"/>
      <c r="F147" s="499">
        <v>310.58430909104328</v>
      </c>
      <c r="G147" s="551"/>
      <c r="H147" s="481"/>
      <c r="I147" s="499"/>
      <c r="J147" s="498"/>
      <c r="K147" s="481"/>
      <c r="L147" s="501">
        <v>272.86</v>
      </c>
      <c r="M147" s="498"/>
      <c r="N147" s="524">
        <v>-37.724309091043267</v>
      </c>
      <c r="O147" s="498"/>
      <c r="P147" s="481"/>
      <c r="Q147" s="501">
        <v>378.09</v>
      </c>
      <c r="R147" s="498"/>
      <c r="S147" s="524">
        <v>-105.22999999999996</v>
      </c>
      <c r="T147" s="481"/>
      <c r="X147" s="481"/>
      <c r="Y147" s="481"/>
      <c r="Z147" s="481"/>
      <c r="AA147" s="481"/>
      <c r="AB147" s="481"/>
      <c r="AC147" s="481"/>
      <c r="AD147" s="481"/>
      <c r="AE147" s="481"/>
      <c r="AF147" s="481"/>
      <c r="AG147" s="481"/>
      <c r="AH147" s="481"/>
      <c r="AI147" s="481"/>
      <c r="AJ147" s="481"/>
      <c r="AK147" s="481"/>
      <c r="AL147" s="481"/>
      <c r="AM147" s="481"/>
      <c r="AN147" s="481"/>
    </row>
    <row r="148" spans="1:40" ht="15.75" customHeight="1">
      <c r="A148" s="490" t="s">
        <v>323</v>
      </c>
      <c r="B148" s="481" t="s">
        <v>73</v>
      </c>
      <c r="C148" s="498" t="s">
        <v>63</v>
      </c>
      <c r="D148" s="550"/>
      <c r="E148" s="481"/>
      <c r="F148" s="499">
        <v>471.31430740169247</v>
      </c>
      <c r="G148" s="551"/>
      <c r="H148" s="481"/>
      <c r="I148" s="499"/>
      <c r="J148" s="498"/>
      <c r="K148" s="481"/>
      <c r="L148" s="501">
        <v>800.81</v>
      </c>
      <c r="M148" s="498"/>
      <c r="N148" s="524">
        <v>329.49569259830747</v>
      </c>
      <c r="O148" s="498"/>
      <c r="P148" s="481"/>
      <c r="Q148" s="501">
        <v>764.18299999999999</v>
      </c>
      <c r="R148" s="498"/>
      <c r="S148" s="524">
        <v>36.626999999999953</v>
      </c>
      <c r="T148" s="542"/>
      <c r="X148" s="481"/>
      <c r="Y148" s="481"/>
      <c r="Z148" s="481"/>
      <c r="AA148" s="481"/>
      <c r="AB148" s="481"/>
      <c r="AC148" s="481"/>
      <c r="AD148" s="481"/>
      <c r="AE148" s="481"/>
      <c r="AF148" s="481"/>
      <c r="AG148" s="481"/>
      <c r="AH148" s="481"/>
      <c r="AI148" s="481"/>
      <c r="AJ148" s="481"/>
      <c r="AK148" s="481"/>
      <c r="AL148" s="481"/>
      <c r="AM148" s="481"/>
      <c r="AN148" s="481"/>
    </row>
    <row r="149" spans="1:40" ht="15.75" hidden="1" customHeight="1">
      <c r="A149" s="490" t="s">
        <v>299</v>
      </c>
      <c r="B149" s="481" t="s">
        <v>73</v>
      </c>
      <c r="C149" s="498" t="s">
        <v>20</v>
      </c>
      <c r="D149" s="550"/>
      <c r="E149" s="481"/>
      <c r="F149" s="499">
        <v>0</v>
      </c>
      <c r="G149" s="551"/>
      <c r="H149" s="481"/>
      <c r="I149" s="499"/>
      <c r="J149" s="498"/>
      <c r="K149" s="481"/>
      <c r="L149" s="501">
        <v>0</v>
      </c>
      <c r="M149" s="498"/>
      <c r="N149" s="524">
        <v>0</v>
      </c>
      <c r="O149" s="498"/>
      <c r="P149" s="481"/>
      <c r="Q149" s="501">
        <v>0</v>
      </c>
      <c r="R149" s="498"/>
      <c r="S149" s="524">
        <v>0</v>
      </c>
      <c r="T149" s="481"/>
      <c r="X149" s="481"/>
      <c r="Y149" s="481"/>
      <c r="Z149" s="481"/>
      <c r="AA149" s="481"/>
      <c r="AB149" s="481"/>
      <c r="AC149" s="481"/>
      <c r="AD149" s="481"/>
      <c r="AE149" s="481"/>
      <c r="AF149" s="481"/>
      <c r="AG149" s="481"/>
      <c r="AH149" s="481"/>
      <c r="AI149" s="481"/>
      <c r="AJ149" s="481"/>
      <c r="AK149" s="481"/>
      <c r="AL149" s="481"/>
      <c r="AM149" s="481"/>
      <c r="AN149" s="481"/>
    </row>
    <row r="150" spans="1:40" ht="15.75" hidden="1" customHeight="1">
      <c r="A150" s="490" t="s">
        <v>299</v>
      </c>
      <c r="B150" s="481" t="s">
        <v>73</v>
      </c>
      <c r="C150" s="498" t="s">
        <v>20</v>
      </c>
      <c r="D150" s="550"/>
      <c r="E150" s="481"/>
      <c r="F150" s="499">
        <v>0</v>
      </c>
      <c r="G150" s="551"/>
      <c r="H150" s="481"/>
      <c r="I150" s="499"/>
      <c r="J150" s="498"/>
      <c r="K150" s="481"/>
      <c r="L150" s="501">
        <v>0</v>
      </c>
      <c r="M150" s="498"/>
      <c r="N150" s="524">
        <v>0</v>
      </c>
      <c r="O150" s="498"/>
      <c r="P150" s="481"/>
      <c r="Q150" s="501">
        <v>0</v>
      </c>
      <c r="R150" s="498"/>
      <c r="S150" s="524">
        <v>0</v>
      </c>
      <c r="T150" s="481"/>
      <c r="X150" s="481"/>
      <c r="Y150" s="481"/>
      <c r="Z150" s="481"/>
      <c r="AA150" s="481"/>
      <c r="AB150" s="481"/>
      <c r="AC150" s="481"/>
      <c r="AD150" s="481"/>
      <c r="AE150" s="481"/>
      <c r="AF150" s="481"/>
      <c r="AG150" s="481"/>
      <c r="AH150" s="481"/>
      <c r="AI150" s="481"/>
      <c r="AJ150" s="481"/>
      <c r="AK150" s="481"/>
      <c r="AL150" s="481"/>
      <c r="AM150" s="481"/>
      <c r="AN150" s="481"/>
    </row>
    <row r="151" spans="1:40" ht="15.75" hidden="1" customHeight="1">
      <c r="A151" s="490" t="s">
        <v>299</v>
      </c>
      <c r="B151" s="481" t="s">
        <v>73</v>
      </c>
      <c r="C151" s="498" t="s">
        <v>20</v>
      </c>
      <c r="D151" s="550"/>
      <c r="E151" s="481"/>
      <c r="F151" s="499">
        <v>0</v>
      </c>
      <c r="G151" s="551"/>
      <c r="H151" s="481"/>
      <c r="I151" s="499"/>
      <c r="J151" s="498"/>
      <c r="K151" s="481"/>
      <c r="L151" s="501">
        <v>0</v>
      </c>
      <c r="M151" s="498"/>
      <c r="N151" s="524">
        <v>0</v>
      </c>
      <c r="O151" s="498"/>
      <c r="P151" s="481"/>
      <c r="Q151" s="501">
        <v>0</v>
      </c>
      <c r="R151" s="498"/>
      <c r="S151" s="524">
        <v>0</v>
      </c>
      <c r="T151" s="542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</row>
    <row r="152" spans="1:40" ht="15.75" customHeight="1">
      <c r="A152" s="490" t="s">
        <v>324</v>
      </c>
      <c r="B152" s="481" t="s">
        <v>73</v>
      </c>
      <c r="C152" s="557" t="s">
        <v>64</v>
      </c>
      <c r="D152" s="558" t="s">
        <v>39</v>
      </c>
      <c r="E152" s="559">
        <v>3.8787342935401627E-2</v>
      </c>
      <c r="F152" s="560">
        <v>6331.3892675832349</v>
      </c>
      <c r="G152" s="561"/>
      <c r="H152" s="559"/>
      <c r="I152" s="560"/>
      <c r="J152" s="561" t="s">
        <v>39</v>
      </c>
      <c r="K152" s="559">
        <v>6.2181428679698503E-2</v>
      </c>
      <c r="L152" s="560">
        <v>8385.0499999999993</v>
      </c>
      <c r="M152" s="564"/>
      <c r="N152" s="560">
        <v>2053.6607324167644</v>
      </c>
      <c r="O152" s="561" t="s">
        <v>39</v>
      </c>
      <c r="P152" s="559">
        <v>5.5468965834546621E-2</v>
      </c>
      <c r="Q152" s="560">
        <v>7824.3730000000014</v>
      </c>
      <c r="R152" s="564"/>
      <c r="S152" s="560">
        <v>560.67699999999786</v>
      </c>
      <c r="T152" s="572"/>
      <c r="X152" s="481"/>
      <c r="Y152" s="481"/>
      <c r="Z152" s="481"/>
      <c r="AA152" s="481"/>
      <c r="AB152" s="481"/>
      <c r="AC152" s="481"/>
      <c r="AD152" s="481"/>
      <c r="AE152" s="481"/>
      <c r="AF152" s="481"/>
      <c r="AG152" s="481"/>
      <c r="AH152" s="481"/>
      <c r="AI152" s="481"/>
      <c r="AJ152" s="481"/>
      <c r="AK152" s="481"/>
      <c r="AL152" s="481"/>
      <c r="AM152" s="481"/>
      <c r="AN152" s="481"/>
    </row>
    <row r="153" spans="1:40" ht="15.75" customHeight="1">
      <c r="A153" s="490" t="s">
        <v>73</v>
      </c>
      <c r="B153" s="481" t="s">
        <v>73</v>
      </c>
      <c r="C153" s="491"/>
      <c r="D153" s="552"/>
      <c r="E153" s="571"/>
      <c r="F153" s="524"/>
      <c r="G153" s="553"/>
      <c r="H153" s="571"/>
      <c r="I153" s="524"/>
      <c r="J153" s="491"/>
      <c r="K153" s="571"/>
      <c r="L153" s="547"/>
      <c r="M153" s="491"/>
      <c r="N153" s="547"/>
      <c r="O153" s="491"/>
      <c r="P153" s="571"/>
      <c r="Q153" s="547"/>
      <c r="R153" s="491"/>
      <c r="S153" s="547"/>
      <c r="T153" s="572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</row>
    <row r="154" spans="1:40" ht="15.75" customHeight="1">
      <c r="A154" s="490" t="s">
        <v>325</v>
      </c>
      <c r="B154" s="481" t="s">
        <v>73</v>
      </c>
      <c r="C154" s="557" t="s">
        <v>65</v>
      </c>
      <c r="D154" s="558" t="s">
        <v>39</v>
      </c>
      <c r="E154" s="559">
        <v>0.68661307953677442</v>
      </c>
      <c r="F154" s="560">
        <v>112078.17689397998</v>
      </c>
      <c r="G154" s="561"/>
      <c r="H154" s="559"/>
      <c r="I154" s="560"/>
      <c r="J154" s="561" t="s">
        <v>39</v>
      </c>
      <c r="K154" s="559">
        <v>0.77700537804970826</v>
      </c>
      <c r="L154" s="560">
        <v>104777.73</v>
      </c>
      <c r="M154" s="564"/>
      <c r="N154" s="573">
        <v>-7300.4468939799845</v>
      </c>
      <c r="O154" s="561" t="s">
        <v>39</v>
      </c>
      <c r="P154" s="559">
        <v>0.65167776052174664</v>
      </c>
      <c r="Q154" s="560">
        <v>91924.733000000022</v>
      </c>
      <c r="R154" s="564"/>
      <c r="S154" s="573">
        <v>12852.996999999974</v>
      </c>
      <c r="T154" s="572"/>
      <c r="U154" s="481"/>
      <c r="V154" s="481"/>
      <c r="W154" s="481"/>
      <c r="X154" s="481"/>
      <c r="Y154" s="481"/>
      <c r="Z154" s="481"/>
      <c r="AA154" s="481"/>
      <c r="AB154" s="481"/>
      <c r="AC154" s="481"/>
      <c r="AD154" s="481"/>
      <c r="AE154" s="481"/>
      <c r="AF154" s="481"/>
      <c r="AG154" s="481"/>
      <c r="AH154" s="481"/>
      <c r="AI154" s="481"/>
      <c r="AJ154" s="481"/>
      <c r="AK154" s="481"/>
      <c r="AL154" s="481"/>
      <c r="AM154" s="481"/>
      <c r="AN154" s="481"/>
    </row>
    <row r="155" spans="1:40" ht="15.75" customHeight="1">
      <c r="A155" s="490" t="s">
        <v>326</v>
      </c>
      <c r="B155" s="481" t="s">
        <v>73</v>
      </c>
      <c r="C155" s="498" t="s">
        <v>211</v>
      </c>
      <c r="D155" s="611"/>
      <c r="E155" s="612"/>
      <c r="F155" s="499">
        <v>0</v>
      </c>
      <c r="G155" s="613"/>
      <c r="H155" s="612"/>
      <c r="I155" s="499"/>
      <c r="J155" s="613"/>
      <c r="K155" s="612"/>
      <c r="L155" s="501">
        <v>0</v>
      </c>
      <c r="M155" s="498"/>
      <c r="N155" s="524">
        <v>0</v>
      </c>
      <c r="O155" s="613"/>
      <c r="P155" s="612"/>
      <c r="Q155" s="501">
        <v>0</v>
      </c>
      <c r="R155" s="498"/>
      <c r="S155" s="524">
        <v>0</v>
      </c>
      <c r="T155" s="572"/>
      <c r="U155" s="481"/>
      <c r="V155" s="481"/>
      <c r="W155" s="481"/>
      <c r="X155" s="481"/>
      <c r="Y155" s="481"/>
      <c r="Z155" s="481"/>
      <c r="AA155" s="481"/>
      <c r="AB155" s="481"/>
      <c r="AC155" s="481"/>
      <c r="AD155" s="481"/>
      <c r="AE155" s="481"/>
      <c r="AF155" s="481"/>
      <c r="AG155" s="481"/>
      <c r="AH155" s="481"/>
      <c r="AI155" s="481"/>
      <c r="AJ155" s="481"/>
      <c r="AK155" s="481"/>
      <c r="AL155" s="481"/>
      <c r="AM155" s="481"/>
      <c r="AN155" s="481"/>
    </row>
    <row r="156" spans="1:40" ht="15.75" customHeight="1">
      <c r="A156" s="490" t="s">
        <v>327</v>
      </c>
      <c r="B156" s="481" t="s">
        <v>73</v>
      </c>
      <c r="C156" s="498" t="s">
        <v>81</v>
      </c>
      <c r="D156" s="611"/>
      <c r="E156" s="612"/>
      <c r="F156" s="499">
        <v>0</v>
      </c>
      <c r="G156" s="613"/>
      <c r="H156" s="612"/>
      <c r="I156" s="499"/>
      <c r="J156" s="613"/>
      <c r="K156" s="612"/>
      <c r="L156" s="501">
        <v>0</v>
      </c>
      <c r="M156" s="498"/>
      <c r="N156" s="524">
        <v>0</v>
      </c>
      <c r="O156" s="613"/>
      <c r="P156" s="612"/>
      <c r="Q156" s="501">
        <v>0</v>
      </c>
      <c r="R156" s="498"/>
      <c r="S156" s="524">
        <v>0</v>
      </c>
      <c r="T156" s="572"/>
      <c r="U156" s="481"/>
      <c r="V156" s="481"/>
      <c r="W156" s="481"/>
      <c r="X156" s="481"/>
      <c r="Y156" s="481"/>
      <c r="Z156" s="481"/>
      <c r="AA156" s="481"/>
      <c r="AB156" s="481"/>
      <c r="AC156" s="481"/>
      <c r="AD156" s="481"/>
      <c r="AE156" s="481"/>
      <c r="AF156" s="481"/>
      <c r="AG156" s="481"/>
      <c r="AH156" s="481"/>
      <c r="AI156" s="481"/>
      <c r="AJ156" s="481"/>
      <c r="AK156" s="481"/>
      <c r="AL156" s="481"/>
      <c r="AM156" s="481"/>
      <c r="AN156" s="481"/>
    </row>
    <row r="157" spans="1:40" ht="15.75" customHeight="1">
      <c r="A157" s="490" t="s">
        <v>328</v>
      </c>
      <c r="B157" s="481" t="s">
        <v>73</v>
      </c>
      <c r="C157" s="498" t="s">
        <v>82</v>
      </c>
      <c r="D157" s="550"/>
      <c r="E157" s="481"/>
      <c r="F157" s="499">
        <v>0</v>
      </c>
      <c r="G157" s="551"/>
      <c r="H157" s="481"/>
      <c r="I157" s="499"/>
      <c r="J157" s="498"/>
      <c r="K157" s="481"/>
      <c r="L157" s="501">
        <v>0</v>
      </c>
      <c r="M157" s="498"/>
      <c r="N157" s="524">
        <v>0</v>
      </c>
      <c r="O157" s="498"/>
      <c r="P157" s="481"/>
      <c r="Q157" s="501">
        <v>0</v>
      </c>
      <c r="R157" s="498"/>
      <c r="S157" s="524">
        <v>0</v>
      </c>
      <c r="T157" s="572"/>
      <c r="U157" s="481"/>
      <c r="V157" s="481"/>
      <c r="W157" s="481"/>
      <c r="X157" s="481"/>
      <c r="Y157" s="481"/>
      <c r="Z157" s="481"/>
      <c r="AA157" s="481"/>
      <c r="AB157" s="481"/>
      <c r="AC157" s="481"/>
      <c r="AD157" s="481"/>
      <c r="AE157" s="481"/>
      <c r="AF157" s="481"/>
      <c r="AG157" s="481"/>
      <c r="AH157" s="481"/>
      <c r="AI157" s="481"/>
      <c r="AJ157" s="481"/>
      <c r="AK157" s="481"/>
      <c r="AL157" s="481"/>
      <c r="AM157" s="481"/>
      <c r="AN157" s="481"/>
    </row>
    <row r="158" spans="1:40" ht="15.75" customHeight="1">
      <c r="A158" s="490" t="s">
        <v>329</v>
      </c>
      <c r="B158" s="481" t="s">
        <v>73</v>
      </c>
      <c r="C158" s="498" t="s">
        <v>70</v>
      </c>
      <c r="D158" s="614">
        <v>38</v>
      </c>
      <c r="E158" s="578">
        <v>359.1</v>
      </c>
      <c r="F158" s="499">
        <v>13645.800000000001</v>
      </c>
      <c r="G158" s="551"/>
      <c r="H158" s="481"/>
      <c r="I158" s="499"/>
      <c r="J158" s="577">
        <v>33</v>
      </c>
      <c r="K158" s="578">
        <v>456.63636363636363</v>
      </c>
      <c r="L158" s="501">
        <v>15069</v>
      </c>
      <c r="M158" s="498"/>
      <c r="N158" s="524">
        <v>1423.1999999999989</v>
      </c>
      <c r="O158" s="498"/>
      <c r="P158" s="481"/>
      <c r="Q158" s="501">
        <v>12283</v>
      </c>
      <c r="R158" s="498"/>
      <c r="S158" s="524">
        <v>2786</v>
      </c>
      <c r="T158" s="572"/>
      <c r="U158" s="481"/>
      <c r="V158" s="481"/>
      <c r="W158" s="481"/>
      <c r="X158" s="481"/>
      <c r="Y158" s="481"/>
      <c r="Z158" s="481"/>
      <c r="AA158" s="481"/>
      <c r="AB158" s="481"/>
      <c r="AC158" s="481"/>
      <c r="AD158" s="481"/>
      <c r="AE158" s="481"/>
      <c r="AF158" s="481"/>
      <c r="AG158" s="481"/>
      <c r="AH158" s="481"/>
      <c r="AI158" s="481"/>
      <c r="AJ158" s="481"/>
      <c r="AK158" s="481"/>
      <c r="AL158" s="481"/>
      <c r="AM158" s="481"/>
      <c r="AN158" s="481"/>
    </row>
    <row r="159" spans="1:40" ht="15.75" hidden="1" customHeight="1">
      <c r="A159" s="490" t="s">
        <v>299</v>
      </c>
      <c r="B159" s="481" t="s">
        <v>73</v>
      </c>
      <c r="C159" s="498" t="s">
        <v>20</v>
      </c>
      <c r="D159" s="550"/>
      <c r="E159" s="481"/>
      <c r="F159" s="499">
        <v>0</v>
      </c>
      <c r="G159" s="551"/>
      <c r="H159" s="481"/>
      <c r="I159" s="499"/>
      <c r="J159" s="498"/>
      <c r="K159" s="481"/>
      <c r="L159" s="501">
        <v>0</v>
      </c>
      <c r="M159" s="498"/>
      <c r="N159" s="524">
        <v>0</v>
      </c>
      <c r="O159" s="498"/>
      <c r="P159" s="481"/>
      <c r="Q159" s="501">
        <v>0</v>
      </c>
      <c r="R159" s="498"/>
      <c r="S159" s="524">
        <v>0</v>
      </c>
      <c r="T159" s="572"/>
      <c r="U159" s="481"/>
      <c r="V159" s="481"/>
      <c r="W159" s="481"/>
      <c r="X159" s="481"/>
      <c r="Y159" s="481"/>
      <c r="Z159" s="481"/>
      <c r="AA159" s="481"/>
      <c r="AB159" s="481"/>
      <c r="AC159" s="481"/>
      <c r="AD159" s="481"/>
      <c r="AE159" s="481"/>
      <c r="AF159" s="481"/>
      <c r="AG159" s="481"/>
      <c r="AH159" s="481"/>
      <c r="AI159" s="481"/>
      <c r="AJ159" s="481"/>
      <c r="AK159" s="481"/>
      <c r="AL159" s="481"/>
      <c r="AM159" s="481"/>
      <c r="AN159" s="481"/>
    </row>
    <row r="160" spans="1:40" ht="15.75" hidden="1" customHeight="1">
      <c r="A160" s="490" t="s">
        <v>299</v>
      </c>
      <c r="B160" s="481" t="s">
        <v>73</v>
      </c>
      <c r="C160" s="498" t="s">
        <v>20</v>
      </c>
      <c r="D160" s="550"/>
      <c r="E160" s="481"/>
      <c r="F160" s="499">
        <v>0</v>
      </c>
      <c r="G160" s="551"/>
      <c r="H160" s="481"/>
      <c r="I160" s="499"/>
      <c r="J160" s="498"/>
      <c r="K160" s="481"/>
      <c r="L160" s="501">
        <v>0</v>
      </c>
      <c r="M160" s="498"/>
      <c r="N160" s="524">
        <v>0</v>
      </c>
      <c r="O160" s="498"/>
      <c r="P160" s="481"/>
      <c r="Q160" s="501">
        <v>0</v>
      </c>
      <c r="R160" s="498"/>
      <c r="S160" s="524">
        <v>0</v>
      </c>
      <c r="T160" s="572"/>
      <c r="U160" s="481"/>
      <c r="V160" s="481"/>
      <c r="W160" s="481"/>
      <c r="X160" s="481"/>
      <c r="Y160" s="481"/>
      <c r="Z160" s="481"/>
      <c r="AA160" s="481"/>
      <c r="AB160" s="481"/>
      <c r="AC160" s="481"/>
      <c r="AD160" s="481"/>
      <c r="AE160" s="481"/>
      <c r="AF160" s="481"/>
      <c r="AG160" s="481"/>
      <c r="AH160" s="481"/>
      <c r="AI160" s="481"/>
      <c r="AJ160" s="481"/>
      <c r="AK160" s="481"/>
      <c r="AL160" s="481"/>
      <c r="AM160" s="481"/>
      <c r="AN160" s="481"/>
    </row>
    <row r="161" spans="1:40" ht="15.75" hidden="1" customHeight="1">
      <c r="A161" s="490" t="s">
        <v>299</v>
      </c>
      <c r="B161" s="481" t="s">
        <v>73</v>
      </c>
      <c r="C161" s="491" t="s">
        <v>20</v>
      </c>
      <c r="D161" s="552"/>
      <c r="E161" s="571"/>
      <c r="F161" s="499">
        <v>0</v>
      </c>
      <c r="G161" s="551"/>
      <c r="H161" s="481"/>
      <c r="I161" s="499"/>
      <c r="J161" s="498"/>
      <c r="K161" s="481"/>
      <c r="L161" s="501">
        <v>0</v>
      </c>
      <c r="M161" s="498"/>
      <c r="N161" s="524">
        <v>0</v>
      </c>
      <c r="O161" s="498"/>
      <c r="P161" s="481"/>
      <c r="Q161" s="501">
        <v>0</v>
      </c>
      <c r="R161" s="498"/>
      <c r="S161" s="524">
        <v>0</v>
      </c>
      <c r="T161" s="572"/>
      <c r="U161" s="481"/>
      <c r="V161" s="481"/>
      <c r="W161" s="481"/>
      <c r="X161" s="481"/>
      <c r="Y161" s="481"/>
      <c r="Z161" s="481"/>
      <c r="AA161" s="481"/>
      <c r="AB161" s="481"/>
      <c r="AC161" s="481"/>
      <c r="AD161" s="481"/>
      <c r="AE161" s="481"/>
      <c r="AF161" s="481"/>
      <c r="AG161" s="481"/>
      <c r="AH161" s="481"/>
      <c r="AI161" s="481"/>
      <c r="AJ161" s="481"/>
      <c r="AK161" s="481"/>
      <c r="AL161" s="481"/>
      <c r="AM161" s="481"/>
      <c r="AN161" s="481"/>
    </row>
    <row r="162" spans="1:40" ht="15.75" customHeight="1">
      <c r="B162" s="481"/>
      <c r="C162" s="557" t="s">
        <v>71</v>
      </c>
      <c r="D162" s="558"/>
      <c r="E162" s="559"/>
      <c r="F162" s="560">
        <v>13645.800000000001</v>
      </c>
      <c r="G162" s="561"/>
      <c r="H162" s="559"/>
      <c r="I162" s="560"/>
      <c r="J162" s="561"/>
      <c r="K162" s="559"/>
      <c r="L162" s="560">
        <v>15069</v>
      </c>
      <c r="M162" s="564"/>
      <c r="N162" s="560">
        <v>1423.1999999999989</v>
      </c>
      <c r="O162" s="561"/>
      <c r="P162" s="559"/>
      <c r="Q162" s="560">
        <v>12283</v>
      </c>
      <c r="R162" s="564"/>
      <c r="S162" s="560">
        <v>2786</v>
      </c>
      <c r="T162" s="572"/>
      <c r="U162" s="481"/>
      <c r="V162" s="481"/>
      <c r="W162" s="481"/>
      <c r="X162" s="481"/>
      <c r="Y162" s="481"/>
      <c r="Z162" s="481"/>
      <c r="AA162" s="481"/>
      <c r="AB162" s="481"/>
      <c r="AC162" s="481"/>
      <c r="AD162" s="481"/>
      <c r="AE162" s="481"/>
      <c r="AF162" s="481"/>
      <c r="AG162" s="481"/>
      <c r="AH162" s="481"/>
      <c r="AI162" s="481"/>
      <c r="AJ162" s="481"/>
      <c r="AK162" s="481"/>
      <c r="AL162" s="481"/>
      <c r="AM162" s="481"/>
      <c r="AN162" s="481"/>
    </row>
    <row r="163" spans="1:40" ht="15.75" customHeight="1">
      <c r="B163" s="481"/>
      <c r="C163" s="498"/>
      <c r="D163" s="550"/>
      <c r="E163" s="481"/>
      <c r="F163" s="524"/>
      <c r="G163" s="551"/>
      <c r="H163" s="481"/>
      <c r="I163" s="524"/>
      <c r="J163" s="498"/>
      <c r="K163" s="481"/>
      <c r="L163" s="524"/>
      <c r="M163" s="498"/>
      <c r="N163" s="524"/>
      <c r="O163" s="498"/>
      <c r="P163" s="481"/>
      <c r="Q163" s="524"/>
      <c r="R163" s="498"/>
      <c r="S163" s="524"/>
      <c r="T163" s="612"/>
      <c r="U163" s="481"/>
      <c r="V163" s="481"/>
      <c r="W163" s="481"/>
      <c r="X163" s="481"/>
      <c r="Y163" s="481"/>
      <c r="Z163" s="481"/>
      <c r="AA163" s="481"/>
      <c r="AB163" s="481"/>
      <c r="AC163" s="481"/>
      <c r="AD163" s="481"/>
      <c r="AE163" s="481"/>
      <c r="AF163" s="481"/>
      <c r="AG163" s="481"/>
      <c r="AH163" s="481"/>
      <c r="AI163" s="481"/>
      <c r="AJ163" s="481"/>
      <c r="AK163" s="481"/>
      <c r="AL163" s="481"/>
      <c r="AM163" s="481"/>
      <c r="AN163" s="481"/>
    </row>
    <row r="164" spans="1:40" ht="15.75" customHeight="1" thickBot="1">
      <c r="B164" s="481"/>
      <c r="C164" s="587" t="s">
        <v>72</v>
      </c>
      <c r="D164" s="615"/>
      <c r="E164" s="588"/>
      <c r="F164" s="590">
        <v>64801.007721404647</v>
      </c>
      <c r="G164" s="616"/>
      <c r="H164" s="588"/>
      <c r="I164" s="590"/>
      <c r="J164" s="587"/>
      <c r="K164" s="589"/>
      <c r="L164" s="590">
        <v>45139.410000000018</v>
      </c>
      <c r="M164" s="587"/>
      <c r="N164" s="590">
        <v>-19661.597721404629</v>
      </c>
      <c r="O164" s="587"/>
      <c r="P164" s="589"/>
      <c r="Q164" s="590">
        <v>61416.836999999956</v>
      </c>
      <c r="R164" s="587"/>
      <c r="S164" s="590">
        <v>-16277.426999999938</v>
      </c>
      <c r="T164" s="542"/>
      <c r="U164" s="481"/>
      <c r="V164" s="481"/>
      <c r="W164" s="481"/>
      <c r="X164" s="481"/>
      <c r="Y164" s="481"/>
      <c r="Z164" s="481"/>
      <c r="AA164" s="481"/>
      <c r="AB164" s="481"/>
      <c r="AC164" s="481"/>
      <c r="AD164" s="481"/>
      <c r="AE164" s="481"/>
      <c r="AF164" s="481"/>
      <c r="AG164" s="481"/>
      <c r="AH164" s="481"/>
      <c r="AI164" s="481"/>
      <c r="AJ164" s="481"/>
      <c r="AK164" s="481"/>
      <c r="AL164" s="481"/>
      <c r="AM164" s="481"/>
      <c r="AN164" s="481"/>
    </row>
    <row r="165" spans="1:40" ht="15.75" customHeight="1" thickTop="1">
      <c r="B165" s="481"/>
      <c r="C165" s="478"/>
      <c r="D165" s="478"/>
      <c r="E165" s="478"/>
      <c r="F165" s="478"/>
      <c r="G165" s="478"/>
      <c r="H165" s="478"/>
      <c r="I165" s="478"/>
      <c r="J165" s="478"/>
      <c r="K165" s="478"/>
      <c r="L165" s="617"/>
      <c r="M165" s="478"/>
      <c r="N165" s="478"/>
      <c r="O165" s="478"/>
      <c r="P165" s="478"/>
      <c r="Q165" s="478"/>
      <c r="R165" s="478"/>
      <c r="S165" s="478"/>
      <c r="T165" s="617"/>
      <c r="U165" s="478"/>
      <c r="V165" s="481"/>
      <c r="W165" s="481"/>
      <c r="X165" s="481"/>
      <c r="Y165" s="481"/>
      <c r="Z165" s="481"/>
      <c r="AA165" s="481"/>
      <c r="AB165" s="481"/>
      <c r="AC165" s="481"/>
      <c r="AD165" s="481"/>
      <c r="AE165" s="481"/>
      <c r="AF165" s="481"/>
      <c r="AG165" s="481"/>
      <c r="AH165" s="481"/>
      <c r="AI165" s="481"/>
      <c r="AJ165" s="481"/>
      <c r="AK165" s="481"/>
      <c r="AL165" s="481"/>
      <c r="AM165" s="481"/>
      <c r="AN165" s="481"/>
    </row>
    <row r="166" spans="1:40" ht="8.25" customHeight="1">
      <c r="B166" s="481"/>
      <c r="C166" s="478"/>
      <c r="D166" s="478"/>
      <c r="E166" s="478"/>
      <c r="F166" s="478"/>
      <c r="G166" s="478"/>
      <c r="H166" s="478"/>
      <c r="I166" s="478"/>
      <c r="J166" s="478"/>
      <c r="K166" s="478"/>
      <c r="L166" s="478"/>
      <c r="M166" s="478"/>
      <c r="N166" s="478"/>
      <c r="O166" s="478"/>
      <c r="P166" s="478"/>
      <c r="Q166" s="478"/>
      <c r="R166" s="478"/>
      <c r="S166" s="478"/>
      <c r="T166" s="617"/>
      <c r="U166" s="478"/>
      <c r="V166" s="478"/>
      <c r="W166" s="478"/>
      <c r="X166" s="478"/>
      <c r="Y166" s="478"/>
      <c r="Z166" s="478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  <c r="AL166" s="478"/>
      <c r="AM166" s="478"/>
      <c r="AN166" s="478"/>
    </row>
    <row r="167" spans="1:40" ht="33.75" customHeight="1">
      <c r="B167" s="481"/>
      <c r="C167" s="595" t="s">
        <v>223</v>
      </c>
      <c r="D167" s="469"/>
      <c r="E167" s="469"/>
      <c r="F167" s="469"/>
      <c r="G167" s="469"/>
      <c r="H167" s="467"/>
      <c r="I167" s="467"/>
      <c r="J167" s="467"/>
      <c r="K167" s="471" t="s">
        <v>83</v>
      </c>
      <c r="L167" s="469"/>
      <c r="M167" s="469"/>
      <c r="N167" s="467"/>
      <c r="O167" s="467"/>
      <c r="P167" s="469"/>
      <c r="Q167" s="467"/>
      <c r="R167" s="469"/>
      <c r="S167" s="596" t="s">
        <v>484</v>
      </c>
      <c r="T167" s="469"/>
      <c r="U167" s="467"/>
      <c r="V167" s="478"/>
      <c r="W167" s="478"/>
      <c r="X167" s="478"/>
      <c r="Y167" s="478"/>
      <c r="Z167" s="478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  <c r="AL167" s="478"/>
      <c r="AM167" s="478"/>
      <c r="AN167" s="478"/>
    </row>
    <row r="168" spans="1:40" ht="15.75" customHeight="1" thickBot="1">
      <c r="B168" s="481"/>
      <c r="C168" s="476"/>
      <c r="D168" s="478"/>
      <c r="E168" s="478"/>
      <c r="F168" s="478"/>
      <c r="G168" s="478"/>
      <c r="H168" s="478"/>
      <c r="I168" s="478"/>
      <c r="J168" s="478"/>
      <c r="K168" s="478"/>
      <c r="L168" s="478"/>
      <c r="M168" s="478"/>
      <c r="N168" s="478"/>
      <c r="O168" s="478"/>
      <c r="P168" s="478"/>
      <c r="Q168" s="478"/>
      <c r="R168" s="478"/>
      <c r="S168" s="478"/>
      <c r="T168" s="478"/>
      <c r="U168" s="478"/>
      <c r="V168" s="467"/>
      <c r="W168" s="467"/>
      <c r="X168" s="467"/>
      <c r="Y168" s="467"/>
      <c r="Z168" s="467"/>
      <c r="AA168" s="467"/>
      <c r="AB168" s="467"/>
      <c r="AC168" s="467"/>
      <c r="AD168" s="467"/>
      <c r="AE168" s="467"/>
      <c r="AF168" s="467"/>
      <c r="AG168" s="467"/>
      <c r="AH168" s="467"/>
      <c r="AI168" s="467"/>
      <c r="AJ168" s="467"/>
      <c r="AK168" s="467"/>
      <c r="AL168" s="467"/>
      <c r="AM168" s="467"/>
      <c r="AN168" s="467"/>
    </row>
    <row r="169" spans="1:40" ht="15.75" customHeight="1" thickTop="1">
      <c r="B169" s="481"/>
      <c r="C169" s="482"/>
      <c r="D169" s="864" t="s">
        <v>5</v>
      </c>
      <c r="E169" s="865"/>
      <c r="F169" s="866"/>
      <c r="G169" s="867"/>
      <c r="H169" s="865"/>
      <c r="I169" s="866"/>
      <c r="J169" s="867" t="s">
        <v>7</v>
      </c>
      <c r="K169" s="865"/>
      <c r="L169" s="866"/>
      <c r="M169" s="867" t="s">
        <v>472</v>
      </c>
      <c r="N169" s="866"/>
      <c r="O169" s="864" t="s">
        <v>9</v>
      </c>
      <c r="P169" s="865"/>
      <c r="Q169" s="866"/>
      <c r="R169" s="867" t="s">
        <v>473</v>
      </c>
      <c r="S169" s="866"/>
      <c r="T169" s="611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  <c r="AL169" s="478"/>
      <c r="AM169" s="478"/>
      <c r="AN169" s="478"/>
    </row>
    <row r="170" spans="1:40" ht="15.75" customHeight="1">
      <c r="A170" s="490" t="s">
        <v>83</v>
      </c>
      <c r="B170" s="481" t="s">
        <v>83</v>
      </c>
      <c r="C170" s="498"/>
      <c r="D170" s="540" t="s">
        <v>40</v>
      </c>
      <c r="E170" s="540" t="s">
        <v>84</v>
      </c>
      <c r="F170" s="618" t="s">
        <v>13</v>
      </c>
      <c r="G170" s="619"/>
      <c r="H170" s="540"/>
      <c r="I170" s="618"/>
      <c r="J170" s="619" t="s">
        <v>40</v>
      </c>
      <c r="K170" s="540" t="s">
        <v>84</v>
      </c>
      <c r="L170" s="618" t="s">
        <v>13</v>
      </c>
      <c r="M170" s="619" t="s">
        <v>468</v>
      </c>
      <c r="N170" s="618" t="s">
        <v>475</v>
      </c>
      <c r="O170" s="540" t="s">
        <v>40</v>
      </c>
      <c r="P170" s="540" t="s">
        <v>84</v>
      </c>
      <c r="Q170" s="618" t="s">
        <v>13</v>
      </c>
      <c r="R170" s="619" t="s">
        <v>85</v>
      </c>
      <c r="S170" s="618" t="s">
        <v>13</v>
      </c>
      <c r="T170" s="540"/>
      <c r="AA170" s="481"/>
      <c r="AB170" s="481"/>
      <c r="AC170" s="481"/>
      <c r="AD170" s="481"/>
      <c r="AE170" s="481"/>
      <c r="AF170" s="481"/>
      <c r="AG170" s="481"/>
      <c r="AH170" s="481"/>
      <c r="AI170" s="481"/>
      <c r="AJ170" s="481"/>
      <c r="AK170" s="481"/>
      <c r="AL170" s="481"/>
      <c r="AM170" s="481"/>
      <c r="AN170" s="481"/>
    </row>
    <row r="171" spans="1:40" ht="15.75" customHeight="1">
      <c r="A171" s="490" t="s">
        <v>330</v>
      </c>
      <c r="B171" s="481" t="s">
        <v>83</v>
      </c>
      <c r="C171" s="498" t="s">
        <v>86</v>
      </c>
      <c r="D171" s="542">
        <v>310.19784194161605</v>
      </c>
      <c r="E171" s="542">
        <v>91508.36337277673</v>
      </c>
      <c r="F171" s="542">
        <v>69546.356163310309</v>
      </c>
      <c r="G171" s="525"/>
      <c r="H171" s="542"/>
      <c r="I171" s="542"/>
      <c r="J171" s="525">
        <v>351</v>
      </c>
      <c r="K171" s="499">
        <v>121290.73000000001</v>
      </c>
      <c r="L171" s="501">
        <v>89262.040000000008</v>
      </c>
      <c r="M171" s="543">
        <v>0.32546059758384205</v>
      </c>
      <c r="N171" s="524">
        <v>19715.683836689699</v>
      </c>
      <c r="O171" s="525">
        <v>360</v>
      </c>
      <c r="P171" s="499">
        <v>111776.84999999999</v>
      </c>
      <c r="Q171" s="501">
        <v>85899.969999999987</v>
      </c>
      <c r="R171" s="543">
        <v>0.97499999999999998</v>
      </c>
      <c r="S171" s="524">
        <v>3362.0700000000215</v>
      </c>
      <c r="T171" s="542"/>
      <c r="AA171" s="481"/>
      <c r="AB171" s="481"/>
      <c r="AC171" s="481"/>
      <c r="AD171" s="481"/>
      <c r="AE171" s="481"/>
      <c r="AF171" s="481"/>
      <c r="AG171" s="481"/>
      <c r="AH171" s="481"/>
      <c r="AI171" s="481"/>
      <c r="AJ171" s="481"/>
      <c r="AK171" s="481"/>
      <c r="AL171" s="481"/>
      <c r="AM171" s="481"/>
      <c r="AN171" s="481"/>
    </row>
    <row r="172" spans="1:40" ht="15.75" customHeight="1">
      <c r="A172" s="490" t="s">
        <v>331</v>
      </c>
      <c r="B172" s="481" t="s">
        <v>83</v>
      </c>
      <c r="C172" s="498" t="s">
        <v>87</v>
      </c>
      <c r="D172" s="542"/>
      <c r="E172" s="604"/>
      <c r="F172" s="620">
        <v>0.7599999999999999</v>
      </c>
      <c r="G172" s="525"/>
      <c r="H172" s="604"/>
      <c r="I172" s="620"/>
      <c r="J172" s="525"/>
      <c r="K172" s="481"/>
      <c r="L172" s="620">
        <v>0.7359345598793906</v>
      </c>
      <c r="M172" s="543"/>
      <c r="N172" s="524"/>
      <c r="O172" s="525"/>
      <c r="P172" s="481"/>
      <c r="Q172" s="620">
        <v>0.76849517587944183</v>
      </c>
      <c r="R172" s="525"/>
      <c r="S172" s="524"/>
      <c r="T172" s="542"/>
      <c r="AA172" s="481"/>
      <c r="AB172" s="481"/>
      <c r="AC172" s="481"/>
      <c r="AD172" s="481"/>
      <c r="AE172" s="481"/>
      <c r="AF172" s="481"/>
      <c r="AG172" s="481"/>
      <c r="AH172" s="481"/>
      <c r="AI172" s="481"/>
      <c r="AJ172" s="481"/>
      <c r="AK172" s="481"/>
      <c r="AL172" s="481"/>
      <c r="AM172" s="481"/>
      <c r="AN172" s="481"/>
    </row>
    <row r="173" spans="1:40" ht="15.75" customHeight="1">
      <c r="A173" s="490" t="s">
        <v>83</v>
      </c>
      <c r="B173" s="481" t="s">
        <v>83</v>
      </c>
      <c r="C173" s="491"/>
      <c r="D173" s="545"/>
      <c r="E173" s="621">
        <v>295</v>
      </c>
      <c r="F173" s="622"/>
      <c r="G173" s="623"/>
      <c r="H173" s="621"/>
      <c r="I173" s="622"/>
      <c r="J173" s="623"/>
      <c r="K173" s="621">
        <v>345.55763532763535</v>
      </c>
      <c r="L173" s="622"/>
      <c r="M173" s="546"/>
      <c r="N173" s="547"/>
      <c r="O173" s="623"/>
      <c r="P173" s="621">
        <v>310.49124999999998</v>
      </c>
      <c r="Q173" s="622"/>
      <c r="R173" s="623"/>
      <c r="S173" s="547"/>
      <c r="T173" s="542"/>
      <c r="AA173" s="481"/>
      <c r="AB173" s="481"/>
      <c r="AC173" s="481"/>
      <c r="AD173" s="481"/>
      <c r="AE173" s="481"/>
      <c r="AF173" s="481"/>
      <c r="AG173" s="481"/>
      <c r="AH173" s="481"/>
      <c r="AI173" s="481"/>
      <c r="AJ173" s="481"/>
      <c r="AK173" s="481"/>
      <c r="AL173" s="481"/>
      <c r="AM173" s="481"/>
      <c r="AN173" s="481"/>
    </row>
    <row r="174" spans="1:40" ht="18" customHeight="1">
      <c r="A174" s="490" t="s">
        <v>332</v>
      </c>
      <c r="B174" s="481" t="s">
        <v>83</v>
      </c>
      <c r="C174" s="485" t="s">
        <v>88</v>
      </c>
      <c r="D174" s="624">
        <v>252.23946016632686</v>
      </c>
      <c r="E174" s="542">
        <v>42880.708228275565</v>
      </c>
      <c r="F174" s="542">
        <v>29158.881595227387</v>
      </c>
      <c r="G174" s="625"/>
      <c r="H174" s="542"/>
      <c r="I174" s="542"/>
      <c r="J174" s="625">
        <v>118</v>
      </c>
      <c r="K174" s="519">
        <v>34071.730000000003</v>
      </c>
      <c r="L174" s="501">
        <v>20940.570000000003</v>
      </c>
      <c r="M174" s="543">
        <v>-0.20542986793457196</v>
      </c>
      <c r="N174" s="570">
        <v>-8218.3115952273838</v>
      </c>
      <c r="O174" s="625">
        <v>198</v>
      </c>
      <c r="P174" s="519">
        <v>51292.72</v>
      </c>
      <c r="Q174" s="501">
        <v>34196.160000000003</v>
      </c>
      <c r="R174" s="543">
        <v>0.59595959595959591</v>
      </c>
      <c r="S174" s="524">
        <v>-13255.59</v>
      </c>
      <c r="T174" s="542"/>
      <c r="U174" s="481" t="s">
        <v>470</v>
      </c>
      <c r="V174" s="499">
        <v>92779.28</v>
      </c>
      <c r="W174" s="481"/>
      <c r="AA174" s="481"/>
      <c r="AB174" s="481"/>
      <c r="AC174" s="481"/>
      <c r="AD174" s="481"/>
      <c r="AE174" s="481"/>
      <c r="AF174" s="481"/>
      <c r="AG174" s="481"/>
      <c r="AH174" s="481"/>
      <c r="AI174" s="481"/>
      <c r="AJ174" s="481"/>
      <c r="AK174" s="481"/>
      <c r="AL174" s="481"/>
      <c r="AM174" s="481"/>
      <c r="AN174" s="481"/>
    </row>
    <row r="175" spans="1:40" ht="15.75" customHeight="1">
      <c r="A175" s="490" t="s">
        <v>331</v>
      </c>
      <c r="B175" s="481" t="s">
        <v>83</v>
      </c>
      <c r="C175" s="498" t="s">
        <v>87</v>
      </c>
      <c r="D175" s="481"/>
      <c r="E175" s="481"/>
      <c r="F175" s="620">
        <v>0.68</v>
      </c>
      <c r="G175" s="498"/>
      <c r="H175" s="481"/>
      <c r="I175" s="620"/>
      <c r="J175" s="498"/>
      <c r="K175" s="481"/>
      <c r="L175" s="620">
        <v>0.61460248716457899</v>
      </c>
      <c r="M175" s="515"/>
      <c r="N175" s="516"/>
      <c r="O175" s="498"/>
      <c r="P175" s="481"/>
      <c r="Q175" s="620">
        <v>0.66668642255665134</v>
      </c>
      <c r="R175" s="515"/>
      <c r="S175" s="516"/>
      <c r="T175" s="481"/>
      <c r="U175" s="481" t="s">
        <v>471</v>
      </c>
      <c r="V175" s="499">
        <v>34537.700000000012</v>
      </c>
      <c r="W175" s="626">
        <v>0.37225660729421495</v>
      </c>
      <c r="AA175" s="481"/>
      <c r="AB175" s="481"/>
      <c r="AC175" s="481"/>
      <c r="AD175" s="481"/>
      <c r="AE175" s="481"/>
      <c r="AF175" s="481"/>
      <c r="AG175" s="481"/>
      <c r="AH175" s="481"/>
      <c r="AI175" s="481"/>
      <c r="AJ175" s="481"/>
      <c r="AK175" s="481"/>
      <c r="AL175" s="481"/>
      <c r="AM175" s="481"/>
      <c r="AN175" s="481"/>
    </row>
    <row r="176" spans="1:40" ht="15.75" customHeight="1">
      <c r="A176" s="490" t="s">
        <v>83</v>
      </c>
      <c r="B176" s="481" t="s">
        <v>83</v>
      </c>
      <c r="C176" s="491"/>
      <c r="D176" s="571"/>
      <c r="E176" s="621">
        <v>170</v>
      </c>
      <c r="F176" s="622"/>
      <c r="G176" s="623"/>
      <c r="H176" s="621"/>
      <c r="I176" s="622"/>
      <c r="J176" s="623"/>
      <c r="K176" s="621">
        <v>288.74347457627124</v>
      </c>
      <c r="L176" s="622"/>
      <c r="M176" s="546"/>
      <c r="N176" s="547"/>
      <c r="O176" s="623"/>
      <c r="P176" s="621">
        <v>259.05414141414144</v>
      </c>
      <c r="Q176" s="622"/>
      <c r="R176" s="627"/>
      <c r="S176" s="628"/>
      <c r="T176" s="481"/>
      <c r="AA176" s="481"/>
      <c r="AB176" s="481"/>
      <c r="AC176" s="481"/>
      <c r="AD176" s="481"/>
      <c r="AE176" s="481"/>
      <c r="AF176" s="481"/>
      <c r="AG176" s="481"/>
      <c r="AH176" s="481"/>
      <c r="AI176" s="481"/>
      <c r="AJ176" s="481"/>
      <c r="AK176" s="481"/>
      <c r="AL176" s="481"/>
      <c r="AM176" s="481"/>
      <c r="AN176" s="481"/>
    </row>
    <row r="177" spans="1:40" ht="15.75" customHeight="1">
      <c r="A177" s="490" t="s">
        <v>333</v>
      </c>
      <c r="B177" s="481" t="s">
        <v>83</v>
      </c>
      <c r="C177" s="498" t="s">
        <v>89</v>
      </c>
      <c r="D177" s="542">
        <v>236.29481844886917</v>
      </c>
      <c r="E177" s="542">
        <v>53166.334150995557</v>
      </c>
      <c r="F177" s="542">
        <v>39343.087271736709</v>
      </c>
      <c r="G177" s="525"/>
      <c r="H177" s="542"/>
      <c r="I177" s="542"/>
      <c r="J177" s="525">
        <v>246</v>
      </c>
      <c r="K177" s="519">
        <v>70784.98</v>
      </c>
      <c r="L177" s="501">
        <v>49450.329999999994</v>
      </c>
      <c r="M177" s="543">
        <v>0.33138726094912685</v>
      </c>
      <c r="N177" s="524">
        <v>10107.242728263285</v>
      </c>
      <c r="O177" s="525">
        <v>254</v>
      </c>
      <c r="P177" s="519">
        <v>67503.789999999994</v>
      </c>
      <c r="Q177" s="501">
        <v>50012.109999999993</v>
      </c>
      <c r="R177" s="543">
        <v>0.96850393700787396</v>
      </c>
      <c r="S177" s="524">
        <v>-561.77999999999884</v>
      </c>
      <c r="T177" s="542"/>
      <c r="AA177" s="481"/>
      <c r="AB177" s="481"/>
      <c r="AC177" s="481"/>
      <c r="AD177" s="481"/>
      <c r="AE177" s="481"/>
      <c r="AF177" s="481"/>
      <c r="AG177" s="481"/>
      <c r="AH177" s="481"/>
      <c r="AI177" s="481"/>
      <c r="AJ177" s="481"/>
      <c r="AK177" s="481"/>
      <c r="AL177" s="481"/>
      <c r="AM177" s="481"/>
      <c r="AN177" s="481"/>
    </row>
    <row r="178" spans="1:40" ht="15.75" customHeight="1">
      <c r="A178" s="490" t="s">
        <v>331</v>
      </c>
      <c r="B178" s="481" t="s">
        <v>83</v>
      </c>
      <c r="C178" s="498" t="s">
        <v>87</v>
      </c>
      <c r="D178" s="542"/>
      <c r="E178" s="604"/>
      <c r="F178" s="620">
        <v>0.74</v>
      </c>
      <c r="G178" s="525"/>
      <c r="H178" s="604"/>
      <c r="I178" s="620"/>
      <c r="J178" s="525"/>
      <c r="K178" s="604"/>
      <c r="L178" s="620">
        <v>0.69859919434885753</v>
      </c>
      <c r="M178" s="543"/>
      <c r="N178" s="524">
        <v>-4.1400805651142458E-2</v>
      </c>
      <c r="O178" s="525"/>
      <c r="P178" s="604"/>
      <c r="Q178" s="620">
        <v>0.74087854918960838</v>
      </c>
      <c r="R178" s="525">
        <v>0</v>
      </c>
      <c r="S178" s="524"/>
      <c r="T178" s="542"/>
      <c r="AA178" s="481"/>
      <c r="AB178" s="481"/>
      <c r="AC178" s="481"/>
      <c r="AD178" s="481"/>
      <c r="AE178" s="481"/>
      <c r="AF178" s="481"/>
      <c r="AG178" s="481"/>
      <c r="AH178" s="481"/>
      <c r="AI178" s="481"/>
      <c r="AJ178" s="481"/>
      <c r="AK178" s="481"/>
      <c r="AL178" s="481"/>
      <c r="AM178" s="481"/>
      <c r="AN178" s="481"/>
    </row>
    <row r="179" spans="1:40" ht="15.75" customHeight="1">
      <c r="A179" s="490" t="s">
        <v>83</v>
      </c>
      <c r="B179" s="481" t="s">
        <v>83</v>
      </c>
      <c r="C179" s="498"/>
      <c r="D179" s="542"/>
      <c r="E179" s="621">
        <v>224.99999999999997</v>
      </c>
      <c r="F179" s="622"/>
      <c r="G179" s="623"/>
      <c r="H179" s="621"/>
      <c r="I179" s="622"/>
      <c r="J179" s="623"/>
      <c r="K179" s="621">
        <v>287.74382113821139</v>
      </c>
      <c r="L179" s="622"/>
      <c r="M179" s="546"/>
      <c r="N179" s="547"/>
      <c r="O179" s="623"/>
      <c r="P179" s="621">
        <v>265.76295275590547</v>
      </c>
      <c r="Q179" s="620"/>
      <c r="R179" s="623"/>
      <c r="S179" s="524"/>
      <c r="T179" s="542"/>
      <c r="U179" s="518">
        <v>70784.98</v>
      </c>
      <c r="V179" s="466">
        <v>65</v>
      </c>
      <c r="X179" s="466">
        <v>35</v>
      </c>
      <c r="AA179" s="481"/>
      <c r="AB179" s="481"/>
      <c r="AC179" s="481"/>
      <c r="AD179" s="481"/>
      <c r="AE179" s="481"/>
      <c r="AF179" s="481"/>
      <c r="AG179" s="481"/>
      <c r="AH179" s="481"/>
      <c r="AI179" s="481"/>
      <c r="AJ179" s="481"/>
      <c r="AK179" s="481"/>
      <c r="AL179" s="481"/>
      <c r="AM179" s="481"/>
      <c r="AN179" s="481"/>
    </row>
    <row r="180" spans="1:40" ht="15.75" customHeight="1">
      <c r="A180" s="490" t="s">
        <v>334</v>
      </c>
      <c r="B180" s="481" t="s">
        <v>83</v>
      </c>
      <c r="C180" s="485" t="s">
        <v>90</v>
      </c>
      <c r="D180" s="624">
        <v>3.6228682171962969</v>
      </c>
      <c r="E180" s="542">
        <v>362.28682171962964</v>
      </c>
      <c r="F180" s="542">
        <v>253.60077520374074</v>
      </c>
      <c r="G180" s="625"/>
      <c r="H180" s="542"/>
      <c r="I180" s="542"/>
      <c r="J180" s="625">
        <v>0</v>
      </c>
      <c r="K180" s="519">
        <v>11861.54</v>
      </c>
      <c r="L180" s="520">
        <v>9783.9900000000016</v>
      </c>
      <c r="M180" s="629">
        <v>31.740743766770336</v>
      </c>
      <c r="N180" s="570">
        <v>9530.3892247962613</v>
      </c>
      <c r="O180" s="625">
        <v>0</v>
      </c>
      <c r="P180" s="519">
        <v>800.39</v>
      </c>
      <c r="Q180" s="520">
        <v>553.14</v>
      </c>
      <c r="R180" s="543">
        <v>0</v>
      </c>
      <c r="S180" s="570">
        <v>9230.8500000000022</v>
      </c>
      <c r="T180" s="542"/>
      <c r="U180" s="518">
        <v>21334.65</v>
      </c>
      <c r="V180" s="466">
        <v>30</v>
      </c>
      <c r="X180" s="466">
        <v>35</v>
      </c>
      <c r="AA180" s="481"/>
      <c r="AB180" s="481"/>
      <c r="AC180" s="481"/>
      <c r="AD180" s="481"/>
      <c r="AE180" s="481"/>
      <c r="AF180" s="481"/>
      <c r="AG180" s="481"/>
      <c r="AH180" s="481"/>
      <c r="AI180" s="481"/>
      <c r="AJ180" s="481"/>
      <c r="AK180" s="481"/>
      <c r="AL180" s="481"/>
      <c r="AM180" s="481"/>
      <c r="AN180" s="481"/>
    </row>
    <row r="181" spans="1:40" ht="15.75" customHeight="1">
      <c r="A181" s="490" t="s">
        <v>331</v>
      </c>
      <c r="B181" s="481" t="s">
        <v>83</v>
      </c>
      <c r="C181" s="498" t="s">
        <v>87</v>
      </c>
      <c r="D181" s="537"/>
      <c r="E181" s="630"/>
      <c r="F181" s="620">
        <v>0.7</v>
      </c>
      <c r="G181" s="517"/>
      <c r="H181" s="630"/>
      <c r="I181" s="620"/>
      <c r="J181" s="631"/>
      <c r="K181" s="630">
        <v>0</v>
      </c>
      <c r="L181" s="620">
        <v>0.82484989301557821</v>
      </c>
      <c r="M181" s="525">
        <v>0</v>
      </c>
      <c r="N181" s="632"/>
      <c r="O181" s="631"/>
      <c r="P181" s="630">
        <v>0</v>
      </c>
      <c r="Q181" s="620">
        <v>0.69108809455390496</v>
      </c>
      <c r="R181" s="498"/>
      <c r="S181" s="632"/>
      <c r="T181" s="572"/>
      <c r="U181" s="518">
        <v>49450.329999999994</v>
      </c>
      <c r="X181" s="466">
        <v>0</v>
      </c>
      <c r="AA181" s="481"/>
      <c r="AB181" s="481"/>
      <c r="AC181" s="481"/>
      <c r="AD181" s="481"/>
      <c r="AE181" s="481"/>
      <c r="AF181" s="481"/>
      <c r="AG181" s="481"/>
      <c r="AH181" s="481"/>
      <c r="AI181" s="481"/>
      <c r="AJ181" s="481"/>
      <c r="AK181" s="481"/>
      <c r="AL181" s="481"/>
      <c r="AM181" s="481"/>
      <c r="AN181" s="481"/>
    </row>
    <row r="182" spans="1:40" ht="15.75" customHeight="1">
      <c r="A182" s="490" t="s">
        <v>83</v>
      </c>
      <c r="B182" s="481" t="s">
        <v>83</v>
      </c>
      <c r="C182" s="491"/>
      <c r="D182" s="633"/>
      <c r="E182" s="634"/>
      <c r="F182" s="622"/>
      <c r="G182" s="511"/>
      <c r="H182" s="634"/>
      <c r="I182" s="622"/>
      <c r="J182" s="635"/>
      <c r="K182" s="495"/>
      <c r="L182" s="622"/>
      <c r="M182" s="623"/>
      <c r="N182" s="636"/>
      <c r="O182" s="635"/>
      <c r="P182" s="495"/>
      <c r="Q182" s="622"/>
      <c r="R182" s="491"/>
      <c r="S182" s="636"/>
      <c r="T182" s="572"/>
      <c r="AA182" s="481"/>
      <c r="AB182" s="481"/>
      <c r="AC182" s="481"/>
      <c r="AD182" s="481"/>
      <c r="AE182" s="481"/>
      <c r="AF182" s="481"/>
      <c r="AG182" s="481"/>
      <c r="AH182" s="481"/>
      <c r="AI182" s="481"/>
      <c r="AJ182" s="481"/>
      <c r="AK182" s="481"/>
      <c r="AL182" s="481"/>
      <c r="AM182" s="481"/>
      <c r="AN182" s="481"/>
    </row>
    <row r="183" spans="1:40" ht="26.25" customHeight="1" thickBot="1">
      <c r="A183" s="490" t="s">
        <v>335</v>
      </c>
      <c r="B183" s="481" t="s">
        <v>83</v>
      </c>
      <c r="C183" s="498" t="s">
        <v>91</v>
      </c>
      <c r="D183" s="481"/>
      <c r="E183" s="481"/>
      <c r="F183" s="524">
        <v>-2362.7246741096883</v>
      </c>
      <c r="G183" s="498"/>
      <c r="H183" s="542"/>
      <c r="I183" s="542"/>
      <c r="J183" s="525"/>
      <c r="K183" s="542"/>
      <c r="L183" s="542">
        <v>-6099.74</v>
      </c>
      <c r="M183" s="631"/>
      <c r="N183" s="524">
        <v>-3737.0153258903115</v>
      </c>
      <c r="O183" s="525"/>
      <c r="P183" s="542"/>
      <c r="Q183" s="501">
        <v>-199.45</v>
      </c>
      <c r="R183" s="637"/>
      <c r="S183" s="524">
        <v>-5900.29</v>
      </c>
      <c r="T183" s="481"/>
      <c r="U183" s="481"/>
      <c r="V183" s="481"/>
      <c r="W183" s="481"/>
      <c r="X183" s="481"/>
      <c r="Y183" s="481"/>
      <c r="Z183" s="481"/>
      <c r="AA183" s="481"/>
      <c r="AB183" s="481"/>
      <c r="AC183" s="481"/>
      <c r="AD183" s="481"/>
      <c r="AE183" s="481"/>
      <c r="AF183" s="481"/>
      <c r="AG183" s="481"/>
      <c r="AH183" s="481"/>
      <c r="AI183" s="481"/>
      <c r="AJ183" s="481"/>
      <c r="AK183" s="481"/>
      <c r="AL183" s="481"/>
      <c r="AM183" s="481"/>
      <c r="AN183" s="481"/>
    </row>
    <row r="184" spans="1:40" ht="15.75" customHeight="1" thickTop="1">
      <c r="A184" s="490" t="s">
        <v>336</v>
      </c>
      <c r="B184" s="481" t="s">
        <v>83</v>
      </c>
      <c r="C184" s="638" t="s">
        <v>92</v>
      </c>
      <c r="D184" s="639">
        <v>802.35498877400835</v>
      </c>
      <c r="E184" s="639">
        <v>187917.6925737675</v>
      </c>
      <c r="F184" s="640">
        <v>135939.20113136846</v>
      </c>
      <c r="G184" s="641"/>
      <c r="H184" s="639"/>
      <c r="I184" s="640"/>
      <c r="J184" s="641">
        <v>715</v>
      </c>
      <c r="K184" s="639">
        <v>238008.98</v>
      </c>
      <c r="L184" s="640">
        <v>163337.19</v>
      </c>
      <c r="M184" s="642">
        <v>0.26655971952491414</v>
      </c>
      <c r="N184" s="640">
        <v>27397.988868631539</v>
      </c>
      <c r="O184" s="641">
        <v>812</v>
      </c>
      <c r="P184" s="639">
        <v>231373.75</v>
      </c>
      <c r="Q184" s="640">
        <v>170461.93</v>
      </c>
      <c r="R184" s="515">
        <v>0.88054187192118227</v>
      </c>
      <c r="S184" s="640">
        <v>-7124.7399999999907</v>
      </c>
      <c r="T184" s="572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</row>
    <row r="185" spans="1:40" ht="15.75" customHeight="1">
      <c r="A185" s="490" t="s">
        <v>337</v>
      </c>
      <c r="B185" s="481" t="s">
        <v>83</v>
      </c>
      <c r="C185" s="643" t="s">
        <v>93</v>
      </c>
      <c r="D185" s="644"/>
      <c r="E185" s="645">
        <v>234.20767017464945</v>
      </c>
      <c r="F185" s="646">
        <v>0.72339756448427672</v>
      </c>
      <c r="G185" s="647"/>
      <c r="H185" s="645"/>
      <c r="I185" s="516"/>
      <c r="J185" s="647"/>
      <c r="K185" s="645">
        <v>332.87969230769232</v>
      </c>
      <c r="L185" s="516">
        <v>0.68626482076432571</v>
      </c>
      <c r="M185" s="647"/>
      <c r="N185" s="646">
        <v>0.20154590170170827</v>
      </c>
      <c r="O185" s="647"/>
      <c r="P185" s="645">
        <v>284.9430418719212</v>
      </c>
      <c r="Q185" s="516">
        <v>0.73673841565864751</v>
      </c>
      <c r="R185" s="647"/>
      <c r="S185" s="516">
        <v>-4.1796663923727669E-2</v>
      </c>
      <c r="T185" s="572"/>
      <c r="U185" s="481"/>
      <c r="V185" s="481"/>
      <c r="W185" s="481"/>
      <c r="X185" s="481"/>
      <c r="Y185" s="481"/>
      <c r="Z185" s="481"/>
      <c r="AA185" s="481"/>
      <c r="AB185" s="481"/>
      <c r="AC185" s="481"/>
      <c r="AD185" s="481"/>
      <c r="AE185" s="481"/>
      <c r="AF185" s="481"/>
      <c r="AG185" s="481"/>
      <c r="AH185" s="481"/>
      <c r="AI185" s="481"/>
      <c r="AJ185" s="481"/>
      <c r="AK185" s="481"/>
      <c r="AL185" s="481"/>
      <c r="AM185" s="481"/>
      <c r="AN185" s="481"/>
    </row>
    <row r="186" spans="1:40" ht="15.75" customHeight="1">
      <c r="A186" s="490" t="s">
        <v>83</v>
      </c>
      <c r="B186" s="481" t="s">
        <v>83</v>
      </c>
      <c r="C186" s="504"/>
      <c r="D186" s="648"/>
      <c r="E186" s="649"/>
      <c r="F186" s="650"/>
      <c r="G186" s="651"/>
      <c r="H186" s="649"/>
      <c r="I186" s="650"/>
      <c r="J186" s="651"/>
      <c r="K186" s="649"/>
      <c r="L186" s="650">
        <v>74671.790000000008</v>
      </c>
      <c r="M186" s="651"/>
      <c r="N186" s="650"/>
      <c r="O186" s="651"/>
      <c r="P186" s="649"/>
      <c r="Q186" s="650"/>
      <c r="R186" s="651"/>
      <c r="S186" s="650"/>
      <c r="T186" s="572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</row>
    <row r="187" spans="1:40" ht="19.5" customHeight="1">
      <c r="A187" s="490" t="s">
        <v>338</v>
      </c>
      <c r="B187" s="481" t="s">
        <v>83</v>
      </c>
      <c r="C187" s="498" t="s">
        <v>94</v>
      </c>
      <c r="D187" s="542"/>
      <c r="E187" s="542">
        <v>27614.678327403479</v>
      </c>
      <c r="F187" s="542">
        <v>6075.2292320287652</v>
      </c>
      <c r="G187" s="525"/>
      <c r="H187" s="542"/>
      <c r="I187" s="542"/>
      <c r="J187" s="525"/>
      <c r="K187" s="499">
        <v>12633.650000000001</v>
      </c>
      <c r="L187" s="501">
        <v>2733.9000000000024</v>
      </c>
      <c r="M187" s="543">
        <v>-0.54250236594416623</v>
      </c>
      <c r="N187" s="524">
        <v>-3341.3292320287628</v>
      </c>
      <c r="O187" s="525"/>
      <c r="P187" s="499">
        <v>27467.200000000001</v>
      </c>
      <c r="Q187" s="501">
        <v>5556.630000000001</v>
      </c>
      <c r="R187" s="543">
        <v>0</v>
      </c>
      <c r="S187" s="524">
        <v>-2822.7299999999987</v>
      </c>
      <c r="T187" s="572"/>
      <c r="U187" s="481"/>
      <c r="V187" s="481"/>
      <c r="W187" s="481"/>
      <c r="X187" s="481"/>
      <c r="Y187" s="481"/>
      <c r="Z187" s="481"/>
      <c r="AA187" s="481"/>
      <c r="AB187" s="481"/>
      <c r="AC187" s="481"/>
      <c r="AD187" s="481"/>
      <c r="AE187" s="481"/>
      <c r="AF187" s="481"/>
      <c r="AG187" s="481"/>
      <c r="AH187" s="481"/>
      <c r="AI187" s="481"/>
      <c r="AJ187" s="481"/>
      <c r="AK187" s="481"/>
      <c r="AL187" s="481"/>
      <c r="AM187" s="481"/>
      <c r="AN187" s="481"/>
    </row>
    <row r="188" spans="1:40" ht="21" customHeight="1">
      <c r="A188" s="490" t="s">
        <v>331</v>
      </c>
      <c r="B188" s="481" t="s">
        <v>83</v>
      </c>
      <c r="C188" s="498" t="s">
        <v>87</v>
      </c>
      <c r="D188" s="481"/>
      <c r="E188" s="604"/>
      <c r="F188" s="620">
        <v>0.22</v>
      </c>
      <c r="G188" s="498"/>
      <c r="H188" s="604"/>
      <c r="I188" s="620"/>
      <c r="J188" s="631"/>
      <c r="K188" s="630"/>
      <c r="L188" s="620">
        <v>0.21639826970036388</v>
      </c>
      <c r="M188" s="631"/>
      <c r="N188" s="632"/>
      <c r="O188" s="631"/>
      <c r="P188" s="630"/>
      <c r="Q188" s="620">
        <v>0.2023005621250073</v>
      </c>
      <c r="R188" s="631"/>
      <c r="S188" s="632"/>
      <c r="T188" s="572"/>
      <c r="U188" s="481"/>
      <c r="V188" s="481"/>
      <c r="W188" s="481"/>
      <c r="X188" s="481"/>
      <c r="Y188" s="481"/>
      <c r="Z188" s="481"/>
      <c r="AA188" s="481"/>
      <c r="AB188" s="481"/>
      <c r="AC188" s="481"/>
      <c r="AD188" s="481"/>
      <c r="AE188" s="481"/>
      <c r="AF188" s="481"/>
      <c r="AG188" s="481"/>
      <c r="AH188" s="481"/>
      <c r="AI188" s="481"/>
      <c r="AJ188" s="481"/>
      <c r="AK188" s="481"/>
      <c r="AL188" s="481"/>
      <c r="AM188" s="481"/>
      <c r="AN188" s="481"/>
    </row>
    <row r="189" spans="1:40" ht="15.75" customHeight="1">
      <c r="A189" s="490" t="s">
        <v>83</v>
      </c>
      <c r="B189" s="481" t="s">
        <v>83</v>
      </c>
      <c r="C189" s="498"/>
      <c r="D189" s="481"/>
      <c r="E189" s="604"/>
      <c r="F189" s="620"/>
      <c r="G189" s="498"/>
      <c r="H189" s="604"/>
      <c r="I189" s="620"/>
      <c r="J189" s="631"/>
      <c r="K189" s="630"/>
      <c r="L189" s="620"/>
      <c r="M189" s="631"/>
      <c r="N189" s="632"/>
      <c r="O189" s="631"/>
      <c r="P189" s="630"/>
      <c r="Q189" s="620"/>
      <c r="R189" s="631"/>
      <c r="S189" s="632"/>
      <c r="T189" s="572"/>
      <c r="U189" s="481"/>
      <c r="V189" s="481"/>
      <c r="W189" s="481"/>
      <c r="X189" s="481"/>
      <c r="Y189" s="481"/>
      <c r="Z189" s="481"/>
      <c r="AA189" s="481"/>
      <c r="AB189" s="481"/>
      <c r="AC189" s="481"/>
      <c r="AD189" s="481"/>
      <c r="AE189" s="481"/>
      <c r="AF189" s="481"/>
      <c r="AG189" s="481"/>
      <c r="AH189" s="481"/>
      <c r="AI189" s="481"/>
      <c r="AJ189" s="481"/>
      <c r="AK189" s="481"/>
      <c r="AL189" s="481"/>
      <c r="AM189" s="481"/>
      <c r="AN189" s="481"/>
    </row>
    <row r="190" spans="1:40" ht="15.75" customHeight="1">
      <c r="A190" s="490" t="s">
        <v>339</v>
      </c>
      <c r="B190" s="481" t="s">
        <v>83</v>
      </c>
      <c r="C190" s="498" t="s">
        <v>95</v>
      </c>
      <c r="D190" s="481"/>
      <c r="E190" s="542">
        <v>0</v>
      </c>
      <c r="F190" s="542">
        <v>0</v>
      </c>
      <c r="G190" s="498"/>
      <c r="H190" s="542"/>
      <c r="I190" s="542"/>
      <c r="J190" s="625">
        <v>72</v>
      </c>
      <c r="K190" s="499">
        <v>12594.24</v>
      </c>
      <c r="L190" s="501">
        <v>8569.1299999999992</v>
      </c>
      <c r="M190" s="631"/>
      <c r="N190" s="632"/>
      <c r="O190" s="631"/>
      <c r="P190" s="499">
        <v>0</v>
      </c>
      <c r="Q190" s="620"/>
      <c r="R190" s="631"/>
      <c r="S190" s="632"/>
      <c r="T190" s="572"/>
      <c r="U190" s="481"/>
      <c r="V190" s="481"/>
      <c r="W190" s="481"/>
      <c r="X190" s="481"/>
      <c r="Y190" s="481"/>
      <c r="Z190" s="481"/>
      <c r="AA190" s="481"/>
      <c r="AB190" s="481"/>
      <c r="AC190" s="481"/>
      <c r="AD190" s="481"/>
      <c r="AE190" s="481"/>
      <c r="AF190" s="481"/>
      <c r="AG190" s="481"/>
      <c r="AH190" s="481"/>
      <c r="AI190" s="481"/>
      <c r="AJ190" s="481"/>
      <c r="AK190" s="481"/>
      <c r="AL190" s="481"/>
      <c r="AM190" s="481"/>
      <c r="AN190" s="481"/>
    </row>
    <row r="191" spans="1:40" ht="15.75" customHeight="1">
      <c r="A191" s="490" t="s">
        <v>331</v>
      </c>
      <c r="B191" s="481" t="s">
        <v>83</v>
      </c>
      <c r="C191" s="498" t="s">
        <v>87</v>
      </c>
      <c r="D191" s="481"/>
      <c r="E191" s="604"/>
      <c r="F191" s="620">
        <v>0</v>
      </c>
      <c r="G191" s="498"/>
      <c r="H191" s="604"/>
      <c r="I191" s="620"/>
      <c r="J191" s="631"/>
      <c r="K191" s="630"/>
      <c r="L191" s="620">
        <v>0.68040072287013742</v>
      </c>
      <c r="M191" s="631"/>
      <c r="N191" s="632"/>
      <c r="O191" s="631"/>
      <c r="P191" s="630"/>
      <c r="Q191" s="620">
        <v>0</v>
      </c>
      <c r="R191" s="631"/>
      <c r="S191" s="632"/>
      <c r="T191" s="572"/>
      <c r="U191" s="481"/>
      <c r="V191" s="481"/>
      <c r="W191" s="481"/>
      <c r="X191" s="481"/>
      <c r="Y191" s="481"/>
      <c r="Z191" s="481"/>
      <c r="AA191" s="481"/>
      <c r="AB191" s="481"/>
      <c r="AC191" s="481"/>
      <c r="AD191" s="481"/>
      <c r="AE191" s="481"/>
      <c r="AF191" s="481"/>
      <c r="AG191" s="481"/>
      <c r="AH191" s="481"/>
      <c r="AI191" s="481"/>
      <c r="AJ191" s="481"/>
      <c r="AK191" s="481"/>
      <c r="AL191" s="481"/>
      <c r="AM191" s="481"/>
      <c r="AN191" s="481"/>
    </row>
    <row r="192" spans="1:40" ht="15.75" customHeight="1" thickBot="1">
      <c r="A192" s="490" t="s">
        <v>83</v>
      </c>
      <c r="B192" s="481" t="s">
        <v>83</v>
      </c>
      <c r="C192" s="652"/>
      <c r="D192" s="653"/>
      <c r="E192" s="654"/>
      <c r="F192" s="655"/>
      <c r="G192" s="656"/>
      <c r="H192" s="654"/>
      <c r="I192" s="655"/>
      <c r="J192" s="656"/>
      <c r="K192" s="654"/>
      <c r="L192" s="655"/>
      <c r="M192" s="656"/>
      <c r="N192" s="655"/>
      <c r="O192" s="656"/>
      <c r="P192" s="654"/>
      <c r="Q192" s="655"/>
      <c r="R192" s="656"/>
      <c r="S192" s="655"/>
      <c r="T192" s="572"/>
      <c r="U192" s="481"/>
      <c r="V192" s="481"/>
      <c r="W192" s="481"/>
      <c r="X192" s="481"/>
      <c r="Y192" s="481"/>
      <c r="Z192" s="481"/>
      <c r="AA192" s="481"/>
      <c r="AB192" s="481"/>
      <c r="AC192" s="481"/>
      <c r="AD192" s="481"/>
      <c r="AE192" s="481"/>
      <c r="AF192" s="481"/>
      <c r="AG192" s="481"/>
      <c r="AH192" s="481"/>
      <c r="AI192" s="481"/>
      <c r="AJ192" s="481"/>
      <c r="AK192" s="481"/>
      <c r="AL192" s="481"/>
      <c r="AM192" s="481"/>
      <c r="AN192" s="481"/>
    </row>
    <row r="193" spans="1:40" ht="24.75" customHeight="1" thickTop="1">
      <c r="A193" s="490" t="s">
        <v>340</v>
      </c>
      <c r="B193" s="481" t="s">
        <v>83</v>
      </c>
      <c r="C193" s="526" t="s">
        <v>96</v>
      </c>
      <c r="D193" s="527"/>
      <c r="E193" s="527">
        <v>215532.37090117097</v>
      </c>
      <c r="F193" s="529">
        <v>142014.43036339723</v>
      </c>
      <c r="G193" s="530"/>
      <c r="H193" s="527"/>
      <c r="I193" s="529"/>
      <c r="J193" s="530"/>
      <c r="K193" s="527">
        <v>263236.87</v>
      </c>
      <c r="L193" s="529">
        <v>174640.22</v>
      </c>
      <c r="M193" s="657">
        <v>4.533034145100423E-3</v>
      </c>
      <c r="N193" s="529">
        <v>32625.789636602771</v>
      </c>
      <c r="O193" s="530"/>
      <c r="P193" s="527">
        <v>258840.95</v>
      </c>
      <c r="Q193" s="529">
        <v>176018.56</v>
      </c>
      <c r="R193" s="657"/>
      <c r="S193" s="529">
        <v>-1378.3399999999965</v>
      </c>
      <c r="T193" s="572"/>
      <c r="U193" s="481"/>
      <c r="V193" s="481"/>
      <c r="W193" s="481"/>
      <c r="X193" s="481"/>
      <c r="Y193" s="481"/>
      <c r="Z193" s="481"/>
      <c r="AA193" s="481"/>
      <c r="AB193" s="481"/>
      <c r="AC193" s="481"/>
      <c r="AD193" s="481"/>
      <c r="AE193" s="481"/>
      <c r="AF193" s="481"/>
      <c r="AG193" s="481"/>
      <c r="AH193" s="481"/>
      <c r="AI193" s="481"/>
      <c r="AJ193" s="481"/>
      <c r="AK193" s="481"/>
      <c r="AL193" s="481"/>
      <c r="AM193" s="481"/>
      <c r="AN193" s="481"/>
    </row>
    <row r="194" spans="1:40" ht="24" customHeight="1" thickBot="1">
      <c r="A194" s="490" t="s">
        <v>83</v>
      </c>
      <c r="B194" s="481" t="s">
        <v>83</v>
      </c>
      <c r="C194" s="531"/>
      <c r="D194" s="532"/>
      <c r="E194" s="532"/>
      <c r="F194" s="536">
        <v>0.65890070141025703</v>
      </c>
      <c r="G194" s="531"/>
      <c r="H194" s="532"/>
      <c r="I194" s="536"/>
      <c r="J194" s="531"/>
      <c r="K194" s="532"/>
      <c r="L194" s="536">
        <v>0.66343373555535745</v>
      </c>
      <c r="M194" s="535"/>
      <c r="N194" s="536">
        <v>0.22973573567923655</v>
      </c>
      <c r="O194" s="531"/>
      <c r="P194" s="532"/>
      <c r="Q194" s="536">
        <v>0.68002593870869343</v>
      </c>
      <c r="R194" s="535"/>
      <c r="S194" s="536">
        <v>-126.70329526822151</v>
      </c>
      <c r="T194" s="537"/>
      <c r="U194" s="481"/>
      <c r="V194" s="481"/>
      <c r="W194" s="481"/>
      <c r="X194" s="481"/>
      <c r="Y194" s="481"/>
      <c r="Z194" s="481"/>
      <c r="AA194" s="481"/>
      <c r="AB194" s="481"/>
      <c r="AC194" s="481"/>
      <c r="AD194" s="481"/>
      <c r="AE194" s="481"/>
      <c r="AF194" s="481"/>
      <c r="AG194" s="481"/>
      <c r="AH194" s="481"/>
      <c r="AI194" s="481"/>
      <c r="AJ194" s="481"/>
      <c r="AK194" s="481"/>
      <c r="AL194" s="481"/>
      <c r="AM194" s="481"/>
      <c r="AN194" s="481"/>
    </row>
    <row r="195" spans="1:40" ht="15.75" customHeight="1" thickTop="1">
      <c r="A195" s="490" t="s">
        <v>83</v>
      </c>
      <c r="B195" s="481" t="s">
        <v>83</v>
      </c>
      <c r="C195" s="517"/>
      <c r="D195" s="537"/>
      <c r="E195" s="537"/>
      <c r="F195" s="516"/>
      <c r="G195" s="517"/>
      <c r="H195" s="537"/>
      <c r="I195" s="516"/>
      <c r="J195" s="517"/>
      <c r="K195" s="572"/>
      <c r="L195" s="516"/>
      <c r="M195" s="515"/>
      <c r="N195" s="516"/>
      <c r="O195" s="517"/>
      <c r="P195" s="537"/>
      <c r="Q195" s="516"/>
      <c r="R195" s="515"/>
      <c r="S195" s="516"/>
      <c r="T195" s="537"/>
      <c r="U195" s="481"/>
      <c r="V195" s="481"/>
      <c r="W195" s="481"/>
      <c r="X195" s="481"/>
      <c r="Y195" s="481"/>
      <c r="Z195" s="481"/>
      <c r="AA195" s="481"/>
      <c r="AB195" s="481"/>
      <c r="AC195" s="481"/>
      <c r="AD195" s="481"/>
      <c r="AE195" s="481"/>
      <c r="AF195" s="481"/>
      <c r="AG195" s="481"/>
      <c r="AH195" s="481"/>
      <c r="AI195" s="481"/>
      <c r="AJ195" s="481"/>
      <c r="AK195" s="481"/>
      <c r="AL195" s="481"/>
      <c r="AM195" s="481"/>
      <c r="AN195" s="481"/>
    </row>
    <row r="196" spans="1:40" ht="15.75" customHeight="1">
      <c r="A196" s="490" t="s">
        <v>341</v>
      </c>
      <c r="B196" s="481" t="s">
        <v>83</v>
      </c>
      <c r="C196" s="539" t="s">
        <v>30</v>
      </c>
      <c r="D196" s="481"/>
      <c r="E196" s="481"/>
      <c r="F196" s="524"/>
      <c r="G196" s="498"/>
      <c r="H196" s="481"/>
      <c r="I196" s="524"/>
      <c r="J196" s="498"/>
      <c r="K196" s="481"/>
      <c r="L196" s="508"/>
      <c r="M196" s="498"/>
      <c r="N196" s="508"/>
      <c r="O196" s="498"/>
      <c r="P196" s="481"/>
      <c r="Q196" s="508"/>
      <c r="R196" s="498"/>
      <c r="S196" s="508"/>
      <c r="T196" s="481"/>
      <c r="U196" s="481"/>
      <c r="V196" s="481"/>
      <c r="W196" s="481"/>
      <c r="X196" s="481"/>
      <c r="Y196" s="481"/>
      <c r="Z196" s="481"/>
      <c r="AA196" s="481"/>
      <c r="AB196" s="481"/>
      <c r="AC196" s="481"/>
      <c r="AD196" s="481"/>
      <c r="AE196" s="481"/>
      <c r="AF196" s="481"/>
      <c r="AG196" s="481"/>
      <c r="AH196" s="481"/>
      <c r="AI196" s="481"/>
      <c r="AJ196" s="481"/>
      <c r="AK196" s="481"/>
      <c r="AL196" s="481"/>
      <c r="AM196" s="481"/>
      <c r="AN196" s="481"/>
    </row>
    <row r="197" spans="1:40" ht="15.75" customHeight="1">
      <c r="A197" s="490" t="s">
        <v>342</v>
      </c>
      <c r="B197" s="481" t="s">
        <v>83</v>
      </c>
      <c r="C197" s="565" t="s">
        <v>41</v>
      </c>
      <c r="D197" s="481"/>
      <c r="E197" s="481"/>
      <c r="F197" s="499">
        <v>12721.539463601532</v>
      </c>
      <c r="G197" s="498"/>
      <c r="H197" s="481"/>
      <c r="I197" s="499"/>
      <c r="J197" s="498"/>
      <c r="K197" s="481"/>
      <c r="L197" s="501">
        <v>11257.65</v>
      </c>
      <c r="M197" s="498"/>
      <c r="N197" s="501">
        <v>-1463.889463601532</v>
      </c>
      <c r="O197" s="498"/>
      <c r="P197" s="481"/>
      <c r="Q197" s="501">
        <v>11797.67</v>
      </c>
      <c r="R197" s="498"/>
      <c r="S197" s="501">
        <v>-540.02000000000044</v>
      </c>
      <c r="T197" s="481"/>
      <c r="U197" s="481"/>
      <c r="V197" s="481"/>
      <c r="W197" s="481"/>
      <c r="X197" s="481"/>
      <c r="Y197" s="481"/>
      <c r="Z197" s="481"/>
      <c r="AA197" s="481"/>
      <c r="AB197" s="481"/>
      <c r="AC197" s="481"/>
      <c r="AD197" s="481"/>
      <c r="AE197" s="481"/>
      <c r="AF197" s="481"/>
      <c r="AG197" s="481"/>
      <c r="AH197" s="481"/>
      <c r="AI197" s="481"/>
      <c r="AJ197" s="481"/>
      <c r="AK197" s="481"/>
      <c r="AL197" s="481"/>
      <c r="AM197" s="481"/>
      <c r="AN197" s="481"/>
    </row>
    <row r="198" spans="1:40" ht="15.75" customHeight="1">
      <c r="A198" s="490" t="s">
        <v>343</v>
      </c>
      <c r="B198" s="481" t="s">
        <v>83</v>
      </c>
      <c r="C198" s="566" t="s">
        <v>42</v>
      </c>
      <c r="D198" s="550"/>
      <c r="E198" s="481"/>
      <c r="F198" s="493">
        <v>10086.291954022989</v>
      </c>
      <c r="G198" s="551"/>
      <c r="H198" s="481"/>
      <c r="I198" s="493"/>
      <c r="J198" s="498"/>
      <c r="K198" s="481"/>
      <c r="L198" s="501">
        <v>9437.7800000000007</v>
      </c>
      <c r="M198" s="498"/>
      <c r="N198" s="501">
        <v>-648.51195402298799</v>
      </c>
      <c r="O198" s="498"/>
      <c r="P198" s="481"/>
      <c r="Q198" s="501">
        <v>8175.66</v>
      </c>
      <c r="R198" s="498"/>
      <c r="S198" s="524">
        <v>1262.1200000000008</v>
      </c>
      <c r="T198" s="481"/>
      <c r="U198" s="481"/>
      <c r="V198" s="481"/>
      <c r="W198" s="481"/>
      <c r="X198" s="481"/>
      <c r="Y198" s="481"/>
      <c r="Z198" s="481"/>
      <c r="AA198" s="481"/>
      <c r="AB198" s="481"/>
      <c r="AC198" s="481"/>
      <c r="AD198" s="481"/>
      <c r="AE198" s="481"/>
      <c r="AF198" s="481"/>
      <c r="AG198" s="481"/>
      <c r="AH198" s="481"/>
      <c r="AI198" s="481"/>
      <c r="AJ198" s="481"/>
      <c r="AK198" s="481"/>
      <c r="AL198" s="481"/>
      <c r="AM198" s="481"/>
      <c r="AN198" s="481"/>
    </row>
    <row r="199" spans="1:40" ht="20.399999999999999">
      <c r="A199" s="490" t="s">
        <v>344</v>
      </c>
      <c r="B199" s="481" t="s">
        <v>83</v>
      </c>
      <c r="C199" s="565" t="s">
        <v>43</v>
      </c>
      <c r="D199" s="567"/>
      <c r="E199" s="568"/>
      <c r="F199" s="499">
        <v>12981.605363984674</v>
      </c>
      <c r="G199" s="569"/>
      <c r="H199" s="568"/>
      <c r="I199" s="499"/>
      <c r="J199" s="485"/>
      <c r="K199" s="568"/>
      <c r="L199" s="520">
        <v>22744.12</v>
      </c>
      <c r="M199" s="485"/>
      <c r="N199" s="520">
        <v>9762.5146360153249</v>
      </c>
      <c r="O199" s="485"/>
      <c r="P199" s="568"/>
      <c r="Q199" s="520">
        <v>19824.099999999999</v>
      </c>
      <c r="R199" s="485"/>
      <c r="S199" s="570">
        <v>2920.0200000000004</v>
      </c>
      <c r="T199" s="481"/>
      <c r="U199" s="481"/>
      <c r="V199" s="481"/>
      <c r="W199" s="481"/>
      <c r="X199" s="481"/>
      <c r="Y199" s="481">
        <v>4875</v>
      </c>
      <c r="Z199" s="481"/>
      <c r="AA199" s="481"/>
      <c r="AB199" s="481"/>
      <c r="AC199" s="481"/>
      <c r="AD199" s="481"/>
      <c r="AE199" s="481"/>
      <c r="AF199" s="481"/>
      <c r="AG199" s="481"/>
      <c r="AH199" s="481"/>
      <c r="AI199" s="481"/>
      <c r="AJ199" s="481"/>
      <c r="AK199" s="481"/>
      <c r="AL199" s="481"/>
      <c r="AM199" s="481"/>
      <c r="AN199" s="481"/>
    </row>
    <row r="200" spans="1:40" ht="21.75" customHeight="1">
      <c r="A200" s="490" t="s">
        <v>345</v>
      </c>
      <c r="B200" s="481" t="s">
        <v>83</v>
      </c>
      <c r="C200" s="565" t="s">
        <v>44</v>
      </c>
      <c r="D200" s="550"/>
      <c r="E200" s="481"/>
      <c r="F200" s="499">
        <v>28932.025999442976</v>
      </c>
      <c r="G200" s="551"/>
      <c r="H200" s="481"/>
      <c r="I200" s="499"/>
      <c r="J200" s="498"/>
      <c r="K200" s="481"/>
      <c r="L200" s="501">
        <v>28337.21</v>
      </c>
      <c r="M200" s="498"/>
      <c r="N200" s="501">
        <v>-594.81599944297704</v>
      </c>
      <c r="O200" s="498"/>
      <c r="P200" s="481"/>
      <c r="Q200" s="501">
        <v>27003.26</v>
      </c>
      <c r="R200" s="498"/>
      <c r="S200" s="524">
        <v>1333.9500000000007</v>
      </c>
      <c r="T200" s="481"/>
      <c r="U200" s="481"/>
      <c r="V200" s="481"/>
      <c r="W200" s="481"/>
      <c r="X200" s="481"/>
      <c r="Y200" s="481"/>
      <c r="Z200" s="481"/>
      <c r="AA200" s="481"/>
      <c r="AB200" s="481"/>
      <c r="AC200" s="481"/>
      <c r="AD200" s="481"/>
      <c r="AE200" s="481"/>
      <c r="AF200" s="481"/>
      <c r="AG200" s="481"/>
      <c r="AH200" s="481"/>
      <c r="AI200" s="481"/>
      <c r="AJ200" s="481"/>
      <c r="AK200" s="481"/>
      <c r="AL200" s="481"/>
      <c r="AM200" s="481"/>
      <c r="AN200" s="481"/>
    </row>
    <row r="201" spans="1:40" ht="15.75" hidden="1" customHeight="1">
      <c r="A201" s="490" t="s">
        <v>346</v>
      </c>
      <c r="B201" s="481" t="s">
        <v>83</v>
      </c>
      <c r="C201" s="498" t="s">
        <v>20</v>
      </c>
      <c r="D201" s="550"/>
      <c r="E201" s="481"/>
      <c r="F201" s="499">
        <v>0</v>
      </c>
      <c r="G201" s="551"/>
      <c r="H201" s="481"/>
      <c r="I201" s="499"/>
      <c r="J201" s="498"/>
      <c r="K201" s="481"/>
      <c r="L201" s="501">
        <v>0</v>
      </c>
      <c r="M201" s="498"/>
      <c r="N201" s="501">
        <v>0</v>
      </c>
      <c r="O201" s="498"/>
      <c r="P201" s="481"/>
      <c r="Q201" s="501">
        <v>0</v>
      </c>
      <c r="R201" s="498"/>
      <c r="S201" s="524">
        <v>0</v>
      </c>
      <c r="T201" s="481"/>
      <c r="U201" s="481"/>
      <c r="V201" s="481"/>
      <c r="W201" s="481"/>
      <c r="X201" s="481"/>
      <c r="Y201" s="481"/>
      <c r="Z201" s="481"/>
      <c r="AA201" s="481"/>
      <c r="AB201" s="481"/>
      <c r="AC201" s="481"/>
      <c r="AD201" s="481"/>
      <c r="AE201" s="481"/>
      <c r="AF201" s="481"/>
      <c r="AG201" s="481"/>
      <c r="AH201" s="481"/>
      <c r="AI201" s="481"/>
      <c r="AJ201" s="481"/>
      <c r="AK201" s="481"/>
      <c r="AL201" s="481"/>
      <c r="AM201" s="481"/>
      <c r="AN201" s="481"/>
    </row>
    <row r="202" spans="1:40" ht="15.75" hidden="1" customHeight="1">
      <c r="A202" s="490" t="s">
        <v>346</v>
      </c>
      <c r="B202" s="481" t="s">
        <v>83</v>
      </c>
      <c r="C202" s="498" t="s">
        <v>20</v>
      </c>
      <c r="D202" s="550"/>
      <c r="E202" s="481"/>
      <c r="F202" s="499">
        <v>0</v>
      </c>
      <c r="G202" s="551"/>
      <c r="H202" s="481"/>
      <c r="I202" s="499"/>
      <c r="J202" s="498"/>
      <c r="K202" s="481"/>
      <c r="L202" s="501">
        <v>0</v>
      </c>
      <c r="M202" s="498"/>
      <c r="N202" s="501">
        <v>0</v>
      </c>
      <c r="O202" s="498"/>
      <c r="P202" s="481"/>
      <c r="Q202" s="501">
        <v>0</v>
      </c>
      <c r="R202" s="498"/>
      <c r="S202" s="524">
        <v>0</v>
      </c>
      <c r="T202" s="481"/>
      <c r="U202" s="481"/>
      <c r="V202" s="481"/>
      <c r="W202" s="481"/>
      <c r="X202" s="481"/>
      <c r="Y202" s="481"/>
      <c r="Z202" s="481"/>
      <c r="AA202" s="481"/>
      <c r="AB202" s="481"/>
      <c r="AC202" s="481"/>
      <c r="AD202" s="481"/>
      <c r="AE202" s="481"/>
      <c r="AF202" s="481"/>
      <c r="AG202" s="481"/>
      <c r="AH202" s="481"/>
      <c r="AI202" s="481"/>
      <c r="AJ202" s="481"/>
      <c r="AK202" s="481"/>
      <c r="AL202" s="481"/>
      <c r="AM202" s="481"/>
      <c r="AN202" s="481"/>
    </row>
    <row r="203" spans="1:40" ht="15.75" hidden="1" customHeight="1">
      <c r="A203" s="490" t="s">
        <v>346</v>
      </c>
      <c r="B203" s="481" t="s">
        <v>83</v>
      </c>
      <c r="C203" s="498" t="s">
        <v>20</v>
      </c>
      <c r="D203" s="550"/>
      <c r="E203" s="481"/>
      <c r="F203" s="499">
        <v>0</v>
      </c>
      <c r="G203" s="551"/>
      <c r="H203" s="481"/>
      <c r="I203" s="499"/>
      <c r="J203" s="498"/>
      <c r="K203" s="481"/>
      <c r="L203" s="501">
        <v>0</v>
      </c>
      <c r="M203" s="498"/>
      <c r="N203" s="501">
        <v>0</v>
      </c>
      <c r="O203" s="498"/>
      <c r="P203" s="481"/>
      <c r="Q203" s="501">
        <v>0</v>
      </c>
      <c r="R203" s="498"/>
      <c r="S203" s="524">
        <v>0</v>
      </c>
      <c r="T203" s="481"/>
      <c r="U203" s="481"/>
      <c r="V203" s="481"/>
      <c r="W203" s="481"/>
      <c r="X203" s="481"/>
      <c r="Y203" s="481"/>
      <c r="Z203" s="481"/>
      <c r="AA203" s="481"/>
      <c r="AB203" s="481"/>
      <c r="AC203" s="481"/>
      <c r="AD203" s="481"/>
      <c r="AE203" s="481"/>
      <c r="AF203" s="481"/>
      <c r="AG203" s="481"/>
      <c r="AH203" s="481"/>
      <c r="AI203" s="481"/>
      <c r="AJ203" s="481"/>
      <c r="AK203" s="481"/>
      <c r="AL203" s="481"/>
      <c r="AM203" s="481"/>
      <c r="AN203" s="481"/>
    </row>
    <row r="204" spans="1:40" ht="21.75" customHeight="1">
      <c r="A204" s="490" t="s">
        <v>347</v>
      </c>
      <c r="B204" s="481" t="s">
        <v>83</v>
      </c>
      <c r="C204" s="566" t="s">
        <v>45</v>
      </c>
      <c r="D204" s="550"/>
      <c r="E204" s="481"/>
      <c r="F204" s="499">
        <v>13569.833845362537</v>
      </c>
      <c r="G204" s="551"/>
      <c r="H204" s="481"/>
      <c r="I204" s="499"/>
      <c r="J204" s="498"/>
      <c r="K204" s="481"/>
      <c r="L204" s="501">
        <v>17917.86</v>
      </c>
      <c r="M204" s="498"/>
      <c r="N204" s="501">
        <v>4348.0261546374641</v>
      </c>
      <c r="O204" s="498"/>
      <c r="P204" s="481"/>
      <c r="Q204" s="501">
        <v>16355.37</v>
      </c>
      <c r="R204" s="498"/>
      <c r="S204" s="524">
        <v>1562.4899999999998</v>
      </c>
      <c r="T204" s="481"/>
      <c r="U204" s="481"/>
      <c r="V204" s="481"/>
      <c r="W204" s="481"/>
      <c r="X204" s="481"/>
      <c r="Y204" s="481"/>
      <c r="Z204" s="481"/>
      <c r="AA204" s="481"/>
      <c r="AB204" s="481"/>
      <c r="AC204" s="481"/>
      <c r="AD204" s="481"/>
      <c r="AE204" s="481"/>
      <c r="AF204" s="481"/>
      <c r="AG204" s="481"/>
      <c r="AH204" s="481"/>
      <c r="AI204" s="481"/>
      <c r="AJ204" s="481"/>
      <c r="AK204" s="481"/>
      <c r="AL204" s="481"/>
      <c r="AM204" s="481"/>
      <c r="AN204" s="481"/>
    </row>
    <row r="205" spans="1:40" ht="15.75" customHeight="1">
      <c r="A205" s="490" t="s">
        <v>348</v>
      </c>
      <c r="B205" s="481" t="s">
        <v>83</v>
      </c>
      <c r="C205" s="565" t="s">
        <v>46</v>
      </c>
      <c r="D205" s="567"/>
      <c r="E205" s="568"/>
      <c r="F205" s="520">
        <v>13489.750891410858</v>
      </c>
      <c r="G205" s="569"/>
      <c r="H205" s="568"/>
      <c r="I205" s="520"/>
      <c r="J205" s="485"/>
      <c r="K205" s="568"/>
      <c r="L205" s="520">
        <v>17844.88</v>
      </c>
      <c r="M205" s="485"/>
      <c r="N205" s="520">
        <v>4355.1291085891426</v>
      </c>
      <c r="O205" s="485"/>
      <c r="P205" s="568"/>
      <c r="Q205" s="520">
        <v>14882.75</v>
      </c>
      <c r="R205" s="485"/>
      <c r="S205" s="570">
        <v>2962.130000000001</v>
      </c>
      <c r="T205" s="481"/>
      <c r="U205" s="481"/>
      <c r="V205" s="481">
        <v>1869.3333333333333</v>
      </c>
      <c r="W205" s="481"/>
      <c r="X205" s="481"/>
      <c r="Y205" s="481"/>
      <c r="Z205" s="481"/>
      <c r="AA205" s="481"/>
      <c r="AB205" s="481"/>
      <c r="AC205" s="481"/>
      <c r="AD205" s="481"/>
      <c r="AE205" s="481"/>
      <c r="AF205" s="481"/>
      <c r="AG205" s="481"/>
      <c r="AH205" s="481"/>
      <c r="AI205" s="481"/>
      <c r="AJ205" s="481"/>
      <c r="AK205" s="481"/>
      <c r="AL205" s="481"/>
      <c r="AM205" s="481"/>
      <c r="AN205" s="481"/>
    </row>
    <row r="206" spans="1:40" ht="15.75" customHeight="1">
      <c r="A206" s="490" t="s">
        <v>349</v>
      </c>
      <c r="B206" s="481" t="s">
        <v>83</v>
      </c>
      <c r="C206" s="565" t="s">
        <v>47</v>
      </c>
      <c r="D206" s="550"/>
      <c r="E206" s="481"/>
      <c r="F206" s="499">
        <v>9446.3064373973939</v>
      </c>
      <c r="G206" s="551"/>
      <c r="H206" s="481"/>
      <c r="I206" s="499"/>
      <c r="J206" s="498"/>
      <c r="K206" s="481"/>
      <c r="L206" s="501">
        <v>11268.55</v>
      </c>
      <c r="M206" s="498"/>
      <c r="N206" s="501">
        <v>1822.2435626026054</v>
      </c>
      <c r="O206" s="498"/>
      <c r="P206" s="481"/>
      <c r="Q206" s="501">
        <v>3188.78</v>
      </c>
      <c r="R206" s="498"/>
      <c r="S206" s="524">
        <v>8079.7699999999986</v>
      </c>
      <c r="T206" s="481"/>
      <c r="U206" s="481"/>
      <c r="V206" s="481"/>
      <c r="W206" s="481"/>
      <c r="X206" s="481"/>
      <c r="Y206" s="481"/>
      <c r="Z206" s="481"/>
      <c r="AA206" s="481"/>
      <c r="AB206" s="481"/>
      <c r="AC206" s="481"/>
      <c r="AD206" s="481"/>
      <c r="AE206" s="481"/>
      <c r="AF206" s="481"/>
      <c r="AG206" s="481"/>
      <c r="AH206" s="481"/>
      <c r="AI206" s="481"/>
      <c r="AJ206" s="481"/>
      <c r="AK206" s="481"/>
      <c r="AL206" s="481"/>
      <c r="AM206" s="481"/>
      <c r="AN206" s="481"/>
    </row>
    <row r="207" spans="1:40" ht="15.75" customHeight="1">
      <c r="A207" s="490" t="s">
        <v>350</v>
      </c>
      <c r="B207" s="481" t="s">
        <v>83</v>
      </c>
      <c r="C207" s="565" t="s">
        <v>48</v>
      </c>
      <c r="D207" s="550"/>
      <c r="E207" s="481"/>
      <c r="F207" s="499">
        <v>4512.7728610274053</v>
      </c>
      <c r="G207" s="551"/>
      <c r="H207" s="481"/>
      <c r="I207" s="499"/>
      <c r="J207" s="498"/>
      <c r="K207" s="481"/>
      <c r="L207" s="501">
        <v>5954.05</v>
      </c>
      <c r="M207" s="498"/>
      <c r="N207" s="501">
        <v>1441.2771389725949</v>
      </c>
      <c r="O207" s="498"/>
      <c r="P207" s="481"/>
      <c r="Q207" s="501">
        <v>4944</v>
      </c>
      <c r="R207" s="498"/>
      <c r="S207" s="524">
        <v>1010.0500000000002</v>
      </c>
      <c r="T207" s="481"/>
      <c r="U207" s="481"/>
      <c r="V207" s="481"/>
      <c r="W207" s="481"/>
      <c r="X207" s="481"/>
      <c r="Y207" s="481"/>
      <c r="Z207" s="481"/>
      <c r="AA207" s="481"/>
      <c r="AB207" s="481"/>
      <c r="AC207" s="481"/>
      <c r="AD207" s="481"/>
      <c r="AE207" s="481"/>
      <c r="AF207" s="481"/>
      <c r="AG207" s="481"/>
      <c r="AH207" s="481"/>
      <c r="AI207" s="481"/>
      <c r="AJ207" s="481"/>
      <c r="AK207" s="481"/>
      <c r="AL207" s="481"/>
      <c r="AM207" s="481"/>
      <c r="AN207" s="481"/>
    </row>
    <row r="208" spans="1:40" ht="15.75" hidden="1" customHeight="1">
      <c r="A208" s="490" t="s">
        <v>346</v>
      </c>
      <c r="B208" s="481" t="s">
        <v>83</v>
      </c>
      <c r="C208" s="498" t="s">
        <v>20</v>
      </c>
      <c r="D208" s="552"/>
      <c r="E208" s="571"/>
      <c r="F208" s="499">
        <v>0</v>
      </c>
      <c r="G208" s="553"/>
      <c r="H208" s="571"/>
      <c r="I208" s="499"/>
      <c r="J208" s="491"/>
      <c r="K208" s="571"/>
      <c r="L208" s="501">
        <v>0</v>
      </c>
      <c r="M208" s="491"/>
      <c r="N208" s="501">
        <v>0</v>
      </c>
      <c r="O208" s="491"/>
      <c r="P208" s="571"/>
      <c r="Q208" s="501">
        <v>0</v>
      </c>
      <c r="R208" s="491"/>
      <c r="S208" s="547">
        <v>0</v>
      </c>
      <c r="T208" s="481"/>
      <c r="U208" s="481"/>
      <c r="V208" s="481"/>
      <c r="W208" s="481"/>
      <c r="X208" s="481"/>
      <c r="Y208" s="481"/>
      <c r="Z208" s="481"/>
      <c r="AA208" s="481"/>
      <c r="AB208" s="481"/>
      <c r="AC208" s="481"/>
      <c r="AD208" s="481"/>
      <c r="AE208" s="481"/>
      <c r="AF208" s="481"/>
      <c r="AG208" s="481"/>
      <c r="AH208" s="481"/>
      <c r="AI208" s="481"/>
      <c r="AJ208" s="481"/>
      <c r="AK208" s="481"/>
      <c r="AL208" s="481"/>
      <c r="AM208" s="481"/>
      <c r="AN208" s="481"/>
    </row>
    <row r="209" spans="1:40" ht="15.75" customHeight="1">
      <c r="A209" s="490" t="s">
        <v>351</v>
      </c>
      <c r="B209" s="481" t="s">
        <v>83</v>
      </c>
      <c r="C209" s="557" t="s">
        <v>49</v>
      </c>
      <c r="D209" s="558" t="s">
        <v>97</v>
      </c>
      <c r="E209" s="559">
        <v>0.74457311518044011</v>
      </c>
      <c r="F209" s="560">
        <v>105740.12681625035</v>
      </c>
      <c r="G209" s="561"/>
      <c r="H209" s="559"/>
      <c r="I209" s="560"/>
      <c r="J209" s="561" t="s">
        <v>97</v>
      </c>
      <c r="K209" s="559">
        <v>0.71439500018953261</v>
      </c>
      <c r="L209" s="560">
        <v>124762.10000000002</v>
      </c>
      <c r="M209" s="610"/>
      <c r="N209" s="560">
        <v>19021.973183749666</v>
      </c>
      <c r="O209" s="561" t="s">
        <v>97</v>
      </c>
      <c r="P209" s="559">
        <v>0.60318406195346674</v>
      </c>
      <c r="Q209" s="560">
        <v>106171.59</v>
      </c>
      <c r="R209" s="610"/>
      <c r="S209" s="573">
        <v>18590.510000000024</v>
      </c>
      <c r="T209" s="481"/>
      <c r="U209" s="481"/>
      <c r="V209" s="481"/>
      <c r="W209" s="481"/>
      <c r="X209" s="481"/>
      <c r="Y209" s="481"/>
      <c r="Z209" s="481"/>
      <c r="AA209" s="481"/>
      <c r="AB209" s="481"/>
      <c r="AC209" s="481"/>
      <c r="AD209" s="481"/>
      <c r="AE209" s="481"/>
      <c r="AF209" s="481"/>
      <c r="AG209" s="481"/>
      <c r="AH209" s="481"/>
      <c r="AI209" s="481"/>
      <c r="AJ209" s="481"/>
      <c r="AK209" s="481"/>
      <c r="AL209" s="481"/>
      <c r="AM209" s="481"/>
      <c r="AN209" s="481"/>
    </row>
    <row r="210" spans="1:40" ht="15.75" customHeight="1">
      <c r="A210" s="490" t="s">
        <v>352</v>
      </c>
      <c r="B210" s="481" t="s">
        <v>83</v>
      </c>
      <c r="C210" s="498" t="s">
        <v>50</v>
      </c>
      <c r="D210" s="550"/>
      <c r="E210" s="481"/>
      <c r="F210" s="499">
        <v>8429.5936020833342</v>
      </c>
      <c r="G210" s="551"/>
      <c r="H210" s="481"/>
      <c r="I210" s="499"/>
      <c r="J210" s="498"/>
      <c r="K210" s="481"/>
      <c r="L210" s="501">
        <v>10155.48</v>
      </c>
      <c r="M210" s="498"/>
      <c r="N210" s="524">
        <v>1725.8863979166654</v>
      </c>
      <c r="O210" s="498"/>
      <c r="P210" s="481"/>
      <c r="Q210" s="501">
        <v>12835.72</v>
      </c>
      <c r="R210" s="498"/>
      <c r="S210" s="524">
        <v>-2680.24</v>
      </c>
      <c r="T210" s="481"/>
      <c r="U210" s="481"/>
      <c r="V210" s="481"/>
      <c r="W210" s="481"/>
      <c r="X210" s="481"/>
      <c r="Y210" s="481"/>
      <c r="Z210" s="481"/>
      <c r="AA210" s="481"/>
      <c r="AB210" s="481"/>
      <c r="AC210" s="481"/>
      <c r="AD210" s="481"/>
      <c r="AE210" s="481"/>
      <c r="AF210" s="481"/>
      <c r="AG210" s="481"/>
      <c r="AH210" s="481"/>
      <c r="AI210" s="481"/>
      <c r="AJ210" s="481"/>
      <c r="AK210" s="481"/>
      <c r="AL210" s="481"/>
      <c r="AM210" s="481"/>
      <c r="AN210" s="481"/>
    </row>
    <row r="211" spans="1:40" ht="15.75" customHeight="1">
      <c r="A211" s="490" t="s">
        <v>353</v>
      </c>
      <c r="B211" s="481" t="s">
        <v>83</v>
      </c>
      <c r="C211" s="498" t="s">
        <v>51</v>
      </c>
      <c r="D211" s="550"/>
      <c r="E211" s="481"/>
      <c r="F211" s="499">
        <v>1897.7504777724673</v>
      </c>
      <c r="G211" s="551"/>
      <c r="H211" s="481"/>
      <c r="I211" s="499"/>
      <c r="J211" s="498"/>
      <c r="K211" s="481"/>
      <c r="L211" s="501">
        <v>5835.1200000000008</v>
      </c>
      <c r="M211" s="498"/>
      <c r="N211" s="524">
        <v>3937.3695222275337</v>
      </c>
      <c r="O211" s="498"/>
      <c r="P211" s="481"/>
      <c r="Q211" s="501">
        <v>2207.16</v>
      </c>
      <c r="R211" s="498"/>
      <c r="S211" s="524">
        <v>3627.9600000000009</v>
      </c>
      <c r="T211" s="481"/>
      <c r="U211" s="481"/>
      <c r="V211" s="481"/>
      <c r="W211" s="481"/>
      <c r="X211" s="481"/>
      <c r="Y211" s="481"/>
      <c r="Z211" s="481"/>
      <c r="AA211" s="481"/>
      <c r="AB211" s="481"/>
      <c r="AC211" s="481"/>
      <c r="AD211" s="481"/>
      <c r="AE211" s="481"/>
      <c r="AF211" s="481"/>
      <c r="AG211" s="481"/>
      <c r="AH211" s="481"/>
      <c r="AI211" s="481"/>
      <c r="AJ211" s="481"/>
      <c r="AK211" s="481"/>
      <c r="AL211" s="481"/>
      <c r="AM211" s="481"/>
      <c r="AN211" s="481"/>
    </row>
    <row r="212" spans="1:40" ht="15.75" customHeight="1">
      <c r="A212" s="490" t="s">
        <v>354</v>
      </c>
      <c r="B212" s="481" t="s">
        <v>83</v>
      </c>
      <c r="C212" s="491" t="s">
        <v>52</v>
      </c>
      <c r="D212" s="552"/>
      <c r="E212" s="571"/>
      <c r="F212" s="493">
        <v>13231.666666666666</v>
      </c>
      <c r="G212" s="553"/>
      <c r="H212" s="571"/>
      <c r="I212" s="493"/>
      <c r="J212" s="491"/>
      <c r="K212" s="571"/>
      <c r="L212" s="501">
        <v>8344.8799999999992</v>
      </c>
      <c r="M212" s="491"/>
      <c r="N212" s="547">
        <v>-4886.7866666666669</v>
      </c>
      <c r="O212" s="491"/>
      <c r="P212" s="571"/>
      <c r="Q212" s="501">
        <v>16020.57</v>
      </c>
      <c r="R212" s="491"/>
      <c r="S212" s="547">
        <v>-7675.6900000000005</v>
      </c>
      <c r="T212" s="481"/>
      <c r="U212" s="481"/>
      <c r="V212" s="481"/>
      <c r="W212" s="481"/>
      <c r="X212" s="481"/>
      <c r="Y212" s="481"/>
      <c r="Z212" s="481"/>
      <c r="AA212" s="481"/>
      <c r="AB212" s="481"/>
      <c r="AC212" s="481"/>
      <c r="AD212" s="481"/>
      <c r="AE212" s="481"/>
      <c r="AF212" s="481"/>
      <c r="AG212" s="481"/>
      <c r="AH212" s="481"/>
      <c r="AI212" s="481"/>
      <c r="AJ212" s="481"/>
      <c r="AK212" s="481"/>
      <c r="AL212" s="481"/>
      <c r="AM212" s="481"/>
      <c r="AN212" s="481"/>
    </row>
    <row r="213" spans="1:40" ht="15.75" customHeight="1">
      <c r="A213" s="490" t="s">
        <v>355</v>
      </c>
      <c r="B213" s="481" t="s">
        <v>83</v>
      </c>
      <c r="C213" s="498" t="s">
        <v>53</v>
      </c>
      <c r="D213" s="550"/>
      <c r="E213" s="481"/>
      <c r="F213" s="499">
        <v>6003.0056239999994</v>
      </c>
      <c r="G213" s="551"/>
      <c r="H213" s="481"/>
      <c r="I213" s="499"/>
      <c r="J213" s="498"/>
      <c r="K213" s="481"/>
      <c r="L213" s="520">
        <v>5085.4399999999996</v>
      </c>
      <c r="M213" s="498"/>
      <c r="N213" s="524">
        <v>-917.56562399999984</v>
      </c>
      <c r="O213" s="498"/>
      <c r="P213" s="481"/>
      <c r="Q213" s="520">
        <v>3960.02</v>
      </c>
      <c r="R213" s="498"/>
      <c r="S213" s="524">
        <v>1125.4199999999996</v>
      </c>
      <c r="T213" s="481"/>
      <c r="U213" s="481"/>
      <c r="V213" s="481"/>
      <c r="W213" s="481"/>
      <c r="X213" s="481"/>
      <c r="Y213" s="481"/>
      <c r="Z213" s="481"/>
      <c r="AA213" s="481"/>
      <c r="AB213" s="481"/>
      <c r="AC213" s="481"/>
      <c r="AD213" s="481"/>
      <c r="AE213" s="481"/>
      <c r="AF213" s="481"/>
      <c r="AG213" s="481"/>
      <c r="AH213" s="481"/>
      <c r="AI213" s="481"/>
      <c r="AJ213" s="481"/>
      <c r="AK213" s="481"/>
      <c r="AL213" s="481"/>
      <c r="AM213" s="481"/>
      <c r="AN213" s="481"/>
    </row>
    <row r="214" spans="1:40" ht="15.75" customHeight="1">
      <c r="A214" s="490" t="s">
        <v>356</v>
      </c>
      <c r="B214" s="481" t="s">
        <v>83</v>
      </c>
      <c r="C214" s="498" t="s">
        <v>54</v>
      </c>
      <c r="D214" s="550"/>
      <c r="E214" s="481"/>
      <c r="F214" s="499">
        <v>750.06603349999989</v>
      </c>
      <c r="G214" s="551"/>
      <c r="H214" s="481"/>
      <c r="I214" s="499"/>
      <c r="J214" s="498"/>
      <c r="K214" s="481"/>
      <c r="L214" s="501">
        <v>1896.44</v>
      </c>
      <c r="M214" s="498"/>
      <c r="N214" s="524">
        <v>1146.3739665000003</v>
      </c>
      <c r="O214" s="498"/>
      <c r="P214" s="481"/>
      <c r="Q214" s="501">
        <v>1350.85</v>
      </c>
      <c r="R214" s="498"/>
      <c r="S214" s="524">
        <v>545.59000000000015</v>
      </c>
      <c r="T214" s="481"/>
      <c r="U214" s="481"/>
      <c r="V214" s="481"/>
      <c r="W214" s="481"/>
      <c r="X214" s="481"/>
      <c r="Y214" s="481"/>
      <c r="Z214" s="481"/>
      <c r="AA214" s="481"/>
      <c r="AB214" s="481"/>
      <c r="AC214" s="481"/>
      <c r="AD214" s="481"/>
      <c r="AE214" s="481"/>
      <c r="AF214" s="481"/>
      <c r="AG214" s="481"/>
      <c r="AH214" s="481"/>
      <c r="AI214" s="481"/>
      <c r="AJ214" s="481"/>
      <c r="AK214" s="481"/>
      <c r="AL214" s="481"/>
      <c r="AM214" s="481"/>
      <c r="AN214" s="481"/>
    </row>
    <row r="215" spans="1:40" ht="15.75" customHeight="1">
      <c r="A215" s="490" t="s">
        <v>357</v>
      </c>
      <c r="B215" s="481" t="s">
        <v>83</v>
      </c>
      <c r="C215" s="491" t="s">
        <v>55</v>
      </c>
      <c r="D215" s="552"/>
      <c r="E215" s="571"/>
      <c r="F215" s="493">
        <v>2889.7305973333332</v>
      </c>
      <c r="G215" s="553"/>
      <c r="H215" s="571"/>
      <c r="I215" s="493"/>
      <c r="J215" s="491"/>
      <c r="K215" s="571"/>
      <c r="L215" s="501">
        <v>3260.09</v>
      </c>
      <c r="M215" s="491"/>
      <c r="N215" s="547">
        <v>370.35940266666694</v>
      </c>
      <c r="O215" s="491"/>
      <c r="P215" s="571"/>
      <c r="Q215" s="501">
        <v>2502.27</v>
      </c>
      <c r="R215" s="491"/>
      <c r="S215" s="547">
        <v>757.82000000000016</v>
      </c>
      <c r="T215" s="481"/>
      <c r="U215" s="481"/>
      <c r="V215" s="481"/>
      <c r="W215" s="481"/>
      <c r="X215" s="481"/>
      <c r="Y215" s="481"/>
      <c r="Z215" s="481"/>
      <c r="AA215" s="481"/>
      <c r="AB215" s="481"/>
      <c r="AC215" s="481"/>
      <c r="AD215" s="481"/>
      <c r="AE215" s="481"/>
      <c r="AF215" s="481"/>
      <c r="AG215" s="481"/>
      <c r="AH215" s="481"/>
      <c r="AI215" s="481"/>
      <c r="AJ215" s="481"/>
      <c r="AK215" s="481"/>
      <c r="AL215" s="481"/>
      <c r="AM215" s="481"/>
      <c r="AN215" s="481"/>
    </row>
    <row r="216" spans="1:40" ht="15.75" customHeight="1">
      <c r="A216" s="490" t="s">
        <v>358</v>
      </c>
      <c r="B216" s="481" t="s">
        <v>83</v>
      </c>
      <c r="C216" s="498" t="s">
        <v>98</v>
      </c>
      <c r="D216" s="550"/>
      <c r="E216" s="481"/>
      <c r="F216" s="499"/>
      <c r="G216" s="551"/>
      <c r="H216" s="481"/>
      <c r="I216" s="499"/>
      <c r="J216" s="498"/>
      <c r="K216" s="481"/>
      <c r="L216" s="520">
        <v>0</v>
      </c>
      <c r="M216" s="498"/>
      <c r="N216" s="524">
        <v>0</v>
      </c>
      <c r="O216" s="498"/>
      <c r="P216" s="481"/>
      <c r="Q216" s="520">
        <v>0</v>
      </c>
      <c r="R216" s="498"/>
      <c r="S216" s="524">
        <v>0</v>
      </c>
      <c r="T216" s="481"/>
      <c r="U216" s="481"/>
      <c r="V216" s="481"/>
      <c r="W216" s="481"/>
      <c r="X216" s="481"/>
      <c r="Y216" s="481"/>
      <c r="Z216" s="481"/>
      <c r="AA216" s="481"/>
      <c r="AB216" s="481"/>
      <c r="AC216" s="481"/>
      <c r="AD216" s="481"/>
      <c r="AE216" s="481"/>
      <c r="AF216" s="481"/>
      <c r="AG216" s="481"/>
      <c r="AH216" s="481"/>
      <c r="AI216" s="481"/>
      <c r="AJ216" s="481"/>
      <c r="AK216" s="481"/>
      <c r="AL216" s="481"/>
      <c r="AM216" s="481"/>
      <c r="AN216" s="481"/>
    </row>
    <row r="217" spans="1:40" ht="15.75" customHeight="1">
      <c r="A217" s="490" t="s">
        <v>359</v>
      </c>
      <c r="B217" s="481" t="s">
        <v>83</v>
      </c>
      <c r="C217" s="498" t="s">
        <v>56</v>
      </c>
      <c r="D217" s="550"/>
      <c r="E217" s="481"/>
      <c r="F217" s="499">
        <v>1670.755241073929</v>
      </c>
      <c r="G217" s="551"/>
      <c r="H217" s="481"/>
      <c r="I217" s="499"/>
      <c r="J217" s="498"/>
      <c r="K217" s="481"/>
      <c r="L217" s="501">
        <v>10685.23</v>
      </c>
      <c r="M217" s="498"/>
      <c r="N217" s="524">
        <v>9014.4747589260696</v>
      </c>
      <c r="O217" s="498"/>
      <c r="P217" s="481"/>
      <c r="Q217" s="501">
        <v>1992.69</v>
      </c>
      <c r="R217" s="498"/>
      <c r="S217" s="524">
        <v>8692.5399999999991</v>
      </c>
      <c r="T217" s="481"/>
      <c r="U217" s="481"/>
      <c r="V217" s="481"/>
      <c r="W217" s="481"/>
      <c r="X217" s="481"/>
      <c r="Y217" s="481"/>
      <c r="Z217" s="481"/>
      <c r="AA217" s="481"/>
      <c r="AB217" s="481"/>
      <c r="AC217" s="481"/>
      <c r="AD217" s="481"/>
      <c r="AE217" s="481"/>
      <c r="AF217" s="481"/>
      <c r="AG217" s="481"/>
      <c r="AH217" s="481"/>
      <c r="AI217" s="481"/>
      <c r="AJ217" s="481"/>
      <c r="AK217" s="481"/>
      <c r="AL217" s="481"/>
      <c r="AM217" s="481"/>
      <c r="AN217" s="481"/>
    </row>
    <row r="218" spans="1:40" ht="15.75" customHeight="1">
      <c r="A218" s="490" t="s">
        <v>360</v>
      </c>
      <c r="B218" s="481" t="s">
        <v>83</v>
      </c>
      <c r="C218" s="498" t="s">
        <v>57</v>
      </c>
      <c r="D218" s="550"/>
      <c r="E218" s="481"/>
      <c r="F218" s="499">
        <v>862.75895728725288</v>
      </c>
      <c r="G218" s="551"/>
      <c r="H218" s="481"/>
      <c r="I218" s="499"/>
      <c r="J218" s="498"/>
      <c r="K218" s="481"/>
      <c r="L218" s="501">
        <v>608.80999999999995</v>
      </c>
      <c r="M218" s="498"/>
      <c r="N218" s="524">
        <v>-253.94895728725294</v>
      </c>
      <c r="O218" s="498"/>
      <c r="P218" s="481"/>
      <c r="Q218" s="501">
        <v>518.92999999999995</v>
      </c>
      <c r="R218" s="498"/>
      <c r="S218" s="524">
        <v>89.88</v>
      </c>
      <c r="T218" s="481"/>
      <c r="U218" s="481"/>
      <c r="V218" s="481"/>
      <c r="W218" s="481"/>
      <c r="X218" s="481"/>
      <c r="Y218" s="481"/>
      <c r="Z218" s="481"/>
      <c r="AA218" s="481"/>
      <c r="AB218" s="481"/>
      <c r="AC218" s="481"/>
      <c r="AD218" s="481"/>
      <c r="AE218" s="481"/>
      <c r="AF218" s="481"/>
      <c r="AG218" s="481"/>
      <c r="AH218" s="481"/>
      <c r="AI218" s="481"/>
      <c r="AJ218" s="481"/>
      <c r="AK218" s="481"/>
      <c r="AL218" s="481"/>
      <c r="AM218" s="481"/>
      <c r="AN218" s="481"/>
    </row>
    <row r="219" spans="1:40" ht="15.75" customHeight="1">
      <c r="A219" s="490" t="s">
        <v>361</v>
      </c>
      <c r="B219" s="481" t="s">
        <v>83</v>
      </c>
      <c r="C219" s="498" t="s">
        <v>58</v>
      </c>
      <c r="D219" s="550"/>
      <c r="E219" s="481"/>
      <c r="F219" s="499">
        <v>572.58827639999981</v>
      </c>
      <c r="G219" s="551"/>
      <c r="H219" s="481"/>
      <c r="I219" s="499"/>
      <c r="J219" s="498"/>
      <c r="K219" s="481"/>
      <c r="L219" s="501">
        <v>904.35</v>
      </c>
      <c r="M219" s="498"/>
      <c r="N219" s="524">
        <v>331.76172360000021</v>
      </c>
      <c r="O219" s="498"/>
      <c r="P219" s="481"/>
      <c r="Q219" s="501">
        <v>677.88</v>
      </c>
      <c r="R219" s="498"/>
      <c r="S219" s="524">
        <v>226.47000000000003</v>
      </c>
      <c r="T219" s="481"/>
      <c r="U219" s="481"/>
      <c r="V219" s="481"/>
      <c r="W219" s="481"/>
      <c r="X219" s="481"/>
      <c r="Y219" s="481"/>
      <c r="Z219" s="481"/>
      <c r="AA219" s="481"/>
      <c r="AB219" s="481"/>
      <c r="AC219" s="481"/>
      <c r="AD219" s="481"/>
      <c r="AE219" s="481"/>
      <c r="AF219" s="481"/>
      <c r="AG219" s="481"/>
      <c r="AH219" s="481"/>
      <c r="AI219" s="481"/>
      <c r="AJ219" s="481"/>
      <c r="AK219" s="481"/>
      <c r="AL219" s="481"/>
      <c r="AM219" s="481"/>
      <c r="AN219" s="481"/>
    </row>
    <row r="220" spans="1:40" ht="15.75" customHeight="1">
      <c r="A220" s="490" t="s">
        <v>362</v>
      </c>
      <c r="B220" s="481" t="s">
        <v>83</v>
      </c>
      <c r="C220" s="498" t="s">
        <v>59</v>
      </c>
      <c r="D220" s="550"/>
      <c r="E220" s="481"/>
      <c r="F220" s="499">
        <v>194.04018761666666</v>
      </c>
      <c r="G220" s="551"/>
      <c r="H220" s="481"/>
      <c r="I220" s="499"/>
      <c r="J220" s="498"/>
      <c r="K220" s="481"/>
      <c r="L220" s="501">
        <v>129.49</v>
      </c>
      <c r="M220" s="498"/>
      <c r="N220" s="524">
        <v>-64.550187616666648</v>
      </c>
      <c r="O220" s="498"/>
      <c r="P220" s="481"/>
      <c r="Q220" s="501">
        <v>262.57</v>
      </c>
      <c r="R220" s="498"/>
      <c r="S220" s="524">
        <v>-133.07999999999998</v>
      </c>
      <c r="T220" s="481"/>
      <c r="U220" s="481"/>
      <c r="V220" s="481"/>
      <c r="W220" s="481"/>
      <c r="X220" s="481"/>
      <c r="Y220" s="481"/>
      <c r="Z220" s="481"/>
      <c r="AA220" s="481"/>
      <c r="AB220" s="481"/>
      <c r="AC220" s="481"/>
      <c r="AD220" s="481"/>
      <c r="AE220" s="481"/>
      <c r="AF220" s="481"/>
      <c r="AG220" s="481"/>
      <c r="AH220" s="481"/>
      <c r="AI220" s="481"/>
      <c r="AJ220" s="481"/>
      <c r="AK220" s="481"/>
      <c r="AL220" s="481"/>
      <c r="AM220" s="481"/>
      <c r="AN220" s="481"/>
    </row>
    <row r="221" spans="1:40" ht="15.75" customHeight="1">
      <c r="A221" s="490" t="s">
        <v>363</v>
      </c>
      <c r="B221" s="481" t="s">
        <v>83</v>
      </c>
      <c r="C221" s="498" t="s">
        <v>60</v>
      </c>
      <c r="D221" s="550"/>
      <c r="E221" s="481"/>
      <c r="F221" s="499">
        <v>92.808220383333307</v>
      </c>
      <c r="G221" s="551"/>
      <c r="H221" s="481"/>
      <c r="I221" s="499"/>
      <c r="J221" s="498"/>
      <c r="K221" s="481"/>
      <c r="L221" s="501">
        <v>100.09</v>
      </c>
      <c r="M221" s="498"/>
      <c r="N221" s="524">
        <v>7.2817796166666966</v>
      </c>
      <c r="O221" s="498"/>
      <c r="P221" s="481"/>
      <c r="Q221" s="501">
        <v>114.18</v>
      </c>
      <c r="R221" s="498"/>
      <c r="S221" s="524">
        <v>-14.090000000000003</v>
      </c>
      <c r="T221" s="481"/>
      <c r="U221" s="481"/>
      <c r="V221" s="481"/>
      <c r="W221" s="481"/>
      <c r="X221" s="481"/>
      <c r="Y221" s="481"/>
      <c r="Z221" s="481"/>
      <c r="AA221" s="481"/>
      <c r="AB221" s="481"/>
      <c r="AC221" s="481"/>
      <c r="AD221" s="481"/>
      <c r="AE221" s="481"/>
      <c r="AF221" s="481"/>
      <c r="AG221" s="481"/>
      <c r="AH221" s="481"/>
      <c r="AI221" s="481"/>
      <c r="AJ221" s="481"/>
      <c r="AK221" s="481"/>
      <c r="AL221" s="481"/>
      <c r="AM221" s="481"/>
      <c r="AN221" s="481"/>
    </row>
    <row r="222" spans="1:40" ht="15.75" customHeight="1">
      <c r="A222" s="490" t="s">
        <v>364</v>
      </c>
      <c r="B222" s="481" t="s">
        <v>83</v>
      </c>
      <c r="C222" s="498" t="s">
        <v>61</v>
      </c>
      <c r="D222" s="550"/>
      <c r="E222" s="481"/>
      <c r="F222" s="499">
        <v>352.6367722833333</v>
      </c>
      <c r="G222" s="551"/>
      <c r="H222" s="481"/>
      <c r="I222" s="499"/>
      <c r="J222" s="498"/>
      <c r="K222" s="481"/>
      <c r="L222" s="501">
        <v>274.92</v>
      </c>
      <c r="M222" s="498"/>
      <c r="N222" s="524">
        <v>-77.716772283333285</v>
      </c>
      <c r="O222" s="498"/>
      <c r="P222" s="481"/>
      <c r="Q222" s="501">
        <v>113.69</v>
      </c>
      <c r="R222" s="498"/>
      <c r="S222" s="524">
        <v>161.23000000000002</v>
      </c>
      <c r="T222" s="481"/>
      <c r="U222" s="481"/>
      <c r="V222" s="481"/>
      <c r="W222" s="481"/>
      <c r="X222" s="481"/>
      <c r="Y222" s="481"/>
      <c r="Z222" s="481"/>
      <c r="AA222" s="481"/>
      <c r="AB222" s="481"/>
      <c r="AC222" s="481"/>
      <c r="AD222" s="481"/>
      <c r="AE222" s="481"/>
      <c r="AF222" s="481"/>
      <c r="AG222" s="481"/>
      <c r="AH222" s="481"/>
      <c r="AI222" s="481"/>
      <c r="AJ222" s="481"/>
      <c r="AK222" s="481"/>
      <c r="AL222" s="481"/>
      <c r="AM222" s="481"/>
      <c r="AN222" s="481"/>
    </row>
    <row r="223" spans="1:40" ht="15.75" customHeight="1">
      <c r="A223" s="490" t="s">
        <v>365</v>
      </c>
      <c r="B223" s="481" t="s">
        <v>83</v>
      </c>
      <c r="C223" s="498" t="s">
        <v>62</v>
      </c>
      <c r="D223" s="550"/>
      <c r="E223" s="481"/>
      <c r="F223" s="499">
        <v>1972.9836663454639</v>
      </c>
      <c r="G223" s="551"/>
      <c r="H223" s="481"/>
      <c r="I223" s="499"/>
      <c r="J223" s="498"/>
      <c r="K223" s="481"/>
      <c r="L223" s="501">
        <v>4354.53</v>
      </c>
      <c r="M223" s="498"/>
      <c r="N223" s="524">
        <v>2381.5463336545358</v>
      </c>
      <c r="O223" s="498"/>
      <c r="P223" s="481"/>
      <c r="Q223" s="501">
        <v>427.74</v>
      </c>
      <c r="R223" s="498"/>
      <c r="S223" s="524">
        <v>3926.79</v>
      </c>
      <c r="T223" s="481"/>
      <c r="X223" s="481"/>
      <c r="Y223" s="481"/>
      <c r="Z223" s="481"/>
      <c r="AA223" s="481"/>
      <c r="AB223" s="481"/>
      <c r="AC223" s="481"/>
      <c r="AD223" s="481"/>
      <c r="AE223" s="481"/>
      <c r="AF223" s="481"/>
      <c r="AG223" s="481"/>
      <c r="AH223" s="481"/>
      <c r="AI223" s="481"/>
      <c r="AJ223" s="481"/>
      <c r="AK223" s="481"/>
      <c r="AL223" s="481"/>
      <c r="AM223" s="481"/>
      <c r="AN223" s="481"/>
    </row>
    <row r="224" spans="1:40" ht="15.75" customHeight="1">
      <c r="A224" s="490" t="s">
        <v>366</v>
      </c>
      <c r="B224" s="481" t="s">
        <v>83</v>
      </c>
      <c r="C224" s="498" t="s">
        <v>63</v>
      </c>
      <c r="D224" s="550"/>
      <c r="E224" s="481"/>
      <c r="F224" s="499">
        <v>2994.0193467593331</v>
      </c>
      <c r="G224" s="551"/>
      <c r="H224" s="481"/>
      <c r="I224" s="499"/>
      <c r="J224" s="498"/>
      <c r="K224" s="481"/>
      <c r="L224" s="501">
        <v>1801.79</v>
      </c>
      <c r="M224" s="498"/>
      <c r="N224" s="524">
        <v>-1192.2293467593331</v>
      </c>
      <c r="O224" s="498"/>
      <c r="P224" s="481"/>
      <c r="Q224" s="501">
        <v>1719.41175</v>
      </c>
      <c r="R224" s="498"/>
      <c r="S224" s="524">
        <v>82.37824999999998</v>
      </c>
      <c r="T224" s="481"/>
      <c r="X224" s="481"/>
      <c r="Y224" s="481"/>
      <c r="Z224" s="481"/>
      <c r="AA224" s="481"/>
      <c r="AB224" s="481"/>
      <c r="AC224" s="481"/>
      <c r="AD224" s="481"/>
      <c r="AE224" s="481"/>
      <c r="AF224" s="481"/>
      <c r="AG224" s="481"/>
      <c r="AH224" s="481"/>
      <c r="AI224" s="481"/>
      <c r="AJ224" s="481"/>
      <c r="AK224" s="481"/>
      <c r="AL224" s="481"/>
      <c r="AM224" s="481"/>
      <c r="AN224" s="481"/>
    </row>
    <row r="225" spans="1:40" ht="15.75" hidden="1" customHeight="1">
      <c r="A225" s="490" t="s">
        <v>346</v>
      </c>
      <c r="B225" s="481" t="s">
        <v>83</v>
      </c>
      <c r="C225" s="498" t="s">
        <v>20</v>
      </c>
      <c r="D225" s="550"/>
      <c r="E225" s="481"/>
      <c r="F225" s="499">
        <v>0</v>
      </c>
      <c r="G225" s="551"/>
      <c r="H225" s="481"/>
      <c r="I225" s="499"/>
      <c r="J225" s="498"/>
      <c r="K225" s="481"/>
      <c r="L225" s="501">
        <v>0</v>
      </c>
      <c r="M225" s="498"/>
      <c r="N225" s="524">
        <v>0</v>
      </c>
      <c r="O225" s="498"/>
      <c r="P225" s="481"/>
      <c r="Q225" s="501">
        <v>0</v>
      </c>
      <c r="R225" s="498"/>
      <c r="S225" s="524">
        <v>0</v>
      </c>
      <c r="T225" s="481"/>
      <c r="U225" s="481"/>
      <c r="V225" s="481"/>
      <c r="W225" s="481"/>
      <c r="X225" s="481"/>
      <c r="Y225" s="481"/>
      <c r="Z225" s="481"/>
      <c r="AA225" s="481"/>
      <c r="AB225" s="481"/>
      <c r="AC225" s="481"/>
      <c r="AD225" s="481"/>
      <c r="AE225" s="481"/>
      <c r="AF225" s="481"/>
      <c r="AG225" s="481"/>
      <c r="AH225" s="481"/>
      <c r="AI225" s="481"/>
      <c r="AJ225" s="481"/>
      <c r="AK225" s="481"/>
      <c r="AL225" s="481"/>
      <c r="AM225" s="481"/>
      <c r="AN225" s="481"/>
    </row>
    <row r="226" spans="1:40" ht="15.75" hidden="1" customHeight="1">
      <c r="A226" s="490" t="s">
        <v>346</v>
      </c>
      <c r="B226" s="481" t="s">
        <v>83</v>
      </c>
      <c r="C226" s="498" t="s">
        <v>20</v>
      </c>
      <c r="D226" s="550"/>
      <c r="E226" s="481"/>
      <c r="F226" s="499">
        <v>0</v>
      </c>
      <c r="G226" s="551"/>
      <c r="H226" s="481"/>
      <c r="I226" s="499"/>
      <c r="J226" s="498"/>
      <c r="K226" s="481"/>
      <c r="L226" s="501">
        <v>0</v>
      </c>
      <c r="M226" s="498"/>
      <c r="N226" s="524">
        <v>0</v>
      </c>
      <c r="O226" s="498"/>
      <c r="P226" s="481"/>
      <c r="Q226" s="501">
        <v>0</v>
      </c>
      <c r="R226" s="498"/>
      <c r="S226" s="524">
        <v>0</v>
      </c>
      <c r="T226" s="481"/>
      <c r="U226" s="481"/>
      <c r="V226" s="481"/>
      <c r="W226" s="481"/>
      <c r="X226" s="481"/>
      <c r="Y226" s="481"/>
      <c r="Z226" s="481"/>
      <c r="AA226" s="481"/>
      <c r="AB226" s="481"/>
      <c r="AC226" s="481"/>
      <c r="AD226" s="481"/>
      <c r="AE226" s="481"/>
      <c r="AF226" s="481"/>
      <c r="AG226" s="481"/>
      <c r="AH226" s="481"/>
      <c r="AI226" s="481"/>
      <c r="AJ226" s="481"/>
      <c r="AK226" s="481"/>
      <c r="AL226" s="481"/>
      <c r="AM226" s="481"/>
      <c r="AN226" s="481"/>
    </row>
    <row r="227" spans="1:40" ht="15.75" hidden="1" customHeight="1">
      <c r="A227" s="490" t="s">
        <v>346</v>
      </c>
      <c r="B227" s="481" t="s">
        <v>83</v>
      </c>
      <c r="C227" s="498" t="s">
        <v>20</v>
      </c>
      <c r="D227" s="550"/>
      <c r="E227" s="481"/>
      <c r="F227" s="499">
        <v>0</v>
      </c>
      <c r="G227" s="551"/>
      <c r="H227" s="481"/>
      <c r="I227" s="499"/>
      <c r="J227" s="498"/>
      <c r="K227" s="481"/>
      <c r="L227" s="501">
        <v>0</v>
      </c>
      <c r="M227" s="498"/>
      <c r="N227" s="524">
        <v>0</v>
      </c>
      <c r="O227" s="498"/>
      <c r="P227" s="481"/>
      <c r="Q227" s="501">
        <v>0</v>
      </c>
      <c r="R227" s="498"/>
      <c r="S227" s="524">
        <v>0</v>
      </c>
      <c r="T227" s="481"/>
      <c r="U227" s="481"/>
      <c r="V227" s="481"/>
      <c r="W227" s="481"/>
      <c r="X227" s="481"/>
      <c r="Y227" s="481"/>
      <c r="Z227" s="481"/>
      <c r="AA227" s="481"/>
      <c r="AB227" s="481"/>
      <c r="AC227" s="481"/>
      <c r="AD227" s="481"/>
      <c r="AE227" s="481"/>
      <c r="AF227" s="481"/>
      <c r="AG227" s="481"/>
      <c r="AH227" s="481"/>
      <c r="AI227" s="481"/>
      <c r="AJ227" s="481"/>
      <c r="AK227" s="481"/>
      <c r="AL227" s="481"/>
      <c r="AM227" s="481"/>
      <c r="AN227" s="481"/>
    </row>
    <row r="228" spans="1:40" ht="15.75" customHeight="1">
      <c r="B228" s="481"/>
      <c r="C228" s="557" t="s">
        <v>64</v>
      </c>
      <c r="D228" s="558" t="s">
        <v>97</v>
      </c>
      <c r="E228" s="559">
        <v>0.29514186383912799</v>
      </c>
      <c r="F228" s="560">
        <v>41914.403669505111</v>
      </c>
      <c r="G228" s="561"/>
      <c r="H228" s="559"/>
      <c r="I228" s="560"/>
      <c r="J228" s="561" t="s">
        <v>97</v>
      </c>
      <c r="K228" s="559">
        <v>0.30598140565787185</v>
      </c>
      <c r="L228" s="560">
        <v>53436.659999999982</v>
      </c>
      <c r="M228" s="564"/>
      <c r="N228" s="560">
        <v>11522.256330494871</v>
      </c>
      <c r="O228" s="561" t="s">
        <v>97</v>
      </c>
      <c r="P228" s="559">
        <v>0.2539714093218351</v>
      </c>
      <c r="Q228" s="560">
        <v>44703.681749999989</v>
      </c>
      <c r="R228" s="564"/>
      <c r="S228" s="560">
        <v>8732.9782499999928</v>
      </c>
      <c r="T228" s="481"/>
      <c r="U228" s="481"/>
      <c r="V228" s="481"/>
      <c r="W228" s="481"/>
      <c r="X228" s="481"/>
      <c r="Y228" s="481"/>
      <c r="Z228" s="481"/>
      <c r="AA228" s="481"/>
      <c r="AB228" s="481"/>
      <c r="AC228" s="481"/>
      <c r="AD228" s="481"/>
      <c r="AE228" s="481"/>
      <c r="AF228" s="481"/>
      <c r="AG228" s="481"/>
      <c r="AH228" s="481"/>
      <c r="AI228" s="481"/>
      <c r="AJ228" s="481"/>
      <c r="AK228" s="481"/>
      <c r="AL228" s="481"/>
      <c r="AM228" s="481"/>
      <c r="AN228" s="481"/>
    </row>
    <row r="229" spans="1:40" ht="15.75" customHeight="1">
      <c r="B229" s="481"/>
      <c r="C229" s="491"/>
      <c r="D229" s="552"/>
      <c r="E229" s="571"/>
      <c r="F229" s="524"/>
      <c r="G229" s="553"/>
      <c r="H229" s="571"/>
      <c r="I229" s="524"/>
      <c r="J229" s="491"/>
      <c r="K229" s="571"/>
      <c r="L229" s="547"/>
      <c r="M229" s="491"/>
      <c r="N229" s="547"/>
      <c r="O229" s="491"/>
      <c r="P229" s="571"/>
      <c r="Q229" s="547"/>
      <c r="R229" s="491"/>
      <c r="S229" s="547"/>
      <c r="T229" s="481"/>
      <c r="U229" s="481"/>
      <c r="V229" s="481"/>
      <c r="W229" s="481"/>
      <c r="X229" s="481"/>
      <c r="Y229" s="481"/>
      <c r="Z229" s="481"/>
      <c r="AA229" s="481"/>
      <c r="AB229" s="481"/>
      <c r="AC229" s="481"/>
      <c r="AD229" s="481"/>
      <c r="AE229" s="481"/>
      <c r="AF229" s="481"/>
      <c r="AG229" s="481"/>
      <c r="AH229" s="481"/>
      <c r="AI229" s="481"/>
      <c r="AJ229" s="481"/>
      <c r="AK229" s="481"/>
      <c r="AL229" s="481"/>
      <c r="AM229" s="481"/>
      <c r="AN229" s="481"/>
    </row>
    <row r="230" spans="1:40" ht="15.75" customHeight="1">
      <c r="B230" s="481"/>
      <c r="C230" s="557" t="s">
        <v>65</v>
      </c>
      <c r="D230" s="558" t="s">
        <v>39</v>
      </c>
      <c r="E230" s="559">
        <v>1.0397149790195681</v>
      </c>
      <c r="F230" s="560">
        <v>147654.53048575547</v>
      </c>
      <c r="G230" s="561"/>
      <c r="H230" s="559"/>
      <c r="I230" s="560"/>
      <c r="J230" s="561" t="s">
        <v>39</v>
      </c>
      <c r="K230" s="559">
        <v>1.0203764058474045</v>
      </c>
      <c r="L230" s="560">
        <v>178198.76</v>
      </c>
      <c r="M230" s="564"/>
      <c r="N230" s="573">
        <v>30544.229514244536</v>
      </c>
      <c r="O230" s="561" t="s">
        <v>39</v>
      </c>
      <c r="P230" s="559">
        <v>0.85715547127530178</v>
      </c>
      <c r="Q230" s="560">
        <v>150875.27174999999</v>
      </c>
      <c r="R230" s="564"/>
      <c r="S230" s="573">
        <v>27323.488250000024</v>
      </c>
      <c r="T230" s="481"/>
      <c r="U230" s="481"/>
      <c r="V230" s="481"/>
      <c r="W230" s="481"/>
      <c r="X230" s="481"/>
      <c r="Y230" s="481"/>
      <c r="Z230" s="481"/>
      <c r="AA230" s="481"/>
      <c r="AB230" s="481"/>
      <c r="AC230" s="481"/>
      <c r="AD230" s="481"/>
      <c r="AE230" s="481"/>
      <c r="AF230" s="481"/>
      <c r="AG230" s="481"/>
      <c r="AH230" s="481"/>
      <c r="AI230" s="481"/>
      <c r="AJ230" s="481"/>
      <c r="AK230" s="481"/>
      <c r="AL230" s="481"/>
      <c r="AM230" s="481"/>
      <c r="AN230" s="481"/>
    </row>
    <row r="231" spans="1:40" ht="15.75" customHeight="1">
      <c r="B231" s="481"/>
      <c r="C231" s="498"/>
      <c r="D231" s="550"/>
      <c r="E231" s="481"/>
      <c r="F231" s="524"/>
      <c r="G231" s="551"/>
      <c r="H231" s="481"/>
      <c r="I231" s="524"/>
      <c r="J231" s="498"/>
      <c r="K231" s="481"/>
      <c r="L231" s="524"/>
      <c r="M231" s="498"/>
      <c r="N231" s="524">
        <v>0</v>
      </c>
      <c r="O231" s="498"/>
      <c r="P231" s="481"/>
      <c r="Q231" s="524"/>
      <c r="R231" s="498"/>
      <c r="S231" s="524"/>
      <c r="T231" s="481"/>
      <c r="U231" s="481"/>
      <c r="V231" s="481"/>
      <c r="W231" s="481"/>
      <c r="X231" s="481"/>
      <c r="Y231" s="481"/>
      <c r="Z231" s="481"/>
      <c r="AA231" s="481"/>
      <c r="AB231" s="481"/>
      <c r="AC231" s="481"/>
      <c r="AD231" s="481"/>
      <c r="AE231" s="481"/>
      <c r="AF231" s="481"/>
      <c r="AG231" s="481"/>
      <c r="AH231" s="481"/>
      <c r="AI231" s="481"/>
      <c r="AJ231" s="481"/>
      <c r="AK231" s="481"/>
      <c r="AL231" s="481"/>
      <c r="AM231" s="481"/>
      <c r="AN231" s="481"/>
    </row>
    <row r="232" spans="1:40" ht="15.75" customHeight="1" thickBot="1">
      <c r="B232" s="481"/>
      <c r="C232" s="587" t="s">
        <v>72</v>
      </c>
      <c r="D232" s="615"/>
      <c r="E232" s="588"/>
      <c r="F232" s="590">
        <v>-5640.1001223582425</v>
      </c>
      <c r="G232" s="616"/>
      <c r="H232" s="588"/>
      <c r="I232" s="590"/>
      <c r="J232" s="587"/>
      <c r="K232" s="589"/>
      <c r="L232" s="590">
        <v>-3558.5400000000081</v>
      </c>
      <c r="M232" s="587"/>
      <c r="N232" s="590">
        <v>2081.5601223582344</v>
      </c>
      <c r="O232" s="587"/>
      <c r="P232" s="589"/>
      <c r="Q232" s="590">
        <v>25143.288250000012</v>
      </c>
      <c r="R232" s="587"/>
      <c r="S232" s="590">
        <v>-28701.82825000002</v>
      </c>
      <c r="T232" s="481"/>
      <c r="U232" s="481"/>
      <c r="V232" s="481"/>
      <c r="W232" s="481"/>
      <c r="X232" s="481"/>
      <c r="Y232" s="481"/>
      <c r="Z232" s="481"/>
      <c r="AA232" s="481"/>
      <c r="AB232" s="481"/>
      <c r="AC232" s="481"/>
      <c r="AD232" s="481"/>
      <c r="AE232" s="481"/>
      <c r="AF232" s="481"/>
      <c r="AG232" s="481"/>
      <c r="AH232" s="481"/>
      <c r="AI232" s="481"/>
      <c r="AJ232" s="481"/>
      <c r="AK232" s="481"/>
      <c r="AL232" s="481"/>
      <c r="AM232" s="481"/>
      <c r="AN232" s="481"/>
    </row>
    <row r="233" spans="1:40" ht="15.75" customHeight="1" thickTop="1">
      <c r="B233" s="481"/>
      <c r="C233" s="481"/>
      <c r="D233" s="481"/>
      <c r="E233" s="481"/>
      <c r="F233" s="481"/>
      <c r="G233" s="481"/>
      <c r="H233" s="481"/>
      <c r="I233" s="481"/>
      <c r="J233" s="481"/>
      <c r="K233" s="481"/>
      <c r="L233" s="542"/>
      <c r="M233" s="542"/>
      <c r="N233" s="481"/>
      <c r="O233" s="542"/>
      <c r="P233" s="481"/>
      <c r="Q233" s="542"/>
      <c r="R233" s="481"/>
      <c r="S233" s="481"/>
      <c r="T233" s="481"/>
      <c r="U233" s="481"/>
      <c r="V233" s="481"/>
      <c r="W233" s="481"/>
      <c r="X233" s="481"/>
      <c r="Y233" s="481"/>
      <c r="Z233" s="481"/>
      <c r="AA233" s="481"/>
      <c r="AB233" s="481"/>
      <c r="AC233" s="481"/>
      <c r="AD233" s="481"/>
      <c r="AE233" s="481"/>
      <c r="AF233" s="481"/>
      <c r="AG233" s="481"/>
      <c r="AH233" s="481"/>
      <c r="AI233" s="481"/>
      <c r="AJ233" s="481"/>
      <c r="AK233" s="481"/>
      <c r="AL233" s="481"/>
      <c r="AM233" s="481"/>
      <c r="AN233" s="481"/>
    </row>
    <row r="234" spans="1:40" ht="15.75" customHeight="1">
      <c r="B234" s="481"/>
      <c r="C234" s="478"/>
      <c r="D234" s="478"/>
      <c r="E234" s="478"/>
      <c r="F234" s="478"/>
      <c r="G234" s="478"/>
      <c r="H234" s="478"/>
      <c r="I234" s="478"/>
      <c r="J234" s="478"/>
      <c r="K234" s="478"/>
      <c r="L234" s="617"/>
      <c r="M234" s="617"/>
      <c r="N234" s="478"/>
      <c r="O234" s="617"/>
      <c r="P234" s="478"/>
      <c r="Q234" s="617"/>
      <c r="R234" s="478"/>
      <c r="S234" s="478"/>
      <c r="T234" s="478"/>
      <c r="U234" s="478"/>
      <c r="V234" s="481"/>
      <c r="W234" s="481"/>
      <c r="X234" s="481"/>
      <c r="Y234" s="481"/>
      <c r="Z234" s="481"/>
      <c r="AA234" s="481"/>
      <c r="AB234" s="481"/>
      <c r="AC234" s="481"/>
      <c r="AD234" s="481"/>
      <c r="AE234" s="481"/>
      <c r="AF234" s="481"/>
      <c r="AG234" s="481"/>
      <c r="AH234" s="481"/>
      <c r="AI234" s="481"/>
      <c r="AJ234" s="481"/>
      <c r="AK234" s="481"/>
      <c r="AL234" s="481"/>
      <c r="AM234" s="481"/>
      <c r="AN234" s="481"/>
    </row>
    <row r="235" spans="1:40" ht="33" customHeight="1">
      <c r="B235" s="481"/>
      <c r="C235" s="595" t="s">
        <v>223</v>
      </c>
      <c r="D235" s="469"/>
      <c r="E235" s="469"/>
      <c r="F235" s="469"/>
      <c r="G235" s="469"/>
      <c r="H235" s="467"/>
      <c r="I235" s="467"/>
      <c r="J235" s="467"/>
      <c r="K235" s="471" t="s">
        <v>99</v>
      </c>
      <c r="L235" s="469"/>
      <c r="M235" s="469"/>
      <c r="N235" s="467"/>
      <c r="O235" s="467"/>
      <c r="P235" s="469"/>
      <c r="Q235" s="467"/>
      <c r="R235" s="469"/>
      <c r="S235" s="596" t="s">
        <v>484</v>
      </c>
      <c r="T235" s="469"/>
      <c r="U235" s="467"/>
      <c r="V235" s="478"/>
      <c r="W235" s="478"/>
      <c r="X235" s="478"/>
      <c r="Y235" s="478"/>
      <c r="Z235" s="478"/>
      <c r="AA235" s="478"/>
      <c r="AB235" s="478"/>
      <c r="AC235" s="478"/>
      <c r="AD235" s="478"/>
      <c r="AE235" s="478"/>
      <c r="AF235" s="478"/>
      <c r="AG235" s="478"/>
      <c r="AH235" s="478"/>
      <c r="AI235" s="478"/>
      <c r="AJ235" s="478"/>
      <c r="AK235" s="478"/>
      <c r="AL235" s="478"/>
      <c r="AM235" s="478"/>
      <c r="AN235" s="478"/>
    </row>
    <row r="236" spans="1:40" ht="24" customHeight="1" thickBot="1">
      <c r="B236" s="481"/>
      <c r="C236" s="476"/>
      <c r="D236" s="478"/>
      <c r="E236" s="478"/>
      <c r="F236" s="478"/>
      <c r="G236" s="478"/>
      <c r="H236" s="478"/>
      <c r="I236" s="478"/>
      <c r="J236" s="478"/>
      <c r="K236" s="478"/>
      <c r="L236" s="478"/>
      <c r="M236" s="478"/>
      <c r="N236" s="478"/>
      <c r="O236" s="478"/>
      <c r="P236" s="478"/>
      <c r="Q236" s="478"/>
      <c r="R236" s="478"/>
      <c r="S236" s="478"/>
      <c r="T236" s="478"/>
      <c r="U236" s="478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7"/>
      <c r="AG236" s="467"/>
      <c r="AH236" s="467"/>
      <c r="AI236" s="467"/>
      <c r="AJ236" s="467"/>
      <c r="AK236" s="467"/>
      <c r="AL236" s="467"/>
      <c r="AM236" s="467"/>
      <c r="AN236" s="467"/>
    </row>
    <row r="237" spans="1:40" ht="15.75" customHeight="1" thickTop="1">
      <c r="B237" s="481"/>
      <c r="C237" s="482"/>
      <c r="D237" s="864" t="s">
        <v>5</v>
      </c>
      <c r="E237" s="865"/>
      <c r="F237" s="866"/>
      <c r="G237" s="867"/>
      <c r="H237" s="865"/>
      <c r="I237" s="866"/>
      <c r="J237" s="867" t="s">
        <v>7</v>
      </c>
      <c r="K237" s="865"/>
      <c r="L237" s="866"/>
      <c r="M237" s="867" t="s">
        <v>472</v>
      </c>
      <c r="N237" s="866"/>
      <c r="O237" s="864" t="s">
        <v>9</v>
      </c>
      <c r="P237" s="865"/>
      <c r="Q237" s="866"/>
      <c r="R237" s="867" t="s">
        <v>473</v>
      </c>
      <c r="S237" s="866"/>
      <c r="T237" s="611"/>
      <c r="U237" s="481"/>
      <c r="V237" s="478"/>
      <c r="W237" s="478"/>
      <c r="X237" s="478"/>
      <c r="Y237" s="478"/>
      <c r="Z237" s="478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  <c r="AL237" s="478"/>
      <c r="AM237" s="478"/>
      <c r="AN237" s="478"/>
    </row>
    <row r="238" spans="1:40" ht="15.75" customHeight="1">
      <c r="A238" s="490" t="s">
        <v>99</v>
      </c>
      <c r="B238" s="481" t="s">
        <v>99</v>
      </c>
      <c r="C238" s="498"/>
      <c r="D238" s="540" t="s">
        <v>40</v>
      </c>
      <c r="E238" s="540" t="s">
        <v>84</v>
      </c>
      <c r="F238" s="618" t="s">
        <v>13</v>
      </c>
      <c r="G238" s="619"/>
      <c r="H238" s="540"/>
      <c r="I238" s="618"/>
      <c r="J238" s="619" t="s">
        <v>40</v>
      </c>
      <c r="K238" s="540" t="s">
        <v>84</v>
      </c>
      <c r="L238" s="618" t="s">
        <v>13</v>
      </c>
      <c r="M238" s="619" t="s">
        <v>40</v>
      </c>
      <c r="N238" s="618" t="s">
        <v>475</v>
      </c>
      <c r="O238" s="540" t="s">
        <v>40</v>
      </c>
      <c r="P238" s="540" t="s">
        <v>84</v>
      </c>
      <c r="Q238" s="618" t="s">
        <v>13</v>
      </c>
      <c r="R238" s="619" t="s">
        <v>85</v>
      </c>
      <c r="S238" s="618" t="s">
        <v>13</v>
      </c>
      <c r="T238" s="540"/>
      <c r="U238" s="481"/>
      <c r="V238" s="481"/>
      <c r="W238" s="481"/>
      <c r="X238" s="481"/>
      <c r="Y238" s="481"/>
      <c r="Z238" s="481"/>
      <c r="AA238" s="481"/>
      <c r="AB238" s="481"/>
      <c r="AC238" s="481"/>
      <c r="AD238" s="481"/>
      <c r="AE238" s="481"/>
      <c r="AF238" s="481"/>
      <c r="AG238" s="481"/>
      <c r="AH238" s="481"/>
      <c r="AI238" s="481"/>
      <c r="AJ238" s="481"/>
      <c r="AK238" s="481"/>
      <c r="AL238" s="481"/>
      <c r="AM238" s="481"/>
      <c r="AN238" s="481"/>
    </row>
    <row r="239" spans="1:40" ht="15.75" customHeight="1">
      <c r="A239" s="490" t="s">
        <v>99</v>
      </c>
      <c r="B239" s="481" t="s">
        <v>99</v>
      </c>
      <c r="C239" s="498"/>
      <c r="D239" s="540"/>
      <c r="E239" s="540"/>
      <c r="F239" s="618"/>
      <c r="G239" s="619"/>
      <c r="H239" s="540"/>
      <c r="I239" s="618"/>
      <c r="J239" s="619"/>
      <c r="K239" s="499"/>
      <c r="L239" s="501"/>
      <c r="M239" s="619"/>
      <c r="N239" s="618"/>
      <c r="O239" s="540"/>
      <c r="P239" s="540"/>
      <c r="Q239" s="618"/>
      <c r="R239" s="619"/>
      <c r="S239" s="618"/>
      <c r="T239" s="540"/>
      <c r="U239" s="481"/>
      <c r="V239" s="481"/>
      <c r="W239" s="481"/>
      <c r="X239" s="481"/>
      <c r="Y239" s="481"/>
      <c r="Z239" s="481"/>
      <c r="AA239" s="481"/>
      <c r="AB239" s="481"/>
      <c r="AC239" s="481"/>
      <c r="AD239" s="481"/>
      <c r="AE239" s="481"/>
      <c r="AF239" s="481"/>
      <c r="AG239" s="481"/>
      <c r="AH239" s="481"/>
      <c r="AI239" s="481"/>
      <c r="AJ239" s="481"/>
      <c r="AK239" s="481"/>
      <c r="AL239" s="481"/>
      <c r="AM239" s="481"/>
      <c r="AN239" s="481"/>
    </row>
    <row r="240" spans="1:40" ht="15.75" customHeight="1">
      <c r="A240" s="490" t="s">
        <v>367</v>
      </c>
      <c r="B240" s="481" t="s">
        <v>99</v>
      </c>
      <c r="C240" s="498" t="s">
        <v>100</v>
      </c>
      <c r="D240" s="658">
        <v>0</v>
      </c>
      <c r="E240" s="542">
        <v>65414.584168287191</v>
      </c>
      <c r="F240" s="542">
        <v>15378.575952370002</v>
      </c>
      <c r="G240" s="577"/>
      <c r="H240" s="542"/>
      <c r="I240" s="542"/>
      <c r="J240" s="525">
        <v>32</v>
      </c>
      <c r="K240" s="499">
        <v>43872.799999999996</v>
      </c>
      <c r="L240" s="501">
        <v>7855.5599999999922</v>
      </c>
      <c r="M240" s="543">
        <v>-0.32931164268916335</v>
      </c>
      <c r="N240" s="524">
        <v>-7523.0159523700095</v>
      </c>
      <c r="O240" s="525">
        <v>54</v>
      </c>
      <c r="P240" s="499">
        <v>88090.5</v>
      </c>
      <c r="Q240" s="501">
        <v>14167.429999999995</v>
      </c>
      <c r="R240" s="543">
        <v>0.59259259259259256</v>
      </c>
      <c r="S240" s="524">
        <v>-6311.8700000000026</v>
      </c>
      <c r="T240" s="540"/>
      <c r="U240" s="481"/>
      <c r="V240" s="481"/>
      <c r="W240" s="481"/>
      <c r="X240" s="481"/>
      <c r="Y240" s="481"/>
      <c r="Z240" s="481"/>
      <c r="AA240" s="481"/>
      <c r="AB240" s="481"/>
      <c r="AC240" s="481"/>
      <c r="AD240" s="481"/>
      <c r="AE240" s="481"/>
      <c r="AF240" s="481"/>
      <c r="AG240" s="481"/>
      <c r="AH240" s="481"/>
      <c r="AI240" s="481"/>
      <c r="AJ240" s="481"/>
      <c r="AK240" s="481"/>
      <c r="AL240" s="481"/>
      <c r="AM240" s="481"/>
      <c r="AN240" s="481"/>
    </row>
    <row r="241" spans="1:40" ht="15.75" customHeight="1">
      <c r="A241" s="490" t="s">
        <v>368</v>
      </c>
      <c r="B241" s="481" t="s">
        <v>99</v>
      </c>
      <c r="C241" s="498" t="s">
        <v>87</v>
      </c>
      <c r="D241" s="540"/>
      <c r="E241" s="604"/>
      <c r="F241" s="620">
        <v>0.23509399544307572</v>
      </c>
      <c r="G241" s="498"/>
      <c r="H241" s="604"/>
      <c r="I241" s="620"/>
      <c r="J241" s="525"/>
      <c r="K241" s="481"/>
      <c r="L241" s="620">
        <v>0.17905308072427548</v>
      </c>
      <c r="M241" s="543"/>
      <c r="N241" s="524">
        <v>22844.670449355992</v>
      </c>
      <c r="O241" s="525"/>
      <c r="P241" s="481"/>
      <c r="Q241" s="620">
        <v>0.16082812562081036</v>
      </c>
      <c r="R241" s="525"/>
      <c r="S241" s="524">
        <v>-10651.280625000005</v>
      </c>
      <c r="T241" s="540"/>
      <c r="U241" s="481"/>
      <c r="V241" s="481"/>
      <c r="W241" s="481"/>
      <c r="X241" s="481"/>
      <c r="Y241" s="481"/>
      <c r="Z241" s="481"/>
      <c r="AA241" s="481"/>
      <c r="AB241" s="481"/>
      <c r="AC241" s="481"/>
      <c r="AD241" s="481"/>
      <c r="AE241" s="481"/>
      <c r="AF241" s="481"/>
      <c r="AG241" s="481"/>
      <c r="AH241" s="481"/>
      <c r="AI241" s="481"/>
      <c r="AJ241" s="481"/>
      <c r="AK241" s="481"/>
      <c r="AL241" s="481"/>
      <c r="AM241" s="481"/>
      <c r="AN241" s="481"/>
    </row>
    <row r="242" spans="1:40" ht="15.75" customHeight="1">
      <c r="A242" s="490" t="s">
        <v>99</v>
      </c>
      <c r="B242" s="481" t="s">
        <v>99</v>
      </c>
      <c r="C242" s="498"/>
      <c r="D242" s="540"/>
      <c r="E242" s="659"/>
      <c r="F242" s="598"/>
      <c r="G242" s="619"/>
      <c r="H242" s="659"/>
      <c r="I242" s="598"/>
      <c r="J242" s="619"/>
      <c r="K242" s="540"/>
      <c r="L242" s="618"/>
      <c r="M242" s="619"/>
      <c r="N242" s="618"/>
      <c r="O242" s="619"/>
      <c r="P242" s="540"/>
      <c r="Q242" s="618"/>
      <c r="R242" s="597"/>
      <c r="S242" s="618"/>
      <c r="T242" s="540"/>
      <c r="U242" s="481"/>
      <c r="V242" s="481"/>
      <c r="W242" s="481"/>
      <c r="X242" s="481"/>
      <c r="Y242" s="481"/>
      <c r="Z242" s="481"/>
      <c r="AA242" s="481"/>
      <c r="AB242" s="481"/>
      <c r="AC242" s="481"/>
      <c r="AD242" s="481"/>
      <c r="AE242" s="481"/>
      <c r="AF242" s="481"/>
      <c r="AG242" s="481"/>
      <c r="AH242" s="481"/>
      <c r="AI242" s="481"/>
      <c r="AJ242" s="481"/>
      <c r="AK242" s="481"/>
      <c r="AL242" s="481"/>
      <c r="AM242" s="481"/>
      <c r="AN242" s="481"/>
    </row>
    <row r="243" spans="1:40" ht="15.75" customHeight="1">
      <c r="A243" s="490" t="s">
        <v>369</v>
      </c>
      <c r="B243" s="481" t="s">
        <v>99</v>
      </c>
      <c r="C243" s="485" t="s">
        <v>101</v>
      </c>
      <c r="D243" s="624">
        <v>0</v>
      </c>
      <c r="E243" s="542">
        <v>0</v>
      </c>
      <c r="F243" s="542">
        <v>0</v>
      </c>
      <c r="G243" s="660"/>
      <c r="H243" s="542"/>
      <c r="I243" s="542"/>
      <c r="J243" s="625">
        <v>0</v>
      </c>
      <c r="K243" s="519">
        <v>0</v>
      </c>
      <c r="L243" s="520">
        <v>0</v>
      </c>
      <c r="M243" s="629">
        <v>0</v>
      </c>
      <c r="N243" s="570">
        <v>0</v>
      </c>
      <c r="O243" s="625">
        <v>0</v>
      </c>
      <c r="P243" s="519">
        <v>0</v>
      </c>
      <c r="Q243" s="520">
        <v>0</v>
      </c>
      <c r="R243" s="543">
        <v>0</v>
      </c>
      <c r="S243" s="570">
        <v>0</v>
      </c>
      <c r="T243" s="608"/>
      <c r="U243" s="481"/>
      <c r="V243" s="481"/>
      <c r="W243" s="481"/>
      <c r="X243" s="481"/>
      <c r="Y243" s="481"/>
      <c r="Z243" s="481"/>
      <c r="AA243" s="481"/>
      <c r="AB243" s="481"/>
      <c r="AC243" s="481"/>
      <c r="AD243" s="481"/>
      <c r="AE243" s="481"/>
      <c r="AF243" s="481"/>
      <c r="AG243" s="481"/>
      <c r="AH243" s="481"/>
      <c r="AI243" s="481"/>
      <c r="AJ243" s="481"/>
      <c r="AK243" s="481"/>
      <c r="AL243" s="481"/>
      <c r="AM243" s="481"/>
      <c r="AN243" s="481"/>
    </row>
    <row r="244" spans="1:40" ht="15.75" customHeight="1">
      <c r="A244" s="490" t="s">
        <v>368</v>
      </c>
      <c r="B244" s="481" t="s">
        <v>99</v>
      </c>
      <c r="C244" s="498" t="s">
        <v>87</v>
      </c>
      <c r="D244" s="481"/>
      <c r="E244" s="604"/>
      <c r="F244" s="620">
        <v>0</v>
      </c>
      <c r="G244" s="498"/>
      <c r="H244" s="604"/>
      <c r="I244" s="620"/>
      <c r="J244" s="525"/>
      <c r="K244" s="481"/>
      <c r="L244" s="620">
        <v>0</v>
      </c>
      <c r="M244" s="543"/>
      <c r="N244" s="524">
        <v>0</v>
      </c>
      <c r="O244" s="525"/>
      <c r="P244" s="481"/>
      <c r="Q244" s="620">
        <v>0</v>
      </c>
      <c r="R244" s="525"/>
      <c r="S244" s="524">
        <v>0</v>
      </c>
      <c r="T244" s="608"/>
      <c r="U244" s="481"/>
      <c r="V244" s="481"/>
      <c r="W244" s="481"/>
      <c r="X244" s="481"/>
      <c r="Y244" s="481"/>
      <c r="Z244" s="481"/>
      <c r="AA244" s="481"/>
      <c r="AB244" s="481"/>
      <c r="AC244" s="481"/>
      <c r="AD244" s="481"/>
      <c r="AE244" s="481"/>
      <c r="AF244" s="481"/>
      <c r="AG244" s="481"/>
      <c r="AH244" s="481"/>
      <c r="AI244" s="481"/>
      <c r="AJ244" s="481"/>
      <c r="AK244" s="481"/>
      <c r="AL244" s="481"/>
      <c r="AM244" s="481"/>
      <c r="AN244" s="481"/>
    </row>
    <row r="245" spans="1:40" ht="15.75" customHeight="1">
      <c r="A245" s="490" t="s">
        <v>99</v>
      </c>
      <c r="B245" s="481" t="s">
        <v>99</v>
      </c>
      <c r="C245" s="491"/>
      <c r="D245" s="571"/>
      <c r="E245" s="661"/>
      <c r="F245" s="622"/>
      <c r="G245" s="491"/>
      <c r="H245" s="661"/>
      <c r="I245" s="622"/>
      <c r="J245" s="623"/>
      <c r="K245" s="662"/>
      <c r="L245" s="622"/>
      <c r="M245" s="546"/>
      <c r="N245" s="547"/>
      <c r="O245" s="623"/>
      <c r="P245" s="662"/>
      <c r="Q245" s="622"/>
      <c r="R245" s="623"/>
      <c r="S245" s="547"/>
      <c r="T245" s="608"/>
      <c r="U245" s="481"/>
      <c r="V245" s="481"/>
      <c r="W245" s="481"/>
      <c r="X245" s="481"/>
      <c r="Y245" s="481"/>
      <c r="Z245" s="481"/>
      <c r="AA245" s="481"/>
      <c r="AB245" s="481"/>
      <c r="AC245" s="481"/>
      <c r="AD245" s="481"/>
      <c r="AE245" s="481"/>
      <c r="AF245" s="481"/>
      <c r="AG245" s="481"/>
      <c r="AH245" s="481"/>
      <c r="AI245" s="481"/>
      <c r="AJ245" s="481"/>
      <c r="AK245" s="481"/>
      <c r="AL245" s="481"/>
      <c r="AM245" s="481"/>
      <c r="AN245" s="481"/>
    </row>
    <row r="246" spans="1:40" ht="15.75" customHeight="1">
      <c r="A246" s="490" t="s">
        <v>370</v>
      </c>
      <c r="B246" s="481" t="s">
        <v>99</v>
      </c>
      <c r="C246" s="485" t="s">
        <v>102</v>
      </c>
      <c r="D246" s="624">
        <v>0</v>
      </c>
      <c r="E246" s="542">
        <v>0</v>
      </c>
      <c r="F246" s="542">
        <v>0</v>
      </c>
      <c r="G246" s="625"/>
      <c r="H246" s="542"/>
      <c r="I246" s="542"/>
      <c r="J246" s="625">
        <v>0</v>
      </c>
      <c r="K246" s="499">
        <v>0</v>
      </c>
      <c r="L246" s="501">
        <v>0</v>
      </c>
      <c r="M246" s="543">
        <v>0</v>
      </c>
      <c r="N246" s="570">
        <v>0</v>
      </c>
      <c r="O246" s="625">
        <v>0</v>
      </c>
      <c r="P246" s="499">
        <v>0</v>
      </c>
      <c r="Q246" s="501">
        <v>0</v>
      </c>
      <c r="R246" s="543">
        <v>0</v>
      </c>
      <c r="S246" s="524">
        <v>0</v>
      </c>
      <c r="T246" s="608"/>
      <c r="U246" s="481"/>
      <c r="V246" s="481"/>
      <c r="W246" s="481"/>
      <c r="X246" s="481"/>
      <c r="Y246" s="481"/>
      <c r="Z246" s="481"/>
      <c r="AA246" s="481"/>
      <c r="AB246" s="481"/>
      <c r="AC246" s="481"/>
      <c r="AD246" s="481"/>
      <c r="AE246" s="481"/>
      <c r="AF246" s="481"/>
      <c r="AG246" s="481"/>
      <c r="AH246" s="481"/>
      <c r="AI246" s="481"/>
      <c r="AJ246" s="481"/>
      <c r="AK246" s="481"/>
      <c r="AL246" s="481"/>
      <c r="AM246" s="481"/>
      <c r="AN246" s="481"/>
    </row>
    <row r="247" spans="1:40" ht="15.75" customHeight="1">
      <c r="A247" s="490" t="s">
        <v>368</v>
      </c>
      <c r="B247" s="481" t="s">
        <v>99</v>
      </c>
      <c r="C247" s="498" t="s">
        <v>87</v>
      </c>
      <c r="D247" s="481"/>
      <c r="E247" s="481"/>
      <c r="F247" s="620">
        <v>0</v>
      </c>
      <c r="G247" s="498"/>
      <c r="H247" s="481"/>
      <c r="I247" s="620"/>
      <c r="J247" s="498"/>
      <c r="K247" s="481"/>
      <c r="L247" s="620">
        <v>0</v>
      </c>
      <c r="M247" s="515"/>
      <c r="N247" s="516">
        <v>0</v>
      </c>
      <c r="O247" s="498"/>
      <c r="P247" s="481"/>
      <c r="Q247" s="620">
        <v>0</v>
      </c>
      <c r="R247" s="515"/>
      <c r="S247" s="516">
        <v>0</v>
      </c>
      <c r="T247" s="608"/>
      <c r="U247" s="481"/>
      <c r="V247" s="481"/>
      <c r="W247" s="481"/>
      <c r="X247" s="481"/>
      <c r="Y247" s="481"/>
      <c r="Z247" s="481"/>
      <c r="AA247" s="481"/>
      <c r="AB247" s="481"/>
      <c r="AC247" s="481"/>
      <c r="AD247" s="481"/>
      <c r="AE247" s="481"/>
      <c r="AF247" s="481"/>
      <c r="AG247" s="481"/>
      <c r="AH247" s="481"/>
      <c r="AI247" s="481"/>
      <c r="AJ247" s="481"/>
      <c r="AK247" s="481"/>
      <c r="AL247" s="481"/>
      <c r="AM247" s="481"/>
      <c r="AN247" s="481"/>
    </row>
    <row r="248" spans="1:40" ht="15.75" customHeight="1" thickBot="1">
      <c r="A248" s="490" t="s">
        <v>99</v>
      </c>
      <c r="B248" s="481" t="s">
        <v>99</v>
      </c>
      <c r="C248" s="498"/>
      <c r="D248" s="481"/>
      <c r="E248" s="481"/>
      <c r="F248" s="620"/>
      <c r="G248" s="498"/>
      <c r="H248" s="481"/>
      <c r="I248" s="620"/>
      <c r="J248" s="498"/>
      <c r="K248" s="481"/>
      <c r="L248" s="620"/>
      <c r="M248" s="515"/>
      <c r="N248" s="516"/>
      <c r="O248" s="498"/>
      <c r="P248" s="481"/>
      <c r="Q248" s="620"/>
      <c r="R248" s="515"/>
      <c r="S248" s="516"/>
      <c r="T248" s="608"/>
      <c r="U248" s="481"/>
      <c r="V248" s="481"/>
      <c r="W248" s="481"/>
      <c r="X248" s="481"/>
      <c r="Y248" s="481"/>
      <c r="Z248" s="481"/>
      <c r="AA248" s="481"/>
      <c r="AB248" s="481"/>
      <c r="AC248" s="481"/>
      <c r="AD248" s="481"/>
      <c r="AE248" s="481"/>
      <c r="AF248" s="481"/>
      <c r="AG248" s="481"/>
      <c r="AH248" s="481"/>
      <c r="AI248" s="481"/>
      <c r="AJ248" s="481"/>
      <c r="AK248" s="481"/>
      <c r="AL248" s="481"/>
      <c r="AM248" s="481"/>
      <c r="AN248" s="481"/>
    </row>
    <row r="249" spans="1:40" ht="15.75" customHeight="1" thickTop="1">
      <c r="A249" s="490" t="s">
        <v>371</v>
      </c>
      <c r="B249" s="481" t="s">
        <v>99</v>
      </c>
      <c r="C249" s="526" t="s">
        <v>96</v>
      </c>
      <c r="D249" s="527"/>
      <c r="E249" s="527">
        <v>65414.584168287191</v>
      </c>
      <c r="F249" s="529">
        <v>15378.575952370002</v>
      </c>
      <c r="G249" s="530"/>
      <c r="H249" s="527"/>
      <c r="I249" s="529"/>
      <c r="J249" s="530"/>
      <c r="K249" s="527">
        <v>43872.799999999996</v>
      </c>
      <c r="L249" s="529">
        <v>7855.5599999999922</v>
      </c>
      <c r="M249" s="657">
        <v>-5.6040914718800239E-2</v>
      </c>
      <c r="N249" s="529">
        <v>-7523.0159523700095</v>
      </c>
      <c r="O249" s="530"/>
      <c r="P249" s="527">
        <v>88090.5</v>
      </c>
      <c r="Q249" s="529">
        <v>14167.429999999995</v>
      </c>
      <c r="R249" s="663">
        <v>1.8224955103465112E-2</v>
      </c>
      <c r="S249" s="529">
        <v>-6311.8700000000026</v>
      </c>
      <c r="T249" s="608"/>
      <c r="U249" s="481"/>
      <c r="V249" s="481"/>
      <c r="W249" s="481"/>
      <c r="X249" s="481"/>
      <c r="Y249" s="481"/>
      <c r="Z249" s="481"/>
      <c r="AA249" s="481"/>
      <c r="AB249" s="481"/>
      <c r="AC249" s="481"/>
      <c r="AD249" s="481"/>
      <c r="AE249" s="481"/>
      <c r="AF249" s="481"/>
      <c r="AG249" s="481"/>
      <c r="AH249" s="481"/>
      <c r="AI249" s="481"/>
      <c r="AJ249" s="481"/>
      <c r="AK249" s="481"/>
      <c r="AL249" s="481"/>
      <c r="AM249" s="481"/>
      <c r="AN249" s="481"/>
    </row>
    <row r="250" spans="1:40" ht="23.25" customHeight="1" thickBot="1">
      <c r="A250" s="490" t="s">
        <v>99</v>
      </c>
      <c r="B250" s="481" t="s">
        <v>99</v>
      </c>
      <c r="C250" s="531"/>
      <c r="D250" s="532"/>
      <c r="E250" s="532"/>
      <c r="F250" s="536">
        <v>0.23509399544307572</v>
      </c>
      <c r="G250" s="531"/>
      <c r="H250" s="532"/>
      <c r="I250" s="536"/>
      <c r="J250" s="531"/>
      <c r="K250" s="532"/>
      <c r="L250" s="536">
        <v>0.17905308072427548</v>
      </c>
      <c r="M250" s="535"/>
      <c r="N250" s="536">
        <v>-0.48918807408891674</v>
      </c>
      <c r="O250" s="531"/>
      <c r="P250" s="532"/>
      <c r="Q250" s="536">
        <v>0.16082812562081036</v>
      </c>
      <c r="R250" s="535"/>
      <c r="S250" s="536">
        <v>-0.44551975905298313</v>
      </c>
      <c r="T250" s="608"/>
      <c r="U250" s="481"/>
      <c r="V250" s="481"/>
      <c r="W250" s="481"/>
      <c r="X250" s="481"/>
      <c r="Y250" s="481"/>
      <c r="Z250" s="481"/>
      <c r="AA250" s="481"/>
      <c r="AB250" s="481"/>
      <c r="AC250" s="481"/>
      <c r="AD250" s="481"/>
      <c r="AE250" s="481"/>
      <c r="AF250" s="481"/>
      <c r="AG250" s="481"/>
      <c r="AH250" s="481"/>
      <c r="AI250" s="481"/>
      <c r="AJ250" s="481"/>
      <c r="AK250" s="481"/>
      <c r="AL250" s="481"/>
      <c r="AM250" s="481"/>
      <c r="AN250" s="481"/>
    </row>
    <row r="251" spans="1:40" ht="15.75" customHeight="1" thickTop="1">
      <c r="A251" s="490" t="s">
        <v>99</v>
      </c>
      <c r="B251" s="481" t="s">
        <v>99</v>
      </c>
      <c r="C251" s="498"/>
      <c r="D251" s="481"/>
      <c r="E251" s="481"/>
      <c r="F251" s="524"/>
      <c r="G251" s="498"/>
      <c r="H251" s="481"/>
      <c r="I251" s="524"/>
      <c r="J251" s="498"/>
      <c r="K251" s="481"/>
      <c r="L251" s="508"/>
      <c r="M251" s="498"/>
      <c r="N251" s="508"/>
      <c r="O251" s="498"/>
      <c r="P251" s="481"/>
      <c r="Q251" s="508"/>
      <c r="R251" s="498"/>
      <c r="S251" s="508"/>
      <c r="T251" s="481"/>
      <c r="U251" s="481"/>
      <c r="V251" s="481"/>
      <c r="W251" s="481"/>
      <c r="X251" s="481"/>
      <c r="Y251" s="481"/>
      <c r="Z251" s="481"/>
      <c r="AA251" s="481"/>
      <c r="AB251" s="481"/>
      <c r="AC251" s="481"/>
      <c r="AD251" s="481"/>
      <c r="AE251" s="481"/>
      <c r="AF251" s="481"/>
      <c r="AG251" s="481"/>
      <c r="AH251" s="481"/>
      <c r="AI251" s="481"/>
      <c r="AJ251" s="481"/>
      <c r="AK251" s="481"/>
      <c r="AL251" s="481"/>
      <c r="AM251" s="481"/>
      <c r="AN251" s="481"/>
    </row>
    <row r="252" spans="1:40" ht="15.75" customHeight="1">
      <c r="A252" s="490" t="s">
        <v>372</v>
      </c>
      <c r="B252" s="481" t="s">
        <v>99</v>
      </c>
      <c r="C252" s="539" t="s">
        <v>30</v>
      </c>
      <c r="D252" s="481"/>
      <c r="E252" s="481"/>
      <c r="F252" s="524"/>
      <c r="G252" s="498"/>
      <c r="H252" s="481"/>
      <c r="I252" s="524"/>
      <c r="J252" s="498"/>
      <c r="K252" s="481"/>
      <c r="L252" s="508"/>
      <c r="M252" s="498"/>
      <c r="N252" s="508"/>
      <c r="O252" s="498"/>
      <c r="P252" s="481"/>
      <c r="Q252" s="508"/>
      <c r="R252" s="498"/>
      <c r="S252" s="508"/>
      <c r="T252" s="481"/>
      <c r="U252" s="481"/>
      <c r="V252" s="481"/>
      <c r="W252" s="481"/>
      <c r="X252" s="481"/>
      <c r="Y252" s="481"/>
      <c r="Z252" s="481"/>
      <c r="AA252" s="481"/>
      <c r="AB252" s="481"/>
      <c r="AC252" s="481"/>
      <c r="AD252" s="481"/>
      <c r="AE252" s="481"/>
      <c r="AF252" s="481"/>
      <c r="AG252" s="481"/>
      <c r="AH252" s="481"/>
      <c r="AI252" s="481"/>
      <c r="AJ252" s="481"/>
      <c r="AK252" s="481"/>
      <c r="AL252" s="481"/>
      <c r="AM252" s="481"/>
      <c r="AN252" s="481"/>
    </row>
    <row r="253" spans="1:40" ht="15.75" customHeight="1">
      <c r="A253" s="490" t="s">
        <v>373</v>
      </c>
      <c r="B253" s="481" t="s">
        <v>99</v>
      </c>
      <c r="C253" s="565" t="s">
        <v>41</v>
      </c>
      <c r="D253" s="481"/>
      <c r="E253" s="481"/>
      <c r="F253" s="499">
        <v>325.80440613026821</v>
      </c>
      <c r="G253" s="498"/>
      <c r="H253" s="481"/>
      <c r="I253" s="499"/>
      <c r="J253" s="498"/>
      <c r="K253" s="481"/>
      <c r="L253" s="501">
        <v>-98.12</v>
      </c>
      <c r="M253" s="498"/>
      <c r="N253" s="524">
        <v>-423.92440613026821</v>
      </c>
      <c r="O253" s="498"/>
      <c r="P253" s="481"/>
      <c r="Q253" s="501">
        <v>901.88</v>
      </c>
      <c r="R253" s="498"/>
      <c r="S253" s="501">
        <v>-1000</v>
      </c>
      <c r="T253" s="481"/>
      <c r="U253" s="481"/>
      <c r="V253" s="481"/>
      <c r="W253" s="481"/>
      <c r="X253" s="481"/>
      <c r="Y253" s="481"/>
      <c r="Z253" s="481"/>
      <c r="AA253" s="481"/>
      <c r="AB253" s="481"/>
      <c r="AC253" s="481"/>
      <c r="AD253" s="481"/>
      <c r="AE253" s="481"/>
      <c r="AF253" s="481"/>
      <c r="AG253" s="481"/>
      <c r="AH253" s="481"/>
      <c r="AI253" s="481"/>
      <c r="AJ253" s="481"/>
      <c r="AK253" s="481"/>
      <c r="AL253" s="481"/>
      <c r="AM253" s="481"/>
      <c r="AN253" s="481"/>
    </row>
    <row r="254" spans="1:40" ht="15.75" customHeight="1">
      <c r="A254" s="490" t="s">
        <v>374</v>
      </c>
      <c r="B254" s="481" t="s">
        <v>99</v>
      </c>
      <c r="C254" s="566" t="s">
        <v>42</v>
      </c>
      <c r="D254" s="550"/>
      <c r="E254" s="481"/>
      <c r="F254" s="493">
        <v>568.03540229885061</v>
      </c>
      <c r="G254" s="551"/>
      <c r="H254" s="481"/>
      <c r="I254" s="493"/>
      <c r="J254" s="498"/>
      <c r="K254" s="481"/>
      <c r="L254" s="501">
        <v>0</v>
      </c>
      <c r="M254" s="498"/>
      <c r="N254" s="524">
        <v>-568.03540229885061</v>
      </c>
      <c r="O254" s="498"/>
      <c r="P254" s="481"/>
      <c r="Q254" s="501">
        <v>0</v>
      </c>
      <c r="R254" s="498"/>
      <c r="S254" s="524">
        <v>0</v>
      </c>
      <c r="T254" s="481"/>
      <c r="U254" s="481"/>
      <c r="V254" s="481"/>
      <c r="W254" s="481"/>
      <c r="X254" s="481"/>
      <c r="Y254" s="481"/>
      <c r="Z254" s="481"/>
      <c r="AA254" s="481"/>
      <c r="AB254" s="481"/>
      <c r="AC254" s="481"/>
      <c r="AD254" s="481"/>
      <c r="AE254" s="481"/>
      <c r="AF254" s="481"/>
      <c r="AG254" s="481"/>
      <c r="AH254" s="481"/>
      <c r="AI254" s="481"/>
      <c r="AJ254" s="481"/>
      <c r="AK254" s="481"/>
      <c r="AL254" s="481"/>
      <c r="AM254" s="481"/>
      <c r="AN254" s="481"/>
    </row>
    <row r="255" spans="1:40" ht="15.75" customHeight="1">
      <c r="A255" s="490" t="s">
        <v>375</v>
      </c>
      <c r="B255" s="481" t="s">
        <v>99</v>
      </c>
      <c r="C255" s="565" t="s">
        <v>43</v>
      </c>
      <c r="D255" s="567"/>
      <c r="E255" s="568"/>
      <c r="F255" s="499">
        <v>371.30268199233717</v>
      </c>
      <c r="G255" s="569"/>
      <c r="H255" s="568"/>
      <c r="I255" s="499"/>
      <c r="J255" s="485"/>
      <c r="K255" s="568"/>
      <c r="L255" s="520">
        <v>0.08</v>
      </c>
      <c r="M255" s="485"/>
      <c r="N255" s="570">
        <v>-371.22268199233719</v>
      </c>
      <c r="O255" s="485"/>
      <c r="P255" s="568"/>
      <c r="Q255" s="520">
        <v>1.17</v>
      </c>
      <c r="R255" s="485"/>
      <c r="S255" s="570">
        <v>-1.0899999999999999</v>
      </c>
      <c r="T255" s="481"/>
      <c r="U255" s="481"/>
      <c r="V255" s="481"/>
      <c r="W255" s="481"/>
      <c r="X255" s="481"/>
      <c r="Y255" s="481"/>
      <c r="Z255" s="481"/>
      <c r="AA255" s="481"/>
      <c r="AB255" s="481"/>
      <c r="AC255" s="481"/>
      <c r="AD255" s="481"/>
      <c r="AE255" s="481"/>
      <c r="AF255" s="481"/>
      <c r="AG255" s="481"/>
      <c r="AH255" s="481"/>
      <c r="AI255" s="481"/>
      <c r="AJ255" s="481"/>
      <c r="AK255" s="481"/>
      <c r="AL255" s="481"/>
      <c r="AM255" s="481"/>
      <c r="AN255" s="481"/>
    </row>
    <row r="256" spans="1:40" ht="15.75" customHeight="1">
      <c r="A256" s="490" t="s">
        <v>376</v>
      </c>
      <c r="B256" s="481" t="s">
        <v>99</v>
      </c>
      <c r="C256" s="565" t="s">
        <v>44</v>
      </c>
      <c r="D256" s="550"/>
      <c r="E256" s="481"/>
      <c r="F256" s="499">
        <v>3655.8620689655172</v>
      </c>
      <c r="G256" s="551"/>
      <c r="H256" s="481"/>
      <c r="I256" s="499"/>
      <c r="J256" s="498"/>
      <c r="K256" s="481"/>
      <c r="L256" s="501">
        <v>3832.35</v>
      </c>
      <c r="M256" s="498"/>
      <c r="N256" s="524">
        <v>176.4879310344827</v>
      </c>
      <c r="O256" s="498"/>
      <c r="P256" s="481"/>
      <c r="Q256" s="501">
        <v>5064.71</v>
      </c>
      <c r="R256" s="498"/>
      <c r="S256" s="524">
        <v>-1232.3600000000001</v>
      </c>
      <c r="T256" s="481"/>
      <c r="U256" s="481"/>
      <c r="V256" s="481"/>
      <c r="W256" s="481"/>
      <c r="X256" s="481"/>
      <c r="Y256" s="481"/>
      <c r="Z256" s="481"/>
      <c r="AA256" s="481"/>
      <c r="AB256" s="481"/>
      <c r="AC256" s="481"/>
      <c r="AD256" s="481"/>
      <c r="AE256" s="481"/>
      <c r="AF256" s="481"/>
      <c r="AG256" s="481"/>
      <c r="AH256" s="481"/>
      <c r="AI256" s="481"/>
      <c r="AJ256" s="481"/>
      <c r="AK256" s="481"/>
      <c r="AL256" s="481"/>
      <c r="AM256" s="481"/>
      <c r="AN256" s="481"/>
    </row>
    <row r="257" spans="1:40" ht="15.75" hidden="1" customHeight="1">
      <c r="A257" s="490" t="s">
        <v>377</v>
      </c>
      <c r="B257" s="481" t="s">
        <v>99</v>
      </c>
      <c r="C257" s="498" t="s">
        <v>20</v>
      </c>
      <c r="D257" s="550"/>
      <c r="E257" s="481"/>
      <c r="F257" s="499">
        <v>0</v>
      </c>
      <c r="G257" s="551"/>
      <c r="H257" s="481"/>
      <c r="I257" s="499"/>
      <c r="J257" s="498"/>
      <c r="K257" s="481"/>
      <c r="L257" s="501">
        <v>0</v>
      </c>
      <c r="M257" s="498"/>
      <c r="N257" s="524">
        <v>0</v>
      </c>
      <c r="O257" s="498"/>
      <c r="P257" s="481"/>
      <c r="Q257" s="501">
        <v>0</v>
      </c>
      <c r="R257" s="498"/>
      <c r="S257" s="524">
        <v>0</v>
      </c>
      <c r="T257" s="481"/>
      <c r="U257" s="481"/>
      <c r="V257" s="481"/>
      <c r="W257" s="481"/>
      <c r="X257" s="481"/>
      <c r="Y257" s="481"/>
      <c r="Z257" s="481"/>
      <c r="AA257" s="481"/>
      <c r="AB257" s="481"/>
      <c r="AC257" s="481"/>
      <c r="AD257" s="481"/>
      <c r="AE257" s="481"/>
      <c r="AF257" s="481"/>
      <c r="AG257" s="481"/>
      <c r="AH257" s="481"/>
      <c r="AI257" s="481"/>
      <c r="AJ257" s="481"/>
      <c r="AK257" s="481"/>
      <c r="AL257" s="481"/>
      <c r="AM257" s="481"/>
      <c r="AN257" s="481"/>
    </row>
    <row r="258" spans="1:40" ht="15.75" hidden="1" customHeight="1">
      <c r="A258" s="490" t="s">
        <v>377</v>
      </c>
      <c r="B258" s="481" t="s">
        <v>99</v>
      </c>
      <c r="C258" s="498" t="s">
        <v>20</v>
      </c>
      <c r="D258" s="550"/>
      <c r="E258" s="481"/>
      <c r="F258" s="499">
        <v>0</v>
      </c>
      <c r="G258" s="551"/>
      <c r="H258" s="481"/>
      <c r="I258" s="499"/>
      <c r="J258" s="498"/>
      <c r="K258" s="481"/>
      <c r="L258" s="501">
        <v>0</v>
      </c>
      <c r="M258" s="498"/>
      <c r="N258" s="524">
        <v>0</v>
      </c>
      <c r="O258" s="498"/>
      <c r="P258" s="481"/>
      <c r="Q258" s="501">
        <v>0</v>
      </c>
      <c r="R258" s="498"/>
      <c r="S258" s="524">
        <v>0</v>
      </c>
      <c r="T258" s="481"/>
      <c r="U258" s="481"/>
      <c r="V258" s="481"/>
      <c r="W258" s="481"/>
      <c r="X258" s="481"/>
      <c r="Y258" s="481"/>
      <c r="Z258" s="481"/>
      <c r="AA258" s="481"/>
      <c r="AB258" s="481"/>
      <c r="AC258" s="481"/>
      <c r="AD258" s="481"/>
      <c r="AE258" s="481"/>
      <c r="AF258" s="481"/>
      <c r="AG258" s="481"/>
      <c r="AH258" s="481"/>
      <c r="AI258" s="481"/>
      <c r="AJ258" s="481"/>
      <c r="AK258" s="481"/>
      <c r="AL258" s="481"/>
      <c r="AM258" s="481"/>
      <c r="AN258" s="481"/>
    </row>
    <row r="259" spans="1:40" ht="15.75" hidden="1" customHeight="1">
      <c r="A259" s="490" t="s">
        <v>377</v>
      </c>
      <c r="B259" s="481" t="s">
        <v>99</v>
      </c>
      <c r="C259" s="498" t="s">
        <v>20</v>
      </c>
      <c r="D259" s="550"/>
      <c r="E259" s="481"/>
      <c r="F259" s="499">
        <v>0</v>
      </c>
      <c r="G259" s="551"/>
      <c r="H259" s="481"/>
      <c r="I259" s="499"/>
      <c r="J259" s="498"/>
      <c r="K259" s="481"/>
      <c r="L259" s="501">
        <v>0</v>
      </c>
      <c r="M259" s="498"/>
      <c r="N259" s="524">
        <v>0</v>
      </c>
      <c r="O259" s="498"/>
      <c r="P259" s="481"/>
      <c r="Q259" s="501">
        <v>0</v>
      </c>
      <c r="R259" s="498"/>
      <c r="S259" s="524">
        <v>0</v>
      </c>
      <c r="T259" s="481"/>
      <c r="U259" s="481"/>
      <c r="V259" s="481"/>
      <c r="W259" s="481"/>
      <c r="X259" s="481"/>
      <c r="Y259" s="481"/>
      <c r="Z259" s="481"/>
      <c r="AA259" s="481"/>
      <c r="AB259" s="481"/>
      <c r="AC259" s="481"/>
      <c r="AD259" s="481"/>
      <c r="AE259" s="481"/>
      <c r="AF259" s="481"/>
      <c r="AG259" s="481"/>
      <c r="AH259" s="481"/>
      <c r="AI259" s="481"/>
      <c r="AJ259" s="481"/>
      <c r="AK259" s="481"/>
      <c r="AL259" s="481"/>
      <c r="AM259" s="481"/>
      <c r="AN259" s="481"/>
    </row>
    <row r="260" spans="1:40" ht="15.75" customHeight="1">
      <c r="A260" s="490" t="s">
        <v>378</v>
      </c>
      <c r="B260" s="481" t="s">
        <v>99</v>
      </c>
      <c r="C260" s="566" t="s">
        <v>45</v>
      </c>
      <c r="D260" s="550"/>
      <c r="E260" s="481"/>
      <c r="F260" s="493">
        <v>599.74349788961297</v>
      </c>
      <c r="G260" s="551"/>
      <c r="H260" s="481"/>
      <c r="I260" s="493"/>
      <c r="J260" s="498"/>
      <c r="K260" s="481"/>
      <c r="L260" s="501">
        <v>384.29</v>
      </c>
      <c r="M260" s="498"/>
      <c r="N260" s="524">
        <v>-215.45349788961295</v>
      </c>
      <c r="O260" s="498"/>
      <c r="P260" s="481"/>
      <c r="Q260" s="501">
        <v>744.02</v>
      </c>
      <c r="R260" s="498"/>
      <c r="S260" s="524">
        <v>-359.72999999999996</v>
      </c>
      <c r="T260" s="481"/>
      <c r="U260" s="481"/>
      <c r="V260" s="481"/>
      <c r="W260" s="481"/>
      <c r="X260" s="481"/>
      <c r="Y260" s="481"/>
      <c r="Z260" s="481"/>
      <c r="AA260" s="481"/>
      <c r="AB260" s="481"/>
      <c r="AC260" s="481"/>
      <c r="AD260" s="481"/>
      <c r="AE260" s="481"/>
      <c r="AF260" s="481"/>
      <c r="AG260" s="481"/>
      <c r="AH260" s="481"/>
      <c r="AI260" s="481"/>
      <c r="AJ260" s="481"/>
      <c r="AK260" s="481"/>
      <c r="AL260" s="481"/>
      <c r="AM260" s="481"/>
      <c r="AN260" s="481"/>
    </row>
    <row r="261" spans="1:40" ht="15.75" customHeight="1">
      <c r="A261" s="490" t="s">
        <v>379</v>
      </c>
      <c r="B261" s="481" t="s">
        <v>99</v>
      </c>
      <c r="C261" s="565" t="s">
        <v>46</v>
      </c>
      <c r="D261" s="567"/>
      <c r="E261" s="568"/>
      <c r="F261" s="499">
        <v>596.20408602417399</v>
      </c>
      <c r="G261" s="569"/>
      <c r="H261" s="568"/>
      <c r="I261" s="499"/>
      <c r="J261" s="485"/>
      <c r="K261" s="568"/>
      <c r="L261" s="520">
        <v>1454.76</v>
      </c>
      <c r="M261" s="485"/>
      <c r="N261" s="570">
        <v>858.555913975826</v>
      </c>
      <c r="O261" s="485"/>
      <c r="P261" s="568"/>
      <c r="Q261" s="520">
        <v>1614.46</v>
      </c>
      <c r="R261" s="485"/>
      <c r="S261" s="570">
        <v>-159.70000000000005</v>
      </c>
      <c r="T261" s="481"/>
      <c r="U261" s="481"/>
      <c r="V261" s="481"/>
      <c r="W261" s="481"/>
      <c r="X261" s="481"/>
      <c r="Y261" s="481"/>
      <c r="Z261" s="481"/>
      <c r="AA261" s="481"/>
      <c r="AB261" s="481"/>
      <c r="AC261" s="481"/>
      <c r="AD261" s="481"/>
      <c r="AE261" s="481"/>
      <c r="AF261" s="481"/>
      <c r="AG261" s="481"/>
      <c r="AH261" s="481"/>
      <c r="AI261" s="481"/>
      <c r="AJ261" s="481"/>
      <c r="AK261" s="481"/>
      <c r="AL261" s="481"/>
      <c r="AM261" s="481"/>
      <c r="AN261" s="481"/>
    </row>
    <row r="262" spans="1:40" ht="15.75" customHeight="1">
      <c r="A262" s="490" t="s">
        <v>380</v>
      </c>
      <c r="B262" s="481" t="s">
        <v>99</v>
      </c>
      <c r="C262" s="565" t="s">
        <v>47</v>
      </c>
      <c r="D262" s="550"/>
      <c r="E262" s="481"/>
      <c r="F262" s="499">
        <v>417.4967010991079</v>
      </c>
      <c r="G262" s="551"/>
      <c r="H262" s="481"/>
      <c r="I262" s="499"/>
      <c r="J262" s="498"/>
      <c r="K262" s="481"/>
      <c r="L262" s="501">
        <v>453.78</v>
      </c>
      <c r="M262" s="498"/>
      <c r="N262" s="524">
        <v>36.283298900892078</v>
      </c>
      <c r="O262" s="498"/>
      <c r="P262" s="481"/>
      <c r="Q262" s="501">
        <v>844.61</v>
      </c>
      <c r="R262" s="498"/>
      <c r="S262" s="524">
        <v>-390.83000000000004</v>
      </c>
      <c r="T262" s="481"/>
      <c r="U262" s="481"/>
      <c r="V262" s="481"/>
      <c r="W262" s="481"/>
      <c r="X262" s="481"/>
      <c r="Y262" s="481"/>
      <c r="Z262" s="481"/>
      <c r="AA262" s="481"/>
      <c r="AB262" s="481"/>
      <c r="AC262" s="481"/>
      <c r="AD262" s="481"/>
      <c r="AE262" s="481"/>
      <c r="AF262" s="481"/>
      <c r="AG262" s="481"/>
      <c r="AH262" s="481"/>
      <c r="AI262" s="481"/>
      <c r="AJ262" s="481"/>
      <c r="AK262" s="481"/>
      <c r="AL262" s="481"/>
      <c r="AM262" s="481"/>
      <c r="AN262" s="481"/>
    </row>
    <row r="263" spans="1:40" ht="15.75" customHeight="1">
      <c r="A263" s="490" t="s">
        <v>381</v>
      </c>
      <c r="B263" s="481" t="s">
        <v>99</v>
      </c>
      <c r="C263" s="565" t="s">
        <v>48</v>
      </c>
      <c r="D263" s="550"/>
      <c r="E263" s="481"/>
      <c r="F263" s="499">
        <v>199.45020784310012</v>
      </c>
      <c r="G263" s="551"/>
      <c r="H263" s="481"/>
      <c r="I263" s="499"/>
      <c r="J263" s="498"/>
      <c r="K263" s="481"/>
      <c r="L263" s="501">
        <v>172.1</v>
      </c>
      <c r="M263" s="498"/>
      <c r="N263" s="524">
        <v>-27.350207843100122</v>
      </c>
      <c r="O263" s="498"/>
      <c r="P263" s="481"/>
      <c r="Q263" s="501">
        <v>317</v>
      </c>
      <c r="R263" s="498"/>
      <c r="S263" s="524">
        <v>-144.9</v>
      </c>
      <c r="T263" s="481"/>
      <c r="U263" s="481"/>
      <c r="V263" s="481"/>
      <c r="W263" s="481"/>
      <c r="X263" s="481"/>
      <c r="Y263" s="481"/>
      <c r="Z263" s="481"/>
      <c r="AA263" s="481"/>
      <c r="AB263" s="481"/>
      <c r="AC263" s="481"/>
      <c r="AD263" s="481"/>
      <c r="AE263" s="481"/>
      <c r="AF263" s="481"/>
      <c r="AG263" s="481"/>
      <c r="AH263" s="481"/>
      <c r="AI263" s="481"/>
      <c r="AJ263" s="481"/>
      <c r="AK263" s="481"/>
      <c r="AL263" s="481"/>
      <c r="AM263" s="481"/>
      <c r="AN263" s="481"/>
    </row>
    <row r="264" spans="1:40" ht="15.75" hidden="1" customHeight="1">
      <c r="A264" s="490" t="s">
        <v>377</v>
      </c>
      <c r="B264" s="481" t="s">
        <v>99</v>
      </c>
      <c r="C264" s="498" t="s">
        <v>20</v>
      </c>
      <c r="D264" s="552"/>
      <c r="E264" s="571"/>
      <c r="F264" s="499">
        <v>0</v>
      </c>
      <c r="G264" s="553"/>
      <c r="H264" s="571"/>
      <c r="I264" s="499"/>
      <c r="J264" s="491"/>
      <c r="K264" s="571"/>
      <c r="L264" s="501">
        <v>0</v>
      </c>
      <c r="M264" s="491"/>
      <c r="N264" s="547">
        <v>0</v>
      </c>
      <c r="O264" s="491"/>
      <c r="P264" s="571"/>
      <c r="Q264" s="501">
        <v>0</v>
      </c>
      <c r="R264" s="491"/>
      <c r="S264" s="547">
        <v>0</v>
      </c>
      <c r="T264" s="481"/>
      <c r="U264" s="481"/>
      <c r="V264" s="481"/>
      <c r="W264" s="481"/>
      <c r="X264" s="481"/>
      <c r="Y264" s="481"/>
      <c r="Z264" s="481"/>
      <c r="AA264" s="481"/>
      <c r="AB264" s="481"/>
      <c r="AC264" s="481"/>
      <c r="AD264" s="481"/>
      <c r="AE264" s="481"/>
      <c r="AF264" s="481"/>
      <c r="AG264" s="481"/>
      <c r="AH264" s="481"/>
      <c r="AI264" s="481"/>
      <c r="AJ264" s="481"/>
      <c r="AK264" s="481"/>
      <c r="AL264" s="481"/>
      <c r="AM264" s="481"/>
      <c r="AN264" s="481"/>
    </row>
    <row r="265" spans="1:40" ht="15.75" customHeight="1">
      <c r="A265" s="490" t="s">
        <v>382</v>
      </c>
      <c r="B265" s="481" t="s">
        <v>99</v>
      </c>
      <c r="C265" s="557" t="s">
        <v>49</v>
      </c>
      <c r="D265" s="558" t="s">
        <v>39</v>
      </c>
      <c r="E265" s="559">
        <v>0.43787533209179896</v>
      </c>
      <c r="F265" s="560">
        <v>6733.8990522429676</v>
      </c>
      <c r="G265" s="561"/>
      <c r="H265" s="559"/>
      <c r="I265" s="560"/>
      <c r="J265" s="561" t="s">
        <v>39</v>
      </c>
      <c r="K265" s="559">
        <v>0.78915316030938687</v>
      </c>
      <c r="L265" s="560">
        <v>6199.2400000000007</v>
      </c>
      <c r="M265" s="610"/>
      <c r="N265" s="573">
        <v>-534.65905224296694</v>
      </c>
      <c r="O265" s="561" t="s">
        <v>39</v>
      </c>
      <c r="P265" s="559">
        <v>0.66969450351969306</v>
      </c>
      <c r="Q265" s="560">
        <v>9487.8500000000022</v>
      </c>
      <c r="R265" s="610"/>
      <c r="S265" s="573">
        <v>-3288.6100000000015</v>
      </c>
      <c r="T265" s="481"/>
      <c r="U265" s="481"/>
      <c r="V265" s="481"/>
      <c r="W265" s="481"/>
      <c r="X265" s="481"/>
      <c r="Y265" s="481"/>
      <c r="Z265" s="481"/>
      <c r="AA265" s="481"/>
      <c r="AB265" s="481"/>
      <c r="AC265" s="481"/>
      <c r="AD265" s="481"/>
      <c r="AE265" s="481"/>
      <c r="AF265" s="481"/>
      <c r="AG265" s="481"/>
      <c r="AH265" s="481"/>
      <c r="AI265" s="481"/>
      <c r="AJ265" s="481"/>
      <c r="AK265" s="481"/>
      <c r="AL265" s="481"/>
      <c r="AM265" s="481"/>
      <c r="AN265" s="481"/>
    </row>
    <row r="266" spans="1:40" ht="15.75" customHeight="1">
      <c r="A266" s="490" t="s">
        <v>383</v>
      </c>
      <c r="B266" s="481" t="s">
        <v>99</v>
      </c>
      <c r="C266" s="664" t="s">
        <v>50</v>
      </c>
      <c r="D266" s="550"/>
      <c r="E266" s="481"/>
      <c r="F266" s="499">
        <v>0</v>
      </c>
      <c r="G266" s="551"/>
      <c r="H266" s="481"/>
      <c r="I266" s="499"/>
      <c r="J266" s="498"/>
      <c r="K266" s="481"/>
      <c r="L266" s="501">
        <v>119.6</v>
      </c>
      <c r="M266" s="498"/>
      <c r="N266" s="524">
        <v>119.6</v>
      </c>
      <c r="O266" s="498"/>
      <c r="P266" s="481"/>
      <c r="Q266" s="524">
        <v>6.11</v>
      </c>
      <c r="R266" s="498"/>
      <c r="S266" s="524">
        <v>113.49</v>
      </c>
      <c r="T266" s="481"/>
      <c r="U266" s="481"/>
      <c r="V266" s="481"/>
      <c r="W266" s="481"/>
      <c r="X266" s="481"/>
      <c r="Y266" s="481"/>
      <c r="Z266" s="481"/>
      <c r="AA266" s="481"/>
      <c r="AB266" s="481"/>
      <c r="AC266" s="481"/>
      <c r="AD266" s="481"/>
      <c r="AE266" s="481"/>
      <c r="AF266" s="481"/>
      <c r="AG266" s="481"/>
      <c r="AH266" s="481"/>
      <c r="AI266" s="481"/>
      <c r="AJ266" s="481"/>
      <c r="AK266" s="481"/>
      <c r="AL266" s="481"/>
      <c r="AM266" s="481"/>
      <c r="AN266" s="481"/>
    </row>
    <row r="267" spans="1:40" ht="15.75" customHeight="1">
      <c r="A267" s="490" t="s">
        <v>384</v>
      </c>
      <c r="B267" s="481" t="s">
        <v>99</v>
      </c>
      <c r="C267" s="565" t="s">
        <v>51</v>
      </c>
      <c r="D267" s="550"/>
      <c r="E267" s="481"/>
      <c r="F267" s="499">
        <v>198.91504385933595</v>
      </c>
      <c r="G267" s="551"/>
      <c r="H267" s="481"/>
      <c r="I267" s="499"/>
      <c r="J267" s="498"/>
      <c r="K267" s="481"/>
      <c r="L267" s="501">
        <v>2934.37</v>
      </c>
      <c r="M267" s="498"/>
      <c r="N267" s="524">
        <v>2735.4549561406639</v>
      </c>
      <c r="O267" s="498"/>
      <c r="P267" s="481"/>
      <c r="Q267" s="524">
        <v>1156.9100000000001</v>
      </c>
      <c r="R267" s="498"/>
      <c r="S267" s="524">
        <v>1777.4599999999998</v>
      </c>
      <c r="T267" s="481"/>
      <c r="U267" s="481"/>
      <c r="V267" s="481"/>
      <c r="W267" s="481"/>
      <c r="X267" s="481"/>
      <c r="Y267" s="481"/>
      <c r="Z267" s="481"/>
      <c r="AA267" s="481"/>
      <c r="AB267" s="481"/>
      <c r="AC267" s="481"/>
      <c r="AD267" s="481"/>
      <c r="AE267" s="481"/>
      <c r="AF267" s="481"/>
      <c r="AG267" s="481"/>
      <c r="AH267" s="481"/>
      <c r="AI267" s="481"/>
      <c r="AJ267" s="481"/>
      <c r="AK267" s="481"/>
      <c r="AL267" s="481"/>
      <c r="AM267" s="481"/>
      <c r="AN267" s="481"/>
    </row>
    <row r="268" spans="1:40" ht="15.75" customHeight="1">
      <c r="A268" s="490" t="s">
        <v>385</v>
      </c>
      <c r="B268" s="481" t="s">
        <v>99</v>
      </c>
      <c r="C268" s="566" t="s">
        <v>52</v>
      </c>
      <c r="D268" s="552"/>
      <c r="E268" s="571"/>
      <c r="F268" s="493">
        <v>458.33333333333331</v>
      </c>
      <c r="G268" s="553"/>
      <c r="H268" s="571"/>
      <c r="I268" s="493"/>
      <c r="J268" s="491"/>
      <c r="K268" s="571"/>
      <c r="L268" s="501">
        <v>295.38</v>
      </c>
      <c r="M268" s="491"/>
      <c r="N268" s="547">
        <v>-162.95333333333332</v>
      </c>
      <c r="O268" s="491"/>
      <c r="P268" s="571"/>
      <c r="Q268" s="547">
        <v>634.37</v>
      </c>
      <c r="R268" s="491"/>
      <c r="S268" s="547">
        <v>-338.99</v>
      </c>
      <c r="T268" s="481"/>
      <c r="U268" s="481"/>
      <c r="V268" s="481"/>
      <c r="W268" s="481"/>
      <c r="X268" s="481"/>
      <c r="Y268" s="481"/>
      <c r="Z268" s="481"/>
      <c r="AA268" s="481"/>
      <c r="AB268" s="481"/>
      <c r="AC268" s="481"/>
      <c r="AD268" s="481"/>
      <c r="AE268" s="481"/>
      <c r="AF268" s="481"/>
      <c r="AG268" s="481"/>
      <c r="AH268" s="481"/>
      <c r="AI268" s="481"/>
      <c r="AJ268" s="481"/>
      <c r="AK268" s="481"/>
      <c r="AL268" s="481"/>
      <c r="AM268" s="481"/>
      <c r="AN268" s="481"/>
    </row>
    <row r="269" spans="1:40" ht="15.75" customHeight="1">
      <c r="A269" s="490" t="s">
        <v>386</v>
      </c>
      <c r="B269" s="481" t="s">
        <v>99</v>
      </c>
      <c r="C269" s="565" t="s">
        <v>53</v>
      </c>
      <c r="D269" s="550"/>
      <c r="E269" s="481"/>
      <c r="F269" s="499">
        <v>1324.9767903333334</v>
      </c>
      <c r="G269" s="551"/>
      <c r="H269" s="481"/>
      <c r="I269" s="499"/>
      <c r="J269" s="498"/>
      <c r="K269" s="481"/>
      <c r="L269" s="520">
        <v>2094.9299999999998</v>
      </c>
      <c r="M269" s="498"/>
      <c r="N269" s="524">
        <v>769.95320966666645</v>
      </c>
      <c r="O269" s="498"/>
      <c r="P269" s="481"/>
      <c r="Q269" s="524">
        <v>1404.84</v>
      </c>
      <c r="R269" s="498"/>
      <c r="S269" s="524">
        <v>690.08999999999992</v>
      </c>
      <c r="T269" s="481"/>
      <c r="U269" s="481"/>
      <c r="V269" s="481"/>
      <c r="W269" s="481"/>
      <c r="X269" s="481"/>
      <c r="Y269" s="481"/>
      <c r="Z269" s="481"/>
      <c r="AA269" s="481"/>
      <c r="AB269" s="481"/>
      <c r="AC269" s="481"/>
      <c r="AD269" s="481"/>
      <c r="AE269" s="481"/>
      <c r="AF269" s="481"/>
      <c r="AG269" s="481"/>
      <c r="AH269" s="481"/>
      <c r="AI269" s="481"/>
      <c r="AJ269" s="481"/>
      <c r="AK269" s="481"/>
      <c r="AL269" s="481"/>
      <c r="AM269" s="481"/>
      <c r="AN269" s="481"/>
    </row>
    <row r="270" spans="1:40" ht="15.75" customHeight="1">
      <c r="A270" s="490" t="s">
        <v>387</v>
      </c>
      <c r="B270" s="481" t="s">
        <v>99</v>
      </c>
      <c r="C270" s="565" t="s">
        <v>54</v>
      </c>
      <c r="D270" s="550"/>
      <c r="E270" s="481"/>
      <c r="F270" s="499">
        <v>218.76925977083332</v>
      </c>
      <c r="G270" s="551"/>
      <c r="H270" s="481"/>
      <c r="I270" s="499"/>
      <c r="J270" s="498"/>
      <c r="K270" s="481"/>
      <c r="L270" s="501">
        <v>265.83999999999997</v>
      </c>
      <c r="M270" s="498"/>
      <c r="N270" s="524">
        <v>47.07074022916666</v>
      </c>
      <c r="O270" s="498"/>
      <c r="P270" s="481"/>
      <c r="Q270" s="524">
        <v>270.72000000000003</v>
      </c>
      <c r="R270" s="498"/>
      <c r="S270" s="524">
        <v>-4.8800000000000523</v>
      </c>
      <c r="T270" s="481"/>
      <c r="U270" s="481"/>
      <c r="V270" s="481"/>
      <c r="W270" s="481"/>
      <c r="X270" s="481"/>
      <c r="Y270" s="481"/>
      <c r="Z270" s="481"/>
      <c r="AA270" s="481"/>
      <c r="AB270" s="481"/>
      <c r="AC270" s="481"/>
      <c r="AD270" s="481"/>
      <c r="AE270" s="481"/>
      <c r="AF270" s="481"/>
      <c r="AG270" s="481"/>
      <c r="AH270" s="481"/>
      <c r="AI270" s="481"/>
      <c r="AJ270" s="481"/>
      <c r="AK270" s="481"/>
      <c r="AL270" s="481"/>
      <c r="AM270" s="481"/>
      <c r="AN270" s="481"/>
    </row>
    <row r="271" spans="1:40" ht="15.75" customHeight="1">
      <c r="A271" s="490" t="s">
        <v>388</v>
      </c>
      <c r="B271" s="481" t="s">
        <v>99</v>
      </c>
      <c r="C271" s="565" t="s">
        <v>55</v>
      </c>
      <c r="D271" s="552"/>
      <c r="E271" s="571"/>
      <c r="F271" s="493">
        <v>842.83809088888893</v>
      </c>
      <c r="G271" s="553"/>
      <c r="H271" s="571"/>
      <c r="I271" s="493"/>
      <c r="J271" s="491"/>
      <c r="K271" s="571"/>
      <c r="L271" s="501">
        <v>530.83000000000004</v>
      </c>
      <c r="M271" s="491"/>
      <c r="N271" s="547">
        <v>-312.00809088888889</v>
      </c>
      <c r="O271" s="491"/>
      <c r="P271" s="571"/>
      <c r="Q271" s="547">
        <v>614.63</v>
      </c>
      <c r="R271" s="491"/>
      <c r="S271" s="547">
        <v>-83.799999999999955</v>
      </c>
      <c r="T271" s="481"/>
      <c r="U271" s="481"/>
      <c r="V271" s="481"/>
      <c r="W271" s="481"/>
      <c r="X271" s="481"/>
      <c r="Y271" s="481"/>
      <c r="Z271" s="481"/>
      <c r="AA271" s="481"/>
      <c r="AB271" s="481"/>
      <c r="AC271" s="481"/>
      <c r="AD271" s="481"/>
      <c r="AE271" s="481"/>
      <c r="AF271" s="481"/>
      <c r="AG271" s="481"/>
      <c r="AH271" s="481"/>
      <c r="AI271" s="481"/>
      <c r="AJ271" s="481"/>
      <c r="AK271" s="481"/>
      <c r="AL271" s="481"/>
      <c r="AM271" s="481"/>
      <c r="AN271" s="481"/>
    </row>
    <row r="272" spans="1:40" ht="15.75" customHeight="1">
      <c r="A272" s="490" t="s">
        <v>389</v>
      </c>
      <c r="B272" s="481" t="s">
        <v>99</v>
      </c>
      <c r="C272" s="664" t="s">
        <v>98</v>
      </c>
      <c r="D272" s="550"/>
      <c r="E272" s="481"/>
      <c r="F272" s="499"/>
      <c r="G272" s="551"/>
      <c r="H272" s="481"/>
      <c r="I272" s="499"/>
      <c r="J272" s="498"/>
      <c r="K272" s="481"/>
      <c r="L272" s="520">
        <v>0</v>
      </c>
      <c r="M272" s="498"/>
      <c r="N272" s="524">
        <v>0</v>
      </c>
      <c r="O272" s="498"/>
      <c r="P272" s="481"/>
      <c r="Q272" s="524">
        <v>0</v>
      </c>
      <c r="R272" s="498"/>
      <c r="S272" s="524">
        <v>0</v>
      </c>
      <c r="T272" s="481"/>
      <c r="U272" s="481"/>
      <c r="V272" s="481"/>
      <c r="W272" s="481"/>
      <c r="X272" s="481"/>
      <c r="Y272" s="481"/>
      <c r="Z272" s="481"/>
      <c r="AA272" s="481"/>
      <c r="AB272" s="481"/>
      <c r="AC272" s="481"/>
      <c r="AD272" s="481"/>
      <c r="AE272" s="481"/>
      <c r="AF272" s="481"/>
      <c r="AG272" s="481"/>
      <c r="AH272" s="481"/>
      <c r="AI272" s="481"/>
      <c r="AJ272" s="481"/>
      <c r="AK272" s="481"/>
      <c r="AL272" s="481"/>
      <c r="AM272" s="481"/>
      <c r="AN272" s="481"/>
    </row>
    <row r="273" spans="1:40" ht="15.75" customHeight="1">
      <c r="A273" s="490" t="s">
        <v>390</v>
      </c>
      <c r="B273" s="481" t="s">
        <v>99</v>
      </c>
      <c r="C273" s="565" t="s">
        <v>56</v>
      </c>
      <c r="D273" s="550"/>
      <c r="E273" s="481"/>
      <c r="F273" s="499">
        <v>124.76419008019599</v>
      </c>
      <c r="G273" s="551"/>
      <c r="H273" s="481"/>
      <c r="I273" s="499"/>
      <c r="J273" s="498"/>
      <c r="K273" s="481"/>
      <c r="L273" s="501">
        <v>30.88</v>
      </c>
      <c r="M273" s="498"/>
      <c r="N273" s="524">
        <v>-93.884190080195992</v>
      </c>
      <c r="O273" s="498"/>
      <c r="P273" s="481"/>
      <c r="Q273" s="524">
        <v>30.1</v>
      </c>
      <c r="R273" s="498"/>
      <c r="S273" s="524">
        <v>0.77999999999999758</v>
      </c>
      <c r="T273" s="481"/>
      <c r="U273" s="481"/>
      <c r="V273" s="481"/>
      <c r="W273" s="481"/>
      <c r="X273" s="481"/>
      <c r="Y273" s="481"/>
      <c r="Z273" s="481"/>
      <c r="AA273" s="481"/>
      <c r="AB273" s="481"/>
      <c r="AC273" s="481"/>
      <c r="AD273" s="481"/>
      <c r="AE273" s="481"/>
      <c r="AF273" s="481"/>
      <c r="AG273" s="481"/>
      <c r="AH273" s="481"/>
      <c r="AI273" s="481"/>
      <c r="AJ273" s="481"/>
      <c r="AK273" s="481"/>
      <c r="AL273" s="481"/>
      <c r="AM273" s="481"/>
      <c r="AN273" s="481"/>
    </row>
    <row r="274" spans="1:40" ht="15.75" customHeight="1">
      <c r="A274" s="490" t="s">
        <v>391</v>
      </c>
      <c r="B274" s="481" t="s">
        <v>99</v>
      </c>
      <c r="C274" s="565" t="s">
        <v>57</v>
      </c>
      <c r="D274" s="550"/>
      <c r="E274" s="481"/>
      <c r="F274" s="499">
        <v>64.42680525197018</v>
      </c>
      <c r="G274" s="551"/>
      <c r="H274" s="481"/>
      <c r="I274" s="499"/>
      <c r="J274" s="498"/>
      <c r="K274" s="481"/>
      <c r="L274" s="501">
        <v>0</v>
      </c>
      <c r="M274" s="498"/>
      <c r="N274" s="524">
        <v>-64.42680525197018</v>
      </c>
      <c r="O274" s="498"/>
      <c r="P274" s="481"/>
      <c r="Q274" s="524">
        <v>0</v>
      </c>
      <c r="R274" s="498"/>
      <c r="S274" s="524">
        <v>0</v>
      </c>
      <c r="T274" s="481"/>
      <c r="U274" s="481"/>
      <c r="V274" s="481"/>
      <c r="W274" s="481"/>
      <c r="X274" s="481"/>
      <c r="Y274" s="481"/>
      <c r="Z274" s="481"/>
      <c r="AA274" s="481"/>
      <c r="AB274" s="481"/>
      <c r="AC274" s="481"/>
      <c r="AD274" s="481"/>
      <c r="AE274" s="481"/>
      <c r="AF274" s="481"/>
      <c r="AG274" s="481"/>
      <c r="AH274" s="481"/>
      <c r="AI274" s="481"/>
      <c r="AJ274" s="481"/>
      <c r="AK274" s="481"/>
      <c r="AL274" s="481"/>
      <c r="AM274" s="481"/>
      <c r="AN274" s="481"/>
    </row>
    <row r="275" spans="1:40" ht="15.75" customHeight="1">
      <c r="A275" s="490" t="s">
        <v>392</v>
      </c>
      <c r="B275" s="481" t="s">
        <v>99</v>
      </c>
      <c r="C275" s="565" t="s">
        <v>58</v>
      </c>
      <c r="D275" s="550"/>
      <c r="E275" s="481"/>
      <c r="F275" s="499">
        <v>167.00491394999997</v>
      </c>
      <c r="G275" s="551"/>
      <c r="H275" s="481"/>
      <c r="I275" s="499"/>
      <c r="J275" s="498"/>
      <c r="K275" s="481"/>
      <c r="L275" s="501">
        <v>150.02000000000001</v>
      </c>
      <c r="M275" s="498"/>
      <c r="N275" s="524">
        <v>-16.984913949999964</v>
      </c>
      <c r="O275" s="498"/>
      <c r="P275" s="481"/>
      <c r="Q275" s="524">
        <v>197.72</v>
      </c>
      <c r="R275" s="498"/>
      <c r="S275" s="524">
        <v>-47.699999999999989</v>
      </c>
      <c r="T275" s="481"/>
      <c r="U275" s="481"/>
      <c r="V275" s="481"/>
      <c r="W275" s="481"/>
      <c r="X275" s="481"/>
      <c r="Y275" s="481"/>
      <c r="Z275" s="481"/>
      <c r="AA275" s="481"/>
      <c r="AB275" s="481"/>
      <c r="AC275" s="481"/>
      <c r="AD275" s="481"/>
      <c r="AE275" s="481"/>
      <c r="AF275" s="481"/>
      <c r="AG275" s="481"/>
      <c r="AH275" s="481"/>
      <c r="AI275" s="481"/>
      <c r="AJ275" s="481"/>
      <c r="AK275" s="481"/>
      <c r="AL275" s="481"/>
      <c r="AM275" s="481"/>
      <c r="AN275" s="481"/>
    </row>
    <row r="276" spans="1:40" ht="15.75" customHeight="1">
      <c r="A276" s="490" t="s">
        <v>393</v>
      </c>
      <c r="B276" s="481" t="s">
        <v>99</v>
      </c>
      <c r="C276" s="565" t="s">
        <v>59</v>
      </c>
      <c r="D276" s="550"/>
      <c r="E276" s="481"/>
      <c r="F276" s="499">
        <v>56.595054721527781</v>
      </c>
      <c r="G276" s="551"/>
      <c r="H276" s="481"/>
      <c r="I276" s="499"/>
      <c r="J276" s="498"/>
      <c r="K276" s="481"/>
      <c r="L276" s="501">
        <v>24.23</v>
      </c>
      <c r="M276" s="498"/>
      <c r="N276" s="524">
        <v>-32.365054721527784</v>
      </c>
      <c r="O276" s="498"/>
      <c r="P276" s="481"/>
      <c r="Q276" s="524">
        <v>25.27</v>
      </c>
      <c r="R276" s="498"/>
      <c r="S276" s="524">
        <v>-1.0399999999999991</v>
      </c>
      <c r="T276" s="481"/>
      <c r="U276" s="481"/>
      <c r="V276" s="481"/>
      <c r="W276" s="481"/>
      <c r="X276" s="481"/>
      <c r="Y276" s="481"/>
      <c r="Z276" s="481"/>
      <c r="AA276" s="481"/>
      <c r="AB276" s="481"/>
      <c r="AC276" s="481"/>
      <c r="AD276" s="481"/>
      <c r="AE276" s="481"/>
      <c r="AF276" s="481"/>
      <c r="AG276" s="481"/>
      <c r="AH276" s="481"/>
      <c r="AI276" s="481"/>
      <c r="AJ276" s="481"/>
      <c r="AK276" s="481"/>
      <c r="AL276" s="481"/>
      <c r="AM276" s="481"/>
      <c r="AN276" s="481"/>
    </row>
    <row r="277" spans="1:40" ht="15.75" customHeight="1">
      <c r="A277" s="490" t="s">
        <v>394</v>
      </c>
      <c r="B277" s="481" t="s">
        <v>99</v>
      </c>
      <c r="C277" s="565" t="s">
        <v>60</v>
      </c>
      <c r="D277" s="550"/>
      <c r="E277" s="481"/>
      <c r="F277" s="499">
        <v>27.069064278472219</v>
      </c>
      <c r="G277" s="551"/>
      <c r="H277" s="481"/>
      <c r="I277" s="499"/>
      <c r="J277" s="498"/>
      <c r="K277" s="481"/>
      <c r="L277" s="501">
        <v>29.2</v>
      </c>
      <c r="M277" s="498"/>
      <c r="N277" s="524">
        <v>2.1309357215277807</v>
      </c>
      <c r="O277" s="498"/>
      <c r="P277" s="481"/>
      <c r="Q277" s="524">
        <v>33.299999999999997</v>
      </c>
      <c r="R277" s="498"/>
      <c r="S277" s="524">
        <v>-4.0999999999999979</v>
      </c>
      <c r="T277" s="481"/>
      <c r="U277" s="481"/>
      <c r="V277" s="481"/>
      <c r="W277" s="481"/>
      <c r="X277" s="481"/>
      <c r="Y277" s="481"/>
      <c r="Z277" s="481"/>
      <c r="AA277" s="481"/>
      <c r="AB277" s="481"/>
      <c r="AC277" s="481"/>
      <c r="AD277" s="481"/>
      <c r="AE277" s="481"/>
      <c r="AF277" s="481"/>
      <c r="AG277" s="481"/>
      <c r="AH277" s="481"/>
      <c r="AI277" s="481"/>
      <c r="AJ277" s="481"/>
      <c r="AK277" s="481"/>
      <c r="AL277" s="481"/>
      <c r="AM277" s="481"/>
      <c r="AN277" s="481"/>
    </row>
    <row r="278" spans="1:40" ht="15.75" customHeight="1">
      <c r="A278" s="490" t="s">
        <v>395</v>
      </c>
      <c r="B278" s="481" t="s">
        <v>99</v>
      </c>
      <c r="C278" s="565" t="s">
        <v>61</v>
      </c>
      <c r="D278" s="550"/>
      <c r="E278" s="481"/>
      <c r="F278" s="499">
        <v>102.85239191597223</v>
      </c>
      <c r="G278" s="551"/>
      <c r="H278" s="481"/>
      <c r="I278" s="499"/>
      <c r="J278" s="498"/>
      <c r="K278" s="481"/>
      <c r="L278" s="501">
        <v>43.73</v>
      </c>
      <c r="M278" s="498"/>
      <c r="N278" s="524">
        <v>-59.122391915972237</v>
      </c>
      <c r="O278" s="498"/>
      <c r="P278" s="481"/>
      <c r="Q278" s="524">
        <v>33.159999999999997</v>
      </c>
      <c r="R278" s="498"/>
      <c r="S278" s="524">
        <v>10.57</v>
      </c>
      <c r="T278" s="481"/>
      <c r="U278" s="481"/>
      <c r="V278" s="481"/>
      <c r="W278" s="481"/>
      <c r="X278" s="481"/>
      <c r="Y278" s="481"/>
      <c r="Z278" s="481"/>
      <c r="AA278" s="481"/>
      <c r="AB278" s="481"/>
      <c r="AC278" s="481"/>
      <c r="AD278" s="481"/>
      <c r="AE278" s="481"/>
      <c r="AF278" s="481"/>
      <c r="AG278" s="481"/>
      <c r="AH278" s="481"/>
      <c r="AI278" s="481"/>
      <c r="AJ278" s="481"/>
      <c r="AK278" s="481"/>
      <c r="AL278" s="481"/>
      <c r="AM278" s="481"/>
      <c r="AN278" s="481"/>
    </row>
    <row r="279" spans="1:40" ht="15.75" customHeight="1">
      <c r="A279" s="490" t="s">
        <v>396</v>
      </c>
      <c r="B279" s="481" t="s">
        <v>99</v>
      </c>
      <c r="C279" s="565" t="s">
        <v>62</v>
      </c>
      <c r="D279" s="550"/>
      <c r="E279" s="481"/>
      <c r="F279" s="499">
        <v>88.272956943963109</v>
      </c>
      <c r="G279" s="551"/>
      <c r="H279" s="481"/>
      <c r="I279" s="499"/>
      <c r="J279" s="498"/>
      <c r="K279" s="481"/>
      <c r="L279" s="501">
        <v>1851.77</v>
      </c>
      <c r="M279" s="498"/>
      <c r="N279" s="524">
        <v>1763.4970430560368</v>
      </c>
      <c r="O279" s="498"/>
      <c r="P279" s="481"/>
      <c r="Q279" s="524">
        <v>80.55</v>
      </c>
      <c r="R279" s="498"/>
      <c r="S279" s="524">
        <v>1771.22</v>
      </c>
      <c r="T279" s="481"/>
      <c r="X279" s="481"/>
      <c r="Y279" s="481"/>
      <c r="Z279" s="481"/>
      <c r="AA279" s="481"/>
      <c r="AB279" s="481"/>
      <c r="AC279" s="481"/>
      <c r="AD279" s="481"/>
      <c r="AE279" s="481"/>
      <c r="AF279" s="481"/>
      <c r="AG279" s="481"/>
      <c r="AH279" s="481"/>
      <c r="AI279" s="481"/>
      <c r="AJ279" s="481"/>
      <c r="AK279" s="481"/>
      <c r="AL279" s="481"/>
      <c r="AM279" s="481"/>
      <c r="AN279" s="481"/>
    </row>
    <row r="280" spans="1:40" ht="15.75" customHeight="1">
      <c r="A280" s="490" t="s">
        <v>397</v>
      </c>
      <c r="B280" s="481" t="s">
        <v>99</v>
      </c>
      <c r="C280" s="565" t="s">
        <v>63</v>
      </c>
      <c r="D280" s="550"/>
      <c r="E280" s="481"/>
      <c r="F280" s="499">
        <v>133.95495634052685</v>
      </c>
      <c r="G280" s="551"/>
      <c r="H280" s="481"/>
      <c r="I280" s="499"/>
      <c r="J280" s="498"/>
      <c r="K280" s="481"/>
      <c r="L280" s="501">
        <v>200.2</v>
      </c>
      <c r="M280" s="498"/>
      <c r="N280" s="524">
        <v>66.24504365947314</v>
      </c>
      <c r="O280" s="498"/>
      <c r="P280" s="481"/>
      <c r="Q280" s="524">
        <v>191.04575</v>
      </c>
      <c r="R280" s="498"/>
      <c r="S280" s="524">
        <v>9.1542499999999905</v>
      </c>
      <c r="T280" s="481"/>
      <c r="X280" s="481"/>
      <c r="Y280" s="481"/>
      <c r="Z280" s="481"/>
      <c r="AA280" s="481"/>
      <c r="AB280" s="481"/>
      <c r="AC280" s="481"/>
      <c r="AD280" s="481"/>
      <c r="AE280" s="481"/>
      <c r="AF280" s="481"/>
      <c r="AG280" s="481"/>
      <c r="AH280" s="481"/>
      <c r="AI280" s="481"/>
      <c r="AJ280" s="481"/>
      <c r="AK280" s="481"/>
      <c r="AL280" s="481"/>
      <c r="AM280" s="481"/>
      <c r="AN280" s="481"/>
    </row>
    <row r="281" spans="1:40" ht="15.75" hidden="1" customHeight="1">
      <c r="A281" s="490" t="s">
        <v>377</v>
      </c>
      <c r="B281" s="481" t="s">
        <v>99</v>
      </c>
      <c r="C281" s="565" t="s">
        <v>20</v>
      </c>
      <c r="D281" s="550"/>
      <c r="E281" s="481"/>
      <c r="F281" s="499">
        <v>0</v>
      </c>
      <c r="G281" s="551"/>
      <c r="H281" s="481"/>
      <c r="I281" s="499"/>
      <c r="J281" s="498"/>
      <c r="K281" s="481"/>
      <c r="L281" s="501">
        <v>0</v>
      </c>
      <c r="M281" s="498"/>
      <c r="N281" s="524">
        <v>0</v>
      </c>
      <c r="O281" s="498"/>
      <c r="P281" s="481"/>
      <c r="Q281" s="501">
        <v>0</v>
      </c>
      <c r="R281" s="498"/>
      <c r="S281" s="524">
        <v>0</v>
      </c>
      <c r="T281" s="481"/>
      <c r="X281" s="481"/>
      <c r="Y281" s="481"/>
      <c r="Z281" s="481"/>
      <c r="AA281" s="481"/>
      <c r="AB281" s="481"/>
      <c r="AC281" s="481"/>
      <c r="AD281" s="481"/>
      <c r="AE281" s="481"/>
      <c r="AF281" s="481"/>
      <c r="AG281" s="481"/>
      <c r="AH281" s="481"/>
      <c r="AI281" s="481"/>
      <c r="AJ281" s="481"/>
      <c r="AK281" s="481"/>
      <c r="AL281" s="481"/>
      <c r="AM281" s="481"/>
      <c r="AN281" s="481"/>
    </row>
    <row r="282" spans="1:40" ht="15.75" hidden="1" customHeight="1">
      <c r="A282" s="490" t="s">
        <v>377</v>
      </c>
      <c r="B282" s="481" t="s">
        <v>99</v>
      </c>
      <c r="C282" s="565" t="s">
        <v>20</v>
      </c>
      <c r="D282" s="550"/>
      <c r="E282" s="481"/>
      <c r="F282" s="499">
        <v>0</v>
      </c>
      <c r="G282" s="551"/>
      <c r="H282" s="481"/>
      <c r="I282" s="499"/>
      <c r="J282" s="498"/>
      <c r="K282" s="481"/>
      <c r="L282" s="501">
        <v>0</v>
      </c>
      <c r="M282" s="498"/>
      <c r="N282" s="524">
        <v>0</v>
      </c>
      <c r="O282" s="498"/>
      <c r="P282" s="481"/>
      <c r="Q282" s="501">
        <v>0</v>
      </c>
      <c r="R282" s="498"/>
      <c r="S282" s="524">
        <v>0</v>
      </c>
      <c r="T282" s="481"/>
      <c r="X282" s="481"/>
      <c r="Y282" s="481"/>
      <c r="Z282" s="481"/>
      <c r="AA282" s="481"/>
      <c r="AB282" s="481"/>
      <c r="AC282" s="481"/>
      <c r="AD282" s="481"/>
      <c r="AE282" s="481"/>
      <c r="AF282" s="481"/>
      <c r="AG282" s="481"/>
      <c r="AH282" s="481"/>
      <c r="AI282" s="481"/>
      <c r="AJ282" s="481"/>
      <c r="AK282" s="481"/>
      <c r="AL282" s="481"/>
      <c r="AM282" s="481"/>
      <c r="AN282" s="481"/>
    </row>
    <row r="283" spans="1:40" ht="15.75" hidden="1" customHeight="1">
      <c r="A283" s="490" t="s">
        <v>377</v>
      </c>
      <c r="B283" s="481" t="s">
        <v>99</v>
      </c>
      <c r="C283" s="565" t="s">
        <v>20</v>
      </c>
      <c r="D283" s="550"/>
      <c r="E283" s="481"/>
      <c r="F283" s="499">
        <v>0</v>
      </c>
      <c r="G283" s="551"/>
      <c r="H283" s="481"/>
      <c r="I283" s="499"/>
      <c r="J283" s="498"/>
      <c r="K283" s="481"/>
      <c r="L283" s="501">
        <v>0</v>
      </c>
      <c r="M283" s="498"/>
      <c r="N283" s="524">
        <v>0</v>
      </c>
      <c r="O283" s="498"/>
      <c r="P283" s="481"/>
      <c r="Q283" s="501">
        <v>0</v>
      </c>
      <c r="R283" s="498"/>
      <c r="S283" s="524">
        <v>0</v>
      </c>
      <c r="T283" s="481"/>
      <c r="X283" s="481"/>
      <c r="Y283" s="481"/>
      <c r="Z283" s="481"/>
      <c r="AA283" s="481"/>
      <c r="AB283" s="481"/>
      <c r="AC283" s="481"/>
      <c r="AD283" s="481"/>
      <c r="AE283" s="481"/>
      <c r="AF283" s="481"/>
      <c r="AG283" s="481"/>
      <c r="AH283" s="481"/>
      <c r="AI283" s="481"/>
      <c r="AJ283" s="481"/>
      <c r="AK283" s="481"/>
      <c r="AL283" s="481"/>
      <c r="AM283" s="481"/>
      <c r="AN283" s="481"/>
    </row>
    <row r="284" spans="1:40" ht="15.75" customHeight="1">
      <c r="B284" s="481"/>
      <c r="C284" s="557" t="s">
        <v>64</v>
      </c>
      <c r="D284" s="558" t="s">
        <v>39</v>
      </c>
      <c r="E284" s="559">
        <v>0.24766746046348853</v>
      </c>
      <c r="F284" s="560">
        <v>3808.7728516683528</v>
      </c>
      <c r="G284" s="561"/>
      <c r="H284" s="559"/>
      <c r="I284" s="560"/>
      <c r="J284" s="561" t="s">
        <v>39</v>
      </c>
      <c r="K284" s="559">
        <v>1.091071801373805</v>
      </c>
      <c r="L284" s="560">
        <v>8570.98</v>
      </c>
      <c r="M284" s="564"/>
      <c r="N284" s="560">
        <v>4762.2071483316467</v>
      </c>
      <c r="O284" s="561" t="s">
        <v>39</v>
      </c>
      <c r="P284" s="559">
        <v>0.33024519972923833</v>
      </c>
      <c r="Q284" s="560">
        <v>4678.7257500000014</v>
      </c>
      <c r="R284" s="564"/>
      <c r="S284" s="560">
        <v>3892.2542499999981</v>
      </c>
      <c r="T284" s="537"/>
      <c r="X284" s="481"/>
      <c r="Y284" s="481"/>
      <c r="Z284" s="481"/>
      <c r="AA284" s="481"/>
      <c r="AB284" s="481"/>
      <c r="AC284" s="481"/>
      <c r="AD284" s="481"/>
      <c r="AE284" s="481"/>
      <c r="AF284" s="481"/>
      <c r="AG284" s="481"/>
      <c r="AH284" s="481"/>
      <c r="AI284" s="481"/>
      <c r="AJ284" s="481"/>
      <c r="AK284" s="481"/>
      <c r="AL284" s="481"/>
      <c r="AM284" s="481"/>
      <c r="AN284" s="481"/>
    </row>
    <row r="285" spans="1:40" ht="15.75" customHeight="1">
      <c r="B285" s="481"/>
      <c r="C285" s="491"/>
      <c r="D285" s="552"/>
      <c r="E285" s="571"/>
      <c r="F285" s="524"/>
      <c r="G285" s="553"/>
      <c r="H285" s="571"/>
      <c r="I285" s="524"/>
      <c r="J285" s="491"/>
      <c r="K285" s="571"/>
      <c r="L285" s="547"/>
      <c r="M285" s="491"/>
      <c r="N285" s="547"/>
      <c r="O285" s="491"/>
      <c r="P285" s="571"/>
      <c r="Q285" s="547"/>
      <c r="R285" s="491"/>
      <c r="S285" s="547"/>
      <c r="T285" s="537"/>
      <c r="U285" s="481"/>
      <c r="V285" s="481"/>
      <c r="W285" s="481"/>
      <c r="X285" s="481"/>
      <c r="Y285" s="481"/>
      <c r="Z285" s="481"/>
      <c r="AA285" s="481"/>
      <c r="AB285" s="481"/>
      <c r="AC285" s="481"/>
      <c r="AD285" s="481"/>
      <c r="AE285" s="481"/>
      <c r="AF285" s="481"/>
      <c r="AG285" s="481"/>
      <c r="AH285" s="481"/>
      <c r="AI285" s="481"/>
      <c r="AJ285" s="481"/>
      <c r="AK285" s="481"/>
      <c r="AL285" s="481"/>
      <c r="AM285" s="481"/>
      <c r="AN285" s="481"/>
    </row>
    <row r="286" spans="1:40" ht="15.75" customHeight="1">
      <c r="B286" s="481"/>
      <c r="C286" s="557" t="s">
        <v>65</v>
      </c>
      <c r="D286" s="558" t="s">
        <v>39</v>
      </c>
      <c r="E286" s="559">
        <v>0.68554279255528738</v>
      </c>
      <c r="F286" s="560">
        <v>10542.67190391132</v>
      </c>
      <c r="G286" s="561"/>
      <c r="H286" s="559"/>
      <c r="I286" s="560"/>
      <c r="J286" s="561" t="s">
        <v>39</v>
      </c>
      <c r="K286" s="559">
        <v>1.8802249616831921</v>
      </c>
      <c r="L286" s="560">
        <v>14770.220000000001</v>
      </c>
      <c r="M286" s="564"/>
      <c r="N286" s="573">
        <v>4227.5480960886816</v>
      </c>
      <c r="O286" s="561" t="s">
        <v>39</v>
      </c>
      <c r="P286" s="559">
        <v>0.99993970324893144</v>
      </c>
      <c r="Q286" s="560">
        <v>14166.575750000004</v>
      </c>
      <c r="R286" s="564"/>
      <c r="S286" s="573">
        <v>603.64424999999756</v>
      </c>
      <c r="T286" s="537"/>
      <c r="U286" s="481"/>
      <c r="V286" s="481"/>
      <c r="W286" s="481"/>
      <c r="X286" s="481"/>
      <c r="Y286" s="481"/>
      <c r="Z286" s="481"/>
      <c r="AA286" s="481"/>
      <c r="AB286" s="481"/>
      <c r="AC286" s="481"/>
      <c r="AD286" s="481"/>
      <c r="AE286" s="481"/>
      <c r="AF286" s="481"/>
      <c r="AG286" s="481"/>
      <c r="AH286" s="481"/>
      <c r="AI286" s="481"/>
      <c r="AJ286" s="481"/>
      <c r="AK286" s="481"/>
      <c r="AL286" s="481"/>
      <c r="AM286" s="481"/>
      <c r="AN286" s="481"/>
    </row>
    <row r="287" spans="1:40" ht="15.75" customHeight="1">
      <c r="B287" s="481"/>
      <c r="C287" s="498"/>
      <c r="D287" s="550"/>
      <c r="E287" s="481"/>
      <c r="F287" s="524"/>
      <c r="G287" s="551"/>
      <c r="H287" s="481"/>
      <c r="I287" s="524"/>
      <c r="J287" s="498"/>
      <c r="K287" s="481"/>
      <c r="L287" s="524"/>
      <c r="M287" s="498"/>
      <c r="N287" s="524">
        <v>0</v>
      </c>
      <c r="O287" s="498"/>
      <c r="P287" s="481"/>
      <c r="Q287" s="524"/>
      <c r="R287" s="498"/>
      <c r="S287" s="524"/>
      <c r="T287" s="481"/>
      <c r="U287" s="481"/>
      <c r="V287" s="481"/>
      <c r="W287" s="481"/>
      <c r="X287" s="481"/>
      <c r="Y287" s="481"/>
      <c r="Z287" s="481"/>
      <c r="AA287" s="481"/>
      <c r="AB287" s="481"/>
      <c r="AC287" s="481"/>
      <c r="AD287" s="481"/>
      <c r="AE287" s="481"/>
      <c r="AF287" s="481"/>
      <c r="AG287" s="481"/>
      <c r="AH287" s="481"/>
      <c r="AI287" s="481"/>
      <c r="AJ287" s="481"/>
      <c r="AK287" s="481"/>
      <c r="AL287" s="481"/>
      <c r="AM287" s="481"/>
      <c r="AN287" s="481"/>
    </row>
    <row r="288" spans="1:40" ht="29.25" customHeight="1" thickBot="1">
      <c r="B288" s="481"/>
      <c r="C288" s="587" t="s">
        <v>72</v>
      </c>
      <c r="D288" s="615"/>
      <c r="E288" s="588"/>
      <c r="F288" s="590">
        <v>4835.9040484586822</v>
      </c>
      <c r="G288" s="616"/>
      <c r="H288" s="588"/>
      <c r="I288" s="590"/>
      <c r="J288" s="587"/>
      <c r="K288" s="589"/>
      <c r="L288" s="590">
        <v>-6914.6600000000089</v>
      </c>
      <c r="M288" s="587"/>
      <c r="N288" s="590">
        <v>-11750.564048458691</v>
      </c>
      <c r="O288" s="587"/>
      <c r="P288" s="589"/>
      <c r="Q288" s="590">
        <v>0.8542499999912252</v>
      </c>
      <c r="R288" s="587"/>
      <c r="S288" s="590">
        <v>-6915.5142500000002</v>
      </c>
      <c r="T288" s="537"/>
      <c r="U288" s="481"/>
      <c r="V288" s="481"/>
      <c r="W288" s="481"/>
      <c r="X288" s="481"/>
      <c r="Y288" s="481"/>
      <c r="Z288" s="481"/>
      <c r="AA288" s="481"/>
      <c r="AB288" s="481"/>
      <c r="AC288" s="481"/>
      <c r="AD288" s="481"/>
      <c r="AE288" s="481"/>
      <c r="AF288" s="481"/>
      <c r="AG288" s="481"/>
      <c r="AH288" s="481"/>
      <c r="AI288" s="481"/>
      <c r="AJ288" s="481"/>
      <c r="AK288" s="481"/>
      <c r="AL288" s="481"/>
      <c r="AM288" s="481"/>
      <c r="AN288" s="481"/>
    </row>
    <row r="289" spans="1:40" ht="15.75" customHeight="1" thickTop="1">
      <c r="B289" s="481"/>
      <c r="C289" s="481"/>
      <c r="D289" s="481"/>
      <c r="E289" s="481"/>
      <c r="F289" s="481"/>
      <c r="G289" s="481"/>
      <c r="H289" s="481"/>
      <c r="I289" s="481"/>
      <c r="J289" s="481"/>
      <c r="K289" s="481"/>
      <c r="L289" s="542"/>
      <c r="M289" s="481"/>
      <c r="N289" s="481"/>
      <c r="O289" s="481"/>
      <c r="P289" s="481"/>
      <c r="Q289" s="481"/>
      <c r="R289" s="481"/>
      <c r="S289" s="481"/>
      <c r="T289" s="481"/>
      <c r="U289" s="481"/>
      <c r="V289" s="481"/>
      <c r="W289" s="481"/>
      <c r="X289" s="481"/>
      <c r="Y289" s="481"/>
      <c r="Z289" s="481"/>
      <c r="AA289" s="481"/>
      <c r="AB289" s="481"/>
      <c r="AC289" s="481"/>
      <c r="AD289" s="481"/>
      <c r="AE289" s="481"/>
      <c r="AF289" s="481"/>
      <c r="AG289" s="481"/>
      <c r="AH289" s="481"/>
      <c r="AI289" s="481"/>
      <c r="AJ289" s="481"/>
      <c r="AK289" s="481"/>
      <c r="AL289" s="481"/>
      <c r="AM289" s="481"/>
      <c r="AN289" s="481"/>
    </row>
    <row r="290" spans="1:40" ht="36" customHeight="1">
      <c r="B290" s="481"/>
      <c r="C290" s="595" t="s">
        <v>223</v>
      </c>
      <c r="D290" s="469"/>
      <c r="E290" s="469"/>
      <c r="F290" s="469"/>
      <c r="G290" s="469"/>
      <c r="H290" s="467"/>
      <c r="I290" s="467"/>
      <c r="J290" s="467"/>
      <c r="K290" s="471" t="s">
        <v>103</v>
      </c>
      <c r="L290" s="469"/>
      <c r="M290" s="469"/>
      <c r="N290" s="467"/>
      <c r="O290" s="467"/>
      <c r="P290" s="469"/>
      <c r="Q290" s="467"/>
      <c r="R290" s="469"/>
      <c r="S290" s="596" t="s">
        <v>484</v>
      </c>
      <c r="T290" s="481"/>
      <c r="U290" s="481"/>
      <c r="V290" s="481"/>
      <c r="W290" s="481"/>
      <c r="X290" s="481"/>
      <c r="Y290" s="481"/>
      <c r="Z290" s="481"/>
      <c r="AA290" s="481"/>
      <c r="AB290" s="481"/>
      <c r="AC290" s="481"/>
      <c r="AD290" s="481"/>
      <c r="AE290" s="481"/>
      <c r="AF290" s="481"/>
      <c r="AG290" s="481"/>
      <c r="AH290" s="481"/>
      <c r="AI290" s="481"/>
      <c r="AJ290" s="481"/>
      <c r="AK290" s="481"/>
      <c r="AL290" s="481"/>
      <c r="AM290" s="481"/>
      <c r="AN290" s="481"/>
    </row>
    <row r="291" spans="1:40" ht="15.75" customHeight="1" thickBot="1">
      <c r="B291" s="481"/>
      <c r="C291" s="476"/>
      <c r="D291" s="478"/>
      <c r="E291" s="478"/>
      <c r="F291" s="478"/>
      <c r="G291" s="478"/>
      <c r="H291" s="478"/>
      <c r="I291" s="478"/>
      <c r="J291" s="478"/>
      <c r="K291" s="478"/>
      <c r="L291" s="478"/>
      <c r="M291" s="478"/>
      <c r="N291" s="478"/>
      <c r="O291" s="478"/>
      <c r="P291" s="478"/>
      <c r="Q291" s="478"/>
      <c r="R291" s="478"/>
      <c r="S291" s="478"/>
      <c r="T291" s="481"/>
      <c r="U291" s="481"/>
      <c r="V291" s="481"/>
      <c r="W291" s="481"/>
      <c r="X291" s="481"/>
      <c r="Y291" s="481"/>
      <c r="Z291" s="481"/>
      <c r="AA291" s="481"/>
      <c r="AB291" s="481"/>
      <c r="AC291" s="481"/>
      <c r="AD291" s="481"/>
      <c r="AE291" s="481"/>
      <c r="AF291" s="481"/>
      <c r="AG291" s="481"/>
      <c r="AH291" s="481"/>
      <c r="AI291" s="481"/>
      <c r="AJ291" s="481"/>
      <c r="AK291" s="481"/>
      <c r="AL291" s="481"/>
      <c r="AM291" s="481"/>
      <c r="AN291" s="481"/>
    </row>
    <row r="292" spans="1:40" ht="15.75" customHeight="1" thickTop="1">
      <c r="B292" s="481"/>
      <c r="C292" s="482"/>
      <c r="D292" s="864" t="s">
        <v>5</v>
      </c>
      <c r="E292" s="865"/>
      <c r="F292" s="866"/>
      <c r="G292" s="867"/>
      <c r="H292" s="865"/>
      <c r="I292" s="866"/>
      <c r="J292" s="867" t="s">
        <v>7</v>
      </c>
      <c r="K292" s="865"/>
      <c r="L292" s="866"/>
      <c r="M292" s="867" t="s">
        <v>472</v>
      </c>
      <c r="N292" s="866"/>
      <c r="O292" s="864" t="s">
        <v>9</v>
      </c>
      <c r="P292" s="865"/>
      <c r="Q292" s="866"/>
      <c r="R292" s="867" t="s">
        <v>473</v>
      </c>
      <c r="S292" s="866"/>
      <c r="T292" s="481"/>
      <c r="U292" s="481"/>
      <c r="V292" s="481"/>
      <c r="W292" s="481"/>
      <c r="X292" s="481"/>
      <c r="Y292" s="481"/>
      <c r="Z292" s="481"/>
      <c r="AA292" s="481"/>
      <c r="AB292" s="481"/>
      <c r="AC292" s="481"/>
      <c r="AD292" s="481"/>
      <c r="AE292" s="481"/>
      <c r="AF292" s="481"/>
      <c r="AG292" s="481"/>
      <c r="AH292" s="481"/>
      <c r="AI292" s="481"/>
      <c r="AJ292" s="481"/>
      <c r="AK292" s="481"/>
      <c r="AL292" s="481"/>
      <c r="AM292" s="481"/>
      <c r="AN292" s="481"/>
    </row>
    <row r="293" spans="1:40" ht="15.75" customHeight="1">
      <c r="A293" s="490" t="s">
        <v>103</v>
      </c>
      <c r="B293" s="481" t="s">
        <v>103</v>
      </c>
      <c r="C293" s="498"/>
      <c r="D293" s="540" t="s">
        <v>84</v>
      </c>
      <c r="E293" s="540" t="s">
        <v>104</v>
      </c>
      <c r="F293" s="618" t="s">
        <v>13</v>
      </c>
      <c r="G293" s="619"/>
      <c r="H293" s="540"/>
      <c r="I293" s="618"/>
      <c r="J293" s="619" t="s">
        <v>84</v>
      </c>
      <c r="K293" s="540" t="s">
        <v>104</v>
      </c>
      <c r="L293" s="618" t="s">
        <v>13</v>
      </c>
      <c r="M293" s="619" t="s">
        <v>40</v>
      </c>
      <c r="N293" s="618" t="s">
        <v>475</v>
      </c>
      <c r="O293" s="540" t="s">
        <v>84</v>
      </c>
      <c r="P293" s="540" t="s">
        <v>104</v>
      </c>
      <c r="Q293" s="618" t="s">
        <v>13</v>
      </c>
      <c r="R293" s="619" t="s">
        <v>85</v>
      </c>
      <c r="S293" s="618" t="s">
        <v>13</v>
      </c>
      <c r="T293" s="481"/>
      <c r="U293" s="481"/>
      <c r="V293" s="481"/>
      <c r="W293" s="481"/>
      <c r="X293" s="481"/>
      <c r="Y293" s="481"/>
      <c r="Z293" s="481"/>
      <c r="AA293" s="481"/>
      <c r="AB293" s="481"/>
      <c r="AC293" s="481"/>
      <c r="AD293" s="481"/>
      <c r="AE293" s="481"/>
      <c r="AF293" s="481"/>
      <c r="AG293" s="481"/>
      <c r="AH293" s="481"/>
      <c r="AI293" s="481"/>
      <c r="AJ293" s="481"/>
      <c r="AK293" s="481"/>
      <c r="AL293" s="481"/>
      <c r="AM293" s="481"/>
      <c r="AN293" s="481"/>
    </row>
    <row r="294" spans="1:40" ht="15.75" customHeight="1">
      <c r="A294" s="490" t="s">
        <v>398</v>
      </c>
      <c r="B294" s="481" t="s">
        <v>103</v>
      </c>
      <c r="C294" s="498" t="s">
        <v>105</v>
      </c>
      <c r="D294" s="542">
        <v>72430.556460724954</v>
      </c>
      <c r="E294" s="608">
        <v>0.36099999999999999</v>
      </c>
      <c r="F294" s="524">
        <v>26147.430882321707</v>
      </c>
      <c r="G294" s="542"/>
      <c r="H294" s="608"/>
      <c r="I294" s="524"/>
      <c r="J294" s="499">
        <v>89538.52</v>
      </c>
      <c r="K294" s="608">
        <v>0.36544048304573273</v>
      </c>
      <c r="L294" s="524">
        <v>32721.000000000004</v>
      </c>
      <c r="M294" s="543">
        <v>0.23619815137761288</v>
      </c>
      <c r="N294" s="524">
        <v>6573.5691176782966</v>
      </c>
      <c r="O294" s="499">
        <v>94838.82</v>
      </c>
      <c r="P294" s="608">
        <v>0.35236973635901414</v>
      </c>
      <c r="Q294" s="524">
        <v>33418.33</v>
      </c>
      <c r="R294" s="543">
        <v>-5.5887451994868796E-2</v>
      </c>
      <c r="S294" s="524">
        <v>-697.32999999999811</v>
      </c>
      <c r="T294" s="481"/>
      <c r="U294" s="481"/>
      <c r="V294" s="481"/>
      <c r="W294" s="481"/>
      <c r="X294" s="481"/>
      <c r="Y294" s="481"/>
      <c r="Z294" s="481"/>
      <c r="AA294" s="481"/>
      <c r="AB294" s="481"/>
      <c r="AC294" s="481"/>
      <c r="AD294" s="481"/>
      <c r="AE294" s="481"/>
      <c r="AF294" s="481"/>
      <c r="AG294" s="481"/>
      <c r="AH294" s="481"/>
      <c r="AI294" s="481"/>
      <c r="AJ294" s="481"/>
      <c r="AK294" s="481"/>
      <c r="AL294" s="481"/>
      <c r="AM294" s="481"/>
      <c r="AN294" s="481"/>
    </row>
    <row r="295" spans="1:40" ht="15.75" customHeight="1">
      <c r="A295" s="490" t="s">
        <v>399</v>
      </c>
      <c r="B295" s="481" t="s">
        <v>103</v>
      </c>
      <c r="C295" s="498" t="s">
        <v>106</v>
      </c>
      <c r="D295" s="542">
        <v>34326.636867241177</v>
      </c>
      <c r="E295" s="608">
        <v>0.248</v>
      </c>
      <c r="F295" s="524">
        <v>8513.005943075812</v>
      </c>
      <c r="G295" s="542"/>
      <c r="H295" s="608"/>
      <c r="I295" s="524"/>
      <c r="J295" s="499">
        <v>23887.270000000004</v>
      </c>
      <c r="K295" s="608">
        <v>0.30739469181702228</v>
      </c>
      <c r="L295" s="524">
        <v>7342.8200000000033</v>
      </c>
      <c r="M295" s="543">
        <v>-0.30411854524565263</v>
      </c>
      <c r="N295" s="524">
        <v>-1170.1859430758086</v>
      </c>
      <c r="O295" s="499">
        <v>57130.130000000005</v>
      </c>
      <c r="P295" s="608">
        <v>0.25706312938549247</v>
      </c>
      <c r="Q295" s="524">
        <v>14686.050000000007</v>
      </c>
      <c r="R295" s="543">
        <v>-0.58187964914485579</v>
      </c>
      <c r="S295" s="524">
        <v>-7343.2300000000032</v>
      </c>
      <c r="T295" s="481"/>
      <c r="U295" s="481"/>
      <c r="V295" s="481"/>
      <c r="W295" s="481"/>
      <c r="X295" s="481"/>
      <c r="Y295" s="481"/>
      <c r="Z295" s="481"/>
      <c r="AA295" s="481"/>
      <c r="AB295" s="481"/>
      <c r="AC295" s="481"/>
      <c r="AD295" s="481"/>
      <c r="AE295" s="481"/>
      <c r="AF295" s="481"/>
      <c r="AG295" s="481"/>
      <c r="AH295" s="481"/>
      <c r="AI295" s="481"/>
      <c r="AJ295" s="481"/>
      <c r="AK295" s="481"/>
      <c r="AL295" s="481"/>
      <c r="AM295" s="481"/>
      <c r="AN295" s="481"/>
    </row>
    <row r="296" spans="1:40" ht="15.75" customHeight="1">
      <c r="A296" s="490" t="s">
        <v>400</v>
      </c>
      <c r="B296" s="481" t="s">
        <v>103</v>
      </c>
      <c r="C296" s="498" t="s">
        <v>107</v>
      </c>
      <c r="D296" s="542">
        <v>63736.359244800435</v>
      </c>
      <c r="E296" s="608">
        <v>0.24299999999999999</v>
      </c>
      <c r="F296" s="524">
        <v>15487.935296486505</v>
      </c>
      <c r="G296" s="542"/>
      <c r="H296" s="608"/>
      <c r="I296" s="524"/>
      <c r="J296" s="499">
        <v>58707.55</v>
      </c>
      <c r="K296" s="608">
        <v>0.23160785963645228</v>
      </c>
      <c r="L296" s="524">
        <v>13597.130000000005</v>
      </c>
      <c r="M296" s="543">
        <v>-7.8900164747183588E-2</v>
      </c>
      <c r="N296" s="524">
        <v>-1890.8052964865001</v>
      </c>
      <c r="O296" s="499">
        <v>79352.3</v>
      </c>
      <c r="P296" s="608">
        <v>0.23283874569483179</v>
      </c>
      <c r="Q296" s="524">
        <v>18476.29</v>
      </c>
      <c r="R296" s="543">
        <v>-0.26016574188775876</v>
      </c>
      <c r="S296" s="524">
        <v>-4879.1599999999962</v>
      </c>
      <c r="T296" s="481"/>
      <c r="U296" s="481"/>
      <c r="V296" s="481"/>
      <c r="W296" s="481"/>
      <c r="X296" s="481"/>
      <c r="Y296" s="481"/>
      <c r="Z296" s="481"/>
      <c r="AA296" s="481"/>
      <c r="AB296" s="481"/>
      <c r="AC296" s="481"/>
      <c r="AD296" s="481"/>
      <c r="AE296" s="481"/>
      <c r="AF296" s="481"/>
      <c r="AG296" s="481"/>
      <c r="AH296" s="481"/>
      <c r="AI296" s="481"/>
      <c r="AJ296" s="481"/>
      <c r="AK296" s="481"/>
      <c r="AL296" s="481"/>
      <c r="AM296" s="481"/>
      <c r="AN296" s="481"/>
    </row>
    <row r="297" spans="1:40" ht="15.75" customHeight="1">
      <c r="A297" s="490" t="s">
        <v>401</v>
      </c>
      <c r="B297" s="481" t="s">
        <v>103</v>
      </c>
      <c r="C297" s="498" t="s">
        <v>108</v>
      </c>
      <c r="D297" s="542">
        <v>58375.995308664365</v>
      </c>
      <c r="E297" s="608">
        <v>0.316</v>
      </c>
      <c r="F297" s="524">
        <v>18446.81451753794</v>
      </c>
      <c r="G297" s="542"/>
      <c r="H297" s="608"/>
      <c r="I297" s="524"/>
      <c r="J297" s="499">
        <v>47172.79</v>
      </c>
      <c r="K297" s="608">
        <v>0.32062678505977704</v>
      </c>
      <c r="L297" s="524">
        <v>15124.86</v>
      </c>
      <c r="M297" s="543">
        <v>-0.19191459176716677</v>
      </c>
      <c r="N297" s="524">
        <v>-3321.954517537939</v>
      </c>
      <c r="O297" s="499">
        <v>57406.16</v>
      </c>
      <c r="P297" s="608">
        <v>0.29476418558565848</v>
      </c>
      <c r="Q297" s="524">
        <v>16921.280000000006</v>
      </c>
      <c r="R297" s="543">
        <v>-0.17826257669908599</v>
      </c>
      <c r="S297" s="524">
        <v>-1796.4200000000055</v>
      </c>
      <c r="T297" s="481"/>
      <c r="U297" s="481"/>
      <c r="V297" s="481"/>
      <c r="W297" s="481"/>
      <c r="X297" s="481"/>
      <c r="Y297" s="481"/>
      <c r="Z297" s="481"/>
      <c r="AA297" s="481"/>
      <c r="AB297" s="481"/>
      <c r="AC297" s="481"/>
      <c r="AD297" s="481"/>
      <c r="AE297" s="481"/>
      <c r="AF297" s="481"/>
      <c r="AG297" s="481"/>
      <c r="AH297" s="481"/>
      <c r="AI297" s="481"/>
      <c r="AJ297" s="481"/>
      <c r="AK297" s="481"/>
      <c r="AL297" s="481"/>
      <c r="AM297" s="481"/>
      <c r="AN297" s="481"/>
    </row>
    <row r="298" spans="1:40" ht="15.75" customHeight="1">
      <c r="A298" s="490" t="s">
        <v>402</v>
      </c>
      <c r="B298" s="481" t="s">
        <v>103</v>
      </c>
      <c r="C298" s="498" t="s">
        <v>109</v>
      </c>
      <c r="D298" s="542">
        <v>18642.913331149201</v>
      </c>
      <c r="E298" s="608">
        <v>0.29799999999999999</v>
      </c>
      <c r="F298" s="524">
        <v>5555.5881726824618</v>
      </c>
      <c r="G298" s="542"/>
      <c r="H298" s="608"/>
      <c r="I298" s="524"/>
      <c r="J298" s="499">
        <v>14154.98</v>
      </c>
      <c r="K298" s="608">
        <v>0.26499154361221272</v>
      </c>
      <c r="L298" s="524">
        <v>3750.9499999999989</v>
      </c>
      <c r="M298" s="543">
        <v>-0.24073133052925866</v>
      </c>
      <c r="N298" s="524">
        <v>-1804.6381726824629</v>
      </c>
      <c r="O298" s="499">
        <v>19312.04</v>
      </c>
      <c r="P298" s="608">
        <v>0.26401819797390647</v>
      </c>
      <c r="Q298" s="524">
        <v>5098.7300000000014</v>
      </c>
      <c r="R298" s="543">
        <v>-0.26703859354060994</v>
      </c>
      <c r="S298" s="524">
        <v>-1347.7800000000025</v>
      </c>
      <c r="T298" s="481"/>
      <c r="U298" s="481"/>
      <c r="V298" s="481"/>
      <c r="W298" s="481"/>
      <c r="X298" s="481"/>
      <c r="Y298" s="481"/>
      <c r="Z298" s="481"/>
      <c r="AA298" s="481"/>
      <c r="AB298" s="481"/>
      <c r="AC298" s="481"/>
      <c r="AD298" s="481"/>
      <c r="AE298" s="481"/>
      <c r="AF298" s="481"/>
      <c r="AG298" s="481"/>
      <c r="AH298" s="481"/>
      <c r="AI298" s="481"/>
      <c r="AJ298" s="481"/>
      <c r="AK298" s="481"/>
      <c r="AL298" s="481"/>
      <c r="AM298" s="481"/>
      <c r="AN298" s="481"/>
    </row>
    <row r="299" spans="1:40" ht="15.75" customHeight="1">
      <c r="A299" s="490" t="s">
        <v>403</v>
      </c>
      <c r="B299" s="481" t="s">
        <v>103</v>
      </c>
      <c r="C299" s="498" t="s">
        <v>110</v>
      </c>
      <c r="D299" s="542">
        <v>90572.648265078242</v>
      </c>
      <c r="E299" s="608">
        <v>0.17499999999999999</v>
      </c>
      <c r="F299" s="524">
        <v>15850.21344638869</v>
      </c>
      <c r="G299" s="542"/>
      <c r="H299" s="608"/>
      <c r="I299" s="524"/>
      <c r="J299" s="499">
        <v>124254.39</v>
      </c>
      <c r="K299" s="608">
        <v>0.17551951283169948</v>
      </c>
      <c r="L299" s="524">
        <v>21809.069999999992</v>
      </c>
      <c r="M299" s="543">
        <v>0.371875421334106</v>
      </c>
      <c r="N299" s="524">
        <v>5958.8565536113019</v>
      </c>
      <c r="O299" s="499">
        <v>108723.88</v>
      </c>
      <c r="P299" s="608">
        <v>0.17292843117813686</v>
      </c>
      <c r="Q299" s="524">
        <v>18801.450000000012</v>
      </c>
      <c r="R299" s="543">
        <v>0.14284359608946989</v>
      </c>
      <c r="S299" s="524">
        <v>3007.6199999999808</v>
      </c>
      <c r="T299" s="481"/>
      <c r="U299" s="481"/>
      <c r="V299" s="481"/>
      <c r="W299" s="481"/>
      <c r="X299" s="481"/>
      <c r="Y299" s="481"/>
      <c r="Z299" s="481"/>
      <c r="AA299" s="481"/>
      <c r="AB299" s="481"/>
      <c r="AC299" s="481"/>
      <c r="AD299" s="481"/>
      <c r="AE299" s="481"/>
      <c r="AF299" s="481"/>
      <c r="AG299" s="481"/>
      <c r="AH299" s="481"/>
      <c r="AI299" s="481"/>
      <c r="AJ299" s="481"/>
      <c r="AK299" s="481"/>
      <c r="AL299" s="481"/>
      <c r="AM299" s="481"/>
      <c r="AN299" s="481"/>
    </row>
    <row r="300" spans="1:40" ht="15.75" hidden="1" customHeight="1">
      <c r="A300" s="490" t="s">
        <v>404</v>
      </c>
      <c r="B300" s="481" t="s">
        <v>103</v>
      </c>
      <c r="C300" s="498" t="s">
        <v>20</v>
      </c>
      <c r="D300" s="542">
        <v>0</v>
      </c>
      <c r="E300" s="608">
        <v>0</v>
      </c>
      <c r="F300" s="524">
        <v>0</v>
      </c>
      <c r="G300" s="542"/>
      <c r="H300" s="608"/>
      <c r="I300" s="524"/>
      <c r="J300" s="499">
        <v>0</v>
      </c>
      <c r="K300" s="608">
        <v>0</v>
      </c>
      <c r="L300" s="524">
        <v>0</v>
      </c>
      <c r="M300" s="543" t="e">
        <v>#DIV/0!</v>
      </c>
      <c r="N300" s="524">
        <v>0</v>
      </c>
      <c r="O300" s="499">
        <v>0</v>
      </c>
      <c r="P300" s="608">
        <v>0</v>
      </c>
      <c r="Q300" s="524">
        <v>0</v>
      </c>
      <c r="R300" s="543">
        <v>0</v>
      </c>
      <c r="S300" s="524">
        <v>0</v>
      </c>
      <c r="T300" s="481"/>
      <c r="U300" s="481"/>
      <c r="V300" s="481"/>
      <c r="W300" s="481"/>
      <c r="X300" s="481"/>
      <c r="Y300" s="481"/>
      <c r="Z300" s="481"/>
      <c r="AA300" s="481"/>
      <c r="AB300" s="481"/>
      <c r="AC300" s="481"/>
      <c r="AD300" s="481"/>
      <c r="AE300" s="481"/>
      <c r="AF300" s="481"/>
      <c r="AG300" s="481"/>
      <c r="AH300" s="481"/>
      <c r="AI300" s="481"/>
      <c r="AJ300" s="481"/>
      <c r="AK300" s="481"/>
      <c r="AL300" s="481"/>
      <c r="AM300" s="481"/>
      <c r="AN300" s="481"/>
    </row>
    <row r="301" spans="1:40" ht="15.75" customHeight="1">
      <c r="A301" s="490" t="s">
        <v>405</v>
      </c>
      <c r="B301" s="481" t="s">
        <v>103</v>
      </c>
      <c r="C301" s="498" t="s">
        <v>111</v>
      </c>
      <c r="D301" s="542">
        <v>0</v>
      </c>
      <c r="E301" s="608">
        <v>0</v>
      </c>
      <c r="F301" s="524">
        <v>5734.3690351424757</v>
      </c>
      <c r="G301" s="542"/>
      <c r="H301" s="608"/>
      <c r="I301" s="524"/>
      <c r="J301" s="499">
        <v>0</v>
      </c>
      <c r="K301" s="608">
        <v>0</v>
      </c>
      <c r="L301" s="524">
        <v>8499.4600000000009</v>
      </c>
      <c r="M301" s="543"/>
      <c r="N301" s="524">
        <v>2765.0909648575253</v>
      </c>
      <c r="O301" s="499">
        <v>0</v>
      </c>
      <c r="P301" s="608">
        <v>0</v>
      </c>
      <c r="Q301" s="524">
        <v>8911.33</v>
      </c>
      <c r="R301" s="543">
        <v>0</v>
      </c>
      <c r="S301" s="524">
        <v>-411.86999999999898</v>
      </c>
      <c r="T301" s="481"/>
      <c r="U301" s="481"/>
      <c r="V301" s="481"/>
      <c r="W301" s="481"/>
      <c r="X301" s="481"/>
      <c r="Y301" s="481"/>
      <c r="Z301" s="481"/>
      <c r="AA301" s="481"/>
      <c r="AB301" s="481"/>
      <c r="AC301" s="481"/>
      <c r="AD301" s="481"/>
      <c r="AE301" s="481"/>
      <c r="AF301" s="481"/>
      <c r="AG301" s="481"/>
      <c r="AH301" s="481"/>
      <c r="AI301" s="481"/>
      <c r="AJ301" s="481"/>
      <c r="AK301" s="481"/>
      <c r="AL301" s="481"/>
      <c r="AM301" s="481"/>
      <c r="AN301" s="481"/>
    </row>
    <row r="302" spans="1:40" ht="15.75" customHeight="1">
      <c r="A302" s="490" t="s">
        <v>406</v>
      </c>
      <c r="B302" s="481" t="s">
        <v>103</v>
      </c>
      <c r="C302" s="491" t="s">
        <v>112</v>
      </c>
      <c r="D302" s="542">
        <v>0</v>
      </c>
      <c r="E302" s="608">
        <v>0</v>
      </c>
      <c r="F302" s="524">
        <v>0</v>
      </c>
      <c r="G302" s="542"/>
      <c r="H302" s="608"/>
      <c r="I302" s="524"/>
      <c r="J302" s="499">
        <v>0</v>
      </c>
      <c r="K302" s="608">
        <v>0</v>
      </c>
      <c r="L302" s="524">
        <v>0</v>
      </c>
      <c r="M302" s="543"/>
      <c r="N302" s="524">
        <v>0</v>
      </c>
      <c r="O302" s="499">
        <v>0</v>
      </c>
      <c r="P302" s="608">
        <v>0</v>
      </c>
      <c r="Q302" s="524">
        <v>0</v>
      </c>
      <c r="R302" s="543">
        <v>0</v>
      </c>
      <c r="S302" s="524">
        <v>0</v>
      </c>
      <c r="T302" s="481"/>
      <c r="U302" s="481"/>
      <c r="V302" s="481"/>
      <c r="W302" s="481"/>
      <c r="X302" s="481"/>
      <c r="Y302" s="481"/>
      <c r="Z302" s="481"/>
      <c r="AA302" s="481"/>
      <c r="AB302" s="481"/>
      <c r="AC302" s="481"/>
      <c r="AD302" s="481"/>
      <c r="AE302" s="481"/>
      <c r="AF302" s="481"/>
      <c r="AG302" s="481"/>
      <c r="AH302" s="481"/>
      <c r="AI302" s="481"/>
      <c r="AJ302" s="481"/>
      <c r="AK302" s="481"/>
      <c r="AL302" s="481"/>
      <c r="AM302" s="481"/>
      <c r="AN302" s="481"/>
    </row>
    <row r="303" spans="1:40" ht="15.75" customHeight="1">
      <c r="A303" s="490" t="s">
        <v>407</v>
      </c>
      <c r="B303" s="481" t="s">
        <v>103</v>
      </c>
      <c r="C303" s="517" t="s">
        <v>113</v>
      </c>
      <c r="D303" s="648">
        <v>338085.10947765835</v>
      </c>
      <c r="E303" s="665">
        <v>0.28316939909464445</v>
      </c>
      <c r="F303" s="650">
        <v>95735.357293635592</v>
      </c>
      <c r="G303" s="648"/>
      <c r="H303" s="665"/>
      <c r="I303" s="650"/>
      <c r="J303" s="648">
        <v>357715.50000000006</v>
      </c>
      <c r="K303" s="665">
        <v>0.28750582515993856</v>
      </c>
      <c r="L303" s="650">
        <v>102845.29000000001</v>
      </c>
      <c r="M303" s="666">
        <v>5.8063457904640257E-2</v>
      </c>
      <c r="N303" s="650">
        <v>7109.9327063644159</v>
      </c>
      <c r="O303" s="648">
        <v>416763.33</v>
      </c>
      <c r="P303" s="665">
        <v>0.27908755791926321</v>
      </c>
      <c r="Q303" s="650">
        <v>116313.46000000002</v>
      </c>
      <c r="R303" s="666">
        <v>-0.14168192292733614</v>
      </c>
      <c r="S303" s="650">
        <v>-13468.170000000013</v>
      </c>
      <c r="T303" s="481"/>
      <c r="U303" s="481"/>
      <c r="V303" s="481"/>
      <c r="W303" s="481"/>
      <c r="X303" s="481"/>
      <c r="Y303" s="481"/>
      <c r="Z303" s="481"/>
      <c r="AA303" s="481"/>
      <c r="AB303" s="481"/>
      <c r="AC303" s="481"/>
      <c r="AD303" s="481"/>
      <c r="AE303" s="481"/>
      <c r="AF303" s="481"/>
      <c r="AG303" s="481"/>
      <c r="AH303" s="481"/>
      <c r="AI303" s="481"/>
      <c r="AJ303" s="481"/>
      <c r="AK303" s="481"/>
      <c r="AL303" s="481"/>
      <c r="AM303" s="481"/>
      <c r="AN303" s="481"/>
    </row>
    <row r="304" spans="1:40" ht="15.75" customHeight="1">
      <c r="A304" s="490" t="s">
        <v>103</v>
      </c>
      <c r="B304" s="481" t="s">
        <v>103</v>
      </c>
      <c r="C304" s="498"/>
      <c r="D304" s="481"/>
      <c r="E304" s="481"/>
      <c r="F304" s="508"/>
      <c r="G304" s="498"/>
      <c r="H304" s="481"/>
      <c r="I304" s="508"/>
      <c r="J304" s="498"/>
      <c r="K304" s="481"/>
      <c r="L304" s="508"/>
      <c r="M304" s="498"/>
      <c r="N304" s="516">
        <v>7.4266529183748903E-2</v>
      </c>
      <c r="O304" s="498"/>
      <c r="P304" s="481"/>
      <c r="Q304" s="508"/>
      <c r="R304" s="498"/>
      <c r="S304" s="516">
        <v>-0.11579201581657024</v>
      </c>
      <c r="T304" s="481"/>
      <c r="U304" s="481"/>
      <c r="V304" s="481"/>
      <c r="W304" s="481"/>
      <c r="X304" s="481"/>
      <c r="Y304" s="481"/>
      <c r="Z304" s="481"/>
      <c r="AA304" s="481"/>
      <c r="AB304" s="481"/>
      <c r="AC304" s="481"/>
      <c r="AD304" s="481"/>
      <c r="AE304" s="481"/>
      <c r="AF304" s="481"/>
      <c r="AG304" s="481"/>
      <c r="AH304" s="481"/>
      <c r="AI304" s="481"/>
      <c r="AJ304" s="481"/>
      <c r="AK304" s="481"/>
      <c r="AL304" s="481"/>
      <c r="AM304" s="481"/>
      <c r="AN304" s="481"/>
    </row>
    <row r="305" spans="1:40" ht="15.75" customHeight="1">
      <c r="A305" s="490" t="s">
        <v>103</v>
      </c>
      <c r="B305" s="481" t="s">
        <v>103</v>
      </c>
      <c r="C305" s="491"/>
      <c r="D305" s="571"/>
      <c r="E305" s="571"/>
      <c r="F305" s="667"/>
      <c r="G305" s="491"/>
      <c r="H305" s="571"/>
      <c r="I305" s="667"/>
      <c r="J305" s="491"/>
      <c r="K305" s="571"/>
      <c r="L305" s="667"/>
      <c r="M305" s="491"/>
      <c r="N305" s="628"/>
      <c r="O305" s="491"/>
      <c r="P305" s="571"/>
      <c r="Q305" s="667"/>
      <c r="R305" s="491"/>
      <c r="S305" s="628"/>
      <c r="T305" s="481"/>
      <c r="U305" s="481"/>
      <c r="V305" s="481"/>
      <c r="W305" s="481"/>
      <c r="X305" s="481"/>
      <c r="Y305" s="481"/>
      <c r="Z305" s="481"/>
      <c r="AA305" s="481"/>
      <c r="AB305" s="481"/>
      <c r="AC305" s="481"/>
      <c r="AD305" s="481"/>
      <c r="AE305" s="481"/>
      <c r="AF305" s="481"/>
      <c r="AG305" s="481"/>
      <c r="AH305" s="481"/>
      <c r="AI305" s="481"/>
      <c r="AJ305" s="481"/>
      <c r="AK305" s="481"/>
      <c r="AL305" s="481"/>
      <c r="AM305" s="481"/>
      <c r="AN305" s="481"/>
    </row>
    <row r="306" spans="1:40" ht="15.75" customHeight="1">
      <c r="A306" s="490" t="s">
        <v>408</v>
      </c>
      <c r="B306" s="481" t="s">
        <v>103</v>
      </c>
      <c r="C306" s="498" t="s">
        <v>114</v>
      </c>
      <c r="D306" s="542">
        <v>40120.544385208654</v>
      </c>
      <c r="E306" s="608">
        <v>0.18</v>
      </c>
      <c r="F306" s="570">
        <v>7221.6979893375574</v>
      </c>
      <c r="G306" s="542"/>
      <c r="H306" s="608"/>
      <c r="I306" s="570"/>
      <c r="J306" s="499">
        <v>31339.7</v>
      </c>
      <c r="K306" s="608">
        <v>0.1802525231575286</v>
      </c>
      <c r="L306" s="570">
        <v>5649.0599999999995</v>
      </c>
      <c r="M306" s="543">
        <v>-0.21886154636640248</v>
      </c>
      <c r="N306" s="524">
        <v>-1572.6379893375579</v>
      </c>
      <c r="O306" s="499">
        <v>48929.240000000005</v>
      </c>
      <c r="P306" s="608">
        <v>0.18991241229170944</v>
      </c>
      <c r="Q306" s="570">
        <v>9292.2700000000023</v>
      </c>
      <c r="R306" s="543">
        <v>-0.35948933602892674</v>
      </c>
      <c r="S306" s="524">
        <v>-3643.2100000000028</v>
      </c>
      <c r="T306" s="481"/>
      <c r="U306" s="481"/>
      <c r="V306" s="481"/>
      <c r="W306" s="481"/>
      <c r="X306" s="481"/>
      <c r="Y306" s="481"/>
      <c r="Z306" s="481"/>
      <c r="AA306" s="481"/>
      <c r="AB306" s="481"/>
      <c r="AC306" s="481"/>
      <c r="AD306" s="481"/>
      <c r="AE306" s="481"/>
      <c r="AF306" s="481"/>
      <c r="AG306" s="481"/>
      <c r="AH306" s="481"/>
      <c r="AI306" s="481"/>
      <c r="AJ306" s="481"/>
      <c r="AK306" s="481"/>
      <c r="AL306" s="481"/>
      <c r="AM306" s="481"/>
      <c r="AN306" s="481"/>
    </row>
    <row r="307" spans="1:40" ht="15.75" customHeight="1">
      <c r="A307" s="490" t="s">
        <v>409</v>
      </c>
      <c r="B307" s="481" t="s">
        <v>103</v>
      </c>
      <c r="C307" s="491" t="s">
        <v>115</v>
      </c>
      <c r="D307" s="542">
        <v>17775.256230848245</v>
      </c>
      <c r="E307" s="608">
        <v>0.313</v>
      </c>
      <c r="F307" s="547">
        <v>5563.6552002555009</v>
      </c>
      <c r="G307" s="542"/>
      <c r="H307" s="608"/>
      <c r="I307" s="547"/>
      <c r="J307" s="499">
        <v>19956.650000000001</v>
      </c>
      <c r="K307" s="608">
        <v>0.21938401485219219</v>
      </c>
      <c r="L307" s="547">
        <v>4378.1700000000019</v>
      </c>
      <c r="M307" s="543">
        <v>0.12272080586754273</v>
      </c>
      <c r="N307" s="524">
        <v>-1185.485200255499</v>
      </c>
      <c r="O307" s="499">
        <v>23524.37</v>
      </c>
      <c r="P307" s="608">
        <v>0.30741227076431799</v>
      </c>
      <c r="Q307" s="547">
        <v>7231.6799999999985</v>
      </c>
      <c r="R307" s="543">
        <v>-0.15166059707443802</v>
      </c>
      <c r="S307" s="524">
        <v>-2853.5099999999966</v>
      </c>
      <c r="T307" s="481"/>
      <c r="U307" s="481"/>
      <c r="V307" s="481"/>
      <c r="W307" s="481"/>
      <c r="X307" s="481"/>
      <c r="Y307" s="481"/>
      <c r="Z307" s="481"/>
      <c r="AA307" s="481"/>
      <c r="AB307" s="481"/>
      <c r="AC307" s="481"/>
      <c r="AD307" s="481"/>
      <c r="AE307" s="481"/>
      <c r="AF307" s="481"/>
      <c r="AG307" s="481"/>
      <c r="AH307" s="481"/>
      <c r="AI307" s="481"/>
      <c r="AJ307" s="481"/>
      <c r="AK307" s="481"/>
      <c r="AL307" s="481"/>
      <c r="AM307" s="481"/>
      <c r="AN307" s="481"/>
    </row>
    <row r="308" spans="1:40" ht="15.75" customHeight="1">
      <c r="A308" s="490" t="s">
        <v>410</v>
      </c>
      <c r="B308" s="481" t="s">
        <v>103</v>
      </c>
      <c r="C308" s="517" t="s">
        <v>116</v>
      </c>
      <c r="D308" s="648">
        <v>395980.91009371524</v>
      </c>
      <c r="E308" s="665">
        <v>0.2740554095336199</v>
      </c>
      <c r="F308" s="650">
        <v>108520.71048322864</v>
      </c>
      <c r="G308" s="651"/>
      <c r="H308" s="665"/>
      <c r="I308" s="650"/>
      <c r="J308" s="651">
        <v>409011.85000000009</v>
      </c>
      <c r="K308" s="665">
        <v>0.27596393600821095</v>
      </c>
      <c r="L308" s="650">
        <v>112872.52</v>
      </c>
      <c r="M308" s="666">
        <v>3.2908000295268962E-2</v>
      </c>
      <c r="N308" s="650">
        <v>4351.8095167713618</v>
      </c>
      <c r="O308" s="651">
        <v>489216.94</v>
      </c>
      <c r="P308" s="665">
        <v>0.27153068329972391</v>
      </c>
      <c r="Q308" s="650">
        <v>132837.41000000003</v>
      </c>
      <c r="R308" s="666">
        <v>-0.16394585600408668</v>
      </c>
      <c r="S308" s="650">
        <v>-19964.890000000029</v>
      </c>
      <c r="T308" s="481"/>
      <c r="U308" s="481"/>
      <c r="V308" s="481"/>
      <c r="W308" s="481"/>
      <c r="X308" s="481"/>
      <c r="Y308" s="481"/>
      <c r="Z308" s="481"/>
      <c r="AA308" s="481"/>
      <c r="AB308" s="481"/>
      <c r="AC308" s="481"/>
      <c r="AD308" s="481"/>
      <c r="AE308" s="481"/>
      <c r="AF308" s="481"/>
      <c r="AG308" s="481"/>
      <c r="AH308" s="481"/>
      <c r="AI308" s="481"/>
      <c r="AJ308" s="481"/>
      <c r="AK308" s="481"/>
      <c r="AL308" s="481"/>
      <c r="AM308" s="481"/>
      <c r="AN308" s="481"/>
    </row>
    <row r="309" spans="1:40" ht="15.75" customHeight="1">
      <c r="A309" s="490" t="s">
        <v>103</v>
      </c>
      <c r="B309" s="481" t="s">
        <v>103</v>
      </c>
      <c r="C309" s="498"/>
      <c r="D309" s="481"/>
      <c r="E309" s="481"/>
      <c r="F309" s="508"/>
      <c r="G309" s="498"/>
      <c r="H309" s="481"/>
      <c r="I309" s="508"/>
      <c r="J309" s="498"/>
      <c r="K309" s="481"/>
      <c r="L309" s="508"/>
      <c r="M309" s="498"/>
      <c r="N309" s="516">
        <v>4.0101188956405819E-2</v>
      </c>
      <c r="O309" s="498"/>
      <c r="P309" s="481"/>
      <c r="Q309" s="508"/>
      <c r="R309" s="498"/>
      <c r="S309" s="516">
        <v>-0.15029568854135311</v>
      </c>
      <c r="T309" s="481"/>
      <c r="U309" s="481"/>
      <c r="V309" s="481"/>
      <c r="W309" s="481"/>
      <c r="X309" s="481"/>
      <c r="Y309" s="481"/>
      <c r="Z309" s="481"/>
      <c r="AA309" s="481"/>
      <c r="AB309" s="481"/>
      <c r="AC309" s="481"/>
      <c r="AD309" s="481"/>
      <c r="AE309" s="481"/>
      <c r="AF309" s="481"/>
      <c r="AG309" s="481"/>
      <c r="AH309" s="481"/>
      <c r="AI309" s="481"/>
      <c r="AJ309" s="481"/>
      <c r="AK309" s="481"/>
      <c r="AL309" s="481"/>
      <c r="AM309" s="481"/>
      <c r="AN309" s="481"/>
    </row>
    <row r="310" spans="1:40" ht="15.75" customHeight="1">
      <c r="A310" s="490" t="s">
        <v>103</v>
      </c>
      <c r="B310" s="481" t="s">
        <v>103</v>
      </c>
      <c r="C310" s="498"/>
      <c r="D310" s="481"/>
      <c r="E310" s="481"/>
      <c r="F310" s="508"/>
      <c r="G310" s="498"/>
      <c r="H310" s="481"/>
      <c r="I310" s="508"/>
      <c r="J310" s="498"/>
      <c r="K310" s="481"/>
      <c r="L310" s="508"/>
      <c r="M310" s="498"/>
      <c r="N310" s="516"/>
      <c r="O310" s="498"/>
      <c r="P310" s="481"/>
      <c r="Q310" s="508"/>
      <c r="R310" s="498"/>
      <c r="S310" s="516"/>
      <c r="T310" s="481"/>
      <c r="U310" s="481"/>
      <c r="V310" s="481"/>
      <c r="W310" s="481"/>
      <c r="X310" s="481"/>
      <c r="Y310" s="481"/>
      <c r="Z310" s="481"/>
      <c r="AA310" s="481"/>
      <c r="AB310" s="481"/>
      <c r="AC310" s="481"/>
      <c r="AD310" s="481"/>
      <c r="AE310" s="481"/>
      <c r="AF310" s="481"/>
      <c r="AG310" s="481"/>
      <c r="AH310" s="481"/>
      <c r="AI310" s="481"/>
      <c r="AJ310" s="481"/>
      <c r="AK310" s="481"/>
      <c r="AL310" s="481"/>
      <c r="AM310" s="481"/>
      <c r="AN310" s="481"/>
    </row>
    <row r="311" spans="1:40" ht="15.75" customHeight="1">
      <c r="A311" s="490" t="s">
        <v>411</v>
      </c>
      <c r="B311" s="481" t="s">
        <v>103</v>
      </c>
      <c r="C311" s="491" t="s">
        <v>117</v>
      </c>
      <c r="D311" s="545">
        <v>0</v>
      </c>
      <c r="E311" s="609">
        <v>0</v>
      </c>
      <c r="F311" s="547">
        <v>0</v>
      </c>
      <c r="G311" s="623"/>
      <c r="H311" s="609"/>
      <c r="I311" s="547"/>
      <c r="J311" s="512">
        <v>0</v>
      </c>
      <c r="K311" s="609">
        <v>0</v>
      </c>
      <c r="L311" s="493">
        <v>0</v>
      </c>
      <c r="M311" s="609">
        <v>0</v>
      </c>
      <c r="N311" s="547">
        <v>0</v>
      </c>
      <c r="O311" s="512">
        <v>0</v>
      </c>
      <c r="P311" s="609">
        <v>0</v>
      </c>
      <c r="Q311" s="493">
        <v>0</v>
      </c>
      <c r="R311" s="609">
        <v>0</v>
      </c>
      <c r="S311" s="547">
        <v>0</v>
      </c>
      <c r="T311" s="481"/>
      <c r="U311" s="481"/>
      <c r="V311" s="481"/>
      <c r="W311" s="481"/>
      <c r="X311" s="481"/>
      <c r="Y311" s="481"/>
      <c r="Z311" s="481"/>
      <c r="AA311" s="481"/>
      <c r="AB311" s="481"/>
      <c r="AC311" s="481"/>
      <c r="AD311" s="481"/>
      <c r="AE311" s="481"/>
      <c r="AF311" s="481"/>
      <c r="AG311" s="481"/>
      <c r="AH311" s="481"/>
      <c r="AI311" s="481"/>
      <c r="AJ311" s="481"/>
      <c r="AK311" s="481"/>
      <c r="AL311" s="481"/>
      <c r="AM311" s="481"/>
      <c r="AN311" s="481"/>
    </row>
    <row r="312" spans="1:40" ht="15.75" customHeight="1" thickBot="1">
      <c r="A312" s="490" t="s">
        <v>103</v>
      </c>
      <c r="B312" s="481" t="s">
        <v>103</v>
      </c>
      <c r="C312" s="498"/>
      <c r="D312" s="542"/>
      <c r="E312" s="608"/>
      <c r="F312" s="524"/>
      <c r="G312" s="525"/>
      <c r="H312" s="608"/>
      <c r="I312" s="524"/>
      <c r="J312" s="525"/>
      <c r="K312" s="608"/>
      <c r="L312" s="524"/>
      <c r="M312" s="543"/>
      <c r="N312" s="524"/>
      <c r="O312" s="525"/>
      <c r="P312" s="608"/>
      <c r="Q312" s="524"/>
      <c r="R312" s="543"/>
      <c r="S312" s="524"/>
      <c r="T312" s="481"/>
      <c r="U312" s="481"/>
      <c r="V312" s="481"/>
      <c r="W312" s="481"/>
      <c r="X312" s="481"/>
      <c r="Y312" s="481"/>
      <c r="Z312" s="481"/>
      <c r="AA312" s="481"/>
      <c r="AB312" s="481"/>
      <c r="AC312" s="481"/>
      <c r="AD312" s="481"/>
      <c r="AE312" s="481"/>
      <c r="AF312" s="481"/>
      <c r="AG312" s="481"/>
      <c r="AH312" s="481"/>
      <c r="AI312" s="481"/>
      <c r="AJ312" s="481"/>
      <c r="AK312" s="481"/>
      <c r="AL312" s="481"/>
      <c r="AM312" s="481"/>
      <c r="AN312" s="481"/>
    </row>
    <row r="313" spans="1:40" ht="15.75" customHeight="1" thickTop="1">
      <c r="A313" s="490" t="s">
        <v>412</v>
      </c>
      <c r="B313" s="481" t="s">
        <v>103</v>
      </c>
      <c r="C313" s="526" t="s">
        <v>118</v>
      </c>
      <c r="D313" s="527">
        <v>395980.91009371524</v>
      </c>
      <c r="E313" s="668">
        <v>0.2740554095336199</v>
      </c>
      <c r="F313" s="529">
        <v>108520.71048322864</v>
      </c>
      <c r="G313" s="530"/>
      <c r="H313" s="668"/>
      <c r="I313" s="529"/>
      <c r="J313" s="530">
        <v>409011.85000000009</v>
      </c>
      <c r="K313" s="668">
        <v>0.27596393600821095</v>
      </c>
      <c r="L313" s="529">
        <v>112872.52</v>
      </c>
      <c r="M313" s="669">
        <v>3.2908000295268962E-2</v>
      </c>
      <c r="N313" s="670">
        <v>4351.8095167713618</v>
      </c>
      <c r="O313" s="530">
        <v>489216.94</v>
      </c>
      <c r="P313" s="668">
        <v>0.27153068329972391</v>
      </c>
      <c r="Q313" s="529">
        <v>132837.41000000003</v>
      </c>
      <c r="R313" s="669">
        <v>-0.16394585600408668</v>
      </c>
      <c r="S313" s="670">
        <v>-19964.890000000029</v>
      </c>
      <c r="T313" s="481"/>
      <c r="U313" s="481"/>
      <c r="V313" s="481"/>
      <c r="W313" s="481"/>
      <c r="X313" s="481"/>
      <c r="Y313" s="481"/>
      <c r="Z313" s="481"/>
      <c r="AA313" s="481"/>
      <c r="AB313" s="481"/>
      <c r="AC313" s="481"/>
      <c r="AD313" s="481"/>
      <c r="AE313" s="481"/>
      <c r="AF313" s="481"/>
      <c r="AG313" s="481"/>
      <c r="AH313" s="481"/>
      <c r="AI313" s="481"/>
      <c r="AJ313" s="481"/>
      <c r="AK313" s="481"/>
      <c r="AL313" s="481"/>
      <c r="AM313" s="481"/>
      <c r="AN313" s="481"/>
    </row>
    <row r="314" spans="1:40" ht="15.75" customHeight="1" thickBot="1">
      <c r="A314" s="490" t="s">
        <v>103</v>
      </c>
      <c r="B314" s="481" t="s">
        <v>103</v>
      </c>
      <c r="C314" s="587"/>
      <c r="D314" s="671"/>
      <c r="E314" s="672"/>
      <c r="F314" s="590"/>
      <c r="G314" s="673"/>
      <c r="H314" s="672"/>
      <c r="I314" s="590"/>
      <c r="J314" s="673"/>
      <c r="K314" s="672"/>
      <c r="L314" s="674">
        <v>1.0401011889564058</v>
      </c>
      <c r="M314" s="675"/>
      <c r="N314" s="536">
        <v>4.0101188956405819E-2</v>
      </c>
      <c r="O314" s="673"/>
      <c r="P314" s="672"/>
      <c r="Q314" s="590"/>
      <c r="R314" s="675"/>
      <c r="S314" s="536">
        <v>-0.15029568854135311</v>
      </c>
      <c r="T314" s="481"/>
      <c r="U314" s="481"/>
      <c r="V314" s="481"/>
      <c r="W314" s="481"/>
      <c r="X314" s="481"/>
      <c r="Y314" s="481"/>
      <c r="Z314" s="481"/>
      <c r="AA314" s="481"/>
      <c r="AB314" s="481"/>
      <c r="AC314" s="481"/>
      <c r="AD314" s="481"/>
      <c r="AE314" s="481"/>
      <c r="AF314" s="481"/>
      <c r="AG314" s="481"/>
      <c r="AH314" s="481"/>
      <c r="AI314" s="481"/>
      <c r="AJ314" s="481"/>
      <c r="AK314" s="481"/>
      <c r="AL314" s="481"/>
      <c r="AM314" s="481"/>
      <c r="AN314" s="481"/>
    </row>
    <row r="315" spans="1:40" ht="15.75" customHeight="1" thickTop="1">
      <c r="A315" s="490" t="s">
        <v>103</v>
      </c>
      <c r="B315" s="481" t="s">
        <v>103</v>
      </c>
      <c r="C315" s="517"/>
      <c r="D315" s="572"/>
      <c r="E315" s="630"/>
      <c r="F315" s="632"/>
      <c r="G315" s="631"/>
      <c r="H315" s="630"/>
      <c r="I315" s="632"/>
      <c r="J315" s="631"/>
      <c r="K315" s="630"/>
      <c r="L315" s="632"/>
      <c r="M315" s="498"/>
      <c r="N315" s="516"/>
      <c r="O315" s="631"/>
      <c r="P315" s="630"/>
      <c r="Q315" s="632"/>
      <c r="R315" s="498"/>
      <c r="S315" s="516"/>
      <c r="T315" s="481"/>
      <c r="U315" s="481"/>
      <c r="V315" s="481"/>
      <c r="W315" s="481"/>
      <c r="X315" s="481"/>
      <c r="Y315" s="481"/>
      <c r="Z315" s="481"/>
      <c r="AA315" s="481"/>
      <c r="AB315" s="481"/>
      <c r="AC315" s="481"/>
      <c r="AD315" s="481"/>
      <c r="AE315" s="481"/>
      <c r="AF315" s="481"/>
      <c r="AG315" s="481"/>
      <c r="AH315" s="481"/>
      <c r="AI315" s="481"/>
      <c r="AJ315" s="481"/>
      <c r="AK315" s="481"/>
      <c r="AL315" s="481"/>
      <c r="AM315" s="481"/>
      <c r="AN315" s="481"/>
    </row>
    <row r="316" spans="1:40" ht="15.75" customHeight="1">
      <c r="A316" s="490" t="s">
        <v>413</v>
      </c>
      <c r="B316" s="481" t="s">
        <v>103</v>
      </c>
      <c r="C316" s="539" t="s">
        <v>30</v>
      </c>
      <c r="D316" s="481"/>
      <c r="E316" s="481"/>
      <c r="F316" s="524"/>
      <c r="G316" s="498"/>
      <c r="H316" s="481"/>
      <c r="I316" s="524"/>
      <c r="J316" s="498"/>
      <c r="K316" s="481"/>
      <c r="L316" s="508"/>
      <c r="M316" s="498"/>
      <c r="N316" s="508"/>
      <c r="O316" s="498"/>
      <c r="P316" s="481"/>
      <c r="Q316" s="508"/>
      <c r="R316" s="498"/>
      <c r="S316" s="508"/>
      <c r="T316" s="481"/>
      <c r="U316" s="481"/>
      <c r="V316" s="481"/>
      <c r="W316" s="481"/>
      <c r="X316" s="481"/>
      <c r="Y316" s="481"/>
      <c r="Z316" s="481"/>
      <c r="AA316" s="481"/>
      <c r="AB316" s="481"/>
      <c r="AC316" s="481"/>
      <c r="AD316" s="481"/>
      <c r="AE316" s="481"/>
      <c r="AF316" s="481"/>
      <c r="AG316" s="481"/>
      <c r="AH316" s="481"/>
      <c r="AI316" s="481"/>
      <c r="AJ316" s="481"/>
      <c r="AK316" s="481"/>
      <c r="AL316" s="481"/>
      <c r="AM316" s="481"/>
      <c r="AN316" s="481"/>
    </row>
    <row r="317" spans="1:40" ht="15.75" customHeight="1">
      <c r="A317" s="490" t="s">
        <v>414</v>
      </c>
      <c r="B317" s="481" t="s">
        <v>103</v>
      </c>
      <c r="C317" s="565" t="s">
        <v>41</v>
      </c>
      <c r="D317" s="481"/>
      <c r="E317" s="481"/>
      <c r="F317" s="499">
        <v>2606.4352490421456</v>
      </c>
      <c r="G317" s="498"/>
      <c r="H317" s="481"/>
      <c r="I317" s="499"/>
      <c r="J317" s="498"/>
      <c r="K317" s="481"/>
      <c r="L317" s="501">
        <v>3331.7</v>
      </c>
      <c r="M317" s="498"/>
      <c r="N317" s="501">
        <v>725.26475095785418</v>
      </c>
      <c r="O317" s="498"/>
      <c r="P317" s="481"/>
      <c r="Q317" s="501">
        <v>4637.67</v>
      </c>
      <c r="R317" s="498"/>
      <c r="S317" s="501">
        <v>-1305.9700000000003</v>
      </c>
      <c r="T317" s="481"/>
      <c r="U317" s="481"/>
      <c r="V317" s="481"/>
      <c r="W317" s="481"/>
      <c r="X317" s="481"/>
      <c r="Y317" s="481"/>
      <c r="Z317" s="481"/>
      <c r="AA317" s="481"/>
      <c r="AB317" s="481"/>
      <c r="AC317" s="481"/>
      <c r="AD317" s="481"/>
      <c r="AE317" s="481"/>
      <c r="AF317" s="481"/>
      <c r="AG317" s="481"/>
      <c r="AH317" s="481"/>
      <c r="AI317" s="481"/>
      <c r="AJ317" s="481"/>
      <c r="AK317" s="481"/>
      <c r="AL317" s="481"/>
      <c r="AM317" s="481"/>
      <c r="AN317" s="481"/>
    </row>
    <row r="318" spans="1:40" ht="15.75" customHeight="1">
      <c r="A318" s="490" t="s">
        <v>415</v>
      </c>
      <c r="B318" s="481" t="s">
        <v>103</v>
      </c>
      <c r="C318" s="566" t="s">
        <v>42</v>
      </c>
      <c r="D318" s="550"/>
      <c r="E318" s="481"/>
      <c r="F318" s="493">
        <v>28935.964137931038</v>
      </c>
      <c r="G318" s="551"/>
      <c r="H318" s="481"/>
      <c r="I318" s="493"/>
      <c r="J318" s="498"/>
      <c r="K318" s="481"/>
      <c r="L318" s="501">
        <v>30206.06</v>
      </c>
      <c r="M318" s="498"/>
      <c r="N318" s="501">
        <v>1270.0958620689635</v>
      </c>
      <c r="O318" s="498"/>
      <c r="P318" s="481"/>
      <c r="Q318" s="501">
        <v>3222.39</v>
      </c>
      <c r="R318" s="498"/>
      <c r="S318" s="524">
        <v>26983.670000000002</v>
      </c>
      <c r="T318" s="481"/>
      <c r="U318" s="481"/>
      <c r="V318" s="481"/>
      <c r="W318" s="481"/>
      <c r="X318" s="481"/>
      <c r="Y318" s="481"/>
      <c r="Z318" s="481"/>
      <c r="AA318" s="481"/>
      <c r="AB318" s="481"/>
      <c r="AC318" s="481"/>
      <c r="AD318" s="481"/>
      <c r="AE318" s="481"/>
      <c r="AF318" s="481"/>
      <c r="AG318" s="481"/>
      <c r="AH318" s="481"/>
      <c r="AI318" s="481"/>
      <c r="AJ318" s="481"/>
      <c r="AK318" s="481"/>
      <c r="AL318" s="481"/>
      <c r="AM318" s="481"/>
      <c r="AN318" s="481"/>
    </row>
    <row r="319" spans="1:40" ht="15.75" customHeight="1">
      <c r="A319" s="490" t="s">
        <v>416</v>
      </c>
      <c r="B319" s="481" t="s">
        <v>103</v>
      </c>
      <c r="C319" s="565" t="s">
        <v>43</v>
      </c>
      <c r="D319" s="567"/>
      <c r="E319" s="568"/>
      <c r="F319" s="499">
        <v>2296.0919540229879</v>
      </c>
      <c r="G319" s="569"/>
      <c r="H319" s="568"/>
      <c r="I319" s="499"/>
      <c r="J319" s="485"/>
      <c r="K319" s="568"/>
      <c r="L319" s="520">
        <v>2264.56</v>
      </c>
      <c r="M319" s="485"/>
      <c r="N319" s="520">
        <v>-31.531954022987975</v>
      </c>
      <c r="O319" s="485"/>
      <c r="P319" s="568"/>
      <c r="Q319" s="520">
        <v>25005.05</v>
      </c>
      <c r="R319" s="485"/>
      <c r="S319" s="570">
        <v>-22740.489999999998</v>
      </c>
      <c r="T319" s="481"/>
      <c r="U319" s="676"/>
      <c r="V319" s="676"/>
      <c r="W319" s="481"/>
      <c r="X319" s="481"/>
      <c r="Y319" s="481"/>
      <c r="Z319" s="481"/>
      <c r="AA319" s="481"/>
      <c r="AB319" s="481"/>
      <c r="AC319" s="481"/>
      <c r="AD319" s="481"/>
      <c r="AE319" s="481"/>
      <c r="AF319" s="481"/>
      <c r="AG319" s="481"/>
      <c r="AH319" s="481"/>
      <c r="AI319" s="481"/>
      <c r="AJ319" s="481"/>
      <c r="AK319" s="481"/>
      <c r="AL319" s="481"/>
      <c r="AM319" s="481"/>
      <c r="AN319" s="481"/>
    </row>
    <row r="320" spans="1:40" ht="15.75" customHeight="1">
      <c r="A320" s="490" t="s">
        <v>417</v>
      </c>
      <c r="B320" s="481" t="s">
        <v>103</v>
      </c>
      <c r="C320" s="565" t="s">
        <v>44</v>
      </c>
      <c r="D320" s="550"/>
      <c r="E320" s="481"/>
      <c r="F320" s="499">
        <v>0</v>
      </c>
      <c r="G320" s="551"/>
      <c r="H320" s="481"/>
      <c r="I320" s="499"/>
      <c r="J320" s="498"/>
      <c r="K320" s="481"/>
      <c r="L320" s="501">
        <v>0</v>
      </c>
      <c r="M320" s="498"/>
      <c r="N320" s="501">
        <v>0</v>
      </c>
      <c r="O320" s="498"/>
      <c r="P320" s="481"/>
      <c r="Q320" s="501">
        <v>0</v>
      </c>
      <c r="R320" s="498"/>
      <c r="S320" s="524">
        <v>0</v>
      </c>
      <c r="T320" s="481"/>
      <c r="U320" s="481"/>
      <c r="V320" s="481"/>
      <c r="W320" s="481"/>
      <c r="X320" s="481"/>
      <c r="Y320" s="481"/>
      <c r="Z320" s="481"/>
      <c r="AA320" s="481"/>
      <c r="AB320" s="481"/>
      <c r="AC320" s="481"/>
      <c r="AD320" s="481"/>
      <c r="AE320" s="481"/>
      <c r="AF320" s="481"/>
      <c r="AG320" s="481"/>
      <c r="AH320" s="481"/>
      <c r="AI320" s="481"/>
      <c r="AJ320" s="481"/>
      <c r="AK320" s="481"/>
      <c r="AL320" s="481"/>
      <c r="AM320" s="481"/>
      <c r="AN320" s="481"/>
    </row>
    <row r="321" spans="1:40" ht="15.75" hidden="1" customHeight="1">
      <c r="A321" s="490" t="s">
        <v>404</v>
      </c>
      <c r="B321" s="481" t="s">
        <v>103</v>
      </c>
      <c r="C321" s="498" t="s">
        <v>20</v>
      </c>
      <c r="D321" s="550"/>
      <c r="E321" s="481"/>
      <c r="F321" s="499">
        <v>0</v>
      </c>
      <c r="G321" s="551"/>
      <c r="H321" s="481"/>
      <c r="I321" s="499"/>
      <c r="J321" s="498"/>
      <c r="K321" s="481"/>
      <c r="L321" s="501">
        <v>0</v>
      </c>
      <c r="M321" s="498"/>
      <c r="N321" s="501">
        <v>0</v>
      </c>
      <c r="O321" s="498"/>
      <c r="P321" s="481"/>
      <c r="Q321" s="501">
        <v>0</v>
      </c>
      <c r="R321" s="498"/>
      <c r="S321" s="524">
        <v>0</v>
      </c>
      <c r="T321" s="481"/>
      <c r="U321" s="481"/>
      <c r="V321" s="481"/>
      <c r="W321" s="481"/>
      <c r="X321" s="481"/>
      <c r="Y321" s="481"/>
      <c r="Z321" s="481"/>
      <c r="AA321" s="481"/>
      <c r="AB321" s="481"/>
      <c r="AC321" s="481"/>
      <c r="AD321" s="481"/>
      <c r="AE321" s="481"/>
      <c r="AF321" s="481"/>
      <c r="AG321" s="481"/>
      <c r="AH321" s="481"/>
      <c r="AI321" s="481"/>
      <c r="AJ321" s="481"/>
      <c r="AK321" s="481"/>
      <c r="AL321" s="481"/>
      <c r="AM321" s="481"/>
      <c r="AN321" s="481"/>
    </row>
    <row r="322" spans="1:40" ht="15.75" hidden="1" customHeight="1">
      <c r="A322" s="490" t="s">
        <v>404</v>
      </c>
      <c r="B322" s="481" t="s">
        <v>103</v>
      </c>
      <c r="C322" s="498" t="s">
        <v>20</v>
      </c>
      <c r="D322" s="550"/>
      <c r="E322" s="481"/>
      <c r="F322" s="499">
        <v>0</v>
      </c>
      <c r="G322" s="551"/>
      <c r="H322" s="481"/>
      <c r="I322" s="499"/>
      <c r="J322" s="498"/>
      <c r="K322" s="481"/>
      <c r="L322" s="501">
        <v>0</v>
      </c>
      <c r="M322" s="498"/>
      <c r="N322" s="501">
        <v>0</v>
      </c>
      <c r="O322" s="498"/>
      <c r="P322" s="481"/>
      <c r="Q322" s="501">
        <v>0</v>
      </c>
      <c r="R322" s="498"/>
      <c r="S322" s="524">
        <v>0</v>
      </c>
      <c r="T322" s="481"/>
      <c r="U322" s="481"/>
      <c r="V322" s="481"/>
      <c r="W322" s="481"/>
      <c r="X322" s="481"/>
      <c r="Y322" s="481"/>
      <c r="Z322" s="481"/>
      <c r="AA322" s="481"/>
      <c r="AB322" s="481"/>
      <c r="AC322" s="481"/>
      <c r="AD322" s="481"/>
      <c r="AE322" s="481"/>
      <c r="AF322" s="481"/>
      <c r="AG322" s="481"/>
      <c r="AH322" s="481"/>
      <c r="AI322" s="481"/>
      <c r="AJ322" s="481"/>
      <c r="AK322" s="481"/>
      <c r="AL322" s="481"/>
      <c r="AM322" s="481"/>
      <c r="AN322" s="481"/>
    </row>
    <row r="323" spans="1:40" ht="15.75" hidden="1" customHeight="1">
      <c r="A323" s="490" t="s">
        <v>404</v>
      </c>
      <c r="B323" s="481" t="s">
        <v>103</v>
      </c>
      <c r="C323" s="498" t="s">
        <v>20</v>
      </c>
      <c r="D323" s="550"/>
      <c r="E323" s="481"/>
      <c r="F323" s="499">
        <v>0</v>
      </c>
      <c r="G323" s="551"/>
      <c r="H323" s="481"/>
      <c r="I323" s="499"/>
      <c r="J323" s="498"/>
      <c r="K323" s="481"/>
      <c r="L323" s="501">
        <v>0</v>
      </c>
      <c r="M323" s="498"/>
      <c r="N323" s="501">
        <v>0</v>
      </c>
      <c r="O323" s="498"/>
      <c r="P323" s="481"/>
      <c r="Q323" s="501">
        <v>0</v>
      </c>
      <c r="R323" s="498"/>
      <c r="S323" s="524">
        <v>0</v>
      </c>
      <c r="T323" s="481"/>
      <c r="U323" s="481"/>
      <c r="V323" s="481"/>
      <c r="W323" s="481"/>
      <c r="X323" s="481"/>
      <c r="Y323" s="481"/>
      <c r="Z323" s="481"/>
      <c r="AA323" s="481"/>
      <c r="AB323" s="481"/>
      <c r="AC323" s="481"/>
      <c r="AD323" s="481"/>
      <c r="AE323" s="481"/>
      <c r="AF323" s="481"/>
      <c r="AG323" s="481"/>
      <c r="AH323" s="481"/>
      <c r="AI323" s="481"/>
      <c r="AJ323" s="481"/>
      <c r="AK323" s="481"/>
      <c r="AL323" s="481"/>
      <c r="AM323" s="481"/>
      <c r="AN323" s="481"/>
    </row>
    <row r="324" spans="1:40" ht="15.75" customHeight="1">
      <c r="A324" s="490" t="s">
        <v>418</v>
      </c>
      <c r="B324" s="481" t="s">
        <v>103</v>
      </c>
      <c r="C324" s="566" t="s">
        <v>45</v>
      </c>
      <c r="D324" s="550"/>
      <c r="E324" s="481"/>
      <c r="F324" s="493">
        <v>4173.8952256538423</v>
      </c>
      <c r="G324" s="551"/>
      <c r="H324" s="481"/>
      <c r="I324" s="493"/>
      <c r="J324" s="498"/>
      <c r="K324" s="481"/>
      <c r="L324" s="501">
        <v>3310.7</v>
      </c>
      <c r="M324" s="498"/>
      <c r="N324" s="501">
        <v>-863.1952256538425</v>
      </c>
      <c r="O324" s="498"/>
      <c r="P324" s="481"/>
      <c r="Q324" s="501">
        <v>3049.96</v>
      </c>
      <c r="R324" s="498"/>
      <c r="S324" s="524">
        <v>260.73999999999978</v>
      </c>
      <c r="T324" s="481"/>
      <c r="U324" s="481"/>
      <c r="V324" s="481"/>
      <c r="W324" s="481"/>
      <c r="X324" s="481"/>
      <c r="Y324" s="481"/>
      <c r="Z324" s="481"/>
      <c r="AA324" s="481"/>
      <c r="AB324" s="481"/>
      <c r="AC324" s="481"/>
      <c r="AD324" s="481"/>
      <c r="AE324" s="481"/>
      <c r="AF324" s="481"/>
      <c r="AG324" s="481"/>
      <c r="AH324" s="481"/>
      <c r="AI324" s="481"/>
      <c r="AJ324" s="481"/>
      <c r="AK324" s="481"/>
      <c r="AL324" s="481"/>
      <c r="AM324" s="481"/>
      <c r="AN324" s="481"/>
    </row>
    <row r="325" spans="1:40" ht="15.75" customHeight="1">
      <c r="A325" s="490" t="s">
        <v>419</v>
      </c>
      <c r="B325" s="481" t="s">
        <v>103</v>
      </c>
      <c r="C325" s="565" t="s">
        <v>46</v>
      </c>
      <c r="D325" s="567"/>
      <c r="E325" s="568"/>
      <c r="F325" s="499">
        <v>4149.2628047292937</v>
      </c>
      <c r="G325" s="569"/>
      <c r="H325" s="568"/>
      <c r="I325" s="499"/>
      <c r="J325" s="485"/>
      <c r="K325" s="568"/>
      <c r="L325" s="520">
        <v>7548.5</v>
      </c>
      <c r="M325" s="485"/>
      <c r="N325" s="520">
        <v>3399.2371952707063</v>
      </c>
      <c r="O325" s="485"/>
      <c r="P325" s="568"/>
      <c r="Q325" s="520">
        <v>5592.2000000000007</v>
      </c>
      <c r="R325" s="485"/>
      <c r="S325" s="570">
        <v>1956.2999999999993</v>
      </c>
      <c r="T325" s="481"/>
      <c r="U325" s="481"/>
      <c r="V325" s="481"/>
      <c r="W325" s="481"/>
      <c r="X325" s="481"/>
      <c r="Y325" s="481"/>
      <c r="Z325" s="481"/>
      <c r="AA325" s="481"/>
      <c r="AB325" s="481"/>
      <c r="AC325" s="481"/>
      <c r="AD325" s="481"/>
      <c r="AE325" s="481"/>
      <c r="AF325" s="481"/>
      <c r="AG325" s="481"/>
      <c r="AH325" s="481"/>
      <c r="AI325" s="481"/>
      <c r="AJ325" s="481"/>
      <c r="AK325" s="481"/>
      <c r="AL325" s="481"/>
      <c r="AM325" s="481"/>
      <c r="AN325" s="481"/>
    </row>
    <row r="326" spans="1:40" ht="15.75" customHeight="1">
      <c r="A326" s="490" t="s">
        <v>420</v>
      </c>
      <c r="B326" s="481" t="s">
        <v>103</v>
      </c>
      <c r="C326" s="565" t="s">
        <v>47</v>
      </c>
      <c r="D326" s="550"/>
      <c r="E326" s="481"/>
      <c r="F326" s="499">
        <v>2905.5546138901727</v>
      </c>
      <c r="G326" s="551"/>
      <c r="H326" s="481"/>
      <c r="I326" s="499"/>
      <c r="J326" s="498"/>
      <c r="K326" s="481"/>
      <c r="L326" s="501">
        <v>628.41</v>
      </c>
      <c r="M326" s="498"/>
      <c r="N326" s="501">
        <v>-2277.1446138901729</v>
      </c>
      <c r="O326" s="498"/>
      <c r="P326" s="481"/>
      <c r="Q326" s="501">
        <v>3016.45</v>
      </c>
      <c r="R326" s="498"/>
      <c r="S326" s="524">
        <v>-2388.04</v>
      </c>
      <c r="T326" s="481"/>
      <c r="U326" s="481"/>
      <c r="V326" s="481"/>
      <c r="W326" s="481"/>
      <c r="X326" s="481"/>
      <c r="Y326" s="481"/>
      <c r="Z326" s="481"/>
      <c r="AA326" s="481"/>
      <c r="AB326" s="481"/>
      <c r="AC326" s="481"/>
      <c r="AD326" s="481"/>
      <c r="AE326" s="481"/>
      <c r="AF326" s="481"/>
      <c r="AG326" s="481"/>
      <c r="AH326" s="481"/>
      <c r="AI326" s="481"/>
      <c r="AJ326" s="481"/>
      <c r="AK326" s="481"/>
      <c r="AL326" s="481"/>
      <c r="AM326" s="481"/>
      <c r="AN326" s="481"/>
    </row>
    <row r="327" spans="1:40" ht="15.75" customHeight="1">
      <c r="A327" s="490" t="s">
        <v>421</v>
      </c>
      <c r="B327" s="481" t="s">
        <v>103</v>
      </c>
      <c r="C327" s="565" t="s">
        <v>48</v>
      </c>
      <c r="D327" s="550"/>
      <c r="E327" s="481"/>
      <c r="F327" s="499">
        <v>1388.0671873915119</v>
      </c>
      <c r="G327" s="551"/>
      <c r="H327" s="481"/>
      <c r="I327" s="499"/>
      <c r="J327" s="498"/>
      <c r="K327" s="481"/>
      <c r="L327" s="501">
        <v>1075.77</v>
      </c>
      <c r="M327" s="498"/>
      <c r="N327" s="501">
        <v>-312.2971873915119</v>
      </c>
      <c r="O327" s="498"/>
      <c r="P327" s="481"/>
      <c r="Q327" s="501">
        <v>1183</v>
      </c>
      <c r="R327" s="498"/>
      <c r="S327" s="524">
        <v>-107.23000000000002</v>
      </c>
      <c r="T327" s="481"/>
      <c r="U327" s="481"/>
      <c r="V327" s="481"/>
      <c r="W327" s="481"/>
      <c r="X327" s="481"/>
      <c r="Y327" s="481"/>
      <c r="Z327" s="481"/>
      <c r="AA327" s="481"/>
      <c r="AB327" s="481"/>
      <c r="AC327" s="481"/>
      <c r="AD327" s="481"/>
      <c r="AE327" s="481"/>
      <c r="AF327" s="481"/>
      <c r="AG327" s="481"/>
      <c r="AH327" s="481"/>
      <c r="AI327" s="481"/>
      <c r="AJ327" s="481"/>
      <c r="AK327" s="481"/>
      <c r="AL327" s="481"/>
      <c r="AM327" s="481"/>
      <c r="AN327" s="481"/>
    </row>
    <row r="328" spans="1:40" ht="15.75" hidden="1" customHeight="1">
      <c r="A328" s="490" t="s">
        <v>404</v>
      </c>
      <c r="B328" s="481" t="s">
        <v>103</v>
      </c>
      <c r="C328" s="498" t="s">
        <v>20</v>
      </c>
      <c r="D328" s="552"/>
      <c r="E328" s="571"/>
      <c r="F328" s="499">
        <v>0</v>
      </c>
      <c r="G328" s="553"/>
      <c r="H328" s="571"/>
      <c r="I328" s="499"/>
      <c r="J328" s="491"/>
      <c r="K328" s="571"/>
      <c r="L328" s="501">
        <v>0</v>
      </c>
      <c r="M328" s="491"/>
      <c r="N328" s="547">
        <v>0</v>
      </c>
      <c r="O328" s="491"/>
      <c r="P328" s="571"/>
      <c r="Q328" s="501">
        <v>0</v>
      </c>
      <c r="R328" s="491"/>
      <c r="S328" s="547">
        <v>0</v>
      </c>
      <c r="T328" s="481"/>
      <c r="U328" s="481"/>
      <c r="V328" s="481"/>
      <c r="W328" s="481"/>
      <c r="X328" s="481"/>
      <c r="Y328" s="481"/>
      <c r="Z328" s="481"/>
      <c r="AA328" s="481"/>
      <c r="AB328" s="481"/>
      <c r="AC328" s="481"/>
      <c r="AD328" s="481"/>
      <c r="AE328" s="481"/>
      <c r="AF328" s="481"/>
      <c r="AG328" s="481"/>
      <c r="AH328" s="481"/>
      <c r="AI328" s="481"/>
      <c r="AJ328" s="481"/>
      <c r="AK328" s="481"/>
      <c r="AL328" s="481"/>
      <c r="AM328" s="481"/>
      <c r="AN328" s="481"/>
    </row>
    <row r="329" spans="1:40" ht="15.75" customHeight="1">
      <c r="A329" s="490" t="s">
        <v>422</v>
      </c>
      <c r="B329" s="481" t="s">
        <v>103</v>
      </c>
      <c r="C329" s="557" t="s">
        <v>49</v>
      </c>
      <c r="D329" s="558" t="s">
        <v>39</v>
      </c>
      <c r="E329" s="559">
        <v>0.42807746987465983</v>
      </c>
      <c r="F329" s="560">
        <v>46455.271172660992</v>
      </c>
      <c r="G329" s="561"/>
      <c r="H329" s="559"/>
      <c r="I329" s="560"/>
      <c r="J329" s="561" t="s">
        <v>39</v>
      </c>
      <c r="K329" s="559">
        <v>0.42849845117305785</v>
      </c>
      <c r="L329" s="560">
        <v>48365.7</v>
      </c>
      <c r="M329" s="610"/>
      <c r="N329" s="573">
        <v>1910.4288273390048</v>
      </c>
      <c r="O329" s="561" t="s">
        <v>39</v>
      </c>
      <c r="P329" s="559">
        <v>0.34408018042507749</v>
      </c>
      <c r="Q329" s="560">
        <v>45706.720000000001</v>
      </c>
      <c r="R329" s="610"/>
      <c r="S329" s="573">
        <v>2658.9799999999959</v>
      </c>
      <c r="T329" s="481"/>
      <c r="U329" s="481"/>
      <c r="V329" s="481"/>
      <c r="W329" s="481"/>
      <c r="X329" s="481"/>
      <c r="Y329" s="481"/>
      <c r="Z329" s="481"/>
      <c r="AA329" s="481"/>
      <c r="AB329" s="481"/>
      <c r="AC329" s="481"/>
      <c r="AD329" s="481"/>
      <c r="AE329" s="481"/>
      <c r="AF329" s="481"/>
      <c r="AG329" s="481"/>
      <c r="AH329" s="481"/>
      <c r="AI329" s="481"/>
      <c r="AJ329" s="481"/>
      <c r="AK329" s="481"/>
      <c r="AL329" s="481"/>
      <c r="AM329" s="481"/>
      <c r="AN329" s="481"/>
    </row>
    <row r="330" spans="1:40" ht="15.75" customHeight="1">
      <c r="A330" s="490" t="s">
        <v>423</v>
      </c>
      <c r="B330" s="481" t="s">
        <v>103</v>
      </c>
      <c r="C330" s="664" t="s">
        <v>50</v>
      </c>
      <c r="D330" s="550"/>
      <c r="E330" s="481"/>
      <c r="F330" s="499">
        <v>4539.0119395833326</v>
      </c>
      <c r="G330" s="551"/>
      <c r="H330" s="481"/>
      <c r="I330" s="499"/>
      <c r="J330" s="498"/>
      <c r="K330" s="481"/>
      <c r="L330" s="501">
        <v>3460.63</v>
      </c>
      <c r="M330" s="498"/>
      <c r="N330" s="524">
        <v>-1078.3819395833325</v>
      </c>
      <c r="O330" s="498"/>
      <c r="P330" s="481"/>
      <c r="Q330" s="501">
        <v>4350.5</v>
      </c>
      <c r="R330" s="498"/>
      <c r="S330" s="524">
        <v>-889.86999999999989</v>
      </c>
      <c r="T330" s="481"/>
      <c r="U330" s="481"/>
      <c r="V330" s="481"/>
      <c r="W330" s="542"/>
      <c r="X330" s="481"/>
      <c r="Y330" s="481"/>
      <c r="Z330" s="481"/>
      <c r="AA330" s="481"/>
      <c r="AB330" s="481"/>
      <c r="AC330" s="481"/>
      <c r="AD330" s="481"/>
      <c r="AE330" s="481"/>
      <c r="AF330" s="481"/>
      <c r="AG330" s="481"/>
      <c r="AH330" s="481"/>
      <c r="AI330" s="481"/>
      <c r="AJ330" s="481"/>
      <c r="AK330" s="481"/>
      <c r="AL330" s="481"/>
      <c r="AM330" s="481"/>
      <c r="AN330" s="481"/>
    </row>
    <row r="331" spans="1:40" ht="15.75" customHeight="1">
      <c r="A331" s="490" t="s">
        <v>424</v>
      </c>
      <c r="B331" s="481" t="s">
        <v>103</v>
      </c>
      <c r="C331" s="565" t="s">
        <v>51</v>
      </c>
      <c r="D331" s="550"/>
      <c r="E331" s="481"/>
      <c r="F331" s="499">
        <v>853.10825372958277</v>
      </c>
      <c r="G331" s="551"/>
      <c r="H331" s="481"/>
      <c r="I331" s="499"/>
      <c r="J331" s="498"/>
      <c r="K331" s="481"/>
      <c r="L331" s="501">
        <v>-6</v>
      </c>
      <c r="M331" s="498"/>
      <c r="N331" s="524">
        <v>-859.10825372958277</v>
      </c>
      <c r="O331" s="498"/>
      <c r="P331" s="481"/>
      <c r="Q331" s="501">
        <v>2688.6</v>
      </c>
      <c r="R331" s="498"/>
      <c r="S331" s="524">
        <v>-2694.6</v>
      </c>
      <c r="T331" s="481"/>
      <c r="U331" s="481"/>
      <c r="V331" s="481"/>
      <c r="W331" s="481"/>
      <c r="X331" s="481"/>
      <c r="Y331" s="481"/>
      <c r="Z331" s="481"/>
      <c r="AA331" s="481"/>
      <c r="AB331" s="481"/>
      <c r="AC331" s="481"/>
      <c r="AD331" s="481"/>
      <c r="AE331" s="481"/>
      <c r="AF331" s="481"/>
      <c r="AG331" s="481"/>
      <c r="AH331" s="481"/>
      <c r="AI331" s="481"/>
      <c r="AJ331" s="481"/>
      <c r="AK331" s="481"/>
      <c r="AL331" s="481"/>
      <c r="AM331" s="481"/>
      <c r="AN331" s="481"/>
    </row>
    <row r="332" spans="1:40" ht="15.75" customHeight="1">
      <c r="A332" s="490" t="s">
        <v>425</v>
      </c>
      <c r="B332" s="481" t="s">
        <v>103</v>
      </c>
      <c r="C332" s="566" t="s">
        <v>52</v>
      </c>
      <c r="D332" s="552"/>
      <c r="E332" s="571"/>
      <c r="F332" s="493">
        <v>475.83333333333331</v>
      </c>
      <c r="G332" s="553"/>
      <c r="H332" s="571"/>
      <c r="I332" s="493"/>
      <c r="J332" s="491"/>
      <c r="K332" s="571"/>
      <c r="L332" s="501">
        <v>1045.49</v>
      </c>
      <c r="M332" s="491"/>
      <c r="N332" s="547">
        <v>569.65666666666675</v>
      </c>
      <c r="O332" s="491"/>
      <c r="P332" s="571"/>
      <c r="Q332" s="501">
        <v>275.75</v>
      </c>
      <c r="R332" s="491"/>
      <c r="S332" s="547">
        <v>769.74</v>
      </c>
      <c r="T332" s="481"/>
      <c r="U332" s="481"/>
      <c r="V332" s="481"/>
      <c r="W332" s="481"/>
      <c r="X332" s="481"/>
      <c r="Y332" s="481"/>
      <c r="Z332" s="481"/>
      <c r="AA332" s="481"/>
      <c r="AB332" s="481"/>
      <c r="AC332" s="481"/>
      <c r="AD332" s="481"/>
      <c r="AE332" s="481"/>
      <c r="AF332" s="481"/>
      <c r="AG332" s="481"/>
      <c r="AH332" s="481"/>
      <c r="AI332" s="481"/>
      <c r="AJ332" s="481"/>
      <c r="AK332" s="481"/>
      <c r="AL332" s="481"/>
      <c r="AM332" s="481"/>
      <c r="AN332" s="481"/>
    </row>
    <row r="333" spans="1:40" ht="15.75" customHeight="1">
      <c r="A333" s="490" t="s">
        <v>426</v>
      </c>
      <c r="B333" s="481" t="s">
        <v>103</v>
      </c>
      <c r="C333" s="565" t="s">
        <v>53</v>
      </c>
      <c r="D333" s="550"/>
      <c r="E333" s="481"/>
      <c r="F333" s="499">
        <v>3511.6571083333338</v>
      </c>
      <c r="G333" s="551"/>
      <c r="H333" s="481"/>
      <c r="I333" s="499"/>
      <c r="J333" s="498"/>
      <c r="K333" s="481"/>
      <c r="L333" s="520">
        <v>4095.17</v>
      </c>
      <c r="M333" s="498"/>
      <c r="N333" s="524">
        <v>583.51289166666629</v>
      </c>
      <c r="O333" s="498"/>
      <c r="P333" s="481"/>
      <c r="Q333" s="520">
        <v>3783.42</v>
      </c>
      <c r="R333" s="498"/>
      <c r="S333" s="524">
        <v>311.75</v>
      </c>
      <c r="T333" s="481"/>
      <c r="U333" s="481"/>
      <c r="V333" s="481"/>
      <c r="W333" s="481"/>
      <c r="X333" s="481"/>
      <c r="Y333" s="481"/>
      <c r="Z333" s="481"/>
      <c r="AA333" s="481"/>
      <c r="AB333" s="481"/>
      <c r="AC333" s="481"/>
      <c r="AD333" s="481"/>
      <c r="AE333" s="481"/>
      <c r="AF333" s="481"/>
      <c r="AG333" s="481"/>
      <c r="AH333" s="481"/>
      <c r="AI333" s="481"/>
      <c r="AJ333" s="481"/>
      <c r="AK333" s="481"/>
      <c r="AL333" s="481"/>
      <c r="AM333" s="481"/>
      <c r="AN333" s="481"/>
    </row>
    <row r="334" spans="1:40" ht="15.75" customHeight="1">
      <c r="A334" s="490" t="s">
        <v>427</v>
      </c>
      <c r="B334" s="481" t="s">
        <v>103</v>
      </c>
      <c r="C334" s="565" t="s">
        <v>54</v>
      </c>
      <c r="D334" s="550"/>
      <c r="E334" s="481"/>
      <c r="F334" s="499">
        <v>781.31878489583323</v>
      </c>
      <c r="G334" s="551"/>
      <c r="H334" s="481"/>
      <c r="I334" s="499"/>
      <c r="J334" s="498"/>
      <c r="K334" s="481"/>
      <c r="L334" s="501">
        <v>997.22</v>
      </c>
      <c r="M334" s="498"/>
      <c r="N334" s="524">
        <v>215.90121510416679</v>
      </c>
      <c r="O334" s="498"/>
      <c r="P334" s="481"/>
      <c r="Q334" s="501">
        <v>966.97</v>
      </c>
      <c r="R334" s="498"/>
      <c r="S334" s="524">
        <v>30.25</v>
      </c>
      <c r="T334" s="481"/>
      <c r="U334" s="481"/>
      <c r="V334" s="481"/>
      <c r="W334" s="481"/>
      <c r="X334" s="481"/>
      <c r="Y334" s="481"/>
      <c r="Z334" s="481"/>
      <c r="AA334" s="481"/>
      <c r="AB334" s="481"/>
      <c r="AC334" s="481"/>
      <c r="AD334" s="481"/>
      <c r="AE334" s="481"/>
      <c r="AF334" s="481"/>
      <c r="AG334" s="481"/>
      <c r="AH334" s="481"/>
      <c r="AI334" s="481"/>
      <c r="AJ334" s="481"/>
      <c r="AK334" s="481"/>
      <c r="AL334" s="481"/>
      <c r="AM334" s="481"/>
      <c r="AN334" s="481"/>
    </row>
    <row r="335" spans="1:40" ht="15.75" customHeight="1">
      <c r="A335" s="490" t="s">
        <v>428</v>
      </c>
      <c r="B335" s="481" t="s">
        <v>103</v>
      </c>
      <c r="C335" s="566" t="s">
        <v>55</v>
      </c>
      <c r="D335" s="552"/>
      <c r="E335" s="571"/>
      <c r="F335" s="493">
        <v>7752.8439388888892</v>
      </c>
      <c r="G335" s="553"/>
      <c r="H335" s="571"/>
      <c r="I335" s="493"/>
      <c r="J335" s="491"/>
      <c r="K335" s="571"/>
      <c r="L335" s="493">
        <v>18074.82</v>
      </c>
      <c r="M335" s="491"/>
      <c r="N335" s="547">
        <v>10321.976061111111</v>
      </c>
      <c r="O335" s="491"/>
      <c r="P335" s="571"/>
      <c r="Q335" s="493">
        <v>9136.9599999999991</v>
      </c>
      <c r="R335" s="491"/>
      <c r="S335" s="547">
        <v>8937.86</v>
      </c>
      <c r="T335" s="481"/>
      <c r="U335" s="481"/>
      <c r="V335" s="481"/>
      <c r="W335" s="481"/>
      <c r="X335" s="481"/>
      <c r="Y335" s="481"/>
      <c r="Z335" s="481"/>
      <c r="AA335" s="481"/>
      <c r="AB335" s="481"/>
      <c r="AC335" s="481"/>
      <c r="AD335" s="481"/>
      <c r="AE335" s="481"/>
      <c r="AF335" s="481"/>
      <c r="AG335" s="481"/>
      <c r="AH335" s="481"/>
      <c r="AI335" s="481"/>
      <c r="AJ335" s="481"/>
      <c r="AK335" s="481"/>
      <c r="AL335" s="481"/>
      <c r="AM335" s="481"/>
      <c r="AN335" s="481"/>
    </row>
    <row r="336" spans="1:40" ht="15.75" customHeight="1">
      <c r="A336" s="490" t="s">
        <v>429</v>
      </c>
      <c r="B336" s="481" t="s">
        <v>103</v>
      </c>
      <c r="C336" s="565" t="s">
        <v>98</v>
      </c>
      <c r="D336" s="550"/>
      <c r="E336" s="481"/>
      <c r="F336" s="499"/>
      <c r="G336" s="551"/>
      <c r="H336" s="481"/>
      <c r="I336" s="499"/>
      <c r="J336" s="498"/>
      <c r="K336" s="481"/>
      <c r="L336" s="501">
        <v>0</v>
      </c>
      <c r="M336" s="498"/>
      <c r="N336" s="524">
        <v>0</v>
      </c>
      <c r="O336" s="498"/>
      <c r="P336" s="481"/>
      <c r="Q336" s="501">
        <v>0</v>
      </c>
      <c r="R336" s="498"/>
      <c r="S336" s="524">
        <v>0</v>
      </c>
      <c r="T336" s="481"/>
      <c r="U336" s="481"/>
      <c r="V336" s="481"/>
      <c r="W336" s="481"/>
      <c r="X336" s="481"/>
      <c r="Y336" s="481"/>
      <c r="Z336" s="481"/>
      <c r="AA336" s="481"/>
      <c r="AB336" s="481"/>
      <c r="AC336" s="481"/>
      <c r="AD336" s="481"/>
      <c r="AE336" s="481"/>
      <c r="AF336" s="481"/>
      <c r="AG336" s="481"/>
      <c r="AH336" s="481"/>
      <c r="AI336" s="481"/>
      <c r="AJ336" s="481"/>
      <c r="AK336" s="481"/>
      <c r="AL336" s="481"/>
      <c r="AM336" s="481"/>
      <c r="AN336" s="481"/>
    </row>
    <row r="337" spans="1:40" ht="15.75" customHeight="1">
      <c r="A337" s="490" t="s">
        <v>430</v>
      </c>
      <c r="B337" s="481" t="s">
        <v>103</v>
      </c>
      <c r="C337" s="565" t="s">
        <v>56</v>
      </c>
      <c r="D337" s="550"/>
      <c r="E337" s="481"/>
      <c r="F337" s="499">
        <v>124.76419008019599</v>
      </c>
      <c r="G337" s="551"/>
      <c r="H337" s="481"/>
      <c r="I337" s="499"/>
      <c r="J337" s="498"/>
      <c r="K337" s="481"/>
      <c r="L337" s="501">
        <v>374.84</v>
      </c>
      <c r="M337" s="498"/>
      <c r="N337" s="524">
        <v>250.07580991980399</v>
      </c>
      <c r="O337" s="498"/>
      <c r="P337" s="481"/>
      <c r="Q337" s="501">
        <v>107.48</v>
      </c>
      <c r="R337" s="498"/>
      <c r="S337" s="524">
        <v>267.35999999999996</v>
      </c>
      <c r="T337" s="481"/>
      <c r="U337" s="481"/>
      <c r="V337" s="481"/>
      <c r="W337" s="481"/>
      <c r="X337" s="481"/>
      <c r="Y337" s="481"/>
      <c r="Z337" s="481"/>
      <c r="AA337" s="481"/>
      <c r="AB337" s="481"/>
      <c r="AC337" s="481"/>
      <c r="AD337" s="481"/>
      <c r="AE337" s="481"/>
      <c r="AF337" s="481"/>
      <c r="AG337" s="481"/>
      <c r="AH337" s="481"/>
      <c r="AI337" s="481"/>
      <c r="AJ337" s="481"/>
      <c r="AK337" s="481"/>
      <c r="AL337" s="481"/>
      <c r="AM337" s="481"/>
      <c r="AN337" s="481"/>
    </row>
    <row r="338" spans="1:40" ht="15.75" customHeight="1">
      <c r="A338" s="490" t="s">
        <v>431</v>
      </c>
      <c r="B338" s="481" t="s">
        <v>103</v>
      </c>
      <c r="C338" s="565" t="s">
        <v>57</v>
      </c>
      <c r="D338" s="550"/>
      <c r="E338" s="481"/>
      <c r="F338" s="499">
        <v>64.42680525197018</v>
      </c>
      <c r="G338" s="551"/>
      <c r="H338" s="481"/>
      <c r="I338" s="499"/>
      <c r="J338" s="498"/>
      <c r="K338" s="481"/>
      <c r="L338" s="501">
        <v>0</v>
      </c>
      <c r="M338" s="498"/>
      <c r="N338" s="524">
        <v>-64.42680525197018</v>
      </c>
      <c r="O338" s="498"/>
      <c r="P338" s="481"/>
      <c r="Q338" s="501">
        <v>0</v>
      </c>
      <c r="R338" s="498"/>
      <c r="S338" s="524">
        <v>0</v>
      </c>
      <c r="T338" s="481"/>
      <c r="U338" s="481"/>
      <c r="V338" s="481"/>
      <c r="W338" s="481"/>
      <c r="X338" s="481"/>
      <c r="Y338" s="481"/>
      <c r="Z338" s="481"/>
      <c r="AA338" s="481"/>
      <c r="AB338" s="481"/>
      <c r="AC338" s="481"/>
      <c r="AD338" s="481"/>
      <c r="AE338" s="481"/>
      <c r="AF338" s="481"/>
      <c r="AG338" s="481"/>
      <c r="AH338" s="481"/>
      <c r="AI338" s="481"/>
      <c r="AJ338" s="481"/>
      <c r="AK338" s="481"/>
      <c r="AL338" s="481"/>
      <c r="AM338" s="481"/>
      <c r="AN338" s="481"/>
    </row>
    <row r="339" spans="1:40" ht="15.75" customHeight="1">
      <c r="A339" s="490" t="s">
        <v>432</v>
      </c>
      <c r="B339" s="481" t="s">
        <v>103</v>
      </c>
      <c r="C339" s="565" t="s">
        <v>58</v>
      </c>
      <c r="D339" s="550"/>
      <c r="E339" s="481"/>
      <c r="F339" s="499">
        <v>596.44612124999981</v>
      </c>
      <c r="G339" s="551"/>
      <c r="H339" s="481"/>
      <c r="I339" s="499"/>
      <c r="J339" s="498"/>
      <c r="K339" s="481"/>
      <c r="L339" s="501">
        <v>535.78</v>
      </c>
      <c r="M339" s="498"/>
      <c r="N339" s="524">
        <v>-60.666121249999833</v>
      </c>
      <c r="O339" s="498"/>
      <c r="P339" s="481"/>
      <c r="Q339" s="501">
        <v>706.13</v>
      </c>
      <c r="R339" s="498"/>
      <c r="S339" s="524">
        <v>-170.35000000000002</v>
      </c>
      <c r="T339" s="481"/>
      <c r="U339" s="481"/>
      <c r="V339" s="481"/>
      <c r="W339" s="481"/>
      <c r="X339" s="481"/>
      <c r="Y339" s="481"/>
      <c r="Z339" s="481"/>
      <c r="AA339" s="481"/>
      <c r="AB339" s="481"/>
      <c r="AC339" s="481"/>
      <c r="AD339" s="481"/>
      <c r="AE339" s="481"/>
      <c r="AF339" s="481"/>
      <c r="AG339" s="481"/>
      <c r="AH339" s="481"/>
      <c r="AI339" s="481"/>
      <c r="AJ339" s="481"/>
      <c r="AK339" s="481"/>
      <c r="AL339" s="481"/>
      <c r="AM339" s="481"/>
      <c r="AN339" s="481"/>
    </row>
    <row r="340" spans="1:40" ht="15.75" customHeight="1">
      <c r="A340" s="490" t="s">
        <v>433</v>
      </c>
      <c r="B340" s="481" t="s">
        <v>103</v>
      </c>
      <c r="C340" s="565" t="s">
        <v>59</v>
      </c>
      <c r="D340" s="550"/>
      <c r="E340" s="481"/>
      <c r="F340" s="499">
        <v>202.12519543402777</v>
      </c>
      <c r="G340" s="551"/>
      <c r="H340" s="481"/>
      <c r="I340" s="499"/>
      <c r="J340" s="498"/>
      <c r="K340" s="481"/>
      <c r="L340" s="501">
        <v>86.44</v>
      </c>
      <c r="M340" s="498"/>
      <c r="N340" s="524">
        <v>-115.68519543402778</v>
      </c>
      <c r="O340" s="498"/>
      <c r="P340" s="481"/>
      <c r="Q340" s="501">
        <v>90.2</v>
      </c>
      <c r="R340" s="498"/>
      <c r="S340" s="524">
        <v>-3.7600000000000051</v>
      </c>
      <c r="T340" s="481"/>
      <c r="U340" s="481"/>
      <c r="V340" s="481"/>
      <c r="W340" s="481"/>
      <c r="X340" s="481"/>
      <c r="Y340" s="481"/>
      <c r="Z340" s="481"/>
      <c r="AA340" s="481"/>
      <c r="AB340" s="481"/>
      <c r="AC340" s="481"/>
      <c r="AD340" s="481"/>
      <c r="AE340" s="481"/>
      <c r="AF340" s="481"/>
      <c r="AG340" s="481"/>
      <c r="AH340" s="481"/>
      <c r="AI340" s="481"/>
      <c r="AJ340" s="481"/>
      <c r="AK340" s="481"/>
      <c r="AL340" s="481"/>
      <c r="AM340" s="481"/>
      <c r="AN340" s="481"/>
    </row>
    <row r="341" spans="1:40" ht="15.75" customHeight="1">
      <c r="A341" s="490" t="s">
        <v>434</v>
      </c>
      <c r="B341" s="481" t="s">
        <v>103</v>
      </c>
      <c r="C341" s="565" t="s">
        <v>60</v>
      </c>
      <c r="D341" s="550"/>
      <c r="E341" s="481"/>
      <c r="F341" s="499">
        <v>96.675229565972202</v>
      </c>
      <c r="G341" s="551"/>
      <c r="H341" s="481"/>
      <c r="I341" s="499"/>
      <c r="J341" s="498"/>
      <c r="K341" s="481"/>
      <c r="L341" s="501">
        <v>-158.06</v>
      </c>
      <c r="M341" s="498"/>
      <c r="N341" s="524">
        <v>-254.73522956597219</v>
      </c>
      <c r="O341" s="498"/>
      <c r="P341" s="481"/>
      <c r="Q341" s="501">
        <v>118.94</v>
      </c>
      <c r="R341" s="498"/>
      <c r="S341" s="524">
        <v>-277</v>
      </c>
      <c r="T341" s="481"/>
      <c r="U341" s="481"/>
      <c r="V341" s="481"/>
      <c r="W341" s="481"/>
      <c r="X341" s="481"/>
      <c r="Y341" s="481"/>
      <c r="Z341" s="481"/>
      <c r="AA341" s="481"/>
      <c r="AB341" s="481"/>
      <c r="AC341" s="481"/>
      <c r="AD341" s="481"/>
      <c r="AE341" s="481"/>
      <c r="AF341" s="481"/>
      <c r="AG341" s="481"/>
      <c r="AH341" s="481"/>
      <c r="AI341" s="481"/>
      <c r="AJ341" s="481"/>
      <c r="AK341" s="481"/>
      <c r="AL341" s="481"/>
      <c r="AM341" s="481"/>
      <c r="AN341" s="481"/>
    </row>
    <row r="342" spans="1:40" ht="15.75" customHeight="1">
      <c r="A342" s="490" t="s">
        <v>435</v>
      </c>
      <c r="B342" s="481" t="s">
        <v>103</v>
      </c>
      <c r="C342" s="565" t="s">
        <v>61</v>
      </c>
      <c r="D342" s="550"/>
      <c r="E342" s="481"/>
      <c r="F342" s="499">
        <v>367.32997112847221</v>
      </c>
      <c r="G342" s="551"/>
      <c r="H342" s="481"/>
      <c r="I342" s="499"/>
      <c r="J342" s="498"/>
      <c r="K342" s="481"/>
      <c r="L342" s="501">
        <v>156.15</v>
      </c>
      <c r="M342" s="498"/>
      <c r="N342" s="524">
        <v>-211.1799711284722</v>
      </c>
      <c r="O342" s="498"/>
      <c r="P342" s="481"/>
      <c r="Q342" s="501">
        <v>118.41</v>
      </c>
      <c r="R342" s="498"/>
      <c r="S342" s="524">
        <v>37.740000000000009</v>
      </c>
      <c r="T342" s="481"/>
      <c r="U342" s="481"/>
      <c r="V342" s="481"/>
      <c r="W342" s="481"/>
      <c r="X342" s="481"/>
      <c r="Y342" s="481"/>
      <c r="Z342" s="481"/>
      <c r="AA342" s="481"/>
      <c r="AB342" s="481"/>
      <c r="AC342" s="481"/>
      <c r="AD342" s="481"/>
      <c r="AE342" s="481"/>
      <c r="AF342" s="481"/>
      <c r="AG342" s="481"/>
      <c r="AH342" s="481"/>
      <c r="AI342" s="481"/>
      <c r="AJ342" s="481"/>
      <c r="AK342" s="481"/>
      <c r="AL342" s="481"/>
      <c r="AM342" s="481"/>
      <c r="AN342" s="481"/>
    </row>
    <row r="343" spans="1:40" ht="15.75" customHeight="1">
      <c r="A343" s="490" t="s">
        <v>436</v>
      </c>
      <c r="B343" s="481" t="s">
        <v>103</v>
      </c>
      <c r="C343" s="565" t="s">
        <v>62</v>
      </c>
      <c r="D343" s="550"/>
      <c r="E343" s="481"/>
      <c r="F343" s="499">
        <v>528.75209894982299</v>
      </c>
      <c r="G343" s="551"/>
      <c r="H343" s="481"/>
      <c r="I343" s="499"/>
      <c r="J343" s="498"/>
      <c r="K343" s="481"/>
      <c r="L343" s="501">
        <v>568.47</v>
      </c>
      <c r="M343" s="498"/>
      <c r="N343" s="524">
        <v>39.717901050177034</v>
      </c>
      <c r="O343" s="498"/>
      <c r="P343" s="481"/>
      <c r="Q343" s="501">
        <v>287.67</v>
      </c>
      <c r="R343" s="498"/>
      <c r="S343" s="524">
        <v>280.8</v>
      </c>
      <c r="T343" s="481"/>
      <c r="X343" s="481"/>
      <c r="Y343" s="481"/>
      <c r="Z343" s="481"/>
      <c r="AA343" s="481"/>
      <c r="AB343" s="481"/>
      <c r="AC343" s="481"/>
      <c r="AD343" s="481"/>
      <c r="AE343" s="481"/>
      <c r="AF343" s="481"/>
      <c r="AG343" s="481"/>
      <c r="AH343" s="481"/>
      <c r="AI343" s="481"/>
      <c r="AJ343" s="481"/>
      <c r="AK343" s="481"/>
      <c r="AL343" s="481"/>
      <c r="AM343" s="481"/>
      <c r="AN343" s="481"/>
    </row>
    <row r="344" spans="1:40" ht="15.75" customHeight="1">
      <c r="A344" s="490" t="s">
        <v>437</v>
      </c>
      <c r="B344" s="481" t="s">
        <v>103</v>
      </c>
      <c r="C344" s="565" t="s">
        <v>63</v>
      </c>
      <c r="D344" s="550"/>
      <c r="E344" s="481"/>
      <c r="F344" s="499">
        <v>802.38576775839351</v>
      </c>
      <c r="G344" s="551"/>
      <c r="H344" s="481"/>
      <c r="I344" s="499"/>
      <c r="J344" s="498"/>
      <c r="K344" s="481"/>
      <c r="L344" s="501">
        <v>1601.54</v>
      </c>
      <c r="M344" s="498"/>
      <c r="N344" s="524">
        <v>799.15423224160645</v>
      </c>
      <c r="O344" s="498"/>
      <c r="P344" s="481"/>
      <c r="Q344" s="501">
        <v>1528.366</v>
      </c>
      <c r="R344" s="498"/>
      <c r="S344" s="524">
        <v>73.173999999999978</v>
      </c>
      <c r="T344" s="481"/>
      <c r="X344" s="481"/>
      <c r="Y344" s="481"/>
      <c r="Z344" s="481"/>
      <c r="AA344" s="481"/>
      <c r="AB344" s="481"/>
      <c r="AC344" s="481"/>
      <c r="AD344" s="481"/>
      <c r="AE344" s="481"/>
      <c r="AF344" s="481"/>
      <c r="AG344" s="481"/>
      <c r="AH344" s="481"/>
      <c r="AI344" s="481"/>
      <c r="AJ344" s="481"/>
      <c r="AK344" s="481"/>
      <c r="AL344" s="481"/>
      <c r="AM344" s="481"/>
      <c r="AN344" s="481"/>
    </row>
    <row r="345" spans="1:40" ht="15.75" hidden="1" customHeight="1">
      <c r="A345" s="490" t="s">
        <v>404</v>
      </c>
      <c r="B345" s="481" t="s">
        <v>103</v>
      </c>
      <c r="C345" s="565" t="s">
        <v>20</v>
      </c>
      <c r="D345" s="550"/>
      <c r="E345" s="481"/>
      <c r="F345" s="499">
        <v>0</v>
      </c>
      <c r="G345" s="551"/>
      <c r="H345" s="481"/>
      <c r="I345" s="499"/>
      <c r="J345" s="498"/>
      <c r="K345" s="481"/>
      <c r="L345" s="501">
        <v>0</v>
      </c>
      <c r="M345" s="498"/>
      <c r="N345" s="524">
        <v>0</v>
      </c>
      <c r="O345" s="498"/>
      <c r="P345" s="481"/>
      <c r="Q345" s="501">
        <v>0</v>
      </c>
      <c r="R345" s="498"/>
      <c r="S345" s="524">
        <v>0</v>
      </c>
      <c r="T345" s="481"/>
      <c r="X345" s="481"/>
      <c r="Y345" s="481"/>
      <c r="Z345" s="481"/>
      <c r="AA345" s="481"/>
      <c r="AB345" s="481"/>
      <c r="AC345" s="481"/>
      <c r="AD345" s="481"/>
      <c r="AE345" s="481"/>
      <c r="AF345" s="481"/>
      <c r="AG345" s="481"/>
      <c r="AH345" s="481"/>
      <c r="AI345" s="481"/>
      <c r="AJ345" s="481"/>
      <c r="AK345" s="481"/>
      <c r="AL345" s="481"/>
      <c r="AM345" s="481"/>
      <c r="AN345" s="481"/>
    </row>
    <row r="346" spans="1:40" ht="15.75" hidden="1" customHeight="1">
      <c r="A346" s="490" t="s">
        <v>404</v>
      </c>
      <c r="B346" s="481" t="s">
        <v>103</v>
      </c>
      <c r="C346" s="565" t="s">
        <v>20</v>
      </c>
      <c r="D346" s="550"/>
      <c r="E346" s="481"/>
      <c r="F346" s="499">
        <v>0</v>
      </c>
      <c r="G346" s="551"/>
      <c r="H346" s="481"/>
      <c r="I346" s="499"/>
      <c r="J346" s="498"/>
      <c r="K346" s="481"/>
      <c r="L346" s="501">
        <v>0</v>
      </c>
      <c r="M346" s="498"/>
      <c r="N346" s="524">
        <v>0</v>
      </c>
      <c r="O346" s="498"/>
      <c r="P346" s="481"/>
      <c r="Q346" s="501">
        <v>0</v>
      </c>
      <c r="R346" s="498"/>
      <c r="S346" s="524">
        <v>0</v>
      </c>
      <c r="T346" s="481"/>
      <c r="X346" s="481"/>
      <c r="Y346" s="481"/>
      <c r="Z346" s="481"/>
      <c r="AA346" s="481"/>
      <c r="AB346" s="481"/>
      <c r="AC346" s="481"/>
      <c r="AD346" s="481"/>
      <c r="AE346" s="481"/>
      <c r="AF346" s="481"/>
      <c r="AG346" s="481"/>
      <c r="AH346" s="481"/>
      <c r="AI346" s="481"/>
      <c r="AJ346" s="481"/>
      <c r="AK346" s="481"/>
      <c r="AL346" s="481"/>
      <c r="AM346" s="481"/>
      <c r="AN346" s="481"/>
    </row>
    <row r="347" spans="1:40" ht="15.75" hidden="1" customHeight="1">
      <c r="A347" s="490" t="s">
        <v>404</v>
      </c>
      <c r="B347" s="481" t="s">
        <v>103</v>
      </c>
      <c r="C347" s="565" t="s">
        <v>20</v>
      </c>
      <c r="D347" s="550"/>
      <c r="E347" s="481"/>
      <c r="F347" s="499">
        <v>0</v>
      </c>
      <c r="G347" s="551"/>
      <c r="H347" s="481"/>
      <c r="I347" s="499"/>
      <c r="J347" s="498"/>
      <c r="K347" s="481"/>
      <c r="L347" s="501">
        <v>0</v>
      </c>
      <c r="M347" s="498"/>
      <c r="N347" s="524">
        <v>0</v>
      </c>
      <c r="O347" s="498"/>
      <c r="P347" s="481"/>
      <c r="Q347" s="501">
        <v>0</v>
      </c>
      <c r="R347" s="498"/>
      <c r="S347" s="524">
        <v>0</v>
      </c>
      <c r="T347" s="481"/>
      <c r="X347" s="481"/>
      <c r="Y347" s="481"/>
      <c r="Z347" s="481"/>
      <c r="AA347" s="481"/>
      <c r="AB347" s="481"/>
      <c r="AC347" s="481"/>
      <c r="AD347" s="481"/>
      <c r="AE347" s="481"/>
      <c r="AF347" s="481"/>
      <c r="AG347" s="481"/>
      <c r="AH347" s="481"/>
      <c r="AI347" s="481"/>
      <c r="AJ347" s="481"/>
      <c r="AK347" s="481"/>
      <c r="AL347" s="481"/>
      <c r="AM347" s="481"/>
      <c r="AN347" s="481"/>
    </row>
    <row r="348" spans="1:40" ht="15.75" customHeight="1">
      <c r="B348" s="475"/>
      <c r="C348" s="557" t="s">
        <v>64</v>
      </c>
      <c r="D348" s="558" t="s">
        <v>39</v>
      </c>
      <c r="E348" s="559">
        <v>0.19071639547901531</v>
      </c>
      <c r="F348" s="560">
        <v>20696.678738183156</v>
      </c>
      <c r="G348" s="561"/>
      <c r="H348" s="559"/>
      <c r="I348" s="560"/>
      <c r="J348" s="561" t="s">
        <v>39</v>
      </c>
      <c r="K348" s="559">
        <v>0.27316205928599807</v>
      </c>
      <c r="L348" s="560">
        <v>30832.49</v>
      </c>
      <c r="M348" s="564"/>
      <c r="N348" s="560">
        <v>10135.811261816838</v>
      </c>
      <c r="O348" s="561" t="s">
        <v>39</v>
      </c>
      <c r="P348" s="559">
        <v>0.18187192899951893</v>
      </c>
      <c r="Q348" s="560">
        <v>24159.395999999993</v>
      </c>
      <c r="R348" s="564"/>
      <c r="S348" s="560">
        <v>6673.0940000000001</v>
      </c>
      <c r="T348" s="481"/>
      <c r="X348" s="481"/>
      <c r="Y348" s="481"/>
      <c r="Z348" s="481"/>
      <c r="AA348" s="481"/>
      <c r="AB348" s="481"/>
      <c r="AC348" s="481"/>
      <c r="AD348" s="481"/>
      <c r="AE348" s="481"/>
      <c r="AF348" s="481"/>
      <c r="AG348" s="481"/>
      <c r="AH348" s="481"/>
      <c r="AI348" s="481"/>
      <c r="AJ348" s="481"/>
      <c r="AK348" s="481"/>
      <c r="AL348" s="481"/>
      <c r="AM348" s="481"/>
      <c r="AN348" s="481"/>
    </row>
    <row r="349" spans="1:40" ht="15.75" customHeight="1">
      <c r="B349" s="475"/>
      <c r="C349" s="491"/>
      <c r="D349" s="552"/>
      <c r="E349" s="571"/>
      <c r="F349" s="524"/>
      <c r="G349" s="553"/>
      <c r="H349" s="571"/>
      <c r="I349" s="524"/>
      <c r="J349" s="491"/>
      <c r="K349" s="571"/>
      <c r="L349" s="547"/>
      <c r="M349" s="491"/>
      <c r="N349" s="547"/>
      <c r="O349" s="491"/>
      <c r="P349" s="571"/>
      <c r="Q349" s="547"/>
      <c r="R349" s="491"/>
      <c r="S349" s="547"/>
      <c r="T349" s="481"/>
      <c r="U349" s="481"/>
      <c r="V349" s="481"/>
      <c r="W349" s="481"/>
      <c r="X349" s="481"/>
      <c r="Y349" s="481"/>
      <c r="Z349" s="481"/>
      <c r="AA349" s="481"/>
      <c r="AB349" s="481"/>
      <c r="AC349" s="481"/>
      <c r="AD349" s="481"/>
      <c r="AE349" s="481"/>
      <c r="AF349" s="481"/>
      <c r="AG349" s="481"/>
      <c r="AH349" s="481"/>
      <c r="AI349" s="481"/>
      <c r="AJ349" s="481"/>
      <c r="AK349" s="481"/>
      <c r="AL349" s="481"/>
      <c r="AM349" s="481"/>
      <c r="AN349" s="481"/>
    </row>
    <row r="350" spans="1:40" ht="15.75" customHeight="1">
      <c r="B350" s="475"/>
      <c r="C350" s="557" t="s">
        <v>65</v>
      </c>
      <c r="D350" s="558" t="s">
        <v>39</v>
      </c>
      <c r="E350" s="559">
        <v>0.6187938653536752</v>
      </c>
      <c r="F350" s="560">
        <v>67151.949910844152</v>
      </c>
      <c r="G350" s="561"/>
      <c r="H350" s="559"/>
      <c r="I350" s="560"/>
      <c r="J350" s="561" t="s">
        <v>39</v>
      </c>
      <c r="K350" s="559">
        <v>0.70166051045905597</v>
      </c>
      <c r="L350" s="560">
        <v>79198.19</v>
      </c>
      <c r="M350" s="564"/>
      <c r="N350" s="573">
        <v>12046.24008915585</v>
      </c>
      <c r="O350" s="561" t="s">
        <v>39</v>
      </c>
      <c r="P350" s="559">
        <v>0.52595210942459636</v>
      </c>
      <c r="Q350" s="560">
        <v>69866.115999999995</v>
      </c>
      <c r="R350" s="564"/>
      <c r="S350" s="573">
        <v>9332.0740000000078</v>
      </c>
      <c r="T350" s="481"/>
      <c r="U350" s="481"/>
      <c r="V350" s="481"/>
      <c r="W350" s="481"/>
      <c r="X350" s="481"/>
      <c r="Y350" s="481"/>
      <c r="Z350" s="481"/>
      <c r="AA350" s="481"/>
      <c r="AB350" s="481"/>
      <c r="AC350" s="481"/>
      <c r="AD350" s="481"/>
      <c r="AE350" s="481"/>
      <c r="AF350" s="481"/>
      <c r="AG350" s="481"/>
      <c r="AH350" s="481"/>
      <c r="AI350" s="481"/>
      <c r="AJ350" s="481"/>
      <c r="AK350" s="481"/>
      <c r="AL350" s="481"/>
      <c r="AM350" s="481"/>
      <c r="AN350" s="481"/>
    </row>
    <row r="351" spans="1:40" ht="15.75" customHeight="1">
      <c r="B351" s="475"/>
      <c r="C351" s="498"/>
      <c r="D351" s="550"/>
      <c r="E351" s="481"/>
      <c r="F351" s="524"/>
      <c r="G351" s="551"/>
      <c r="H351" s="481"/>
      <c r="I351" s="524"/>
      <c r="J351" s="498"/>
      <c r="K351" s="481"/>
      <c r="L351" s="524"/>
      <c r="M351" s="498"/>
      <c r="N351" s="524">
        <v>0</v>
      </c>
      <c r="O351" s="498"/>
      <c r="P351" s="481"/>
      <c r="Q351" s="524"/>
      <c r="R351" s="498"/>
      <c r="S351" s="524"/>
      <c r="T351" s="481"/>
      <c r="U351" s="481"/>
      <c r="V351" s="481"/>
      <c r="W351" s="481"/>
      <c r="X351" s="481"/>
      <c r="Y351" s="481"/>
      <c r="Z351" s="481"/>
      <c r="AA351" s="481"/>
      <c r="AB351" s="481"/>
      <c r="AC351" s="481"/>
      <c r="AD351" s="481"/>
      <c r="AE351" s="481"/>
      <c r="AF351" s="481"/>
      <c r="AG351" s="481"/>
      <c r="AH351" s="481"/>
      <c r="AI351" s="481"/>
      <c r="AJ351" s="481"/>
      <c r="AK351" s="481"/>
      <c r="AL351" s="481"/>
      <c r="AM351" s="481"/>
      <c r="AN351" s="481"/>
    </row>
    <row r="352" spans="1:40" ht="24" customHeight="1" thickBot="1">
      <c r="B352" s="475"/>
      <c r="C352" s="587" t="s">
        <v>72</v>
      </c>
      <c r="D352" s="615"/>
      <c r="E352" s="588"/>
      <c r="F352" s="590">
        <v>41368.76057238449</v>
      </c>
      <c r="G352" s="616"/>
      <c r="H352" s="588"/>
      <c r="I352" s="590"/>
      <c r="J352" s="587"/>
      <c r="K352" s="589"/>
      <c r="L352" s="590">
        <v>33674.33</v>
      </c>
      <c r="M352" s="587"/>
      <c r="N352" s="590">
        <v>-7694.4305723844882</v>
      </c>
      <c r="O352" s="587"/>
      <c r="P352" s="589"/>
      <c r="Q352" s="590">
        <v>62971.294000000038</v>
      </c>
      <c r="R352" s="587"/>
      <c r="S352" s="590">
        <v>-29296.964000000036</v>
      </c>
      <c r="T352" s="481"/>
      <c r="U352" s="481"/>
      <c r="V352" s="481"/>
      <c r="W352" s="481"/>
      <c r="X352" s="481"/>
      <c r="Y352" s="481"/>
      <c r="Z352" s="481"/>
      <c r="AA352" s="481"/>
      <c r="AB352" s="481"/>
      <c r="AC352" s="481"/>
      <c r="AD352" s="481"/>
      <c r="AE352" s="481"/>
      <c r="AF352" s="481"/>
      <c r="AG352" s="481"/>
      <c r="AH352" s="481"/>
      <c r="AI352" s="481"/>
      <c r="AJ352" s="481"/>
      <c r="AK352" s="481"/>
      <c r="AL352" s="481"/>
      <c r="AM352" s="481"/>
      <c r="AN352" s="481"/>
    </row>
    <row r="353" spans="1:40" ht="15.75" customHeight="1" thickTop="1">
      <c r="B353" s="475"/>
      <c r="C353" s="537"/>
      <c r="D353" s="550"/>
      <c r="E353" s="481"/>
      <c r="F353" s="572"/>
      <c r="G353" s="550"/>
      <c r="H353" s="481"/>
      <c r="I353" s="572"/>
      <c r="J353" s="537"/>
      <c r="K353" s="537"/>
      <c r="L353" s="572"/>
      <c r="M353" s="537"/>
      <c r="N353" s="572"/>
      <c r="O353" s="537"/>
      <c r="P353" s="537"/>
      <c r="Q353" s="572"/>
      <c r="R353" s="537"/>
      <c r="S353" s="572"/>
      <c r="T353" s="481"/>
      <c r="U353" s="481"/>
      <c r="V353" s="481"/>
      <c r="W353" s="481"/>
      <c r="X353" s="481"/>
      <c r="Y353" s="481"/>
      <c r="Z353" s="481"/>
      <c r="AA353" s="481"/>
      <c r="AB353" s="481"/>
      <c r="AC353" s="481"/>
      <c r="AD353" s="481"/>
      <c r="AE353" s="481"/>
      <c r="AF353" s="481"/>
      <c r="AG353" s="481"/>
      <c r="AH353" s="481"/>
      <c r="AI353" s="481"/>
      <c r="AJ353" s="481"/>
      <c r="AK353" s="481"/>
      <c r="AL353" s="481"/>
      <c r="AM353" s="481"/>
      <c r="AN353" s="481"/>
    </row>
    <row r="354" spans="1:40" ht="15.75" hidden="1" customHeight="1">
      <c r="B354" s="475"/>
      <c r="C354" s="537"/>
      <c r="D354" s="550"/>
      <c r="E354" s="481"/>
      <c r="F354" s="572"/>
      <c r="G354" s="550"/>
      <c r="H354" s="481"/>
      <c r="I354" s="572"/>
      <c r="J354" s="537"/>
      <c r="K354" s="537"/>
      <c r="L354" s="572"/>
      <c r="M354" s="537"/>
      <c r="N354" s="572"/>
      <c r="O354" s="537"/>
      <c r="P354" s="537"/>
      <c r="Q354" s="572"/>
      <c r="R354" s="537"/>
      <c r="S354" s="572"/>
      <c r="T354" s="481"/>
      <c r="U354" s="481"/>
      <c r="V354" s="481"/>
      <c r="W354" s="481"/>
      <c r="X354" s="481"/>
      <c r="Y354" s="481"/>
      <c r="Z354" s="481"/>
      <c r="AA354" s="481"/>
      <c r="AB354" s="481"/>
      <c r="AC354" s="481"/>
      <c r="AD354" s="481"/>
      <c r="AE354" s="481"/>
      <c r="AF354" s="481"/>
      <c r="AG354" s="481"/>
      <c r="AH354" s="481"/>
      <c r="AI354" s="481"/>
      <c r="AJ354" s="481"/>
      <c r="AK354" s="481"/>
      <c r="AL354" s="481"/>
      <c r="AM354" s="481"/>
      <c r="AN354" s="481"/>
    </row>
    <row r="355" spans="1:40" ht="34.5" hidden="1" customHeight="1">
      <c r="B355" s="475"/>
      <c r="C355" s="595" t="s">
        <v>223</v>
      </c>
      <c r="D355" s="469"/>
      <c r="E355" s="469"/>
      <c r="F355" s="469"/>
      <c r="G355" s="469"/>
      <c r="H355" s="467"/>
      <c r="I355" s="467"/>
      <c r="J355" s="467"/>
      <c r="K355" s="471" t="s">
        <v>119</v>
      </c>
      <c r="L355" s="469"/>
      <c r="M355" s="469"/>
      <c r="N355" s="467"/>
      <c r="O355" s="467"/>
      <c r="P355" s="469"/>
      <c r="Q355" s="467"/>
      <c r="R355" s="469"/>
      <c r="S355" s="596" t="s">
        <v>484</v>
      </c>
      <c r="T355" s="478"/>
      <c r="U355" s="478"/>
      <c r="V355" s="481"/>
      <c r="W355" s="478"/>
      <c r="X355" s="478"/>
      <c r="Y355" s="478"/>
      <c r="Z355" s="478"/>
      <c r="AA355" s="478"/>
      <c r="AB355" s="478"/>
      <c r="AC355" s="478"/>
      <c r="AD355" s="478"/>
      <c r="AE355" s="478"/>
      <c r="AF355" s="478"/>
      <c r="AG355" s="478"/>
      <c r="AH355" s="478"/>
      <c r="AI355" s="478"/>
      <c r="AJ355" s="478"/>
      <c r="AK355" s="478"/>
      <c r="AL355" s="478"/>
      <c r="AM355" s="478"/>
      <c r="AN355" s="478"/>
    </row>
    <row r="356" spans="1:40" ht="15.75" hidden="1" customHeight="1">
      <c r="B356" s="475"/>
      <c r="C356" s="476"/>
      <c r="D356" s="478"/>
      <c r="E356" s="478"/>
      <c r="F356" s="478"/>
      <c r="G356" s="478"/>
      <c r="H356" s="478"/>
      <c r="I356" s="478"/>
      <c r="J356" s="478"/>
      <c r="K356" s="478"/>
      <c r="L356" s="478"/>
      <c r="M356" s="478"/>
      <c r="N356" s="478"/>
      <c r="O356" s="478"/>
      <c r="P356" s="478"/>
      <c r="Q356" s="478"/>
      <c r="R356" s="478"/>
      <c r="S356" s="478"/>
      <c r="T356" s="478"/>
      <c r="U356" s="478"/>
      <c r="V356" s="481"/>
      <c r="W356" s="478"/>
      <c r="X356" s="478"/>
      <c r="Y356" s="478"/>
      <c r="Z356" s="478"/>
      <c r="AA356" s="478"/>
      <c r="AB356" s="478"/>
      <c r="AC356" s="478"/>
      <c r="AD356" s="478"/>
      <c r="AE356" s="478"/>
      <c r="AF356" s="478"/>
      <c r="AG356" s="478"/>
      <c r="AH356" s="478"/>
      <c r="AI356" s="478"/>
      <c r="AJ356" s="478"/>
      <c r="AK356" s="478"/>
      <c r="AL356" s="478"/>
      <c r="AM356" s="478"/>
      <c r="AN356" s="478"/>
    </row>
    <row r="357" spans="1:40" ht="15.75" hidden="1" customHeight="1">
      <c r="B357" s="475"/>
      <c r="C357" s="482"/>
      <c r="D357" s="864" t="s">
        <v>5</v>
      </c>
      <c r="E357" s="865"/>
      <c r="F357" s="866"/>
      <c r="G357" s="867"/>
      <c r="H357" s="865"/>
      <c r="I357" s="866"/>
      <c r="J357" s="867" t="s">
        <v>7</v>
      </c>
      <c r="K357" s="865"/>
      <c r="L357" s="866"/>
      <c r="M357" s="867"/>
      <c r="N357" s="866"/>
      <c r="O357" s="864" t="s">
        <v>9</v>
      </c>
      <c r="P357" s="865"/>
      <c r="Q357" s="866"/>
      <c r="R357" s="867" t="s">
        <v>10</v>
      </c>
      <c r="S357" s="866"/>
      <c r="T357" s="478"/>
      <c r="U357" s="478"/>
      <c r="V357" s="481"/>
      <c r="W357" s="478"/>
      <c r="X357" s="478"/>
      <c r="Y357" s="478"/>
      <c r="Z357" s="478"/>
      <c r="AA357" s="478"/>
      <c r="AB357" s="478"/>
      <c r="AC357" s="478"/>
      <c r="AD357" s="478"/>
      <c r="AE357" s="478"/>
      <c r="AF357" s="478"/>
      <c r="AG357" s="478"/>
      <c r="AH357" s="478"/>
      <c r="AI357" s="478"/>
      <c r="AJ357" s="478"/>
      <c r="AK357" s="478"/>
      <c r="AL357" s="478"/>
      <c r="AM357" s="478"/>
      <c r="AN357" s="478"/>
    </row>
    <row r="358" spans="1:40" ht="15.75" hidden="1" customHeight="1">
      <c r="A358" s="490" t="s">
        <v>119</v>
      </c>
      <c r="B358" s="481" t="s">
        <v>119</v>
      </c>
      <c r="C358" s="498"/>
      <c r="D358" s="677" t="s">
        <v>84</v>
      </c>
      <c r="E358" s="677" t="s">
        <v>104</v>
      </c>
      <c r="F358" s="678" t="s">
        <v>13</v>
      </c>
      <c r="G358" s="679"/>
      <c r="H358" s="677"/>
      <c r="I358" s="678"/>
      <c r="J358" s="619" t="s">
        <v>84</v>
      </c>
      <c r="K358" s="540" t="s">
        <v>104</v>
      </c>
      <c r="L358" s="618" t="s">
        <v>13</v>
      </c>
      <c r="M358" s="619"/>
      <c r="N358" s="618"/>
      <c r="O358" s="619" t="s">
        <v>84</v>
      </c>
      <c r="P358" s="540" t="s">
        <v>104</v>
      </c>
      <c r="Q358" s="618" t="s">
        <v>13</v>
      </c>
      <c r="R358" s="619" t="s">
        <v>85</v>
      </c>
      <c r="S358" s="618" t="s">
        <v>13</v>
      </c>
      <c r="T358" s="478"/>
      <c r="U358" s="478"/>
      <c r="V358" s="481"/>
      <c r="W358" s="478"/>
      <c r="X358" s="478"/>
      <c r="Y358" s="478"/>
      <c r="Z358" s="478"/>
      <c r="AA358" s="478"/>
      <c r="AB358" s="478"/>
      <c r="AC358" s="478"/>
      <c r="AD358" s="478"/>
      <c r="AE358" s="478"/>
      <c r="AF358" s="478"/>
      <c r="AG358" s="478"/>
      <c r="AH358" s="478"/>
      <c r="AI358" s="478"/>
      <c r="AJ358" s="478"/>
      <c r="AK358" s="478"/>
      <c r="AL358" s="478"/>
      <c r="AM358" s="478"/>
      <c r="AN358" s="478"/>
    </row>
    <row r="359" spans="1:40" ht="15.75" hidden="1" customHeight="1">
      <c r="A359" s="490" t="s">
        <v>438</v>
      </c>
      <c r="B359" s="481" t="s">
        <v>119</v>
      </c>
      <c r="C359" s="526" t="s">
        <v>119</v>
      </c>
      <c r="D359" s="680">
        <v>0</v>
      </c>
      <c r="E359" s="681">
        <v>0</v>
      </c>
      <c r="F359" s="682">
        <v>0</v>
      </c>
      <c r="G359" s="680"/>
      <c r="H359" s="681"/>
      <c r="I359" s="680"/>
      <c r="J359" s="683">
        <v>0</v>
      </c>
      <c r="K359" s="668">
        <v>0</v>
      </c>
      <c r="L359" s="684">
        <v>0</v>
      </c>
      <c r="M359" s="669"/>
      <c r="N359" s="670"/>
      <c r="O359" s="683">
        <v>0</v>
      </c>
      <c r="P359" s="668">
        <v>0</v>
      </c>
      <c r="Q359" s="684">
        <v>0</v>
      </c>
      <c r="R359" s="669">
        <v>0</v>
      </c>
      <c r="S359" s="670">
        <v>0</v>
      </c>
      <c r="T359" s="478"/>
      <c r="U359" s="478"/>
      <c r="V359" s="685"/>
      <c r="W359" s="478"/>
      <c r="X359" s="478"/>
      <c r="Y359" s="478"/>
      <c r="Z359" s="478"/>
      <c r="AA359" s="478"/>
      <c r="AB359" s="478"/>
      <c r="AC359" s="478"/>
      <c r="AD359" s="478"/>
      <c r="AE359" s="478"/>
      <c r="AF359" s="478"/>
      <c r="AG359" s="478"/>
      <c r="AH359" s="478"/>
      <c r="AI359" s="478"/>
      <c r="AJ359" s="478"/>
      <c r="AK359" s="478"/>
      <c r="AL359" s="478"/>
      <c r="AM359" s="478"/>
      <c r="AN359" s="478"/>
    </row>
    <row r="360" spans="1:40" ht="15.75" hidden="1" customHeight="1">
      <c r="A360" s="490" t="s">
        <v>119</v>
      </c>
      <c r="B360" s="481" t="s">
        <v>119</v>
      </c>
      <c r="C360" s="587"/>
      <c r="D360" s="671"/>
      <c r="E360" s="672"/>
      <c r="F360" s="590"/>
      <c r="G360" s="673"/>
      <c r="H360" s="672"/>
      <c r="I360" s="590"/>
      <c r="J360" s="673"/>
      <c r="K360" s="672"/>
      <c r="L360" s="590"/>
      <c r="M360" s="675"/>
      <c r="N360" s="536"/>
      <c r="O360" s="673"/>
      <c r="P360" s="672"/>
      <c r="Q360" s="590"/>
      <c r="R360" s="675"/>
      <c r="S360" s="536"/>
      <c r="T360" s="478"/>
      <c r="U360" s="478"/>
      <c r="V360" s="481"/>
      <c r="W360" s="478"/>
      <c r="X360" s="478"/>
      <c r="Y360" s="478"/>
      <c r="Z360" s="478"/>
      <c r="AA360" s="478"/>
      <c r="AB360" s="478"/>
      <c r="AC360" s="478"/>
      <c r="AD360" s="478"/>
      <c r="AE360" s="478"/>
      <c r="AF360" s="478"/>
      <c r="AG360" s="478"/>
      <c r="AH360" s="478"/>
      <c r="AI360" s="478"/>
      <c r="AJ360" s="478"/>
      <c r="AK360" s="478"/>
      <c r="AL360" s="478"/>
      <c r="AM360" s="478"/>
      <c r="AN360" s="478"/>
    </row>
    <row r="361" spans="1:40" ht="15.75" hidden="1" customHeight="1">
      <c r="A361" s="490" t="s">
        <v>439</v>
      </c>
      <c r="B361" s="481" t="s">
        <v>119</v>
      </c>
      <c r="C361" s="517" t="s">
        <v>120</v>
      </c>
      <c r="D361" s="572">
        <v>0</v>
      </c>
      <c r="E361" s="630">
        <v>0</v>
      </c>
      <c r="F361" s="632">
        <v>0</v>
      </c>
      <c r="G361" s="631"/>
      <c r="H361" s="630"/>
      <c r="I361" s="632"/>
      <c r="J361" s="631">
        <v>0</v>
      </c>
      <c r="K361" s="630">
        <v>0</v>
      </c>
      <c r="L361" s="632">
        <v>0</v>
      </c>
      <c r="M361" s="608"/>
      <c r="N361" s="686"/>
      <c r="O361" s="631">
        <v>0</v>
      </c>
      <c r="P361" s="630">
        <v>0</v>
      </c>
      <c r="Q361" s="632">
        <v>0</v>
      </c>
      <c r="R361" s="498">
        <v>0</v>
      </c>
      <c r="S361" s="516">
        <v>0</v>
      </c>
      <c r="T361" s="478"/>
      <c r="U361" s="478"/>
      <c r="V361" s="481"/>
      <c r="W361" s="478"/>
      <c r="X361" s="478"/>
      <c r="Y361" s="478"/>
      <c r="Z361" s="478"/>
      <c r="AA361" s="478"/>
      <c r="AB361" s="478"/>
      <c r="AC361" s="478"/>
      <c r="AD361" s="478"/>
      <c r="AE361" s="478"/>
      <c r="AF361" s="478"/>
      <c r="AG361" s="478"/>
      <c r="AH361" s="478"/>
      <c r="AI361" s="478"/>
      <c r="AJ361" s="478"/>
      <c r="AK361" s="478"/>
      <c r="AL361" s="478"/>
      <c r="AM361" s="478"/>
      <c r="AN361" s="478"/>
    </row>
    <row r="362" spans="1:40" ht="15.75" hidden="1" customHeight="1">
      <c r="A362" s="490" t="s">
        <v>119</v>
      </c>
      <c r="B362" s="481" t="s">
        <v>119</v>
      </c>
      <c r="C362" s="539"/>
      <c r="D362" s="481"/>
      <c r="E362" s="481"/>
      <c r="F362" s="524"/>
      <c r="G362" s="498"/>
      <c r="H362" s="481"/>
      <c r="I362" s="524"/>
      <c r="J362" s="498"/>
      <c r="K362" s="481"/>
      <c r="L362" s="508"/>
      <c r="M362" s="498"/>
      <c r="N362" s="620"/>
      <c r="O362" s="498"/>
      <c r="P362" s="481"/>
      <c r="Q362" s="508"/>
      <c r="R362" s="498"/>
      <c r="S362" s="508">
        <v>0</v>
      </c>
      <c r="T362" s="478"/>
      <c r="U362" s="478"/>
      <c r="V362" s="481"/>
      <c r="W362" s="478"/>
      <c r="X362" s="478"/>
      <c r="Y362" s="478"/>
      <c r="Z362" s="478"/>
      <c r="AA362" s="478"/>
      <c r="AB362" s="478"/>
      <c r="AC362" s="478"/>
      <c r="AD362" s="478"/>
      <c r="AE362" s="478"/>
      <c r="AF362" s="478"/>
      <c r="AG362" s="478"/>
      <c r="AH362" s="478"/>
      <c r="AI362" s="478"/>
      <c r="AJ362" s="478"/>
      <c r="AK362" s="478"/>
      <c r="AL362" s="478"/>
      <c r="AM362" s="478"/>
      <c r="AN362" s="478"/>
    </row>
    <row r="363" spans="1:40" ht="15.75" hidden="1" customHeight="1">
      <c r="A363" s="490" t="s">
        <v>440</v>
      </c>
      <c r="B363" s="481" t="s">
        <v>119</v>
      </c>
      <c r="C363" s="539" t="s">
        <v>30</v>
      </c>
      <c r="D363" s="481"/>
      <c r="E363" s="481"/>
      <c r="F363" s="524"/>
      <c r="G363" s="498"/>
      <c r="H363" s="481"/>
      <c r="I363" s="524"/>
      <c r="J363" s="498"/>
      <c r="K363" s="481"/>
      <c r="L363" s="508"/>
      <c r="M363" s="498"/>
      <c r="N363" s="508"/>
      <c r="O363" s="498"/>
      <c r="P363" s="481"/>
      <c r="Q363" s="508"/>
      <c r="R363" s="498"/>
      <c r="S363" s="508"/>
      <c r="T363" s="478"/>
      <c r="U363" s="478"/>
      <c r="V363" s="481"/>
      <c r="W363" s="478"/>
      <c r="X363" s="478"/>
      <c r="Y363" s="478"/>
      <c r="Z363" s="478"/>
      <c r="AA363" s="478"/>
      <c r="AB363" s="478"/>
      <c r="AC363" s="478"/>
      <c r="AD363" s="478"/>
      <c r="AE363" s="478"/>
      <c r="AF363" s="478"/>
      <c r="AG363" s="478"/>
      <c r="AH363" s="478"/>
      <c r="AI363" s="478"/>
      <c r="AJ363" s="478"/>
      <c r="AK363" s="478"/>
      <c r="AL363" s="478"/>
      <c r="AM363" s="478"/>
      <c r="AN363" s="478"/>
    </row>
    <row r="364" spans="1:40" ht="15.75" hidden="1" customHeight="1">
      <c r="A364" s="490" t="s">
        <v>441</v>
      </c>
      <c r="B364" s="481" t="s">
        <v>119</v>
      </c>
      <c r="C364" s="565" t="s">
        <v>41</v>
      </c>
      <c r="D364" s="481"/>
      <c r="E364" s="481"/>
      <c r="F364" s="499">
        <v>0</v>
      </c>
      <c r="G364" s="498"/>
      <c r="H364" s="481"/>
      <c r="I364" s="499"/>
      <c r="J364" s="498"/>
      <c r="K364" s="481"/>
      <c r="L364" s="501">
        <v>0</v>
      </c>
      <c r="M364" s="498"/>
      <c r="N364" s="508"/>
      <c r="O364" s="498"/>
      <c r="P364" s="481"/>
      <c r="Q364" s="501">
        <v>0</v>
      </c>
      <c r="R364" s="498"/>
      <c r="S364" s="501">
        <v>0</v>
      </c>
      <c r="T364" s="478"/>
      <c r="U364" s="478"/>
      <c r="V364" s="481"/>
      <c r="W364" s="478"/>
      <c r="X364" s="478"/>
      <c r="Y364" s="478"/>
      <c r="Z364" s="478"/>
      <c r="AA364" s="478"/>
      <c r="AB364" s="478"/>
      <c r="AC364" s="478"/>
      <c r="AD364" s="478"/>
      <c r="AE364" s="478"/>
      <c r="AF364" s="478"/>
      <c r="AG364" s="478"/>
      <c r="AH364" s="478"/>
      <c r="AI364" s="478"/>
      <c r="AJ364" s="478"/>
      <c r="AK364" s="478"/>
      <c r="AL364" s="478"/>
      <c r="AM364" s="478"/>
      <c r="AN364" s="478"/>
    </row>
    <row r="365" spans="1:40" ht="15.75" hidden="1" customHeight="1">
      <c r="A365" s="490" t="s">
        <v>442</v>
      </c>
      <c r="B365" s="481" t="s">
        <v>119</v>
      </c>
      <c r="C365" s="566" t="s">
        <v>42</v>
      </c>
      <c r="D365" s="550"/>
      <c r="E365" s="481"/>
      <c r="F365" s="493">
        <v>0</v>
      </c>
      <c r="G365" s="551"/>
      <c r="H365" s="481"/>
      <c r="I365" s="493"/>
      <c r="J365" s="498"/>
      <c r="K365" s="481"/>
      <c r="L365" s="493">
        <v>0</v>
      </c>
      <c r="M365" s="498"/>
      <c r="N365" s="524"/>
      <c r="O365" s="498"/>
      <c r="P365" s="481"/>
      <c r="Q365" s="493">
        <v>0</v>
      </c>
      <c r="R365" s="498"/>
      <c r="S365" s="524">
        <v>0</v>
      </c>
      <c r="T365" s="478"/>
      <c r="U365" s="478"/>
      <c r="V365" s="481"/>
      <c r="W365" s="478"/>
      <c r="X365" s="478"/>
      <c r="Y365" s="478"/>
      <c r="Z365" s="478"/>
      <c r="AA365" s="478"/>
      <c r="AB365" s="478"/>
      <c r="AC365" s="478"/>
      <c r="AD365" s="478"/>
      <c r="AE365" s="478"/>
      <c r="AF365" s="478"/>
      <c r="AG365" s="478"/>
      <c r="AH365" s="478"/>
      <c r="AI365" s="478"/>
      <c r="AJ365" s="478"/>
      <c r="AK365" s="478"/>
      <c r="AL365" s="478"/>
      <c r="AM365" s="478"/>
      <c r="AN365" s="478"/>
    </row>
    <row r="366" spans="1:40" ht="15.75" hidden="1" customHeight="1">
      <c r="A366" s="490" t="s">
        <v>443</v>
      </c>
      <c r="B366" s="481" t="s">
        <v>119</v>
      </c>
      <c r="C366" s="565" t="s">
        <v>43</v>
      </c>
      <c r="D366" s="567"/>
      <c r="E366" s="568"/>
      <c r="F366" s="499">
        <v>0</v>
      </c>
      <c r="G366" s="569"/>
      <c r="H366" s="568"/>
      <c r="I366" s="499"/>
      <c r="J366" s="485"/>
      <c r="K366" s="568"/>
      <c r="L366" s="501">
        <v>0</v>
      </c>
      <c r="M366" s="485"/>
      <c r="N366" s="570"/>
      <c r="O366" s="485"/>
      <c r="P366" s="568"/>
      <c r="Q366" s="501">
        <v>0</v>
      </c>
      <c r="R366" s="485"/>
      <c r="S366" s="570">
        <v>0</v>
      </c>
      <c r="T366" s="478"/>
      <c r="U366" s="478"/>
      <c r="V366" s="481"/>
      <c r="W366" s="478"/>
      <c r="X366" s="478"/>
      <c r="Y366" s="478"/>
      <c r="Z366" s="478"/>
      <c r="AA366" s="478"/>
      <c r="AB366" s="478"/>
      <c r="AC366" s="478"/>
      <c r="AD366" s="478"/>
      <c r="AE366" s="478"/>
      <c r="AF366" s="478"/>
      <c r="AG366" s="478"/>
      <c r="AH366" s="478"/>
      <c r="AI366" s="478"/>
      <c r="AJ366" s="478"/>
      <c r="AK366" s="478"/>
      <c r="AL366" s="478"/>
      <c r="AM366" s="478"/>
      <c r="AN366" s="478"/>
    </row>
    <row r="367" spans="1:40" ht="15.75" hidden="1" customHeight="1">
      <c r="A367" s="490" t="s">
        <v>444</v>
      </c>
      <c r="B367" s="481" t="s">
        <v>119</v>
      </c>
      <c r="C367" s="565" t="s">
        <v>44</v>
      </c>
      <c r="D367" s="550"/>
      <c r="E367" s="481"/>
      <c r="F367" s="499">
        <v>0</v>
      </c>
      <c r="G367" s="551"/>
      <c r="H367" s="481"/>
      <c r="I367" s="499"/>
      <c r="J367" s="498"/>
      <c r="K367" s="481"/>
      <c r="L367" s="501">
        <v>0</v>
      </c>
      <c r="M367" s="498"/>
      <c r="N367" s="524"/>
      <c r="O367" s="498"/>
      <c r="P367" s="481"/>
      <c r="Q367" s="501">
        <v>0</v>
      </c>
      <c r="R367" s="498"/>
      <c r="S367" s="524">
        <v>0</v>
      </c>
      <c r="T367" s="478"/>
      <c r="U367" s="478"/>
      <c r="V367" s="481"/>
      <c r="W367" s="478"/>
      <c r="X367" s="478"/>
      <c r="Y367" s="478"/>
      <c r="Z367" s="478"/>
      <c r="AA367" s="478"/>
      <c r="AB367" s="478"/>
      <c r="AC367" s="478"/>
      <c r="AD367" s="478"/>
      <c r="AE367" s="478"/>
      <c r="AF367" s="478"/>
      <c r="AG367" s="478"/>
      <c r="AH367" s="478"/>
      <c r="AI367" s="478"/>
      <c r="AJ367" s="478"/>
      <c r="AK367" s="478"/>
      <c r="AL367" s="478"/>
      <c r="AM367" s="478"/>
      <c r="AN367" s="478"/>
    </row>
    <row r="368" spans="1:40" ht="15.75" hidden="1" customHeight="1">
      <c r="A368" s="490" t="s">
        <v>445</v>
      </c>
      <c r="B368" s="481" t="s">
        <v>119</v>
      </c>
      <c r="C368" s="498" t="s">
        <v>20</v>
      </c>
      <c r="D368" s="550"/>
      <c r="E368" s="481"/>
      <c r="F368" s="499">
        <v>0</v>
      </c>
      <c r="G368" s="551"/>
      <c r="H368" s="481"/>
      <c r="I368" s="499"/>
      <c r="J368" s="498"/>
      <c r="K368" s="481"/>
      <c r="L368" s="501">
        <v>0</v>
      </c>
      <c r="M368" s="498"/>
      <c r="N368" s="524"/>
      <c r="O368" s="498"/>
      <c r="P368" s="481"/>
      <c r="Q368" s="501">
        <v>0</v>
      </c>
      <c r="R368" s="498"/>
      <c r="S368" s="524">
        <v>0</v>
      </c>
      <c r="T368" s="478"/>
      <c r="U368" s="478"/>
      <c r="V368" s="481"/>
      <c r="W368" s="478"/>
      <c r="X368" s="478"/>
      <c r="Y368" s="478"/>
      <c r="Z368" s="478"/>
      <c r="AA368" s="478"/>
      <c r="AB368" s="478"/>
      <c r="AC368" s="478"/>
      <c r="AD368" s="478"/>
      <c r="AE368" s="478"/>
      <c r="AF368" s="478"/>
      <c r="AG368" s="478"/>
      <c r="AH368" s="478"/>
      <c r="AI368" s="478"/>
      <c r="AJ368" s="478"/>
      <c r="AK368" s="478"/>
      <c r="AL368" s="478"/>
      <c r="AM368" s="478"/>
      <c r="AN368" s="478"/>
    </row>
    <row r="369" spans="1:40" ht="15.75" hidden="1" customHeight="1">
      <c r="A369" s="490" t="s">
        <v>445</v>
      </c>
      <c r="B369" s="481" t="s">
        <v>119</v>
      </c>
      <c r="C369" s="498" t="s">
        <v>20</v>
      </c>
      <c r="D369" s="550"/>
      <c r="E369" s="481"/>
      <c r="F369" s="499">
        <v>0</v>
      </c>
      <c r="G369" s="551"/>
      <c r="H369" s="481"/>
      <c r="I369" s="499"/>
      <c r="J369" s="498"/>
      <c r="K369" s="481"/>
      <c r="L369" s="501">
        <v>0</v>
      </c>
      <c r="M369" s="498"/>
      <c r="N369" s="524"/>
      <c r="O369" s="498"/>
      <c r="P369" s="481"/>
      <c r="Q369" s="501">
        <v>0</v>
      </c>
      <c r="R369" s="498"/>
      <c r="S369" s="524">
        <v>0</v>
      </c>
      <c r="T369" s="478"/>
      <c r="U369" s="478"/>
      <c r="V369" s="481"/>
      <c r="W369" s="478"/>
      <c r="X369" s="478"/>
      <c r="Y369" s="478"/>
      <c r="Z369" s="478"/>
      <c r="AA369" s="478"/>
      <c r="AB369" s="478"/>
      <c r="AC369" s="478"/>
      <c r="AD369" s="478"/>
      <c r="AE369" s="478"/>
      <c r="AF369" s="478"/>
      <c r="AG369" s="478"/>
      <c r="AH369" s="478"/>
      <c r="AI369" s="478"/>
      <c r="AJ369" s="478"/>
      <c r="AK369" s="478"/>
      <c r="AL369" s="478"/>
      <c r="AM369" s="478"/>
      <c r="AN369" s="478"/>
    </row>
    <row r="370" spans="1:40" ht="15.75" hidden="1" customHeight="1">
      <c r="A370" s="490" t="s">
        <v>445</v>
      </c>
      <c r="B370" s="481" t="s">
        <v>119</v>
      </c>
      <c r="C370" s="498" t="s">
        <v>20</v>
      </c>
      <c r="D370" s="550"/>
      <c r="E370" s="481"/>
      <c r="F370" s="499">
        <v>0</v>
      </c>
      <c r="G370" s="551"/>
      <c r="H370" s="481"/>
      <c r="I370" s="499"/>
      <c r="J370" s="498"/>
      <c r="K370" s="481"/>
      <c r="L370" s="501">
        <v>0</v>
      </c>
      <c r="M370" s="498"/>
      <c r="N370" s="524"/>
      <c r="O370" s="498"/>
      <c r="P370" s="481"/>
      <c r="Q370" s="501">
        <v>0</v>
      </c>
      <c r="R370" s="498"/>
      <c r="S370" s="524">
        <v>0</v>
      </c>
      <c r="T370" s="478"/>
      <c r="U370" s="478"/>
      <c r="V370" s="481"/>
      <c r="W370" s="478"/>
      <c r="X370" s="478"/>
      <c r="Y370" s="478"/>
      <c r="Z370" s="478"/>
      <c r="AA370" s="478"/>
      <c r="AB370" s="478"/>
      <c r="AC370" s="478"/>
      <c r="AD370" s="478"/>
      <c r="AE370" s="478"/>
      <c r="AF370" s="478"/>
      <c r="AG370" s="478"/>
      <c r="AH370" s="478"/>
      <c r="AI370" s="478"/>
      <c r="AJ370" s="478"/>
      <c r="AK370" s="478"/>
      <c r="AL370" s="478"/>
      <c r="AM370" s="478"/>
      <c r="AN370" s="478"/>
    </row>
    <row r="371" spans="1:40" ht="15.75" hidden="1" customHeight="1">
      <c r="A371" s="490" t="s">
        <v>446</v>
      </c>
      <c r="B371" s="481" t="s">
        <v>119</v>
      </c>
      <c r="C371" s="566" t="s">
        <v>45</v>
      </c>
      <c r="D371" s="550"/>
      <c r="E371" s="481"/>
      <c r="F371" s="493">
        <v>0</v>
      </c>
      <c r="G371" s="551"/>
      <c r="H371" s="481"/>
      <c r="I371" s="493"/>
      <c r="J371" s="498"/>
      <c r="K371" s="481"/>
      <c r="L371" s="493">
        <v>0</v>
      </c>
      <c r="M371" s="498"/>
      <c r="N371" s="524"/>
      <c r="O371" s="498"/>
      <c r="P371" s="481"/>
      <c r="Q371" s="493">
        <v>0</v>
      </c>
      <c r="R371" s="498"/>
      <c r="S371" s="524">
        <v>0</v>
      </c>
      <c r="T371" s="478"/>
      <c r="U371" s="478"/>
      <c r="V371" s="481"/>
      <c r="W371" s="478"/>
      <c r="X371" s="478"/>
      <c r="Y371" s="478"/>
      <c r="Z371" s="478"/>
      <c r="AA371" s="478"/>
      <c r="AB371" s="478"/>
      <c r="AC371" s="478"/>
      <c r="AD371" s="478"/>
      <c r="AE371" s="478"/>
      <c r="AF371" s="478"/>
      <c r="AG371" s="478"/>
      <c r="AH371" s="478"/>
      <c r="AI371" s="478"/>
      <c r="AJ371" s="478"/>
      <c r="AK371" s="478"/>
      <c r="AL371" s="478"/>
      <c r="AM371" s="478"/>
      <c r="AN371" s="478"/>
    </row>
    <row r="372" spans="1:40" ht="15.75" hidden="1" customHeight="1">
      <c r="A372" s="490" t="s">
        <v>447</v>
      </c>
      <c r="B372" s="481" t="s">
        <v>119</v>
      </c>
      <c r="C372" s="565" t="s">
        <v>46</v>
      </c>
      <c r="D372" s="567"/>
      <c r="E372" s="568"/>
      <c r="F372" s="499">
        <v>0</v>
      </c>
      <c r="G372" s="569"/>
      <c r="H372" s="568"/>
      <c r="I372" s="499"/>
      <c r="J372" s="485"/>
      <c r="K372" s="568"/>
      <c r="L372" s="501">
        <v>0</v>
      </c>
      <c r="M372" s="485"/>
      <c r="N372" s="570"/>
      <c r="O372" s="485"/>
      <c r="P372" s="568"/>
      <c r="Q372" s="501">
        <v>0</v>
      </c>
      <c r="R372" s="485"/>
      <c r="S372" s="570">
        <v>0</v>
      </c>
      <c r="T372" s="478"/>
      <c r="U372" s="478"/>
      <c r="V372" s="481"/>
      <c r="W372" s="478"/>
      <c r="X372" s="478"/>
      <c r="Y372" s="478"/>
      <c r="Z372" s="478"/>
      <c r="AA372" s="478"/>
      <c r="AB372" s="478"/>
      <c r="AC372" s="478"/>
      <c r="AD372" s="478"/>
      <c r="AE372" s="478"/>
      <c r="AF372" s="478"/>
      <c r="AG372" s="478"/>
      <c r="AH372" s="478"/>
      <c r="AI372" s="478"/>
      <c r="AJ372" s="478"/>
      <c r="AK372" s="478"/>
      <c r="AL372" s="478"/>
      <c r="AM372" s="478"/>
      <c r="AN372" s="478"/>
    </row>
    <row r="373" spans="1:40" ht="15.75" hidden="1" customHeight="1">
      <c r="A373" s="490" t="s">
        <v>448</v>
      </c>
      <c r="B373" s="481" t="s">
        <v>119</v>
      </c>
      <c r="C373" s="565" t="s">
        <v>47</v>
      </c>
      <c r="D373" s="550"/>
      <c r="E373" s="481"/>
      <c r="F373" s="499">
        <v>0</v>
      </c>
      <c r="G373" s="551"/>
      <c r="H373" s="481"/>
      <c r="I373" s="499"/>
      <c r="J373" s="498"/>
      <c r="K373" s="481"/>
      <c r="L373" s="501">
        <v>0</v>
      </c>
      <c r="M373" s="498"/>
      <c r="N373" s="524"/>
      <c r="O373" s="498"/>
      <c r="P373" s="481"/>
      <c r="Q373" s="501">
        <v>0</v>
      </c>
      <c r="R373" s="498"/>
      <c r="S373" s="524">
        <v>0</v>
      </c>
      <c r="T373" s="478"/>
      <c r="U373" s="478"/>
      <c r="V373" s="481"/>
      <c r="W373" s="478"/>
      <c r="X373" s="478"/>
      <c r="Y373" s="478"/>
      <c r="Z373" s="478"/>
      <c r="AA373" s="478"/>
      <c r="AB373" s="478"/>
      <c r="AC373" s="478"/>
      <c r="AD373" s="478"/>
      <c r="AE373" s="478"/>
      <c r="AF373" s="478"/>
      <c r="AG373" s="478"/>
      <c r="AH373" s="478"/>
      <c r="AI373" s="478"/>
      <c r="AJ373" s="478"/>
      <c r="AK373" s="478"/>
      <c r="AL373" s="478"/>
      <c r="AM373" s="478"/>
      <c r="AN373" s="478"/>
    </row>
    <row r="374" spans="1:40" ht="15.75" hidden="1" customHeight="1">
      <c r="A374" s="490" t="s">
        <v>449</v>
      </c>
      <c r="B374" s="481" t="s">
        <v>119</v>
      </c>
      <c r="C374" s="565" t="s">
        <v>48</v>
      </c>
      <c r="D374" s="550"/>
      <c r="E374" s="481"/>
      <c r="F374" s="499">
        <v>0</v>
      </c>
      <c r="G374" s="551"/>
      <c r="H374" s="481"/>
      <c r="I374" s="499"/>
      <c r="J374" s="498"/>
      <c r="K374" s="481"/>
      <c r="L374" s="501">
        <v>0</v>
      </c>
      <c r="M374" s="498"/>
      <c r="N374" s="524"/>
      <c r="O374" s="498"/>
      <c r="P374" s="481"/>
      <c r="Q374" s="501">
        <v>0</v>
      </c>
      <c r="R374" s="498"/>
      <c r="S374" s="524">
        <v>0</v>
      </c>
      <c r="T374" s="478"/>
      <c r="U374" s="478"/>
      <c r="V374" s="481"/>
      <c r="W374" s="478"/>
      <c r="X374" s="478"/>
      <c r="Y374" s="478"/>
      <c r="Z374" s="478"/>
      <c r="AA374" s="478"/>
      <c r="AB374" s="478"/>
      <c r="AC374" s="478"/>
      <c r="AD374" s="478"/>
      <c r="AE374" s="478"/>
      <c r="AF374" s="478"/>
      <c r="AG374" s="478"/>
      <c r="AH374" s="478"/>
      <c r="AI374" s="478"/>
      <c r="AJ374" s="478"/>
      <c r="AK374" s="478"/>
      <c r="AL374" s="478"/>
      <c r="AM374" s="478"/>
      <c r="AN374" s="478"/>
    </row>
    <row r="375" spans="1:40" ht="15.75" hidden="1" customHeight="1">
      <c r="A375" s="490" t="s">
        <v>445</v>
      </c>
      <c r="B375" s="481" t="s">
        <v>119</v>
      </c>
      <c r="C375" s="498" t="s">
        <v>20</v>
      </c>
      <c r="D375" s="552"/>
      <c r="E375" s="571"/>
      <c r="F375" s="499">
        <v>0</v>
      </c>
      <c r="G375" s="553"/>
      <c r="H375" s="571"/>
      <c r="I375" s="499"/>
      <c r="J375" s="491"/>
      <c r="K375" s="571"/>
      <c r="L375" s="501">
        <v>0</v>
      </c>
      <c r="M375" s="491"/>
      <c r="N375" s="547"/>
      <c r="O375" s="491"/>
      <c r="P375" s="571"/>
      <c r="Q375" s="501">
        <v>0</v>
      </c>
      <c r="R375" s="491"/>
      <c r="S375" s="547">
        <v>0</v>
      </c>
      <c r="T375" s="478"/>
      <c r="U375" s="478"/>
      <c r="V375" s="481"/>
      <c r="W375" s="478"/>
      <c r="X375" s="478"/>
      <c r="Y375" s="478"/>
      <c r="Z375" s="478"/>
      <c r="AA375" s="478"/>
      <c r="AB375" s="478"/>
      <c r="AC375" s="478"/>
      <c r="AD375" s="478"/>
      <c r="AE375" s="478"/>
      <c r="AF375" s="478"/>
      <c r="AG375" s="478"/>
      <c r="AH375" s="478"/>
      <c r="AI375" s="478"/>
      <c r="AJ375" s="478"/>
      <c r="AK375" s="478"/>
      <c r="AL375" s="478"/>
      <c r="AM375" s="478"/>
      <c r="AN375" s="478"/>
    </row>
    <row r="376" spans="1:40" ht="15.75" hidden="1" customHeight="1">
      <c r="A376" s="490" t="s">
        <v>450</v>
      </c>
      <c r="B376" s="481" t="s">
        <v>119</v>
      </c>
      <c r="C376" s="557" t="s">
        <v>49</v>
      </c>
      <c r="D376" s="558" t="s">
        <v>39</v>
      </c>
      <c r="E376" s="559">
        <v>0</v>
      </c>
      <c r="F376" s="560">
        <v>0</v>
      </c>
      <c r="G376" s="561"/>
      <c r="H376" s="559"/>
      <c r="I376" s="560"/>
      <c r="J376" s="561" t="s">
        <v>39</v>
      </c>
      <c r="K376" s="559">
        <v>0</v>
      </c>
      <c r="L376" s="560">
        <v>0</v>
      </c>
      <c r="M376" s="610"/>
      <c r="N376" s="573"/>
      <c r="O376" s="561" t="s">
        <v>39</v>
      </c>
      <c r="P376" s="559">
        <v>0</v>
      </c>
      <c r="Q376" s="560">
        <v>0</v>
      </c>
      <c r="R376" s="610"/>
      <c r="S376" s="573">
        <v>0</v>
      </c>
      <c r="T376" s="478"/>
      <c r="U376" s="478"/>
      <c r="V376" s="481"/>
      <c r="W376" s="478"/>
      <c r="X376" s="478"/>
      <c r="Y376" s="478"/>
      <c r="Z376" s="478"/>
      <c r="AA376" s="478"/>
      <c r="AB376" s="478"/>
      <c r="AC376" s="478"/>
      <c r="AD376" s="478"/>
      <c r="AE376" s="478"/>
      <c r="AF376" s="478"/>
      <c r="AG376" s="478"/>
      <c r="AH376" s="478"/>
      <c r="AI376" s="478"/>
      <c r="AJ376" s="478"/>
      <c r="AK376" s="478"/>
      <c r="AL376" s="478"/>
      <c r="AM376" s="478"/>
      <c r="AN376" s="478"/>
    </row>
    <row r="377" spans="1:40" ht="15.75" hidden="1" customHeight="1">
      <c r="A377" s="490" t="s">
        <v>451</v>
      </c>
      <c r="B377" s="481" t="s">
        <v>119</v>
      </c>
      <c r="C377" s="664" t="s">
        <v>50</v>
      </c>
      <c r="D377" s="550"/>
      <c r="E377" s="481"/>
      <c r="F377" s="499">
        <v>0</v>
      </c>
      <c r="G377" s="551"/>
      <c r="H377" s="481"/>
      <c r="I377" s="499"/>
      <c r="J377" s="498"/>
      <c r="K377" s="481"/>
      <c r="L377" s="501">
        <v>0</v>
      </c>
      <c r="M377" s="498"/>
      <c r="N377" s="524"/>
      <c r="O377" s="498"/>
      <c r="P377" s="481"/>
      <c r="Q377" s="501">
        <v>0</v>
      </c>
      <c r="R377" s="498"/>
      <c r="S377" s="524">
        <v>0</v>
      </c>
      <c r="T377" s="478"/>
      <c r="U377" s="478"/>
      <c r="V377" s="481"/>
      <c r="W377" s="478"/>
      <c r="X377" s="478"/>
      <c r="Y377" s="478"/>
      <c r="Z377" s="478"/>
      <c r="AA377" s="478"/>
      <c r="AB377" s="478"/>
      <c r="AC377" s="478"/>
      <c r="AD377" s="478"/>
      <c r="AE377" s="478"/>
      <c r="AF377" s="478"/>
      <c r="AG377" s="478"/>
      <c r="AH377" s="478"/>
      <c r="AI377" s="478"/>
      <c r="AJ377" s="478"/>
      <c r="AK377" s="478"/>
      <c r="AL377" s="478"/>
      <c r="AM377" s="478"/>
      <c r="AN377" s="478"/>
    </row>
    <row r="378" spans="1:40" ht="15.75" hidden="1" customHeight="1">
      <c r="A378" s="490" t="s">
        <v>452</v>
      </c>
      <c r="B378" s="481" t="s">
        <v>119</v>
      </c>
      <c r="C378" s="565" t="s">
        <v>51</v>
      </c>
      <c r="D378" s="550"/>
      <c r="E378" s="481"/>
      <c r="F378" s="499">
        <v>0</v>
      </c>
      <c r="G378" s="551"/>
      <c r="H378" s="481"/>
      <c r="I378" s="499"/>
      <c r="J378" s="498"/>
      <c r="K378" s="481"/>
      <c r="L378" s="501">
        <v>0</v>
      </c>
      <c r="M378" s="498"/>
      <c r="N378" s="524"/>
      <c r="O378" s="498"/>
      <c r="P378" s="481"/>
      <c r="Q378" s="501">
        <v>0</v>
      </c>
      <c r="R378" s="498"/>
      <c r="S378" s="524">
        <v>0</v>
      </c>
      <c r="T378" s="478"/>
      <c r="U378" s="478"/>
      <c r="V378" s="481"/>
      <c r="W378" s="478"/>
      <c r="X378" s="478"/>
      <c r="Y378" s="478"/>
      <c r="Z378" s="478"/>
      <c r="AA378" s="478"/>
      <c r="AB378" s="478"/>
      <c r="AC378" s="478"/>
      <c r="AD378" s="478"/>
      <c r="AE378" s="478"/>
      <c r="AF378" s="478"/>
      <c r="AG378" s="478"/>
      <c r="AH378" s="478"/>
      <c r="AI378" s="478"/>
      <c r="AJ378" s="478"/>
      <c r="AK378" s="478"/>
      <c r="AL378" s="478"/>
      <c r="AM378" s="478"/>
      <c r="AN378" s="478"/>
    </row>
    <row r="379" spans="1:40" ht="15.75" hidden="1" customHeight="1">
      <c r="A379" s="490" t="s">
        <v>453</v>
      </c>
      <c r="B379" s="481" t="s">
        <v>119</v>
      </c>
      <c r="C379" s="566" t="s">
        <v>52</v>
      </c>
      <c r="D379" s="552"/>
      <c r="E379" s="571"/>
      <c r="F379" s="493">
        <v>0</v>
      </c>
      <c r="G379" s="553"/>
      <c r="H379" s="571"/>
      <c r="I379" s="493"/>
      <c r="J379" s="491"/>
      <c r="K379" s="571"/>
      <c r="L379" s="493">
        <v>0</v>
      </c>
      <c r="M379" s="491"/>
      <c r="N379" s="547"/>
      <c r="O379" s="491"/>
      <c r="P379" s="571"/>
      <c r="Q379" s="493">
        <v>0</v>
      </c>
      <c r="R379" s="491"/>
      <c r="S379" s="547">
        <v>0</v>
      </c>
      <c r="T379" s="478"/>
      <c r="U379" s="478"/>
      <c r="V379" s="481"/>
      <c r="W379" s="478"/>
      <c r="X379" s="478"/>
      <c r="Y379" s="478"/>
      <c r="Z379" s="478"/>
      <c r="AA379" s="478"/>
      <c r="AB379" s="478"/>
      <c r="AC379" s="478"/>
      <c r="AD379" s="478"/>
      <c r="AE379" s="478"/>
      <c r="AF379" s="478"/>
      <c r="AG379" s="478"/>
      <c r="AH379" s="478"/>
      <c r="AI379" s="478"/>
      <c r="AJ379" s="478"/>
      <c r="AK379" s="478"/>
      <c r="AL379" s="478"/>
      <c r="AM379" s="478"/>
      <c r="AN379" s="478"/>
    </row>
    <row r="380" spans="1:40" ht="15.75" hidden="1" customHeight="1">
      <c r="A380" s="490" t="s">
        <v>454</v>
      </c>
      <c r="B380" s="481" t="s">
        <v>119</v>
      </c>
      <c r="C380" s="565" t="s">
        <v>53</v>
      </c>
      <c r="D380" s="550"/>
      <c r="E380" s="481"/>
      <c r="F380" s="499">
        <v>0</v>
      </c>
      <c r="G380" s="551"/>
      <c r="H380" s="481"/>
      <c r="I380" s="499"/>
      <c r="J380" s="498"/>
      <c r="K380" s="481"/>
      <c r="L380" s="501">
        <v>0</v>
      </c>
      <c r="M380" s="498"/>
      <c r="N380" s="524"/>
      <c r="O380" s="498"/>
      <c r="P380" s="481"/>
      <c r="Q380" s="501">
        <v>0</v>
      </c>
      <c r="R380" s="498"/>
      <c r="S380" s="524">
        <v>0</v>
      </c>
      <c r="T380" s="478"/>
      <c r="U380" s="478"/>
      <c r="V380" s="481"/>
      <c r="W380" s="478"/>
      <c r="X380" s="478"/>
      <c r="Y380" s="478"/>
      <c r="Z380" s="478"/>
      <c r="AA380" s="478"/>
      <c r="AB380" s="478"/>
      <c r="AC380" s="478"/>
      <c r="AD380" s="478"/>
      <c r="AE380" s="478"/>
      <c r="AF380" s="478"/>
      <c r="AG380" s="478"/>
      <c r="AH380" s="478"/>
      <c r="AI380" s="478"/>
      <c r="AJ380" s="478"/>
      <c r="AK380" s="478"/>
      <c r="AL380" s="478"/>
      <c r="AM380" s="478"/>
      <c r="AN380" s="478"/>
    </row>
    <row r="381" spans="1:40" ht="15.75" hidden="1" customHeight="1">
      <c r="A381" s="490" t="s">
        <v>455</v>
      </c>
      <c r="B381" s="481" t="s">
        <v>119</v>
      </c>
      <c r="C381" s="565" t="s">
        <v>54</v>
      </c>
      <c r="D381" s="550"/>
      <c r="E381" s="481"/>
      <c r="F381" s="499">
        <v>0</v>
      </c>
      <c r="G381" s="551"/>
      <c r="H381" s="481"/>
      <c r="I381" s="499"/>
      <c r="J381" s="498"/>
      <c r="K381" s="481"/>
      <c r="L381" s="501">
        <v>0</v>
      </c>
      <c r="M381" s="498"/>
      <c r="N381" s="524"/>
      <c r="O381" s="498"/>
      <c r="P381" s="481"/>
      <c r="Q381" s="501">
        <v>0</v>
      </c>
      <c r="R381" s="498"/>
      <c r="S381" s="524">
        <v>0</v>
      </c>
      <c r="T381" s="478"/>
      <c r="U381" s="478"/>
      <c r="V381" s="481"/>
      <c r="W381" s="478"/>
      <c r="X381" s="478"/>
      <c r="Y381" s="478"/>
      <c r="Z381" s="478"/>
      <c r="AA381" s="478"/>
      <c r="AB381" s="478"/>
      <c r="AC381" s="478"/>
      <c r="AD381" s="478"/>
      <c r="AE381" s="478"/>
      <c r="AF381" s="478"/>
      <c r="AG381" s="478"/>
      <c r="AH381" s="478"/>
      <c r="AI381" s="478"/>
      <c r="AJ381" s="478"/>
      <c r="AK381" s="478"/>
      <c r="AL381" s="478"/>
      <c r="AM381" s="478"/>
      <c r="AN381" s="478"/>
    </row>
    <row r="382" spans="1:40" ht="15.75" hidden="1" customHeight="1">
      <c r="A382" s="490" t="s">
        <v>456</v>
      </c>
      <c r="B382" s="481" t="s">
        <v>119</v>
      </c>
      <c r="C382" s="565" t="s">
        <v>55</v>
      </c>
      <c r="D382" s="552"/>
      <c r="E382" s="571"/>
      <c r="F382" s="493">
        <v>0</v>
      </c>
      <c r="G382" s="553"/>
      <c r="H382" s="571"/>
      <c r="I382" s="493"/>
      <c r="J382" s="491"/>
      <c r="K382" s="571"/>
      <c r="L382" s="493">
        <v>0</v>
      </c>
      <c r="M382" s="491"/>
      <c r="N382" s="547"/>
      <c r="O382" s="491"/>
      <c r="P382" s="571"/>
      <c r="Q382" s="493">
        <v>0</v>
      </c>
      <c r="R382" s="491"/>
      <c r="S382" s="547">
        <v>0</v>
      </c>
      <c r="T382" s="478"/>
      <c r="U382" s="478"/>
      <c r="V382" s="481"/>
      <c r="W382" s="478"/>
      <c r="X382" s="478"/>
      <c r="Y382" s="478"/>
      <c r="Z382" s="478"/>
      <c r="AA382" s="478"/>
      <c r="AB382" s="478"/>
      <c r="AC382" s="478"/>
      <c r="AD382" s="478"/>
      <c r="AE382" s="478"/>
      <c r="AF382" s="478"/>
      <c r="AG382" s="478"/>
      <c r="AH382" s="478"/>
      <c r="AI382" s="478"/>
      <c r="AJ382" s="478"/>
      <c r="AK382" s="478"/>
      <c r="AL382" s="478"/>
      <c r="AM382" s="478"/>
      <c r="AN382" s="478"/>
    </row>
    <row r="383" spans="1:40" ht="20.25" hidden="1" customHeight="1">
      <c r="A383" s="490" t="s">
        <v>457</v>
      </c>
      <c r="B383" s="481" t="s">
        <v>119</v>
      </c>
      <c r="C383" s="664" t="s">
        <v>56</v>
      </c>
      <c r="D383" s="550"/>
      <c r="E383" s="481"/>
      <c r="F383" s="499">
        <v>0</v>
      </c>
      <c r="G383" s="551"/>
      <c r="H383" s="481"/>
      <c r="I383" s="499"/>
      <c r="J383" s="498"/>
      <c r="K383" s="481"/>
      <c r="L383" s="501">
        <v>0</v>
      </c>
      <c r="M383" s="498"/>
      <c r="N383" s="524"/>
      <c r="O383" s="498"/>
      <c r="P383" s="481"/>
      <c r="Q383" s="501">
        <v>0</v>
      </c>
      <c r="R383" s="498"/>
      <c r="S383" s="524">
        <v>0</v>
      </c>
      <c r="T383" s="478"/>
      <c r="U383" s="478"/>
      <c r="V383" s="481"/>
      <c r="W383" s="478"/>
      <c r="X383" s="478"/>
      <c r="Y383" s="478"/>
      <c r="Z383" s="478"/>
      <c r="AA383" s="478"/>
      <c r="AB383" s="478"/>
      <c r="AC383" s="478"/>
      <c r="AD383" s="478"/>
      <c r="AE383" s="478"/>
      <c r="AF383" s="478"/>
      <c r="AG383" s="478"/>
      <c r="AH383" s="478"/>
      <c r="AI383" s="478"/>
      <c r="AJ383" s="478"/>
      <c r="AK383" s="478"/>
      <c r="AL383" s="478"/>
      <c r="AM383" s="478"/>
      <c r="AN383" s="478"/>
    </row>
    <row r="384" spans="1:40" ht="20.25" hidden="1" customHeight="1">
      <c r="A384" s="490" t="s">
        <v>458</v>
      </c>
      <c r="B384" s="481" t="s">
        <v>119</v>
      </c>
      <c r="C384" s="565" t="s">
        <v>57</v>
      </c>
      <c r="D384" s="550"/>
      <c r="E384" s="481"/>
      <c r="F384" s="499">
        <v>0</v>
      </c>
      <c r="G384" s="551"/>
      <c r="H384" s="481"/>
      <c r="I384" s="499"/>
      <c r="J384" s="498"/>
      <c r="K384" s="481"/>
      <c r="L384" s="501">
        <v>0</v>
      </c>
      <c r="M384" s="498"/>
      <c r="N384" s="524"/>
      <c r="O384" s="498"/>
      <c r="P384" s="481"/>
      <c r="Q384" s="501">
        <v>0</v>
      </c>
      <c r="R384" s="498"/>
      <c r="S384" s="524">
        <v>0</v>
      </c>
      <c r="T384" s="478"/>
      <c r="U384" s="478"/>
      <c r="V384" s="481"/>
      <c r="W384" s="478"/>
      <c r="X384" s="478"/>
      <c r="Y384" s="478"/>
      <c r="Z384" s="478"/>
      <c r="AA384" s="478"/>
      <c r="AB384" s="478"/>
      <c r="AC384" s="478"/>
      <c r="AD384" s="478"/>
      <c r="AE384" s="478"/>
      <c r="AF384" s="478"/>
      <c r="AG384" s="478"/>
      <c r="AH384" s="478"/>
      <c r="AI384" s="478"/>
      <c r="AJ384" s="478"/>
      <c r="AK384" s="478"/>
      <c r="AL384" s="478"/>
      <c r="AM384" s="478"/>
      <c r="AN384" s="478"/>
    </row>
    <row r="385" spans="1:40" ht="20.25" hidden="1" customHeight="1">
      <c r="A385" s="490" t="s">
        <v>459</v>
      </c>
      <c r="B385" s="481" t="s">
        <v>119</v>
      </c>
      <c r="C385" s="565" t="s">
        <v>58</v>
      </c>
      <c r="D385" s="550"/>
      <c r="E385" s="481"/>
      <c r="F385" s="499">
        <v>0</v>
      </c>
      <c r="G385" s="551"/>
      <c r="H385" s="481"/>
      <c r="I385" s="499"/>
      <c r="J385" s="498"/>
      <c r="K385" s="481"/>
      <c r="L385" s="501">
        <v>0</v>
      </c>
      <c r="M385" s="498"/>
      <c r="N385" s="524"/>
      <c r="O385" s="498"/>
      <c r="P385" s="481"/>
      <c r="Q385" s="501">
        <v>0</v>
      </c>
      <c r="R385" s="498"/>
      <c r="S385" s="524">
        <v>0</v>
      </c>
      <c r="T385" s="478"/>
      <c r="U385" s="478"/>
      <c r="V385" s="481"/>
      <c r="W385" s="478"/>
      <c r="X385" s="478"/>
      <c r="Y385" s="478"/>
      <c r="Z385" s="478"/>
      <c r="AA385" s="478"/>
      <c r="AB385" s="478"/>
      <c r="AC385" s="478"/>
      <c r="AD385" s="478"/>
      <c r="AE385" s="478"/>
      <c r="AF385" s="478"/>
      <c r="AG385" s="478"/>
      <c r="AH385" s="478"/>
      <c r="AI385" s="478"/>
      <c r="AJ385" s="478"/>
      <c r="AK385" s="478"/>
      <c r="AL385" s="478"/>
      <c r="AM385" s="478"/>
      <c r="AN385" s="478"/>
    </row>
    <row r="386" spans="1:40" ht="20.25" hidden="1" customHeight="1">
      <c r="A386" s="490" t="s">
        <v>460</v>
      </c>
      <c r="B386" s="481" t="s">
        <v>119</v>
      </c>
      <c r="C386" s="565" t="s">
        <v>59</v>
      </c>
      <c r="D386" s="550"/>
      <c r="E386" s="481"/>
      <c r="F386" s="499">
        <v>0</v>
      </c>
      <c r="G386" s="551"/>
      <c r="H386" s="481"/>
      <c r="I386" s="499"/>
      <c r="J386" s="498"/>
      <c r="K386" s="481"/>
      <c r="L386" s="501">
        <v>0</v>
      </c>
      <c r="M386" s="498"/>
      <c r="N386" s="524"/>
      <c r="O386" s="498"/>
      <c r="P386" s="481"/>
      <c r="Q386" s="501">
        <v>0</v>
      </c>
      <c r="R386" s="498"/>
      <c r="S386" s="524">
        <v>0</v>
      </c>
      <c r="T386" s="478"/>
      <c r="U386" s="478"/>
      <c r="V386" s="481"/>
      <c r="W386" s="478"/>
      <c r="X386" s="478"/>
      <c r="Y386" s="478"/>
      <c r="Z386" s="478"/>
      <c r="AA386" s="478"/>
      <c r="AB386" s="478"/>
      <c r="AC386" s="478"/>
      <c r="AD386" s="478"/>
      <c r="AE386" s="478"/>
      <c r="AF386" s="478"/>
      <c r="AG386" s="478"/>
      <c r="AH386" s="478"/>
      <c r="AI386" s="478"/>
      <c r="AJ386" s="478"/>
      <c r="AK386" s="478"/>
      <c r="AL386" s="478"/>
      <c r="AM386" s="478"/>
      <c r="AN386" s="478"/>
    </row>
    <row r="387" spans="1:40" ht="20.25" hidden="1" customHeight="1">
      <c r="A387" s="490" t="s">
        <v>461</v>
      </c>
      <c r="B387" s="481" t="s">
        <v>119</v>
      </c>
      <c r="C387" s="565" t="s">
        <v>60</v>
      </c>
      <c r="D387" s="550"/>
      <c r="E387" s="481"/>
      <c r="F387" s="499">
        <v>0</v>
      </c>
      <c r="G387" s="551"/>
      <c r="H387" s="481"/>
      <c r="I387" s="499"/>
      <c r="J387" s="498"/>
      <c r="K387" s="481"/>
      <c r="L387" s="501">
        <v>0</v>
      </c>
      <c r="M387" s="498"/>
      <c r="N387" s="524"/>
      <c r="O387" s="498"/>
      <c r="P387" s="481"/>
      <c r="Q387" s="501">
        <v>0</v>
      </c>
      <c r="R387" s="498"/>
      <c r="S387" s="524">
        <v>0</v>
      </c>
      <c r="T387" s="478"/>
      <c r="U387" s="478"/>
      <c r="V387" s="481"/>
      <c r="W387" s="478"/>
      <c r="X387" s="478"/>
      <c r="Y387" s="478"/>
      <c r="Z387" s="478"/>
      <c r="AA387" s="478"/>
      <c r="AB387" s="478"/>
      <c r="AC387" s="478"/>
      <c r="AD387" s="478"/>
      <c r="AE387" s="478"/>
      <c r="AF387" s="478"/>
      <c r="AG387" s="478"/>
      <c r="AH387" s="478"/>
      <c r="AI387" s="478"/>
      <c r="AJ387" s="478"/>
      <c r="AK387" s="478"/>
      <c r="AL387" s="478"/>
      <c r="AM387" s="478"/>
      <c r="AN387" s="478"/>
    </row>
    <row r="388" spans="1:40" ht="20.25" hidden="1" customHeight="1">
      <c r="A388" s="490" t="s">
        <v>462</v>
      </c>
      <c r="B388" s="481" t="s">
        <v>119</v>
      </c>
      <c r="C388" s="565" t="s">
        <v>61</v>
      </c>
      <c r="D388" s="550"/>
      <c r="E388" s="481"/>
      <c r="F388" s="499">
        <v>0</v>
      </c>
      <c r="G388" s="551"/>
      <c r="H388" s="481"/>
      <c r="I388" s="499"/>
      <c r="J388" s="498"/>
      <c r="K388" s="481"/>
      <c r="L388" s="501">
        <v>0</v>
      </c>
      <c r="M388" s="498"/>
      <c r="N388" s="524"/>
      <c r="O388" s="498"/>
      <c r="P388" s="481"/>
      <c r="Q388" s="501">
        <v>0</v>
      </c>
      <c r="R388" s="498"/>
      <c r="S388" s="524">
        <v>0</v>
      </c>
      <c r="T388" s="478"/>
      <c r="U388" s="478"/>
      <c r="V388" s="481"/>
      <c r="W388" s="478"/>
      <c r="X388" s="478"/>
      <c r="Y388" s="478"/>
      <c r="Z388" s="478"/>
      <c r="AA388" s="478"/>
      <c r="AB388" s="478"/>
      <c r="AC388" s="478"/>
      <c r="AD388" s="478"/>
      <c r="AE388" s="478"/>
      <c r="AF388" s="478"/>
      <c r="AG388" s="478"/>
      <c r="AH388" s="478"/>
      <c r="AI388" s="478"/>
      <c r="AJ388" s="478"/>
      <c r="AK388" s="478"/>
      <c r="AL388" s="478"/>
      <c r="AM388" s="478"/>
      <c r="AN388" s="478"/>
    </row>
    <row r="389" spans="1:40" ht="20.25" hidden="1" customHeight="1">
      <c r="A389" s="490" t="s">
        <v>463</v>
      </c>
      <c r="B389" s="481" t="s">
        <v>119</v>
      </c>
      <c r="C389" s="565" t="s">
        <v>62</v>
      </c>
      <c r="D389" s="550"/>
      <c r="E389" s="481"/>
      <c r="F389" s="499">
        <v>0</v>
      </c>
      <c r="G389" s="551"/>
      <c r="H389" s="481"/>
      <c r="I389" s="499"/>
      <c r="J389" s="498"/>
      <c r="K389" s="481"/>
      <c r="L389" s="501">
        <v>0</v>
      </c>
      <c r="M389" s="498"/>
      <c r="N389" s="524"/>
      <c r="O389" s="498"/>
      <c r="P389" s="481"/>
      <c r="Q389" s="501">
        <v>0</v>
      </c>
      <c r="R389" s="498"/>
      <c r="S389" s="524">
        <v>0</v>
      </c>
      <c r="T389" s="478"/>
      <c r="U389" s="478"/>
      <c r="V389" s="481"/>
      <c r="W389" s="478"/>
      <c r="X389" s="478"/>
      <c r="Y389" s="478"/>
      <c r="Z389" s="478"/>
      <c r="AA389" s="478"/>
      <c r="AB389" s="478"/>
      <c r="AC389" s="478"/>
      <c r="AD389" s="478"/>
      <c r="AE389" s="478"/>
      <c r="AF389" s="478"/>
      <c r="AG389" s="478"/>
      <c r="AH389" s="478"/>
      <c r="AI389" s="478"/>
      <c r="AJ389" s="478"/>
      <c r="AK389" s="478"/>
      <c r="AL389" s="478"/>
      <c r="AM389" s="478"/>
      <c r="AN389" s="478"/>
    </row>
    <row r="390" spans="1:40" ht="20.25" hidden="1" customHeight="1">
      <c r="A390" s="490" t="s">
        <v>464</v>
      </c>
      <c r="B390" s="481" t="s">
        <v>119</v>
      </c>
      <c r="C390" s="565" t="s">
        <v>63</v>
      </c>
      <c r="D390" s="550"/>
      <c r="E390" s="481"/>
      <c r="F390" s="499">
        <v>0</v>
      </c>
      <c r="G390" s="551"/>
      <c r="H390" s="481"/>
      <c r="I390" s="499"/>
      <c r="J390" s="498"/>
      <c r="K390" s="481"/>
      <c r="L390" s="501">
        <v>0</v>
      </c>
      <c r="M390" s="498"/>
      <c r="N390" s="524"/>
      <c r="O390" s="498"/>
      <c r="P390" s="481"/>
      <c r="Q390" s="501">
        <v>0</v>
      </c>
      <c r="R390" s="498"/>
      <c r="S390" s="524">
        <v>0</v>
      </c>
      <c r="T390" s="478"/>
      <c r="U390" s="478"/>
      <c r="V390" s="481"/>
      <c r="W390" s="478"/>
      <c r="X390" s="478"/>
      <c r="Y390" s="478"/>
      <c r="Z390" s="478"/>
      <c r="AA390" s="478"/>
      <c r="AB390" s="478"/>
      <c r="AC390" s="478"/>
      <c r="AD390" s="478"/>
      <c r="AE390" s="478"/>
      <c r="AF390" s="478"/>
      <c r="AG390" s="478"/>
      <c r="AH390" s="478"/>
      <c r="AI390" s="478"/>
      <c r="AJ390" s="478"/>
      <c r="AK390" s="478"/>
      <c r="AL390" s="478"/>
      <c r="AM390" s="478"/>
      <c r="AN390" s="478"/>
    </row>
    <row r="391" spans="1:40" ht="15.75" hidden="1" customHeight="1">
      <c r="A391" s="490" t="s">
        <v>445</v>
      </c>
      <c r="B391" s="481" t="s">
        <v>119</v>
      </c>
      <c r="C391" s="565" t="s">
        <v>20</v>
      </c>
      <c r="D391" s="550"/>
      <c r="E391" s="481"/>
      <c r="F391" s="499">
        <v>0</v>
      </c>
      <c r="G391" s="551"/>
      <c r="H391" s="481"/>
      <c r="I391" s="499"/>
      <c r="J391" s="498"/>
      <c r="K391" s="481"/>
      <c r="L391" s="501">
        <v>0</v>
      </c>
      <c r="M391" s="498"/>
      <c r="N391" s="524"/>
      <c r="O391" s="498"/>
      <c r="P391" s="481"/>
      <c r="Q391" s="501">
        <v>0</v>
      </c>
      <c r="R391" s="498"/>
      <c r="S391" s="524">
        <v>0</v>
      </c>
      <c r="T391" s="478"/>
      <c r="U391" s="478"/>
      <c r="V391" s="481"/>
      <c r="W391" s="478"/>
      <c r="X391" s="478"/>
      <c r="Y391" s="478"/>
      <c r="Z391" s="478"/>
      <c r="AA391" s="478"/>
      <c r="AB391" s="478"/>
      <c r="AC391" s="478"/>
      <c r="AD391" s="478"/>
      <c r="AE391" s="478"/>
      <c r="AF391" s="478"/>
      <c r="AG391" s="478"/>
      <c r="AH391" s="478"/>
      <c r="AI391" s="478"/>
      <c r="AJ391" s="478"/>
      <c r="AK391" s="478"/>
      <c r="AL391" s="478"/>
      <c r="AM391" s="478"/>
      <c r="AN391" s="478"/>
    </row>
    <row r="392" spans="1:40" ht="15.75" hidden="1" customHeight="1">
      <c r="A392" s="490" t="s">
        <v>445</v>
      </c>
      <c r="B392" s="481" t="s">
        <v>119</v>
      </c>
      <c r="C392" s="565" t="s">
        <v>20</v>
      </c>
      <c r="D392" s="550"/>
      <c r="E392" s="481"/>
      <c r="F392" s="499">
        <v>0</v>
      </c>
      <c r="G392" s="551"/>
      <c r="H392" s="481"/>
      <c r="I392" s="499"/>
      <c r="J392" s="498"/>
      <c r="K392" s="481"/>
      <c r="L392" s="501">
        <v>0</v>
      </c>
      <c r="M392" s="498"/>
      <c r="N392" s="524"/>
      <c r="O392" s="498"/>
      <c r="P392" s="481"/>
      <c r="Q392" s="501">
        <v>0</v>
      </c>
      <c r="R392" s="498"/>
      <c r="S392" s="524">
        <v>0</v>
      </c>
      <c r="T392" s="478"/>
      <c r="U392" s="478"/>
      <c r="V392" s="481"/>
      <c r="W392" s="478"/>
      <c r="X392" s="478"/>
      <c r="Y392" s="478"/>
      <c r="Z392" s="478"/>
      <c r="AA392" s="478"/>
      <c r="AB392" s="478"/>
      <c r="AC392" s="478"/>
      <c r="AD392" s="478"/>
      <c r="AE392" s="478"/>
      <c r="AF392" s="478"/>
      <c r="AG392" s="478"/>
      <c r="AH392" s="478"/>
      <c r="AI392" s="478"/>
      <c r="AJ392" s="478"/>
      <c r="AK392" s="478"/>
      <c r="AL392" s="478"/>
      <c r="AM392" s="478"/>
      <c r="AN392" s="478"/>
    </row>
    <row r="393" spans="1:40" ht="15.75" hidden="1" customHeight="1">
      <c r="A393" s="490" t="s">
        <v>445</v>
      </c>
      <c r="B393" s="481" t="s">
        <v>119</v>
      </c>
      <c r="C393" s="565" t="s">
        <v>20</v>
      </c>
      <c r="D393" s="552"/>
      <c r="E393" s="571"/>
      <c r="F393" s="499">
        <v>0</v>
      </c>
      <c r="G393" s="553"/>
      <c r="H393" s="571"/>
      <c r="I393" s="499"/>
      <c r="J393" s="491"/>
      <c r="K393" s="571"/>
      <c r="L393" s="501">
        <v>0</v>
      </c>
      <c r="M393" s="491"/>
      <c r="N393" s="547"/>
      <c r="O393" s="491"/>
      <c r="P393" s="571"/>
      <c r="Q393" s="501">
        <v>0</v>
      </c>
      <c r="R393" s="491"/>
      <c r="S393" s="547">
        <v>0</v>
      </c>
      <c r="T393" s="478"/>
      <c r="U393" s="478"/>
      <c r="V393" s="481"/>
      <c r="W393" s="478"/>
      <c r="X393" s="478"/>
      <c r="Y393" s="478"/>
      <c r="Z393" s="478"/>
      <c r="AA393" s="478"/>
      <c r="AB393" s="478"/>
      <c r="AC393" s="478"/>
      <c r="AD393" s="478"/>
      <c r="AE393" s="478"/>
      <c r="AF393" s="478"/>
      <c r="AG393" s="478"/>
      <c r="AH393" s="478"/>
      <c r="AI393" s="478"/>
      <c r="AJ393" s="478"/>
      <c r="AK393" s="478"/>
      <c r="AL393" s="478"/>
      <c r="AM393" s="478"/>
      <c r="AN393" s="478"/>
    </row>
    <row r="394" spans="1:40" ht="15.75" hidden="1" customHeight="1">
      <c r="B394" s="475"/>
      <c r="C394" s="557" t="s">
        <v>64</v>
      </c>
      <c r="D394" s="558" t="s">
        <v>39</v>
      </c>
      <c r="E394" s="559">
        <v>0</v>
      </c>
      <c r="F394" s="560">
        <v>0</v>
      </c>
      <c r="G394" s="561"/>
      <c r="H394" s="559"/>
      <c r="I394" s="560"/>
      <c r="J394" s="561" t="s">
        <v>39</v>
      </c>
      <c r="K394" s="559">
        <v>0</v>
      </c>
      <c r="L394" s="560">
        <v>0</v>
      </c>
      <c r="M394" s="610"/>
      <c r="N394" s="560"/>
      <c r="O394" s="561" t="s">
        <v>39</v>
      </c>
      <c r="P394" s="559">
        <v>0</v>
      </c>
      <c r="Q394" s="560">
        <v>0</v>
      </c>
      <c r="R394" s="610"/>
      <c r="S394" s="573">
        <v>0</v>
      </c>
      <c r="T394" s="478"/>
      <c r="U394" s="478"/>
      <c r="V394" s="481"/>
      <c r="W394" s="478"/>
      <c r="X394" s="478"/>
      <c r="Y394" s="478"/>
      <c r="Z394" s="478"/>
      <c r="AA394" s="478"/>
      <c r="AB394" s="478"/>
      <c r="AC394" s="478"/>
      <c r="AD394" s="478"/>
      <c r="AE394" s="478"/>
      <c r="AF394" s="478"/>
      <c r="AG394" s="478"/>
      <c r="AH394" s="478"/>
      <c r="AI394" s="478"/>
      <c r="AJ394" s="478"/>
      <c r="AK394" s="478"/>
      <c r="AL394" s="478"/>
      <c r="AM394" s="478"/>
      <c r="AN394" s="478"/>
    </row>
    <row r="395" spans="1:40" ht="15.75" hidden="1" customHeight="1">
      <c r="B395" s="475"/>
      <c r="C395" s="498"/>
      <c r="D395" s="481"/>
      <c r="E395" s="481"/>
      <c r="F395" s="508"/>
      <c r="G395" s="498"/>
      <c r="H395" s="481"/>
      <c r="I395" s="508"/>
      <c r="J395" s="498"/>
      <c r="K395" s="481"/>
      <c r="L395" s="508"/>
      <c r="M395" s="517"/>
      <c r="N395" s="538"/>
      <c r="O395" s="498"/>
      <c r="P395" s="481"/>
      <c r="Q395" s="508"/>
      <c r="R395" s="498"/>
      <c r="S395" s="538"/>
      <c r="T395" s="478"/>
      <c r="U395" s="478"/>
      <c r="V395" s="481"/>
      <c r="W395" s="478"/>
      <c r="X395" s="478"/>
      <c r="Y395" s="478"/>
      <c r="Z395" s="478"/>
      <c r="AA395" s="478"/>
      <c r="AB395" s="478"/>
      <c r="AC395" s="478"/>
      <c r="AD395" s="478"/>
      <c r="AE395" s="478"/>
      <c r="AF395" s="478"/>
      <c r="AG395" s="478"/>
      <c r="AH395" s="478"/>
      <c r="AI395" s="478"/>
      <c r="AJ395" s="478"/>
      <c r="AK395" s="478"/>
      <c r="AL395" s="478"/>
      <c r="AM395" s="478"/>
      <c r="AN395" s="478"/>
    </row>
    <row r="396" spans="1:40" ht="15.75" hidden="1" customHeight="1">
      <c r="B396" s="475"/>
      <c r="C396" s="557" t="s">
        <v>65</v>
      </c>
      <c r="D396" s="558" t="s">
        <v>39</v>
      </c>
      <c r="E396" s="559">
        <v>0</v>
      </c>
      <c r="F396" s="560">
        <v>0</v>
      </c>
      <c r="G396" s="561"/>
      <c r="H396" s="559"/>
      <c r="I396" s="560"/>
      <c r="J396" s="561" t="s">
        <v>39</v>
      </c>
      <c r="K396" s="559">
        <v>0</v>
      </c>
      <c r="L396" s="560">
        <v>0</v>
      </c>
      <c r="M396" s="557"/>
      <c r="N396" s="560"/>
      <c r="O396" s="561" t="s">
        <v>39</v>
      </c>
      <c r="P396" s="559">
        <v>0</v>
      </c>
      <c r="Q396" s="560">
        <v>0</v>
      </c>
      <c r="R396" s="564"/>
      <c r="S396" s="560">
        <v>0</v>
      </c>
      <c r="T396" s="478"/>
      <c r="U396" s="478"/>
      <c r="V396" s="481"/>
      <c r="W396" s="478"/>
      <c r="X396" s="478"/>
      <c r="Y396" s="478"/>
      <c r="Z396" s="478"/>
      <c r="AA396" s="478"/>
      <c r="AB396" s="478"/>
      <c r="AC396" s="478"/>
      <c r="AD396" s="478"/>
      <c r="AE396" s="478"/>
      <c r="AF396" s="478"/>
      <c r="AG396" s="478"/>
      <c r="AH396" s="478"/>
      <c r="AI396" s="478"/>
      <c r="AJ396" s="478"/>
      <c r="AK396" s="478"/>
      <c r="AL396" s="478"/>
      <c r="AM396" s="478"/>
      <c r="AN396" s="478"/>
    </row>
    <row r="397" spans="1:40" ht="15.75" hidden="1" customHeight="1">
      <c r="B397" s="475"/>
      <c r="C397" s="498"/>
      <c r="D397" s="481"/>
      <c r="E397" s="481"/>
      <c r="F397" s="524"/>
      <c r="G397" s="498"/>
      <c r="H397" s="481"/>
      <c r="I397" s="524"/>
      <c r="J397" s="498"/>
      <c r="K397" s="481"/>
      <c r="L397" s="524"/>
      <c r="M397" s="517"/>
      <c r="N397" s="538"/>
      <c r="O397" s="498"/>
      <c r="P397" s="481"/>
      <c r="Q397" s="524"/>
      <c r="R397" s="498"/>
      <c r="S397" s="538"/>
      <c r="T397" s="478"/>
      <c r="U397" s="478"/>
      <c r="V397" s="481"/>
      <c r="W397" s="478"/>
      <c r="X397" s="478"/>
      <c r="Y397" s="478"/>
      <c r="Z397" s="478"/>
      <c r="AA397" s="478"/>
      <c r="AB397" s="478"/>
      <c r="AC397" s="478"/>
      <c r="AD397" s="478"/>
      <c r="AE397" s="478"/>
      <c r="AF397" s="478"/>
      <c r="AG397" s="478"/>
      <c r="AH397" s="478"/>
      <c r="AI397" s="478"/>
      <c r="AJ397" s="478"/>
      <c r="AK397" s="478"/>
      <c r="AL397" s="478"/>
      <c r="AM397" s="478"/>
      <c r="AN397" s="478"/>
    </row>
    <row r="398" spans="1:40" ht="15.75" hidden="1" customHeight="1">
      <c r="B398" s="475"/>
      <c r="C398" s="687" t="s">
        <v>72</v>
      </c>
      <c r="D398" s="688"/>
      <c r="E398" s="688"/>
      <c r="F398" s="689">
        <v>0</v>
      </c>
      <c r="G398" s="687"/>
      <c r="H398" s="688"/>
      <c r="I398" s="689"/>
      <c r="J398" s="690"/>
      <c r="K398" s="691"/>
      <c r="L398" s="689">
        <v>0</v>
      </c>
      <c r="M398" s="687"/>
      <c r="N398" s="689"/>
      <c r="O398" s="690"/>
      <c r="P398" s="691"/>
      <c r="Q398" s="689">
        <v>0</v>
      </c>
      <c r="R398" s="690"/>
      <c r="S398" s="689">
        <v>0</v>
      </c>
      <c r="T398" s="478"/>
      <c r="U398" s="478"/>
      <c r="V398" s="481"/>
      <c r="W398" s="478"/>
      <c r="X398" s="478"/>
      <c r="Y398" s="478"/>
      <c r="Z398" s="478"/>
      <c r="AA398" s="478"/>
      <c r="AB398" s="478"/>
      <c r="AC398" s="478"/>
      <c r="AD398" s="478"/>
      <c r="AE398" s="478"/>
      <c r="AF398" s="478"/>
      <c r="AG398" s="478"/>
      <c r="AH398" s="478"/>
      <c r="AI398" s="478"/>
      <c r="AJ398" s="478"/>
      <c r="AK398" s="478"/>
      <c r="AL398" s="478"/>
      <c r="AM398" s="478"/>
      <c r="AN398" s="478"/>
    </row>
    <row r="399" spans="1:40" ht="15.75" customHeight="1">
      <c r="B399" s="475"/>
      <c r="C399" s="537"/>
      <c r="D399" s="692"/>
      <c r="E399" s="481"/>
      <c r="F399" s="572"/>
      <c r="G399" s="550"/>
      <c r="H399" s="481"/>
      <c r="I399" s="572"/>
      <c r="J399" s="692"/>
      <c r="K399" s="537"/>
      <c r="L399" s="572"/>
      <c r="M399" s="537"/>
      <c r="N399" s="572"/>
      <c r="O399" s="537"/>
      <c r="P399" s="537"/>
      <c r="Q399" s="572"/>
      <c r="R399" s="537"/>
      <c r="S399" s="572"/>
      <c r="T399" s="481"/>
      <c r="U399" s="481"/>
      <c r="V399" s="481"/>
      <c r="W399" s="481"/>
      <c r="X399" s="481"/>
      <c r="Y399" s="481"/>
      <c r="Z399" s="481"/>
      <c r="AA399" s="481"/>
      <c r="AB399" s="481"/>
      <c r="AC399" s="481"/>
      <c r="AD399" s="481"/>
      <c r="AE399" s="481"/>
      <c r="AF399" s="481"/>
      <c r="AG399" s="481"/>
      <c r="AH399" s="481"/>
      <c r="AI399" s="481"/>
      <c r="AJ399" s="481"/>
      <c r="AK399" s="481"/>
      <c r="AL399" s="481"/>
      <c r="AM399" s="481"/>
      <c r="AN399" s="481"/>
    </row>
    <row r="400" spans="1:40" ht="15.75" customHeight="1">
      <c r="B400" s="475"/>
      <c r="F400" s="693"/>
      <c r="L400" s="693"/>
      <c r="V400" s="481"/>
      <c r="W400" s="478"/>
      <c r="X400" s="478"/>
      <c r="Y400" s="478"/>
      <c r="Z400" s="478"/>
      <c r="AA400" s="478"/>
      <c r="AB400" s="478"/>
      <c r="AC400" s="478"/>
      <c r="AD400" s="478"/>
      <c r="AE400" s="478"/>
      <c r="AF400" s="478"/>
      <c r="AG400" s="478"/>
      <c r="AH400" s="478"/>
      <c r="AI400" s="478"/>
      <c r="AJ400" s="478"/>
      <c r="AK400" s="478"/>
      <c r="AL400" s="478"/>
      <c r="AM400" s="478"/>
      <c r="AN400" s="478"/>
    </row>
    <row r="401" spans="1:61" ht="35.4">
      <c r="B401" s="475"/>
      <c r="C401" s="694" t="s">
        <v>465</v>
      </c>
      <c r="F401" s="693"/>
      <c r="L401" s="693"/>
      <c r="V401" s="695" t="s">
        <v>223</v>
      </c>
      <c r="W401" s="467"/>
      <c r="X401" s="467"/>
      <c r="Y401" s="467"/>
      <c r="Z401" s="467"/>
      <c r="AA401" s="467"/>
      <c r="AB401" s="467"/>
      <c r="AC401" s="467"/>
      <c r="AD401" s="467"/>
      <c r="AE401" s="469" t="s">
        <v>476</v>
      </c>
      <c r="AF401" s="467"/>
      <c r="AG401" s="467"/>
      <c r="AH401" s="467"/>
      <c r="AI401" s="467"/>
      <c r="AJ401" s="696"/>
      <c r="AK401" s="469"/>
      <c r="AL401" s="467"/>
      <c r="AM401" s="467"/>
      <c r="AN401" s="467"/>
      <c r="AO401" s="696" t="s">
        <v>484</v>
      </c>
      <c r="AP401" s="478"/>
      <c r="AQ401" s="478"/>
      <c r="AR401" s="478"/>
      <c r="AS401" s="478"/>
      <c r="AT401" s="478"/>
      <c r="AU401" s="478"/>
      <c r="AV401" s="478"/>
      <c r="AW401" s="478"/>
      <c r="AX401" s="478"/>
      <c r="AY401" s="478"/>
      <c r="AZ401" s="478"/>
      <c r="BA401" s="478"/>
      <c r="BB401" s="478"/>
      <c r="BC401" s="478"/>
      <c r="BD401" s="478"/>
      <c r="BE401" s="478"/>
      <c r="BF401" s="478"/>
      <c r="BG401" s="478"/>
      <c r="BH401" s="478"/>
      <c r="BI401" s="478"/>
    </row>
    <row r="402" spans="1:61" ht="15.75" customHeight="1" thickBot="1">
      <c r="B402" s="475"/>
      <c r="C402" s="694" t="s">
        <v>465</v>
      </c>
      <c r="V402" s="697"/>
      <c r="W402" s="477"/>
      <c r="X402" s="477"/>
      <c r="Y402" s="477"/>
      <c r="Z402" s="477"/>
      <c r="AA402" s="477"/>
      <c r="AB402" s="477"/>
      <c r="AC402" s="477"/>
      <c r="AD402" s="477"/>
      <c r="AE402" s="477"/>
      <c r="AF402" s="477"/>
      <c r="AG402" s="477"/>
      <c r="AH402" s="477"/>
      <c r="AI402" s="477"/>
      <c r="AJ402" s="477"/>
      <c r="AK402" s="477"/>
      <c r="AL402" s="478"/>
      <c r="AM402" s="478"/>
      <c r="AN402" s="478"/>
      <c r="AO402" s="478"/>
      <c r="AP402" s="478"/>
      <c r="AQ402" s="478"/>
      <c r="AR402" s="478"/>
      <c r="AS402" s="478"/>
      <c r="AT402" s="478"/>
      <c r="AU402" s="478"/>
      <c r="AV402" s="478"/>
      <c r="AW402" s="478"/>
      <c r="AX402" s="478"/>
      <c r="AY402" s="478"/>
      <c r="AZ402" s="478"/>
      <c r="BA402" s="478"/>
      <c r="BB402" s="478"/>
      <c r="BC402" s="478"/>
      <c r="BD402" s="478"/>
      <c r="BE402" s="478"/>
      <c r="BF402" s="478"/>
      <c r="BG402" s="478"/>
      <c r="BH402" s="478"/>
      <c r="BI402" s="478"/>
    </row>
    <row r="403" spans="1:61" ht="15.75" customHeight="1" thickTop="1" thickBot="1">
      <c r="A403" s="490" t="s">
        <v>466</v>
      </c>
      <c r="B403" s="475"/>
      <c r="C403" s="694" t="s">
        <v>465</v>
      </c>
      <c r="V403" s="698"/>
      <c r="W403" s="699"/>
      <c r="X403" s="859" t="s">
        <v>122</v>
      </c>
      <c r="Y403" s="860"/>
      <c r="Z403" s="861"/>
      <c r="AA403" s="862"/>
      <c r="AB403" s="860"/>
      <c r="AC403" s="861"/>
      <c r="AD403" s="862" t="s">
        <v>7</v>
      </c>
      <c r="AE403" s="860"/>
      <c r="AF403" s="861"/>
      <c r="AG403" s="862" t="s">
        <v>472</v>
      </c>
      <c r="AH403" s="860"/>
      <c r="AI403" s="861"/>
      <c r="AJ403" s="862" t="s">
        <v>123</v>
      </c>
      <c r="AK403" s="860"/>
      <c r="AL403" s="860"/>
      <c r="AM403" s="862" t="s">
        <v>124</v>
      </c>
      <c r="AN403" s="860"/>
      <c r="AO403" s="863"/>
      <c r="AP403" s="478"/>
      <c r="AQ403" s="478"/>
      <c r="AR403" s="478"/>
      <c r="AS403" s="478"/>
      <c r="AT403" s="478"/>
      <c r="AU403" s="478"/>
      <c r="AV403" s="478"/>
      <c r="AW403" s="478"/>
      <c r="AX403" s="478"/>
      <c r="AY403" s="478"/>
      <c r="AZ403" s="478"/>
      <c r="BA403" s="478"/>
      <c r="BB403" s="478"/>
      <c r="BC403" s="478"/>
      <c r="BD403" s="478"/>
      <c r="BE403" s="478"/>
      <c r="BF403" s="478"/>
      <c r="BG403" s="478"/>
      <c r="BH403" s="478"/>
      <c r="BI403" s="478"/>
    </row>
    <row r="404" spans="1:61" ht="15.75" customHeight="1">
      <c r="A404" s="490" t="s">
        <v>466</v>
      </c>
      <c r="B404" s="475"/>
      <c r="C404" s="694" t="s">
        <v>465</v>
      </c>
      <c r="V404" s="491"/>
      <c r="W404" s="659" t="s">
        <v>125</v>
      </c>
      <c r="X404" s="659" t="s">
        <v>126</v>
      </c>
      <c r="Y404" s="659" t="s">
        <v>127</v>
      </c>
      <c r="Z404" s="700" t="s">
        <v>128</v>
      </c>
      <c r="AA404" s="659"/>
      <c r="AB404" s="659"/>
      <c r="AC404" s="700"/>
      <c r="AD404" s="701" t="s">
        <v>126</v>
      </c>
      <c r="AE404" s="659" t="s">
        <v>127</v>
      </c>
      <c r="AF404" s="659" t="s">
        <v>128</v>
      </c>
      <c r="AG404" s="701" t="s">
        <v>129</v>
      </c>
      <c r="AH404" s="659" t="s">
        <v>130</v>
      </c>
      <c r="AI404" s="659" t="s">
        <v>131</v>
      </c>
      <c r="AJ404" s="701" t="s">
        <v>126</v>
      </c>
      <c r="AK404" s="659" t="s">
        <v>127</v>
      </c>
      <c r="AL404" s="659" t="s">
        <v>128</v>
      </c>
      <c r="AM404" s="702" t="s">
        <v>129</v>
      </c>
      <c r="AN404" s="659" t="s">
        <v>130</v>
      </c>
      <c r="AO404" s="598" t="s">
        <v>131</v>
      </c>
      <c r="AP404" s="478"/>
      <c r="AQ404" s="478"/>
      <c r="AR404" s="478"/>
      <c r="AS404" s="478"/>
      <c r="AT404" s="478"/>
      <c r="AU404" s="478"/>
      <c r="AV404" s="478"/>
      <c r="AW404" s="478"/>
      <c r="AX404" s="478"/>
      <c r="AY404" s="478"/>
      <c r="AZ404" s="478"/>
      <c r="BA404" s="478"/>
      <c r="BB404" s="478"/>
      <c r="BC404" s="478"/>
      <c r="BD404" s="478"/>
      <c r="BE404" s="478"/>
      <c r="BF404" s="478"/>
      <c r="BG404" s="478"/>
      <c r="BH404" s="478"/>
      <c r="BI404" s="478"/>
    </row>
    <row r="405" spans="1:61" ht="15.75" customHeight="1">
      <c r="A405" s="490" t="s">
        <v>15</v>
      </c>
      <c r="B405" s="475"/>
      <c r="C405" s="694" t="s">
        <v>465</v>
      </c>
      <c r="V405" s="566" t="s">
        <v>15</v>
      </c>
      <c r="W405" s="703"/>
      <c r="X405" s="703"/>
      <c r="Y405" s="703"/>
      <c r="Z405" s="704">
        <v>4786755.5268234564</v>
      </c>
      <c r="AA405" s="703"/>
      <c r="AB405" s="703"/>
      <c r="AC405" s="704"/>
      <c r="AD405" s="705"/>
      <c r="AE405" s="706"/>
      <c r="AF405" s="706">
        <v>4572850.42</v>
      </c>
      <c r="AG405" s="705"/>
      <c r="AH405" s="706"/>
      <c r="AI405" s="707"/>
      <c r="AJ405" s="705"/>
      <c r="AK405" s="706"/>
      <c r="AL405" s="706">
        <v>5076795.7500000009</v>
      </c>
      <c r="AM405" s="708"/>
      <c r="AN405" s="706"/>
      <c r="AO405" s="709"/>
      <c r="AP405" s="478"/>
      <c r="AQ405" s="478"/>
      <c r="AR405" s="478"/>
      <c r="AS405" s="478"/>
      <c r="AT405" s="478"/>
      <c r="AU405" s="478"/>
      <c r="AV405" s="478"/>
      <c r="AW405" s="478"/>
      <c r="AX405" s="478"/>
      <c r="AY405" s="478"/>
      <c r="AZ405" s="478"/>
      <c r="BA405" s="478"/>
      <c r="BB405" s="478"/>
      <c r="BC405" s="478"/>
      <c r="BD405" s="478"/>
      <c r="BE405" s="478"/>
      <c r="BF405" s="478"/>
      <c r="BG405" s="478"/>
      <c r="BH405" s="478"/>
      <c r="BI405" s="478"/>
    </row>
    <row r="406" spans="1:61" ht="15.75" customHeight="1">
      <c r="A406" s="490" t="s">
        <v>132</v>
      </c>
      <c r="B406" s="475"/>
      <c r="C406" s="694" t="s">
        <v>465</v>
      </c>
      <c r="V406" s="710" t="s">
        <v>132</v>
      </c>
      <c r="W406" s="711"/>
      <c r="X406" s="711"/>
      <c r="Y406" s="711"/>
      <c r="Z406" s="712">
        <v>643337.40962466621</v>
      </c>
      <c r="AA406" s="711"/>
      <c r="AB406" s="711"/>
      <c r="AC406" s="712"/>
      <c r="AD406" s="713"/>
      <c r="AE406" s="714"/>
      <c r="AF406" s="712">
        <v>628292.67999999993</v>
      </c>
      <c r="AG406" s="713"/>
      <c r="AH406" s="714">
        <v>-15044.729624666274</v>
      </c>
      <c r="AI406" s="715">
        <v>-2.3385441915220847E-2</v>
      </c>
      <c r="AJ406" s="713"/>
      <c r="AK406" s="714"/>
      <c r="AL406" s="714">
        <v>655560</v>
      </c>
      <c r="AM406" s="716"/>
      <c r="AN406" s="714">
        <v>-27267.320000000065</v>
      </c>
      <c r="AO406" s="717">
        <v>-4.1593934956373278E-2</v>
      </c>
      <c r="AP406" s="478"/>
      <c r="AQ406" s="478"/>
      <c r="AR406" s="478"/>
      <c r="AS406" s="478"/>
      <c r="AT406" s="478"/>
      <c r="AU406" s="478"/>
      <c r="AV406" s="478"/>
      <c r="AW406" s="478"/>
      <c r="AX406" s="478"/>
      <c r="AY406" s="478"/>
      <c r="AZ406" s="478"/>
      <c r="BA406" s="478"/>
      <c r="BB406" s="478"/>
      <c r="BC406" s="478"/>
      <c r="BD406" s="478"/>
      <c r="BE406" s="478"/>
      <c r="BF406" s="478"/>
      <c r="BG406" s="478"/>
      <c r="BH406" s="478"/>
      <c r="BI406" s="478"/>
    </row>
    <row r="407" spans="1:61" ht="15.75" customHeight="1">
      <c r="A407" s="490" t="s">
        <v>133</v>
      </c>
      <c r="B407" s="475"/>
      <c r="C407" s="694" t="s">
        <v>465</v>
      </c>
      <c r="V407" s="718" t="s">
        <v>133</v>
      </c>
      <c r="W407" s="719"/>
      <c r="X407" s="719"/>
      <c r="Y407" s="719"/>
      <c r="Z407" s="720"/>
      <c r="AA407" s="719"/>
      <c r="AB407" s="719"/>
      <c r="AC407" s="720"/>
      <c r="AD407" s="721"/>
      <c r="AE407" s="719"/>
      <c r="AF407" s="722"/>
      <c r="AG407" s="721"/>
      <c r="AH407" s="722"/>
      <c r="AI407" s="723"/>
      <c r="AJ407" s="721"/>
      <c r="AK407" s="719"/>
      <c r="AL407" s="722"/>
      <c r="AM407" s="724"/>
      <c r="AN407" s="722"/>
      <c r="AO407" s="725"/>
      <c r="AP407" s="478"/>
      <c r="AQ407" s="478"/>
      <c r="AR407" s="478"/>
      <c r="AS407" s="478"/>
      <c r="AT407" s="478"/>
      <c r="AU407" s="478"/>
      <c r="AV407" s="478"/>
      <c r="AW407" s="478"/>
      <c r="AX407" s="478"/>
      <c r="AY407" s="478"/>
      <c r="AZ407" s="478"/>
      <c r="BA407" s="478"/>
      <c r="BB407" s="478"/>
      <c r="BC407" s="478"/>
      <c r="BD407" s="478"/>
      <c r="BE407" s="478"/>
      <c r="BF407" s="478"/>
      <c r="BG407" s="478"/>
      <c r="BH407" s="478"/>
      <c r="BI407" s="478"/>
    </row>
    <row r="408" spans="1:61" ht="15.75" customHeight="1">
      <c r="A408" s="490" t="s">
        <v>31</v>
      </c>
      <c r="B408" s="475"/>
      <c r="C408" s="694" t="s">
        <v>465</v>
      </c>
      <c r="V408" s="565" t="s">
        <v>31</v>
      </c>
      <c r="W408" s="726" t="s">
        <v>134</v>
      </c>
      <c r="X408" s="719"/>
      <c r="Y408" s="727">
        <v>712.13547958913625</v>
      </c>
      <c r="Z408" s="720">
        <v>65391.317095428574</v>
      </c>
      <c r="AA408" s="719"/>
      <c r="AB408" s="727"/>
      <c r="AC408" s="720"/>
      <c r="AD408" s="728"/>
      <c r="AE408" s="727">
        <v>589.43313953488371</v>
      </c>
      <c r="AF408" s="720">
        <v>50691.25</v>
      </c>
      <c r="AG408" s="721">
        <v>-122.70234005425255</v>
      </c>
      <c r="AH408" s="722">
        <v>-14700.067095428574</v>
      </c>
      <c r="AI408" s="723">
        <v>-0.22480151415173494</v>
      </c>
      <c r="AJ408" s="728"/>
      <c r="AK408" s="722">
        <v>770.61698795180723</v>
      </c>
      <c r="AL408" s="720">
        <v>63961.21</v>
      </c>
      <c r="AM408" s="724">
        <v>-122.70234005425255</v>
      </c>
      <c r="AN408" s="722">
        <v>-13269.96</v>
      </c>
      <c r="AO408" s="729">
        <v>-0.20746887058578159</v>
      </c>
      <c r="AP408" s="478"/>
      <c r="AQ408" s="478"/>
      <c r="AR408" s="475"/>
      <c r="AS408" s="478"/>
      <c r="AT408" s="478"/>
      <c r="AU408" s="478"/>
      <c r="AV408" s="478"/>
      <c r="AW408" s="478"/>
      <c r="AX408" s="478"/>
      <c r="AY408" s="478"/>
      <c r="AZ408" s="478"/>
      <c r="BA408" s="478"/>
      <c r="BB408" s="478"/>
      <c r="BC408" s="478"/>
      <c r="BD408" s="478"/>
      <c r="BE408" s="478"/>
      <c r="BF408" s="478"/>
      <c r="BG408" s="478"/>
      <c r="BH408" s="478"/>
      <c r="BI408" s="478"/>
    </row>
    <row r="409" spans="1:61" ht="15.75" customHeight="1">
      <c r="A409" s="490" t="s">
        <v>32</v>
      </c>
      <c r="B409" s="475"/>
      <c r="C409" s="694" t="s">
        <v>465</v>
      </c>
      <c r="V409" s="566" t="s">
        <v>32</v>
      </c>
      <c r="W409" s="730" t="s">
        <v>135</v>
      </c>
      <c r="X409" s="703"/>
      <c r="Y409" s="731">
        <v>472.05123982914347</v>
      </c>
      <c r="Z409" s="704">
        <v>43345.758207085717</v>
      </c>
      <c r="AA409" s="703"/>
      <c r="AB409" s="731"/>
      <c r="AC409" s="704"/>
      <c r="AD409" s="732"/>
      <c r="AE409" s="731">
        <v>433.83569767441861</v>
      </c>
      <c r="AF409" s="704">
        <v>37309.870000000003</v>
      </c>
      <c r="AG409" s="705">
        <v>-38.215542154724858</v>
      </c>
      <c r="AH409" s="706">
        <v>-6035.8882070857144</v>
      </c>
      <c r="AI409" s="733">
        <v>-0.13924980105894261</v>
      </c>
      <c r="AJ409" s="732"/>
      <c r="AK409" s="706">
        <v>380.9125301204819</v>
      </c>
      <c r="AL409" s="704">
        <v>31615.739999999998</v>
      </c>
      <c r="AM409" s="708">
        <v>-38.215542154724858</v>
      </c>
      <c r="AN409" s="706">
        <v>5694.1300000000047</v>
      </c>
      <c r="AO409" s="709">
        <v>0.18010427717333219</v>
      </c>
      <c r="AP409" s="478"/>
      <c r="AQ409" s="478"/>
      <c r="AR409" s="481"/>
      <c r="AS409" s="478"/>
      <c r="AT409" s="478"/>
      <c r="AU409" s="478"/>
      <c r="AV409" s="478"/>
      <c r="AW409" s="478"/>
      <c r="AX409" s="478"/>
      <c r="AY409" s="478"/>
      <c r="AZ409" s="478"/>
      <c r="BA409" s="478"/>
      <c r="BB409" s="478"/>
      <c r="BC409" s="478"/>
      <c r="BD409" s="478"/>
      <c r="BE409" s="478"/>
      <c r="BF409" s="478"/>
      <c r="BG409" s="478"/>
      <c r="BH409" s="478"/>
      <c r="BI409" s="478"/>
    </row>
    <row r="410" spans="1:61" ht="15.75" customHeight="1">
      <c r="A410" s="490" t="s">
        <v>33</v>
      </c>
      <c r="B410" s="475"/>
      <c r="C410" s="694" t="s">
        <v>465</v>
      </c>
      <c r="V410" s="565" t="s">
        <v>33</v>
      </c>
      <c r="W410" s="726" t="s">
        <v>136</v>
      </c>
      <c r="X410" s="719"/>
      <c r="Y410" s="727">
        <v>87.619224325749784</v>
      </c>
      <c r="Z410" s="720">
        <v>8045.5708860991263</v>
      </c>
      <c r="AA410" s="719"/>
      <c r="AB410" s="727"/>
      <c r="AC410" s="720"/>
      <c r="AD410" s="728"/>
      <c r="AE410" s="727">
        <v>41.827906976744181</v>
      </c>
      <c r="AF410" s="720">
        <v>3597.2</v>
      </c>
      <c r="AG410" s="721">
        <v>-45.791317349005602</v>
      </c>
      <c r="AH410" s="722">
        <v>-4448.3708860991264</v>
      </c>
      <c r="AI410" s="723">
        <v>-0.55289686077900024</v>
      </c>
      <c r="AJ410" s="728"/>
      <c r="AK410" s="722">
        <v>-12.276385542168674</v>
      </c>
      <c r="AL410" s="720">
        <v>-1018.9399999999999</v>
      </c>
      <c r="AM410" s="724">
        <v>-45.791317349005602</v>
      </c>
      <c r="AN410" s="722">
        <v>4616.1399999999994</v>
      </c>
      <c r="AO410" s="729">
        <v>-4.5303354466406258</v>
      </c>
      <c r="AP410" s="478"/>
      <c r="AQ410" s="478"/>
      <c r="AR410" s="481"/>
      <c r="AS410" s="478"/>
      <c r="AT410" s="478"/>
      <c r="AU410" s="478"/>
      <c r="AV410" s="478"/>
      <c r="AW410" s="478"/>
      <c r="AX410" s="478"/>
      <c r="AY410" s="478"/>
      <c r="AZ410" s="478"/>
      <c r="BA410" s="478"/>
      <c r="BB410" s="478"/>
      <c r="BC410" s="478"/>
      <c r="BD410" s="478"/>
      <c r="BE410" s="478"/>
      <c r="BF410" s="478"/>
      <c r="BG410" s="478"/>
      <c r="BH410" s="478"/>
      <c r="BI410" s="478"/>
    </row>
    <row r="411" spans="1:61" ht="15.75" customHeight="1">
      <c r="A411" s="490" t="s">
        <v>34</v>
      </c>
      <c r="B411" s="475"/>
      <c r="C411" s="694" t="s">
        <v>465</v>
      </c>
      <c r="V411" s="565" t="s">
        <v>34</v>
      </c>
      <c r="W411" s="726" t="s">
        <v>137</v>
      </c>
      <c r="X411" s="719"/>
      <c r="Y411" s="727">
        <v>9.6534460412159682</v>
      </c>
      <c r="Z411" s="720">
        <v>886.42058883087975</v>
      </c>
      <c r="AA411" s="719"/>
      <c r="AB411" s="727"/>
      <c r="AC411" s="720"/>
      <c r="AD411" s="728"/>
      <c r="AE411" s="727">
        <v>9.0579069767441869</v>
      </c>
      <c r="AF411" s="720">
        <v>778.98</v>
      </c>
      <c r="AG411" s="721">
        <v>-0.59553906447178129</v>
      </c>
      <c r="AH411" s="722">
        <v>-107.44058883087973</v>
      </c>
      <c r="AI411" s="723">
        <v>-0.12120723523873195</v>
      </c>
      <c r="AJ411" s="728"/>
      <c r="AK411" s="722">
        <v>0.3493975903614458</v>
      </c>
      <c r="AL411" s="720">
        <v>29</v>
      </c>
      <c r="AM411" s="724">
        <v>-0.59553906447178129</v>
      </c>
      <c r="AN411" s="722">
        <v>749.98</v>
      </c>
      <c r="AO411" s="729">
        <v>25.861379310344827</v>
      </c>
      <c r="AP411" s="478"/>
      <c r="AQ411" s="478"/>
      <c r="AR411" s="481"/>
      <c r="AS411" s="478"/>
      <c r="AT411" s="478"/>
      <c r="AU411" s="478"/>
      <c r="AV411" s="478"/>
      <c r="AW411" s="478"/>
      <c r="AX411" s="478"/>
      <c r="AY411" s="478"/>
      <c r="AZ411" s="478"/>
      <c r="BA411" s="478"/>
      <c r="BB411" s="478"/>
      <c r="BC411" s="478"/>
      <c r="BD411" s="478"/>
      <c r="BE411" s="478"/>
      <c r="BF411" s="478"/>
      <c r="BG411" s="478"/>
      <c r="BH411" s="478"/>
      <c r="BI411" s="478"/>
    </row>
    <row r="412" spans="1:61" ht="15.75" customHeight="1">
      <c r="A412" s="490" t="s">
        <v>35</v>
      </c>
      <c r="B412" s="475"/>
      <c r="C412" s="694" t="s">
        <v>465</v>
      </c>
      <c r="V412" s="566" t="s">
        <v>35</v>
      </c>
      <c r="W412" s="730"/>
      <c r="X412" s="703"/>
      <c r="Y412" s="731">
        <v>116.39919285554312</v>
      </c>
      <c r="Z412" s="704">
        <v>10688.270347181955</v>
      </c>
      <c r="AA412" s="703"/>
      <c r="AB412" s="731"/>
      <c r="AC412" s="704"/>
      <c r="AD412" s="732"/>
      <c r="AE412" s="731">
        <v>99.293488372093023</v>
      </c>
      <c r="AF412" s="704">
        <v>8539.24</v>
      </c>
      <c r="AG412" s="705">
        <v>-17.105704483450097</v>
      </c>
      <c r="AH412" s="706">
        <v>-2149.0303471819552</v>
      </c>
      <c r="AI412" s="733">
        <v>-0.20106437032148647</v>
      </c>
      <c r="AJ412" s="732"/>
      <c r="AK412" s="706">
        <v>100.25686746987951</v>
      </c>
      <c r="AL412" s="704">
        <v>8321.32</v>
      </c>
      <c r="AM412" s="708">
        <v>-17.105704483450097</v>
      </c>
      <c r="AN412" s="706">
        <v>217.92000000000007</v>
      </c>
      <c r="AO412" s="709">
        <v>2.6188152841135792E-2</v>
      </c>
      <c r="AP412" s="478"/>
      <c r="AQ412" s="478"/>
      <c r="AR412" s="481"/>
      <c r="AS412" s="478"/>
      <c r="AT412" s="478"/>
      <c r="AU412" s="478"/>
      <c r="AV412" s="478"/>
      <c r="AW412" s="478"/>
      <c r="AX412" s="478"/>
      <c r="AY412" s="478"/>
      <c r="AZ412" s="478"/>
      <c r="BA412" s="478"/>
      <c r="BB412" s="478"/>
      <c r="BC412" s="478"/>
      <c r="BD412" s="478"/>
      <c r="BE412" s="478"/>
      <c r="BF412" s="478"/>
      <c r="BG412" s="478"/>
      <c r="BH412" s="478"/>
      <c r="BI412" s="478"/>
    </row>
    <row r="413" spans="1:61" ht="15.75" customHeight="1">
      <c r="A413" s="490" t="s">
        <v>36</v>
      </c>
      <c r="B413" s="475"/>
      <c r="C413" s="694" t="s">
        <v>465</v>
      </c>
      <c r="V413" s="565" t="s">
        <v>36</v>
      </c>
      <c r="W413" s="726" t="s">
        <v>138</v>
      </c>
      <c r="X413" s="723"/>
      <c r="Y413" s="727">
        <v>213.27216615491855</v>
      </c>
      <c r="Z413" s="720">
        <v>19583.559932600725</v>
      </c>
      <c r="AA413" s="723"/>
      <c r="AB413" s="727"/>
      <c r="AC413" s="720"/>
      <c r="AD413" s="728"/>
      <c r="AE413" s="727">
        <v>168.29313953488372</v>
      </c>
      <c r="AF413" s="720">
        <v>14473.21</v>
      </c>
      <c r="AG413" s="721">
        <v>-44.97902662003483</v>
      </c>
      <c r="AH413" s="722">
        <v>-5110.3499326007259</v>
      </c>
      <c r="AI413" s="723">
        <v>-0.26095101964038386</v>
      </c>
      <c r="AJ413" s="728"/>
      <c r="AK413" s="722">
        <v>86.539518072289169</v>
      </c>
      <c r="AL413" s="720">
        <v>7182.7800000000007</v>
      </c>
      <c r="AM413" s="724">
        <v>-44.97902662003483</v>
      </c>
      <c r="AN413" s="722">
        <v>7290.4299999999985</v>
      </c>
      <c r="AO413" s="729">
        <v>1.01498723335533</v>
      </c>
      <c r="AP413" s="478"/>
      <c r="AQ413" s="478"/>
      <c r="AR413" s="481"/>
      <c r="AS413" s="478"/>
      <c r="AT413" s="478"/>
      <c r="AU413" s="478"/>
      <c r="AV413" s="478"/>
      <c r="AW413" s="478"/>
      <c r="AX413" s="478"/>
      <c r="AY413" s="478"/>
      <c r="AZ413" s="478"/>
      <c r="BA413" s="478"/>
      <c r="BB413" s="478"/>
      <c r="BC413" s="478"/>
      <c r="BD413" s="478"/>
      <c r="BE413" s="478"/>
      <c r="BF413" s="478"/>
      <c r="BG413" s="478"/>
      <c r="BH413" s="478"/>
      <c r="BI413" s="478"/>
    </row>
    <row r="414" spans="1:61" ht="15.75" customHeight="1">
      <c r="A414" s="490" t="s">
        <v>37</v>
      </c>
      <c r="B414" s="475"/>
      <c r="C414" s="694" t="s">
        <v>465</v>
      </c>
      <c r="V414" s="565" t="s">
        <v>37</v>
      </c>
      <c r="W414" s="726" t="s">
        <v>139</v>
      </c>
      <c r="X414" s="719"/>
      <c r="Y414" s="727">
        <v>110.84662834976778</v>
      </c>
      <c r="Z414" s="720">
        <v>10178.410191780822</v>
      </c>
      <c r="AA414" s="719"/>
      <c r="AB414" s="727"/>
      <c r="AC414" s="720"/>
      <c r="AD414" s="728"/>
      <c r="AE414" s="727">
        <v>53.371886792452834</v>
      </c>
      <c r="AF414" s="720">
        <v>5657.42</v>
      </c>
      <c r="AG414" s="721">
        <v>-57.47474155731495</v>
      </c>
      <c r="AH414" s="722">
        <v>-4520.990191780822</v>
      </c>
      <c r="AI414" s="723">
        <v>-0.44417449352076332</v>
      </c>
      <c r="AJ414" s="728"/>
      <c r="AK414" s="722">
        <v>119.80084337349399</v>
      </c>
      <c r="AL414" s="720">
        <v>9943.4700000000012</v>
      </c>
      <c r="AM414" s="724">
        <v>-57.47474155731495</v>
      </c>
      <c r="AN414" s="722">
        <v>-4286.0500000000011</v>
      </c>
      <c r="AO414" s="729">
        <v>-0.43104167860917775</v>
      </c>
      <c r="AP414" s="478"/>
      <c r="AQ414" s="478"/>
      <c r="AR414" s="481"/>
      <c r="AS414" s="478"/>
      <c r="AT414" s="478"/>
      <c r="AU414" s="478"/>
      <c r="AV414" s="478"/>
      <c r="AW414" s="478"/>
      <c r="AX414" s="478"/>
      <c r="AY414" s="478"/>
      <c r="AZ414" s="478"/>
      <c r="BA414" s="478"/>
      <c r="BB414" s="478"/>
      <c r="BC414" s="478"/>
      <c r="BD414" s="478"/>
      <c r="BE414" s="478"/>
      <c r="BF414" s="478"/>
      <c r="BG414" s="478"/>
      <c r="BH414" s="478"/>
      <c r="BI414" s="478"/>
    </row>
    <row r="415" spans="1:61" ht="15.75" hidden="1" customHeight="1">
      <c r="A415" s="490" t="s">
        <v>20</v>
      </c>
      <c r="B415" s="475"/>
      <c r="C415" s="694" t="s">
        <v>465</v>
      </c>
      <c r="V415" s="565" t="s">
        <v>20</v>
      </c>
      <c r="W415" s="726"/>
      <c r="X415" s="723"/>
      <c r="Y415" s="727">
        <v>0</v>
      </c>
      <c r="Z415" s="720">
        <v>0</v>
      </c>
      <c r="AA415" s="719"/>
      <c r="AB415" s="727"/>
      <c r="AC415" s="720"/>
      <c r="AD415" s="728"/>
      <c r="AE415" s="727">
        <v>0</v>
      </c>
      <c r="AF415" s="720">
        <v>0</v>
      </c>
      <c r="AG415" s="721">
        <v>0</v>
      </c>
      <c r="AH415" s="722">
        <v>0</v>
      </c>
      <c r="AI415" s="723">
        <v>0</v>
      </c>
      <c r="AJ415" s="728"/>
      <c r="AK415" s="722">
        <v>0</v>
      </c>
      <c r="AL415" s="720">
        <v>0</v>
      </c>
      <c r="AM415" s="724">
        <v>0</v>
      </c>
      <c r="AN415" s="722">
        <v>0</v>
      </c>
      <c r="AO415" s="729">
        <v>0</v>
      </c>
      <c r="AP415" s="478"/>
      <c r="AQ415" s="478"/>
      <c r="AR415" s="481"/>
      <c r="AS415" s="478"/>
      <c r="AT415" s="478"/>
      <c r="AU415" s="478"/>
      <c r="AV415" s="478"/>
      <c r="AW415" s="478"/>
      <c r="AX415" s="478"/>
      <c r="AY415" s="478"/>
      <c r="AZ415" s="478"/>
      <c r="BA415" s="478"/>
      <c r="BB415" s="478"/>
      <c r="BC415" s="478"/>
      <c r="BD415" s="478"/>
      <c r="BE415" s="478"/>
      <c r="BF415" s="478"/>
      <c r="BG415" s="478"/>
      <c r="BH415" s="478"/>
      <c r="BI415" s="478"/>
    </row>
    <row r="416" spans="1:61" ht="15.75" hidden="1" customHeight="1">
      <c r="A416" s="490" t="s">
        <v>20</v>
      </c>
      <c r="B416" s="475"/>
      <c r="C416" s="694" t="s">
        <v>465</v>
      </c>
      <c r="V416" s="565" t="s">
        <v>20</v>
      </c>
      <c r="W416" s="726"/>
      <c r="X416" s="723"/>
      <c r="Y416" s="727">
        <v>0</v>
      </c>
      <c r="Z416" s="720">
        <v>0</v>
      </c>
      <c r="AA416" s="719"/>
      <c r="AB416" s="727"/>
      <c r="AC416" s="720"/>
      <c r="AD416" s="728"/>
      <c r="AE416" s="727">
        <v>0</v>
      </c>
      <c r="AF416" s="720">
        <v>0</v>
      </c>
      <c r="AG416" s="721">
        <v>0</v>
      </c>
      <c r="AH416" s="722">
        <v>0</v>
      </c>
      <c r="AI416" s="723">
        <v>0</v>
      </c>
      <c r="AJ416" s="728"/>
      <c r="AK416" s="722">
        <v>0</v>
      </c>
      <c r="AL416" s="720">
        <v>0</v>
      </c>
      <c r="AM416" s="724">
        <v>0</v>
      </c>
      <c r="AN416" s="722">
        <v>0</v>
      </c>
      <c r="AO416" s="729">
        <v>0</v>
      </c>
      <c r="AP416" s="478"/>
      <c r="AQ416" s="478"/>
      <c r="AR416" s="481"/>
      <c r="AS416" s="478"/>
      <c r="AT416" s="478"/>
      <c r="AU416" s="478"/>
      <c r="AV416" s="478"/>
      <c r="AW416" s="478"/>
      <c r="AX416" s="478"/>
      <c r="AY416" s="478"/>
      <c r="AZ416" s="478"/>
      <c r="BA416" s="478"/>
      <c r="BB416" s="478"/>
      <c r="BC416" s="478"/>
      <c r="BD416" s="478"/>
      <c r="BE416" s="478"/>
      <c r="BF416" s="478"/>
      <c r="BG416" s="478"/>
      <c r="BH416" s="478"/>
      <c r="BI416" s="478"/>
    </row>
    <row r="417" spans="1:61" ht="15.75" hidden="1" customHeight="1">
      <c r="A417" s="490" t="s">
        <v>20</v>
      </c>
      <c r="B417" s="475"/>
      <c r="C417" s="694" t="s">
        <v>465</v>
      </c>
      <c r="V417" s="565" t="s">
        <v>20</v>
      </c>
      <c r="W417" s="726" t="s">
        <v>139</v>
      </c>
      <c r="X417" s="719"/>
      <c r="Y417" s="727">
        <v>0</v>
      </c>
      <c r="Z417" s="720">
        <v>0</v>
      </c>
      <c r="AA417" s="719"/>
      <c r="AB417" s="727"/>
      <c r="AC417" s="720"/>
      <c r="AD417" s="728"/>
      <c r="AE417" s="727">
        <v>0</v>
      </c>
      <c r="AF417" s="720">
        <v>0</v>
      </c>
      <c r="AG417" s="721">
        <v>0</v>
      </c>
      <c r="AH417" s="722">
        <v>0</v>
      </c>
      <c r="AI417" s="723">
        <v>0</v>
      </c>
      <c r="AJ417" s="728"/>
      <c r="AK417" s="722">
        <v>0</v>
      </c>
      <c r="AL417" s="720">
        <v>0</v>
      </c>
      <c r="AM417" s="724">
        <v>0</v>
      </c>
      <c r="AN417" s="722">
        <v>0</v>
      </c>
      <c r="AO417" s="729">
        <v>0</v>
      </c>
      <c r="AP417" s="478"/>
      <c r="AQ417" s="478"/>
      <c r="AR417" s="481"/>
      <c r="AS417" s="478"/>
      <c r="AT417" s="478"/>
      <c r="AU417" s="478"/>
      <c r="AV417" s="478"/>
      <c r="AW417" s="478"/>
      <c r="AX417" s="478"/>
      <c r="AY417" s="478"/>
      <c r="AZ417" s="478"/>
      <c r="BA417" s="478"/>
      <c r="BB417" s="478"/>
      <c r="BC417" s="478"/>
      <c r="BD417" s="478"/>
      <c r="BE417" s="478"/>
      <c r="BF417" s="478"/>
      <c r="BG417" s="478"/>
      <c r="BH417" s="478"/>
      <c r="BI417" s="478"/>
    </row>
    <row r="418" spans="1:61" ht="15.75" customHeight="1">
      <c r="A418" s="490" t="s">
        <v>38</v>
      </c>
      <c r="B418" s="475"/>
      <c r="C418" s="694" t="s">
        <v>465</v>
      </c>
      <c r="V418" s="734" t="s">
        <v>38</v>
      </c>
      <c r="W418" s="735"/>
      <c r="X418" s="736">
        <v>0.24577974929400925</v>
      </c>
      <c r="Y418" s="735"/>
      <c r="Z418" s="737">
        <v>158119.3072490078</v>
      </c>
      <c r="AA418" s="736"/>
      <c r="AB418" s="735"/>
      <c r="AC418" s="737"/>
      <c r="AD418" s="738">
        <v>0.19266048109935008</v>
      </c>
      <c r="AE418" s="735"/>
      <c r="AF418" s="737">
        <v>121047.17</v>
      </c>
      <c r="AG418" s="739"/>
      <c r="AH418" s="740">
        <v>-37072.137249007807</v>
      </c>
      <c r="AI418" s="736">
        <v>-0.23445673962273467</v>
      </c>
      <c r="AJ418" s="738">
        <v>0.18310235523826957</v>
      </c>
      <c r="AK418" s="735"/>
      <c r="AL418" s="737">
        <v>120034.57999999999</v>
      </c>
      <c r="AM418" s="741"/>
      <c r="AN418" s="740">
        <v>1012.5900000000111</v>
      </c>
      <c r="AO418" s="717">
        <v>8.4358190781357433E-3</v>
      </c>
      <c r="AP418" s="478"/>
      <c r="AQ418" s="478"/>
      <c r="AR418" s="481"/>
      <c r="AS418" s="478"/>
      <c r="AT418" s="478"/>
      <c r="AU418" s="478"/>
      <c r="AV418" s="478"/>
      <c r="AW418" s="478"/>
      <c r="AX418" s="478"/>
      <c r="AY418" s="478"/>
      <c r="AZ418" s="478"/>
      <c r="BA418" s="478"/>
      <c r="BB418" s="478"/>
      <c r="BC418" s="478"/>
      <c r="BD418" s="478"/>
      <c r="BE418" s="478"/>
      <c r="BF418" s="478"/>
      <c r="BG418" s="478"/>
      <c r="BH418" s="478"/>
      <c r="BI418" s="478"/>
    </row>
    <row r="419" spans="1:61" ht="15.75" customHeight="1">
      <c r="A419" s="490" t="s">
        <v>140</v>
      </c>
      <c r="B419" s="475"/>
      <c r="C419" s="694" t="s">
        <v>465</v>
      </c>
      <c r="V419" s="565" t="s">
        <v>140</v>
      </c>
      <c r="W419" s="726" t="s">
        <v>141</v>
      </c>
      <c r="X419" s="719"/>
      <c r="Y419" s="719"/>
      <c r="Z419" s="720">
        <v>15725.739386973182</v>
      </c>
      <c r="AA419" s="719"/>
      <c r="AB419" s="719"/>
      <c r="AC419" s="720"/>
      <c r="AD419" s="728"/>
      <c r="AE419" s="727"/>
      <c r="AF419" s="720">
        <v>14442.3</v>
      </c>
      <c r="AG419" s="721"/>
      <c r="AH419" s="722">
        <v>-1283.439386973183</v>
      </c>
      <c r="AI419" s="723">
        <v>-8.1613929583263523E-2</v>
      </c>
      <c r="AJ419" s="728"/>
      <c r="AK419" s="719"/>
      <c r="AL419" s="720">
        <v>17045.7</v>
      </c>
      <c r="AM419" s="724"/>
      <c r="AN419" s="722">
        <v>-2603.4000000000015</v>
      </c>
      <c r="AO419" s="729">
        <v>-0.15273060067935029</v>
      </c>
      <c r="AP419" s="478"/>
      <c r="AQ419" s="478"/>
      <c r="AR419" s="478"/>
      <c r="AS419" s="478"/>
      <c r="AT419" s="478"/>
      <c r="AU419" s="478"/>
      <c r="AV419" s="478"/>
      <c r="AW419" s="478"/>
      <c r="AX419" s="478"/>
      <c r="AY419" s="478"/>
      <c r="AZ419" s="478"/>
      <c r="BA419" s="478"/>
      <c r="BB419" s="478"/>
      <c r="BC419" s="478"/>
      <c r="BD419" s="478"/>
      <c r="BE419" s="478"/>
      <c r="BF419" s="478"/>
      <c r="BG419" s="478"/>
      <c r="BH419" s="478"/>
      <c r="BI419" s="478"/>
    </row>
    <row r="420" spans="1:61" ht="15.75" customHeight="1">
      <c r="A420" s="490" t="s">
        <v>41</v>
      </c>
      <c r="B420" s="475"/>
      <c r="C420" s="694" t="s">
        <v>465</v>
      </c>
      <c r="V420" s="565" t="s">
        <v>41</v>
      </c>
      <c r="W420" s="726" t="s">
        <v>142</v>
      </c>
      <c r="X420" s="719"/>
      <c r="Y420" s="719"/>
      <c r="Z420" s="720">
        <v>43004.043103448275</v>
      </c>
      <c r="AA420" s="719"/>
      <c r="AB420" s="719"/>
      <c r="AC420" s="720"/>
      <c r="AD420" s="728"/>
      <c r="AE420" s="727"/>
      <c r="AF420" s="720">
        <v>40117.109999999993</v>
      </c>
      <c r="AG420" s="721"/>
      <c r="AH420" s="722">
        <v>-2886.9331034482821</v>
      </c>
      <c r="AI420" s="723">
        <v>-6.7131667050552124E-2</v>
      </c>
      <c r="AJ420" s="728"/>
      <c r="AK420" s="719"/>
      <c r="AL420" s="720">
        <v>46020.369999999995</v>
      </c>
      <c r="AM420" s="724"/>
      <c r="AN420" s="722">
        <v>-5903.260000000002</v>
      </c>
      <c r="AO420" s="729">
        <v>-0.12827493564262962</v>
      </c>
      <c r="AP420" s="478"/>
      <c r="AQ420" s="478"/>
      <c r="AR420" s="478"/>
      <c r="AS420" s="478"/>
      <c r="AT420" s="478"/>
      <c r="AU420" s="478"/>
      <c r="AV420" s="478"/>
      <c r="AW420" s="478"/>
      <c r="AX420" s="478"/>
      <c r="AY420" s="478"/>
      <c r="AZ420" s="478"/>
      <c r="BA420" s="478"/>
      <c r="BB420" s="478"/>
      <c r="BC420" s="478"/>
      <c r="BD420" s="478"/>
      <c r="BE420" s="478"/>
      <c r="BF420" s="478"/>
      <c r="BG420" s="478"/>
      <c r="BH420" s="478"/>
      <c r="BI420" s="478"/>
    </row>
    <row r="421" spans="1:61" ht="15.75" customHeight="1">
      <c r="A421" s="490" t="s">
        <v>42</v>
      </c>
      <c r="B421" s="475"/>
      <c r="C421" s="694" t="s">
        <v>465</v>
      </c>
      <c r="V421" s="566" t="s">
        <v>42</v>
      </c>
      <c r="W421" s="730" t="s">
        <v>143</v>
      </c>
      <c r="X421" s="703"/>
      <c r="Y421" s="703"/>
      <c r="Z421" s="704">
        <v>52087.070344827589</v>
      </c>
      <c r="AA421" s="703"/>
      <c r="AB421" s="703"/>
      <c r="AC421" s="704"/>
      <c r="AD421" s="732"/>
      <c r="AE421" s="731"/>
      <c r="AF421" s="704">
        <v>61720.47</v>
      </c>
      <c r="AG421" s="705"/>
      <c r="AH421" s="706">
        <v>9633.3996551724122</v>
      </c>
      <c r="AI421" s="733">
        <v>0.18494800324528216</v>
      </c>
      <c r="AJ421" s="732"/>
      <c r="AK421" s="703"/>
      <c r="AL421" s="704">
        <v>20259.53</v>
      </c>
      <c r="AM421" s="708"/>
      <c r="AN421" s="706">
        <v>41460.94</v>
      </c>
      <c r="AO421" s="709">
        <v>2.0464907132593897</v>
      </c>
      <c r="AP421" s="478"/>
      <c r="AQ421" s="478"/>
      <c r="AR421" s="478"/>
      <c r="AS421" s="478"/>
      <c r="AT421" s="478"/>
      <c r="AU421" s="478"/>
      <c r="AV421" s="478"/>
      <c r="AW421" s="478"/>
      <c r="AX421" s="478"/>
      <c r="AY421" s="478"/>
      <c r="AZ421" s="478"/>
      <c r="BA421" s="478"/>
      <c r="BB421" s="478"/>
      <c r="BC421" s="478"/>
      <c r="BD421" s="478"/>
      <c r="BE421" s="478"/>
      <c r="BF421" s="478"/>
      <c r="BG421" s="478"/>
      <c r="BH421" s="478"/>
      <c r="BI421" s="478"/>
    </row>
    <row r="422" spans="1:61" ht="15.75" customHeight="1">
      <c r="A422" s="490" t="s">
        <v>43</v>
      </c>
      <c r="B422" s="475"/>
      <c r="C422" s="694" t="s">
        <v>465</v>
      </c>
      <c r="V422" s="565" t="s">
        <v>43</v>
      </c>
      <c r="W422" s="726" t="s">
        <v>144</v>
      </c>
      <c r="X422" s="719"/>
      <c r="Y422" s="719"/>
      <c r="Z422" s="720">
        <v>31637.251340996168</v>
      </c>
      <c r="AA422" s="719"/>
      <c r="AB422" s="719"/>
      <c r="AC422" s="720"/>
      <c r="AD422" s="728"/>
      <c r="AE422" s="727"/>
      <c r="AF422" s="720">
        <v>37784.449999999997</v>
      </c>
      <c r="AG422" s="721"/>
      <c r="AH422" s="722">
        <v>6147.1986590038287</v>
      </c>
      <c r="AI422" s="723">
        <v>0.19430255153165499</v>
      </c>
      <c r="AJ422" s="728"/>
      <c r="AK422" s="719"/>
      <c r="AL422" s="720">
        <v>57282.28</v>
      </c>
      <c r="AM422" s="724"/>
      <c r="AN422" s="722">
        <v>-19497.830000000002</v>
      </c>
      <c r="AO422" s="729">
        <v>-0.34038152810956551</v>
      </c>
      <c r="AP422" s="478"/>
      <c r="AQ422" s="478"/>
      <c r="AR422" s="478"/>
      <c r="AS422" s="478"/>
      <c r="AT422" s="478"/>
      <c r="AU422" s="478"/>
      <c r="AV422" s="478"/>
      <c r="AW422" s="478"/>
      <c r="AX422" s="478"/>
      <c r="AY422" s="478"/>
      <c r="AZ422" s="478"/>
      <c r="BA422" s="478"/>
      <c r="BB422" s="478"/>
      <c r="BC422" s="478"/>
      <c r="BD422" s="478"/>
      <c r="BE422" s="478"/>
      <c r="BF422" s="478"/>
      <c r="BG422" s="478"/>
      <c r="BH422" s="478"/>
      <c r="BI422" s="478"/>
    </row>
    <row r="423" spans="1:61" ht="15.75" customHeight="1">
      <c r="A423" s="490" t="s">
        <v>44</v>
      </c>
      <c r="B423" s="475"/>
      <c r="C423" s="694" t="s">
        <v>465</v>
      </c>
      <c r="V423" s="565" t="s">
        <v>44</v>
      </c>
      <c r="W423" s="726" t="s">
        <v>145</v>
      </c>
      <c r="X423" s="719"/>
      <c r="Y423" s="719"/>
      <c r="Z423" s="720">
        <v>32587.888068408494</v>
      </c>
      <c r="AA423" s="719"/>
      <c r="AB423" s="719"/>
      <c r="AC423" s="720"/>
      <c r="AD423" s="728"/>
      <c r="AE423" s="727"/>
      <c r="AF423" s="720">
        <v>32169.559999999998</v>
      </c>
      <c r="AG423" s="721"/>
      <c r="AH423" s="722">
        <v>-418.32806840849662</v>
      </c>
      <c r="AI423" s="723">
        <v>-1.2836918659176143E-2</v>
      </c>
      <c r="AJ423" s="728"/>
      <c r="AK423" s="719"/>
      <c r="AL423" s="720">
        <v>32067.969999999998</v>
      </c>
      <c r="AM423" s="724"/>
      <c r="AN423" s="722">
        <v>101.59000000000015</v>
      </c>
      <c r="AO423" s="729">
        <v>3.1679585580253493E-3</v>
      </c>
      <c r="AP423" s="478"/>
      <c r="AQ423" s="478"/>
      <c r="AR423" s="478"/>
      <c r="AS423" s="478"/>
      <c r="AT423" s="478"/>
      <c r="AU423" s="478"/>
      <c r="AV423" s="478"/>
      <c r="AW423" s="478"/>
      <c r="AX423" s="478"/>
      <c r="AY423" s="478"/>
      <c r="AZ423" s="478"/>
      <c r="BA423" s="478"/>
      <c r="BB423" s="478"/>
      <c r="BC423" s="478"/>
      <c r="BD423" s="478"/>
      <c r="BE423" s="478"/>
      <c r="BF423" s="478"/>
      <c r="BG423" s="478"/>
      <c r="BH423" s="478"/>
      <c r="BI423" s="478"/>
    </row>
    <row r="424" spans="1:61" ht="15.75" hidden="1" customHeight="1">
      <c r="A424" s="490" t="s">
        <v>20</v>
      </c>
      <c r="B424" s="475"/>
      <c r="C424" s="694" t="s">
        <v>465</v>
      </c>
      <c r="V424" s="565" t="s">
        <v>20</v>
      </c>
      <c r="W424" s="726"/>
      <c r="X424" s="719"/>
      <c r="Y424" s="719"/>
      <c r="Z424" s="720">
        <v>0</v>
      </c>
      <c r="AA424" s="719"/>
      <c r="AB424" s="719"/>
      <c r="AC424" s="720"/>
      <c r="AD424" s="728"/>
      <c r="AE424" s="727"/>
      <c r="AF424" s="720">
        <v>0</v>
      </c>
      <c r="AG424" s="721"/>
      <c r="AH424" s="722">
        <v>0</v>
      </c>
      <c r="AI424" s="723">
        <v>0</v>
      </c>
      <c r="AJ424" s="728"/>
      <c r="AK424" s="719"/>
      <c r="AL424" s="720">
        <v>0</v>
      </c>
      <c r="AM424" s="724"/>
      <c r="AN424" s="722">
        <v>0</v>
      </c>
      <c r="AO424" s="729">
        <v>0</v>
      </c>
      <c r="AP424" s="478"/>
      <c r="AQ424" s="478"/>
      <c r="AR424" s="478"/>
      <c r="AS424" s="478"/>
      <c r="AT424" s="478"/>
      <c r="AU424" s="478"/>
      <c r="AV424" s="478"/>
      <c r="AW424" s="478"/>
      <c r="AX424" s="478"/>
      <c r="AY424" s="478"/>
      <c r="AZ424" s="478"/>
      <c r="BA424" s="478"/>
      <c r="BB424" s="478"/>
      <c r="BC424" s="478"/>
      <c r="BD424" s="478"/>
      <c r="BE424" s="478"/>
      <c r="BF424" s="478"/>
      <c r="BG424" s="478"/>
      <c r="BH424" s="478"/>
      <c r="BI424" s="478"/>
    </row>
    <row r="425" spans="1:61" ht="15.75" hidden="1" customHeight="1">
      <c r="A425" s="490" t="s">
        <v>20</v>
      </c>
      <c r="B425" s="475"/>
      <c r="C425" s="694" t="s">
        <v>465</v>
      </c>
      <c r="V425" s="565" t="s">
        <v>20</v>
      </c>
      <c r="W425" s="726"/>
      <c r="X425" s="719"/>
      <c r="Y425" s="719"/>
      <c r="Z425" s="720">
        <v>0</v>
      </c>
      <c r="AA425" s="719"/>
      <c r="AB425" s="719"/>
      <c r="AC425" s="720"/>
      <c r="AD425" s="728"/>
      <c r="AE425" s="727"/>
      <c r="AF425" s="720">
        <v>0</v>
      </c>
      <c r="AG425" s="721"/>
      <c r="AH425" s="722">
        <v>0</v>
      </c>
      <c r="AI425" s="723">
        <v>0</v>
      </c>
      <c r="AJ425" s="728"/>
      <c r="AK425" s="719"/>
      <c r="AL425" s="720">
        <v>0</v>
      </c>
      <c r="AM425" s="724"/>
      <c r="AN425" s="722">
        <v>0</v>
      </c>
      <c r="AO425" s="729">
        <v>0</v>
      </c>
      <c r="AP425" s="478"/>
      <c r="AQ425" s="478"/>
      <c r="AR425" s="478"/>
      <c r="AS425" s="478"/>
      <c r="AT425" s="478"/>
      <c r="AU425" s="478"/>
      <c r="AV425" s="478"/>
      <c r="AW425" s="478"/>
      <c r="AX425" s="478"/>
      <c r="AY425" s="478"/>
      <c r="AZ425" s="478"/>
      <c r="BA425" s="478"/>
      <c r="BB425" s="478"/>
      <c r="BC425" s="478"/>
      <c r="BD425" s="478"/>
      <c r="BE425" s="478"/>
      <c r="BF425" s="478"/>
      <c r="BG425" s="478"/>
      <c r="BH425" s="478"/>
      <c r="BI425" s="478"/>
    </row>
    <row r="426" spans="1:61" ht="15.75" hidden="1" customHeight="1">
      <c r="A426" s="490" t="s">
        <v>20</v>
      </c>
      <c r="B426" s="475"/>
      <c r="C426" s="694" t="s">
        <v>465</v>
      </c>
      <c r="V426" s="565" t="s">
        <v>20</v>
      </c>
      <c r="W426" s="726"/>
      <c r="X426" s="719"/>
      <c r="Y426" s="719"/>
      <c r="Z426" s="720">
        <v>0</v>
      </c>
      <c r="AA426" s="719"/>
      <c r="AB426" s="719"/>
      <c r="AC426" s="720"/>
      <c r="AD426" s="728"/>
      <c r="AE426" s="727"/>
      <c r="AF426" s="720">
        <v>0</v>
      </c>
      <c r="AG426" s="721"/>
      <c r="AH426" s="722">
        <v>0</v>
      </c>
      <c r="AI426" s="723">
        <v>0</v>
      </c>
      <c r="AJ426" s="728"/>
      <c r="AK426" s="719"/>
      <c r="AL426" s="720">
        <v>0</v>
      </c>
      <c r="AM426" s="724"/>
      <c r="AN426" s="722">
        <v>0</v>
      </c>
      <c r="AO426" s="729">
        <v>0</v>
      </c>
      <c r="AP426" s="478"/>
      <c r="AQ426" s="478"/>
      <c r="AR426" s="478"/>
      <c r="AS426" s="478"/>
      <c r="AT426" s="478"/>
      <c r="AU426" s="478"/>
      <c r="AV426" s="478"/>
      <c r="AW426" s="478"/>
      <c r="AX426" s="478"/>
      <c r="AY426" s="478"/>
      <c r="AZ426" s="478"/>
      <c r="BA426" s="478"/>
      <c r="BB426" s="478"/>
      <c r="BC426" s="478"/>
      <c r="BD426" s="478"/>
      <c r="BE426" s="478"/>
      <c r="BF426" s="478"/>
      <c r="BG426" s="478"/>
      <c r="BH426" s="478"/>
      <c r="BI426" s="478"/>
    </row>
    <row r="427" spans="1:61" ht="15.75" customHeight="1">
      <c r="A427" s="490" t="s">
        <v>45</v>
      </c>
      <c r="B427" s="475"/>
      <c r="C427" s="694" t="s">
        <v>465</v>
      </c>
      <c r="V427" s="566" t="s">
        <v>45</v>
      </c>
      <c r="W427" s="730" t="s">
        <v>146</v>
      </c>
      <c r="X427" s="703"/>
      <c r="Y427" s="703"/>
      <c r="Z427" s="704">
        <v>37892.887289114078</v>
      </c>
      <c r="AA427" s="703"/>
      <c r="AB427" s="703"/>
      <c r="AC427" s="704"/>
      <c r="AD427" s="732"/>
      <c r="AE427" s="731"/>
      <c r="AF427" s="704">
        <v>35502.839999999997</v>
      </c>
      <c r="AG427" s="705"/>
      <c r="AH427" s="706">
        <v>-2390.0472891140817</v>
      </c>
      <c r="AI427" s="733">
        <v>-6.3073770834050372E-2</v>
      </c>
      <c r="AJ427" s="732"/>
      <c r="AK427" s="703"/>
      <c r="AL427" s="704">
        <v>39163.659999999996</v>
      </c>
      <c r="AM427" s="708"/>
      <c r="AN427" s="706">
        <v>-3660.8199999999997</v>
      </c>
      <c r="AO427" s="709">
        <v>-9.3474920372610737E-2</v>
      </c>
      <c r="AP427" s="478"/>
      <c r="AQ427" s="478"/>
      <c r="AR427" s="478"/>
      <c r="AS427" s="478"/>
      <c r="AT427" s="478"/>
      <c r="AU427" s="478"/>
      <c r="AV427" s="478"/>
      <c r="AW427" s="478"/>
      <c r="AX427" s="478"/>
      <c r="AY427" s="478"/>
      <c r="AZ427" s="478"/>
      <c r="BA427" s="478"/>
      <c r="BB427" s="478"/>
      <c r="BC427" s="478"/>
      <c r="BD427" s="478"/>
      <c r="BE427" s="478"/>
      <c r="BF427" s="478"/>
      <c r="BG427" s="478"/>
      <c r="BH427" s="478"/>
      <c r="BI427" s="478"/>
    </row>
    <row r="428" spans="1:61" ht="15.75" customHeight="1">
      <c r="A428" s="490" t="s">
        <v>46</v>
      </c>
      <c r="B428" s="475"/>
      <c r="C428" s="694" t="s">
        <v>465</v>
      </c>
      <c r="V428" s="565" t="s">
        <v>46</v>
      </c>
      <c r="W428" s="726" t="s">
        <v>147</v>
      </c>
      <c r="X428" s="719"/>
      <c r="Y428" s="719"/>
      <c r="Z428" s="720">
        <v>37669.260796523893</v>
      </c>
      <c r="AA428" s="719"/>
      <c r="AB428" s="719"/>
      <c r="AC428" s="720"/>
      <c r="AD428" s="728"/>
      <c r="AE428" s="727"/>
      <c r="AF428" s="720">
        <v>44734.18</v>
      </c>
      <c r="AG428" s="721"/>
      <c r="AH428" s="722">
        <v>7064.9192034761072</v>
      </c>
      <c r="AI428" s="723">
        <v>0.18755130985018043</v>
      </c>
      <c r="AJ428" s="728"/>
      <c r="AK428" s="719"/>
      <c r="AL428" s="720">
        <v>41089.360000000001</v>
      </c>
      <c r="AM428" s="724"/>
      <c r="AN428" s="722">
        <v>3644.8199999999997</v>
      </c>
      <c r="AO428" s="729">
        <v>8.8704715770700729E-2</v>
      </c>
      <c r="AP428" s="478"/>
      <c r="AQ428" s="478"/>
      <c r="AR428" s="478"/>
      <c r="AS428" s="478"/>
      <c r="AT428" s="478"/>
      <c r="AU428" s="478"/>
      <c r="AV428" s="478"/>
      <c r="AW428" s="478"/>
      <c r="AX428" s="478"/>
      <c r="AY428" s="478"/>
      <c r="AZ428" s="478"/>
      <c r="BA428" s="478"/>
      <c r="BB428" s="478"/>
      <c r="BC428" s="478"/>
      <c r="BD428" s="478"/>
      <c r="BE428" s="478"/>
      <c r="BF428" s="478"/>
      <c r="BG428" s="478"/>
      <c r="BH428" s="478"/>
      <c r="BI428" s="478"/>
    </row>
    <row r="429" spans="1:61" ht="15.75" customHeight="1">
      <c r="A429" s="490" t="s">
        <v>47</v>
      </c>
      <c r="B429" s="475"/>
      <c r="C429" s="694" t="s">
        <v>465</v>
      </c>
      <c r="V429" s="565" t="s">
        <v>47</v>
      </c>
      <c r="W429" s="726" t="s">
        <v>148</v>
      </c>
      <c r="X429" s="719"/>
      <c r="Y429" s="719"/>
      <c r="Z429" s="720">
        <v>26378.202504893619</v>
      </c>
      <c r="AA429" s="719"/>
      <c r="AB429" s="719"/>
      <c r="AC429" s="720"/>
      <c r="AD429" s="728"/>
      <c r="AE429" s="727"/>
      <c r="AF429" s="720">
        <v>21047.829999999998</v>
      </c>
      <c r="AG429" s="721"/>
      <c r="AH429" s="722">
        <v>-5330.3725048936212</v>
      </c>
      <c r="AI429" s="723">
        <v>-0.20207489512997498</v>
      </c>
      <c r="AJ429" s="728"/>
      <c r="AK429" s="719"/>
      <c r="AL429" s="720">
        <v>12358.810000000001</v>
      </c>
      <c r="AM429" s="724"/>
      <c r="AN429" s="722">
        <v>8689.0199999999968</v>
      </c>
      <c r="AO429" s="729">
        <v>0.70306283533770608</v>
      </c>
      <c r="AP429" s="478"/>
      <c r="AQ429" s="478"/>
      <c r="AR429" s="478"/>
      <c r="AS429" s="478"/>
      <c r="AT429" s="478"/>
      <c r="AU429" s="478"/>
      <c r="AV429" s="478"/>
      <c r="AW429" s="478"/>
      <c r="AX429" s="478"/>
      <c r="AY429" s="478"/>
      <c r="AZ429" s="478"/>
      <c r="BA429" s="478"/>
      <c r="BB429" s="478"/>
      <c r="BC429" s="478"/>
      <c r="BD429" s="478"/>
      <c r="BE429" s="478"/>
      <c r="BF429" s="478"/>
      <c r="BG429" s="478"/>
      <c r="BH429" s="478"/>
      <c r="BI429" s="478"/>
    </row>
    <row r="430" spans="1:61" ht="15.75" customHeight="1">
      <c r="A430" s="490" t="s">
        <v>48</v>
      </c>
      <c r="B430" s="475"/>
      <c r="C430" s="694" t="s">
        <v>465</v>
      </c>
      <c r="V430" s="565" t="s">
        <v>48</v>
      </c>
      <c r="W430" s="726"/>
      <c r="X430" s="719"/>
      <c r="Y430" s="719"/>
      <c r="Z430" s="720">
        <v>12601.627649458947</v>
      </c>
      <c r="AA430" s="719"/>
      <c r="AB430" s="719"/>
      <c r="AC430" s="720"/>
      <c r="AD430" s="728"/>
      <c r="AE430" s="727"/>
      <c r="AF430" s="720">
        <v>9994.5300000000007</v>
      </c>
      <c r="AG430" s="721"/>
      <c r="AH430" s="722">
        <v>-2607.0976494589468</v>
      </c>
      <c r="AI430" s="742">
        <v>-0.20688578666033533</v>
      </c>
      <c r="AJ430" s="728"/>
      <c r="AK430" s="719"/>
      <c r="AL430" s="720">
        <v>11369</v>
      </c>
      <c r="AM430" s="724"/>
      <c r="AN430" s="722">
        <v>-1374.4699999999993</v>
      </c>
      <c r="AO430" s="729">
        <v>-0.12089629694784056</v>
      </c>
      <c r="AP430" s="478"/>
      <c r="AQ430" s="478"/>
      <c r="AR430" s="478"/>
      <c r="AS430" s="478"/>
      <c r="AT430" s="478"/>
      <c r="AU430" s="478"/>
      <c r="AV430" s="478"/>
      <c r="AW430" s="478"/>
      <c r="AX430" s="478"/>
      <c r="AY430" s="478"/>
      <c r="AZ430" s="478"/>
      <c r="BA430" s="478"/>
      <c r="BB430" s="478"/>
      <c r="BC430" s="478"/>
      <c r="BD430" s="478"/>
      <c r="BE430" s="478"/>
      <c r="BF430" s="478"/>
      <c r="BG430" s="478"/>
      <c r="BH430" s="478"/>
      <c r="BI430" s="478"/>
    </row>
    <row r="431" spans="1:61" ht="15.75" hidden="1" customHeight="1">
      <c r="A431" s="490" t="s">
        <v>20</v>
      </c>
      <c r="B431" s="475"/>
      <c r="C431" s="694" t="s">
        <v>465</v>
      </c>
      <c r="V431" s="498" t="s">
        <v>20</v>
      </c>
      <c r="W431" s="726"/>
      <c r="X431" s="719"/>
      <c r="Y431" s="727"/>
      <c r="Z431" s="720">
        <v>0</v>
      </c>
      <c r="AA431" s="719"/>
      <c r="AB431" s="719"/>
      <c r="AC431" s="720"/>
      <c r="AD431" s="728"/>
      <c r="AE431" s="727"/>
      <c r="AF431" s="720">
        <v>0</v>
      </c>
      <c r="AG431" s="721"/>
      <c r="AH431" s="722">
        <v>0</v>
      </c>
      <c r="AI431" s="723">
        <v>0</v>
      </c>
      <c r="AJ431" s="728"/>
      <c r="AK431" s="719"/>
      <c r="AL431" s="720">
        <v>0</v>
      </c>
      <c r="AM431" s="724"/>
      <c r="AN431" s="722"/>
      <c r="AO431" s="709"/>
      <c r="AP431" s="478"/>
      <c r="AQ431" s="478"/>
      <c r="AR431" s="478"/>
      <c r="AS431" s="478"/>
      <c r="AT431" s="478"/>
      <c r="AU431" s="478"/>
      <c r="AV431" s="478"/>
      <c r="AW431" s="478"/>
      <c r="AX431" s="478"/>
      <c r="AY431" s="478"/>
      <c r="AZ431" s="478"/>
      <c r="BA431" s="478"/>
      <c r="BB431" s="478"/>
      <c r="BC431" s="478"/>
      <c r="BD431" s="478"/>
      <c r="BE431" s="478"/>
      <c r="BF431" s="478"/>
      <c r="BG431" s="478"/>
      <c r="BH431" s="478"/>
      <c r="BI431" s="478"/>
    </row>
    <row r="432" spans="1:61" ht="15.75" customHeight="1">
      <c r="A432" s="490" t="s">
        <v>49</v>
      </c>
      <c r="B432" s="475"/>
      <c r="C432" s="694" t="s">
        <v>465</v>
      </c>
      <c r="V432" s="734" t="s">
        <v>49</v>
      </c>
      <c r="W432" s="735"/>
      <c r="X432" s="736">
        <v>0.45012767196857467</v>
      </c>
      <c r="Y432" s="735"/>
      <c r="Z432" s="737">
        <v>289583.97048464429</v>
      </c>
      <c r="AA432" s="736"/>
      <c r="AB432" s="735"/>
      <c r="AC432" s="737"/>
      <c r="AD432" s="738">
        <v>0.4735265577182915</v>
      </c>
      <c r="AE432" s="743"/>
      <c r="AF432" s="737">
        <v>297513.27</v>
      </c>
      <c r="AG432" s="744"/>
      <c r="AH432" s="740">
        <v>7929.2995153557276</v>
      </c>
      <c r="AI432" s="736">
        <v>2.7381693475938416E-2</v>
      </c>
      <c r="AJ432" s="738">
        <v>0.42201580328268962</v>
      </c>
      <c r="AK432" s="735"/>
      <c r="AL432" s="737">
        <v>276656.68</v>
      </c>
      <c r="AM432" s="745"/>
      <c r="AN432" s="740">
        <v>20856.590000000026</v>
      </c>
      <c r="AO432" s="717">
        <v>7.5387986294059572E-2</v>
      </c>
      <c r="AP432" s="478"/>
      <c r="AQ432" s="478"/>
      <c r="AR432" s="478"/>
      <c r="AS432" s="478"/>
      <c r="AT432" s="478"/>
      <c r="AU432" s="478"/>
      <c r="AV432" s="478"/>
      <c r="AW432" s="478"/>
      <c r="AX432" s="478"/>
      <c r="AY432" s="478"/>
      <c r="AZ432" s="478"/>
      <c r="BA432" s="478"/>
      <c r="BB432" s="478"/>
      <c r="BC432" s="478"/>
      <c r="BD432" s="478"/>
      <c r="BE432" s="478"/>
      <c r="BF432" s="478"/>
      <c r="BG432" s="478"/>
      <c r="BH432" s="478"/>
      <c r="BI432" s="478"/>
    </row>
    <row r="433" spans="1:62" ht="15.75" customHeight="1">
      <c r="A433" s="490" t="s">
        <v>50</v>
      </c>
      <c r="B433" s="475"/>
      <c r="C433" s="694" t="s">
        <v>465</v>
      </c>
      <c r="V433" s="664" t="s">
        <v>50</v>
      </c>
      <c r="W433" s="746" t="s">
        <v>138</v>
      </c>
      <c r="X433" s="747"/>
      <c r="Y433" s="747"/>
      <c r="Z433" s="748">
        <v>12968.605541666668</v>
      </c>
      <c r="AA433" s="747"/>
      <c r="AB433" s="747"/>
      <c r="AC433" s="748"/>
      <c r="AD433" s="749"/>
      <c r="AE433" s="750"/>
      <c r="AF433" s="748">
        <v>13735.71</v>
      </c>
      <c r="AG433" s="749"/>
      <c r="AH433" s="751">
        <v>767.10445833333142</v>
      </c>
      <c r="AI433" s="752">
        <v>5.9150882172235963E-2</v>
      </c>
      <c r="AJ433" s="749"/>
      <c r="AK433" s="747"/>
      <c r="AL433" s="748">
        <v>17192.330000000002</v>
      </c>
      <c r="AM433" s="753"/>
      <c r="AN433" s="751">
        <v>-3456.6200000000026</v>
      </c>
      <c r="AO433" s="725">
        <v>-0.2010559359900608</v>
      </c>
      <c r="AP433" s="478"/>
      <c r="AQ433" s="478"/>
      <c r="AR433" s="478"/>
      <c r="AS433" s="478"/>
      <c r="AT433" s="478"/>
      <c r="AU433" s="478"/>
      <c r="AV433" s="478"/>
      <c r="AW433" s="478"/>
      <c r="AX433" s="478"/>
      <c r="AY433" s="478"/>
      <c r="AZ433" s="478"/>
      <c r="BA433" s="478"/>
      <c r="BB433" s="478"/>
      <c r="BC433" s="478"/>
      <c r="BD433" s="478"/>
      <c r="BE433" s="478"/>
      <c r="BF433" s="478"/>
      <c r="BG433" s="478"/>
      <c r="BH433" s="478"/>
      <c r="BI433" s="478"/>
    </row>
    <row r="434" spans="1:62" ht="15.75" customHeight="1">
      <c r="A434" s="490" t="s">
        <v>51</v>
      </c>
      <c r="B434" s="475"/>
      <c r="C434" s="694" t="s">
        <v>465</v>
      </c>
      <c r="V434" s="565" t="s">
        <v>51</v>
      </c>
      <c r="W434" s="726" t="s">
        <v>149</v>
      </c>
      <c r="X434" s="719"/>
      <c r="Y434" s="719"/>
      <c r="Z434" s="720">
        <v>2949.773775361386</v>
      </c>
      <c r="AA434" s="719"/>
      <c r="AB434" s="719"/>
      <c r="AC434" s="720"/>
      <c r="AD434" s="728"/>
      <c r="AE434" s="727"/>
      <c r="AF434" s="720">
        <v>8763.4900000000016</v>
      </c>
      <c r="AG434" s="721"/>
      <c r="AH434" s="722">
        <v>5813.716224638616</v>
      </c>
      <c r="AI434" s="723">
        <v>1.9709024038381924</v>
      </c>
      <c r="AJ434" s="728"/>
      <c r="AK434" s="719"/>
      <c r="AL434" s="720">
        <v>6052.67</v>
      </c>
      <c r="AM434" s="724"/>
      <c r="AN434" s="722">
        <v>2710.8200000000015</v>
      </c>
      <c r="AO434" s="729">
        <v>0.44787176568357462</v>
      </c>
      <c r="AP434" s="478"/>
      <c r="AQ434" s="478"/>
      <c r="AR434" s="478"/>
      <c r="AS434" s="478"/>
      <c r="AT434" s="478"/>
      <c r="AU434" s="478"/>
      <c r="AV434" s="478"/>
      <c r="AW434" s="478"/>
      <c r="AX434" s="478"/>
      <c r="AY434" s="478"/>
      <c r="AZ434" s="478"/>
      <c r="BA434" s="478"/>
      <c r="BB434" s="478"/>
      <c r="BC434" s="478"/>
      <c r="BD434" s="478"/>
      <c r="BE434" s="478"/>
      <c r="BF434" s="478"/>
      <c r="BG434" s="478"/>
      <c r="BH434" s="478"/>
      <c r="BI434" s="478"/>
    </row>
    <row r="435" spans="1:62" ht="15.75" customHeight="1">
      <c r="A435" s="490" t="s">
        <v>52</v>
      </c>
      <c r="B435" s="475"/>
      <c r="C435" s="694" t="s">
        <v>465</v>
      </c>
      <c r="U435" s="754"/>
      <c r="V435" s="566" t="s">
        <v>52</v>
      </c>
      <c r="W435" s="730" t="s">
        <v>150</v>
      </c>
      <c r="X435" s="703"/>
      <c r="Y435" s="703"/>
      <c r="Z435" s="704">
        <v>22291.666666666664</v>
      </c>
      <c r="AA435" s="703"/>
      <c r="AB435" s="703"/>
      <c r="AC435" s="704"/>
      <c r="AD435" s="732"/>
      <c r="AE435" s="731"/>
      <c r="AF435" s="704">
        <v>16360.879999999997</v>
      </c>
      <c r="AG435" s="705"/>
      <c r="AH435" s="706">
        <v>-5930.7866666666669</v>
      </c>
      <c r="AI435" s="733">
        <v>-0.26605398130841124</v>
      </c>
      <c r="AJ435" s="732"/>
      <c r="AK435" s="703"/>
      <c r="AL435" s="704">
        <v>28055.82</v>
      </c>
      <c r="AM435" s="708"/>
      <c r="AN435" s="706">
        <v>-11694.940000000002</v>
      </c>
      <c r="AO435" s="709">
        <v>-0.41684541745705533</v>
      </c>
      <c r="AP435" s="478"/>
      <c r="AQ435" s="478"/>
      <c r="AR435" s="478"/>
      <c r="AS435" s="478"/>
      <c r="AT435" s="478"/>
      <c r="AU435" s="478"/>
      <c r="AV435" s="478"/>
      <c r="AW435" s="478"/>
      <c r="AX435" s="478"/>
      <c r="AY435" s="478"/>
      <c r="AZ435" s="478"/>
      <c r="BA435" s="478"/>
      <c r="BB435" s="478"/>
      <c r="BC435" s="478"/>
      <c r="BD435" s="478"/>
      <c r="BE435" s="478"/>
      <c r="BF435" s="478"/>
      <c r="BG435" s="478"/>
      <c r="BH435" s="478"/>
      <c r="BI435" s="478"/>
    </row>
    <row r="436" spans="1:62" ht="15.75" customHeight="1">
      <c r="A436" s="490" t="s">
        <v>53</v>
      </c>
      <c r="B436" s="475"/>
      <c r="C436" s="694" t="s">
        <v>465</v>
      </c>
      <c r="U436" s="754"/>
      <c r="V436" s="565" t="s">
        <v>53</v>
      </c>
      <c r="W436" s="726" t="s">
        <v>151</v>
      </c>
      <c r="X436" s="719"/>
      <c r="Y436" s="719"/>
      <c r="Z436" s="720">
        <v>19854.870533333335</v>
      </c>
      <c r="AA436" s="719"/>
      <c r="AB436" s="719"/>
      <c r="AC436" s="720"/>
      <c r="AD436" s="728"/>
      <c r="AE436" s="727"/>
      <c r="AF436" s="720">
        <v>22041.620000000003</v>
      </c>
      <c r="AG436" s="721"/>
      <c r="AH436" s="722">
        <v>2186.749466666668</v>
      </c>
      <c r="AI436" s="723">
        <v>0.11013667719441662</v>
      </c>
      <c r="AJ436" s="728"/>
      <c r="AK436" s="719"/>
      <c r="AL436" s="720">
        <v>22731.840000000004</v>
      </c>
      <c r="AM436" s="724"/>
      <c r="AN436" s="722">
        <v>-690.22000000000116</v>
      </c>
      <c r="AO436" s="729">
        <v>-3.0363578135337969E-2</v>
      </c>
      <c r="AP436" s="478"/>
      <c r="AQ436" s="478"/>
      <c r="AR436" s="478"/>
      <c r="AS436" s="478"/>
      <c r="AT436" s="478"/>
      <c r="AU436" s="478"/>
      <c r="AV436" s="478"/>
      <c r="AW436" s="478"/>
      <c r="AX436" s="478"/>
      <c r="AY436" s="478"/>
      <c r="AZ436" s="478"/>
      <c r="BA436" s="478"/>
      <c r="BB436" s="478"/>
      <c r="BC436" s="478"/>
      <c r="BD436" s="478"/>
      <c r="BE436" s="478"/>
      <c r="BF436" s="478"/>
      <c r="BG436" s="478"/>
      <c r="BH436" s="478"/>
      <c r="BI436" s="478"/>
    </row>
    <row r="437" spans="1:62" ht="15.75" customHeight="1">
      <c r="A437" s="490" t="s">
        <v>54</v>
      </c>
      <c r="B437" s="475"/>
      <c r="C437" s="694" t="s">
        <v>465</v>
      </c>
      <c r="U437" s="754"/>
      <c r="V437" s="565" t="s">
        <v>54</v>
      </c>
      <c r="W437" s="726" t="s">
        <v>152</v>
      </c>
      <c r="X437" s="719"/>
      <c r="Y437" s="719"/>
      <c r="Z437" s="720">
        <v>3125.2751395833329</v>
      </c>
      <c r="AA437" s="719"/>
      <c r="AB437" s="719"/>
      <c r="AC437" s="720"/>
      <c r="AD437" s="728"/>
      <c r="AE437" s="727"/>
      <c r="AF437" s="720">
        <v>5159.8</v>
      </c>
      <c r="AG437" s="721"/>
      <c r="AH437" s="722">
        <v>2034.5248604166673</v>
      </c>
      <c r="AI437" s="723">
        <v>0.65099063907951271</v>
      </c>
      <c r="AJ437" s="728"/>
      <c r="AK437" s="719"/>
      <c r="AL437" s="720">
        <v>4327.88</v>
      </c>
      <c r="AM437" s="724"/>
      <c r="AN437" s="722">
        <v>831.92000000000007</v>
      </c>
      <c r="AO437" s="729">
        <v>0.19222344427294658</v>
      </c>
      <c r="AP437" s="478"/>
      <c r="AQ437" s="478"/>
      <c r="AR437" s="478"/>
      <c r="AS437" s="478"/>
      <c r="AT437" s="478"/>
      <c r="AU437" s="478"/>
      <c r="AV437" s="478"/>
      <c r="AW437" s="478"/>
      <c r="AX437" s="478"/>
      <c r="AY437" s="478"/>
      <c r="AZ437" s="478"/>
      <c r="BA437" s="478"/>
      <c r="BB437" s="478"/>
      <c r="BC437" s="478"/>
      <c r="BD437" s="478"/>
      <c r="BE437" s="478"/>
      <c r="BF437" s="478"/>
      <c r="BG437" s="478"/>
      <c r="BH437" s="478"/>
      <c r="BI437" s="478"/>
    </row>
    <row r="438" spans="1:62" ht="15.75" customHeight="1">
      <c r="A438" s="490" t="s">
        <v>55</v>
      </c>
      <c r="B438" s="475"/>
      <c r="C438" s="694" t="s">
        <v>465</v>
      </c>
      <c r="V438" s="565" t="s">
        <v>55</v>
      </c>
      <c r="W438" s="726" t="s">
        <v>153</v>
      </c>
      <c r="X438" s="719"/>
      <c r="Y438" s="719"/>
      <c r="Z438" s="720">
        <v>19458.252055555557</v>
      </c>
      <c r="AA438" s="719"/>
      <c r="AB438" s="719"/>
      <c r="AC438" s="720"/>
      <c r="AD438" s="728"/>
      <c r="AE438" s="727"/>
      <c r="AF438" s="720">
        <v>29126.33</v>
      </c>
      <c r="AG438" s="721"/>
      <c r="AH438" s="722">
        <v>9668.0779444444452</v>
      </c>
      <c r="AI438" s="723">
        <v>0.49686261216274547</v>
      </c>
      <c r="AJ438" s="728"/>
      <c r="AK438" s="719"/>
      <c r="AL438" s="720">
        <v>20041.339999999997</v>
      </c>
      <c r="AM438" s="724"/>
      <c r="AN438" s="722">
        <v>9084.9900000000052</v>
      </c>
      <c r="AO438" s="729">
        <v>0.4533125030561832</v>
      </c>
      <c r="AP438" s="755"/>
      <c r="AQ438" s="755" t="s">
        <v>477</v>
      </c>
      <c r="AR438" s="478"/>
      <c r="AS438" s="478"/>
      <c r="AT438" s="478"/>
      <c r="AU438" s="478"/>
      <c r="AV438" s="478"/>
      <c r="AW438" s="478"/>
      <c r="AX438" s="478"/>
      <c r="AY438" s="478"/>
      <c r="AZ438" s="478"/>
      <c r="BA438" s="478"/>
      <c r="BB438" s="478"/>
      <c r="BC438" s="478"/>
      <c r="BD438" s="478"/>
      <c r="BE438" s="478"/>
      <c r="BF438" s="478"/>
      <c r="BG438" s="478"/>
      <c r="BH438" s="478"/>
      <c r="BI438" s="478"/>
    </row>
    <row r="439" spans="1:62" ht="15.75" customHeight="1">
      <c r="B439" s="475"/>
      <c r="C439" s="694" t="s">
        <v>465</v>
      </c>
      <c r="V439" s="664" t="s">
        <v>98</v>
      </c>
      <c r="W439" s="746"/>
      <c r="X439" s="747"/>
      <c r="Y439" s="747"/>
      <c r="Z439" s="748">
        <v>0</v>
      </c>
      <c r="AA439" s="747"/>
      <c r="AB439" s="747"/>
      <c r="AC439" s="748"/>
      <c r="AD439" s="749"/>
      <c r="AE439" s="750"/>
      <c r="AF439" s="748">
        <v>0</v>
      </c>
      <c r="AG439" s="756"/>
      <c r="AH439" s="751">
        <v>0</v>
      </c>
      <c r="AI439" s="752">
        <v>0</v>
      </c>
      <c r="AJ439" s="749"/>
      <c r="AK439" s="747"/>
      <c r="AL439" s="748">
        <v>0</v>
      </c>
      <c r="AM439" s="753"/>
      <c r="AN439" s="751">
        <v>0</v>
      </c>
      <c r="AO439" s="725">
        <v>0</v>
      </c>
      <c r="AP439" s="478"/>
      <c r="AQ439" s="478"/>
      <c r="AR439" s="478"/>
      <c r="AS439" s="478"/>
      <c r="AT439" s="478"/>
      <c r="AU439" s="478"/>
      <c r="AV439" s="478"/>
      <c r="AW439" s="478"/>
      <c r="AX439" s="478"/>
      <c r="AY439" s="478"/>
      <c r="AZ439" s="478"/>
      <c r="BA439" s="478"/>
      <c r="BB439" s="478"/>
      <c r="BC439" s="478"/>
      <c r="BD439" s="478"/>
      <c r="BE439" s="478"/>
      <c r="BF439" s="478"/>
      <c r="BG439" s="478"/>
      <c r="BH439" s="478"/>
      <c r="BI439" s="478"/>
    </row>
    <row r="440" spans="1:62" ht="15.75" customHeight="1">
      <c r="A440" s="490" t="s">
        <v>56</v>
      </c>
      <c r="B440" s="475"/>
      <c r="C440" s="694" t="s">
        <v>465</v>
      </c>
      <c r="V440" s="565" t="s">
        <v>56</v>
      </c>
      <c r="W440" s="726" t="s">
        <v>154</v>
      </c>
      <c r="X440" s="719"/>
      <c r="Y440" s="727"/>
      <c r="Z440" s="720">
        <v>2169.8120013947128</v>
      </c>
      <c r="AA440" s="719"/>
      <c r="AB440" s="727"/>
      <c r="AC440" s="720"/>
      <c r="AD440" s="728"/>
      <c r="AE440" s="727"/>
      <c r="AF440" s="720">
        <v>11285.07</v>
      </c>
      <c r="AG440" s="721"/>
      <c r="AH440" s="722">
        <v>9115.2579986052879</v>
      </c>
      <c r="AI440" s="723">
        <v>4.2009436728832625</v>
      </c>
      <c r="AJ440" s="728"/>
      <c r="AK440" s="719"/>
      <c r="AL440" s="720">
        <v>2319.44</v>
      </c>
      <c r="AM440" s="724"/>
      <c r="AN440" s="722">
        <v>8965.6299999999992</v>
      </c>
      <c r="AO440" s="729">
        <v>3.8654287241748002</v>
      </c>
      <c r="AP440" s="478"/>
      <c r="AQ440" s="478"/>
      <c r="AR440" s="478"/>
      <c r="AS440" s="478"/>
      <c r="AT440" s="478"/>
      <c r="AU440" s="478"/>
      <c r="AV440" s="478"/>
      <c r="AW440" s="478"/>
      <c r="AX440" s="478"/>
      <c r="AY440" s="478"/>
      <c r="AZ440" s="478"/>
      <c r="BA440" s="478"/>
      <c r="BB440" s="478"/>
      <c r="BC440" s="478"/>
      <c r="BD440" s="478"/>
      <c r="BE440" s="478"/>
      <c r="BF440" s="478"/>
      <c r="BG440" s="478"/>
      <c r="BH440" s="478"/>
      <c r="BI440" s="478"/>
      <c r="BJ440" s="478"/>
    </row>
    <row r="441" spans="1:62" ht="15.75" customHeight="1">
      <c r="A441" s="490" t="s">
        <v>57</v>
      </c>
      <c r="B441" s="475"/>
      <c r="C441" s="694" t="s">
        <v>465</v>
      </c>
      <c r="U441" s="478"/>
      <c r="V441" s="565" t="s">
        <v>57</v>
      </c>
      <c r="W441" s="726" t="s">
        <v>155</v>
      </c>
      <c r="X441" s="719"/>
      <c r="Y441" s="719"/>
      <c r="Z441" s="720">
        <v>1120.4661782951334</v>
      </c>
      <c r="AA441" s="719"/>
      <c r="AB441" s="719"/>
      <c r="AC441" s="720"/>
      <c r="AD441" s="728"/>
      <c r="AE441" s="727"/>
      <c r="AF441" s="720">
        <v>608.80999999999995</v>
      </c>
      <c r="AG441" s="721"/>
      <c r="AH441" s="722">
        <v>-511.65617829513349</v>
      </c>
      <c r="AI441" s="742">
        <v>-0.45664580351158268</v>
      </c>
      <c r="AJ441" s="728"/>
      <c r="AK441" s="719"/>
      <c r="AL441" s="720">
        <v>518.92999999999995</v>
      </c>
      <c r="AM441" s="724"/>
      <c r="AN441" s="722">
        <v>89.88</v>
      </c>
      <c r="AO441" s="729">
        <v>0.17320255140385024</v>
      </c>
      <c r="AP441" s="478"/>
      <c r="AQ441" s="478"/>
      <c r="AR441" s="478"/>
      <c r="AS441" s="478"/>
      <c r="AT441" s="478"/>
      <c r="AU441" s="478"/>
      <c r="AV441" s="478"/>
      <c r="AW441" s="478"/>
      <c r="AX441" s="478"/>
      <c r="AY441" s="478"/>
      <c r="AZ441" s="478"/>
      <c r="BA441" s="478"/>
      <c r="BB441" s="478"/>
      <c r="BC441" s="478"/>
      <c r="BD441" s="478"/>
      <c r="BE441" s="478"/>
      <c r="BF441" s="478"/>
      <c r="BG441" s="478"/>
      <c r="BH441" s="478"/>
      <c r="BI441" s="478"/>
      <c r="BJ441" s="478"/>
    </row>
    <row r="442" spans="1:62" ht="15.75" customHeight="1">
      <c r="A442" s="490" t="s">
        <v>58</v>
      </c>
      <c r="B442" s="475"/>
      <c r="C442" s="694" t="s">
        <v>465</v>
      </c>
      <c r="T442" s="478"/>
      <c r="U442" s="478"/>
      <c r="V442" s="565" t="s">
        <v>58</v>
      </c>
      <c r="W442" s="726" t="s">
        <v>156</v>
      </c>
      <c r="X442" s="719"/>
      <c r="Y442" s="719"/>
      <c r="Z442" s="720">
        <v>2385.7844849999992</v>
      </c>
      <c r="AA442" s="719"/>
      <c r="AB442" s="719"/>
      <c r="AC442" s="720"/>
      <c r="AD442" s="728"/>
      <c r="AE442" s="727"/>
      <c r="AF442" s="720">
        <v>2665.1099999999997</v>
      </c>
      <c r="AG442" s="721"/>
      <c r="AH442" s="722">
        <v>279.32551500000045</v>
      </c>
      <c r="AI442" s="723">
        <v>0.117079106162433</v>
      </c>
      <c r="AJ442" s="728"/>
      <c r="AK442" s="719"/>
      <c r="AL442" s="720">
        <v>2824.5299999999997</v>
      </c>
      <c r="AM442" s="724"/>
      <c r="AN442" s="722">
        <v>-159.42000000000007</v>
      </c>
      <c r="AO442" s="729">
        <v>-5.6441248632515886E-2</v>
      </c>
      <c r="AP442" s="478"/>
      <c r="AQ442" s="478"/>
      <c r="AR442" s="478"/>
      <c r="AS442" s="478"/>
      <c r="AT442" s="478"/>
      <c r="AU442" s="478"/>
      <c r="AV442" s="478"/>
      <c r="AW442" s="478"/>
      <c r="AX442" s="478"/>
      <c r="AY442" s="478"/>
      <c r="AZ442" s="478"/>
      <c r="BA442" s="478"/>
      <c r="BB442" s="478"/>
      <c r="BC442" s="478"/>
      <c r="BD442" s="478"/>
      <c r="BE442" s="478"/>
      <c r="BF442" s="478"/>
      <c r="BG442" s="478"/>
      <c r="BH442" s="478"/>
      <c r="BI442" s="478"/>
      <c r="BJ442" s="478"/>
    </row>
    <row r="443" spans="1:62" ht="15.75" customHeight="1">
      <c r="A443" s="490" t="s">
        <v>59</v>
      </c>
      <c r="B443" s="475"/>
      <c r="C443" s="694" t="s">
        <v>465</v>
      </c>
      <c r="T443" s="478"/>
      <c r="U443" s="478"/>
      <c r="V443" s="565" t="s">
        <v>59</v>
      </c>
      <c r="W443" s="726" t="s">
        <v>157</v>
      </c>
      <c r="X443" s="719"/>
      <c r="Y443" s="719"/>
      <c r="Z443" s="720">
        <v>808.50078173611109</v>
      </c>
      <c r="AA443" s="719"/>
      <c r="AB443" s="719"/>
      <c r="AC443" s="720"/>
      <c r="AD443" s="728"/>
      <c r="AE443" s="727"/>
      <c r="AF443" s="720">
        <v>668.71</v>
      </c>
      <c r="AG443" s="721"/>
      <c r="AH443" s="722">
        <v>-139.79078173611106</v>
      </c>
      <c r="AI443" s="742">
        <v>-0.17290123261963372</v>
      </c>
      <c r="AJ443" s="728"/>
      <c r="AK443" s="719"/>
      <c r="AL443" s="720">
        <v>673.82999999999993</v>
      </c>
      <c r="AM443" s="724"/>
      <c r="AN443" s="722">
        <v>-5.1199999999998909</v>
      </c>
      <c r="AO443" s="729">
        <v>-7.5983556683434867E-3</v>
      </c>
      <c r="AP443" s="478"/>
      <c r="AQ443" s="478"/>
      <c r="AR443" s="478"/>
      <c r="AS443" s="478"/>
      <c r="AT443" s="478"/>
      <c r="AU443" s="478"/>
      <c r="AV443" s="478"/>
      <c r="AW443" s="478"/>
      <c r="AX443" s="478"/>
      <c r="AY443" s="478"/>
      <c r="AZ443" s="478"/>
      <c r="BA443" s="478"/>
      <c r="BB443" s="478"/>
      <c r="BC443" s="478"/>
      <c r="BD443" s="478"/>
      <c r="BE443" s="478"/>
      <c r="BF443" s="478"/>
      <c r="BG443" s="478"/>
      <c r="BH443" s="478"/>
      <c r="BI443" s="478"/>
      <c r="BJ443" s="478"/>
    </row>
    <row r="444" spans="1:62" ht="15.75" customHeight="1">
      <c r="A444" s="490" t="s">
        <v>60</v>
      </c>
      <c r="B444" s="475"/>
      <c r="C444" s="694" t="s">
        <v>465</v>
      </c>
      <c r="T444" s="478"/>
      <c r="U444" s="478"/>
      <c r="V444" s="565" t="s">
        <v>60</v>
      </c>
      <c r="W444" s="726" t="s">
        <v>158</v>
      </c>
      <c r="X444" s="719"/>
      <c r="Y444" s="719"/>
      <c r="Z444" s="720">
        <v>386.70091826388881</v>
      </c>
      <c r="AA444" s="719"/>
      <c r="AB444" s="719"/>
      <c r="AC444" s="720"/>
      <c r="AD444" s="728"/>
      <c r="AE444" s="727"/>
      <c r="AF444" s="720">
        <v>224.46000000000004</v>
      </c>
      <c r="AG444" s="721"/>
      <c r="AH444" s="722">
        <v>-162.24091826388877</v>
      </c>
      <c r="AI444" s="723">
        <v>-0.41955141713207378</v>
      </c>
      <c r="AJ444" s="728"/>
      <c r="AK444" s="719"/>
      <c r="AL444" s="720">
        <v>500.63</v>
      </c>
      <c r="AM444" s="724"/>
      <c r="AN444" s="722">
        <v>-276.16999999999996</v>
      </c>
      <c r="AO444" s="729">
        <v>-0.55164492739148663</v>
      </c>
      <c r="AP444" s="478"/>
      <c r="AQ444" s="478"/>
      <c r="AR444" s="478"/>
      <c r="AS444" s="478"/>
      <c r="AT444" s="478"/>
      <c r="AU444" s="478"/>
      <c r="AV444" s="478"/>
      <c r="AW444" s="478"/>
      <c r="AX444" s="478"/>
      <c r="AY444" s="478"/>
      <c r="AZ444" s="478"/>
      <c r="BA444" s="478"/>
      <c r="BB444" s="478"/>
      <c r="BC444" s="478"/>
      <c r="BD444" s="478"/>
      <c r="BE444" s="478"/>
      <c r="BF444" s="478"/>
      <c r="BG444" s="478"/>
      <c r="BH444" s="478"/>
      <c r="BI444" s="478"/>
      <c r="BJ444" s="478"/>
    </row>
    <row r="445" spans="1:62" ht="15.75" customHeight="1">
      <c r="A445" s="490" t="s">
        <v>61</v>
      </c>
      <c r="B445" s="475"/>
      <c r="C445" s="694" t="s">
        <v>465</v>
      </c>
      <c r="T445" s="478"/>
      <c r="U445" s="478"/>
      <c r="V445" s="565" t="s">
        <v>61</v>
      </c>
      <c r="W445" s="726" t="s">
        <v>159</v>
      </c>
      <c r="X445" s="719"/>
      <c r="Y445" s="727"/>
      <c r="Z445" s="720">
        <v>1469.3198845138888</v>
      </c>
      <c r="AA445" s="719"/>
      <c r="AB445" s="727"/>
      <c r="AC445" s="720"/>
      <c r="AD445" s="728"/>
      <c r="AE445" s="727"/>
      <c r="AF445" s="720">
        <v>749.64</v>
      </c>
      <c r="AG445" s="721"/>
      <c r="AH445" s="722">
        <v>-719.67988451388885</v>
      </c>
      <c r="AI445" s="742">
        <v>-0.48980476756563357</v>
      </c>
      <c r="AJ445" s="728"/>
      <c r="AK445" s="719"/>
      <c r="AL445" s="720">
        <v>473.67999999999995</v>
      </c>
      <c r="AM445" s="724"/>
      <c r="AN445" s="722">
        <v>275.96000000000004</v>
      </c>
      <c r="AO445" s="729">
        <v>0.58258740077689597</v>
      </c>
      <c r="AP445" s="478"/>
      <c r="AQ445" s="478"/>
      <c r="AR445" s="478"/>
      <c r="AS445" s="478"/>
      <c r="AT445" s="478"/>
      <c r="AU445" s="478"/>
      <c r="AV445" s="478"/>
      <c r="AW445" s="478"/>
      <c r="AX445" s="478"/>
      <c r="AY445" s="478"/>
      <c r="AZ445" s="478"/>
      <c r="BA445" s="478"/>
      <c r="BB445" s="478"/>
      <c r="BC445" s="478"/>
      <c r="BD445" s="478"/>
      <c r="BE445" s="478"/>
      <c r="BF445" s="478"/>
      <c r="BG445" s="478"/>
      <c r="BH445" s="478"/>
      <c r="BI445" s="478"/>
      <c r="BJ445" s="478"/>
    </row>
    <row r="446" spans="1:62" ht="15.75" customHeight="1">
      <c r="A446" s="490" t="s">
        <v>62</v>
      </c>
      <c r="B446" s="475"/>
      <c r="C446" s="694" t="s">
        <v>465</v>
      </c>
      <c r="T446" s="478"/>
      <c r="U446" s="478"/>
      <c r="V446" s="565" t="s">
        <v>62</v>
      </c>
      <c r="W446" s="726" t="s">
        <v>160</v>
      </c>
      <c r="X446" s="719"/>
      <c r="Y446" s="727"/>
      <c r="Z446" s="720">
        <v>3513.3333333333339</v>
      </c>
      <c r="AA446" s="719"/>
      <c r="AB446" s="727"/>
      <c r="AC446" s="720"/>
      <c r="AD446" s="728"/>
      <c r="AE446" s="727"/>
      <c r="AF446" s="720">
        <v>8691.65</v>
      </c>
      <c r="AG446" s="721"/>
      <c r="AH446" s="757">
        <v>5178.3166666666657</v>
      </c>
      <c r="AI446" s="723">
        <v>1.4739041745730546</v>
      </c>
      <c r="AJ446" s="728"/>
      <c r="AK446" s="719"/>
      <c r="AL446" s="720">
        <v>2488.7400000000002</v>
      </c>
      <c r="AM446" s="724"/>
      <c r="AN446" s="722">
        <v>6202.91</v>
      </c>
      <c r="AO446" s="729">
        <v>2.492389723313805</v>
      </c>
      <c r="AQ446" s="478"/>
      <c r="AR446" s="478"/>
      <c r="AS446" s="478"/>
      <c r="AT446" s="478"/>
      <c r="AU446" s="478"/>
      <c r="AV446" s="478"/>
      <c r="AW446" s="478"/>
      <c r="AX446" s="478"/>
      <c r="AY446" s="478"/>
      <c r="AZ446" s="478"/>
      <c r="BA446" s="478"/>
      <c r="BB446" s="478"/>
      <c r="BC446" s="478"/>
      <c r="BD446" s="478"/>
      <c r="BE446" s="478"/>
      <c r="BF446" s="478"/>
      <c r="BG446" s="478"/>
      <c r="BH446" s="478"/>
      <c r="BI446" s="478"/>
      <c r="BJ446" s="478"/>
    </row>
    <row r="447" spans="1:62" ht="15.75" customHeight="1">
      <c r="A447" s="490" t="s">
        <v>63</v>
      </c>
      <c r="B447" s="475"/>
      <c r="C447" s="694" t="s">
        <v>465</v>
      </c>
      <c r="T447" s="478"/>
      <c r="U447" s="478"/>
      <c r="V447" s="565" t="s">
        <v>63</v>
      </c>
      <c r="W447" s="726" t="s">
        <v>161</v>
      </c>
      <c r="X447" s="719"/>
      <c r="Y447" s="727"/>
      <c r="Z447" s="720">
        <v>5331.5129522073876</v>
      </c>
      <c r="AA447" s="719"/>
      <c r="AB447" s="727"/>
      <c r="AC447" s="720"/>
      <c r="AD447" s="728"/>
      <c r="AE447" s="727"/>
      <c r="AF447" s="720">
        <v>8007.9</v>
      </c>
      <c r="AG447" s="721"/>
      <c r="AH447" s="722">
        <v>2676.3870477926121</v>
      </c>
      <c r="AI447" s="723">
        <v>0.50199391275688765</v>
      </c>
      <c r="AJ447" s="728"/>
      <c r="AK447" s="719"/>
      <c r="AL447" s="720">
        <v>7641.83</v>
      </c>
      <c r="AM447" s="724"/>
      <c r="AN447" s="722">
        <v>366.06999999999971</v>
      </c>
      <c r="AO447" s="729">
        <v>4.790344721094289E-2</v>
      </c>
      <c r="AQ447" s="478"/>
      <c r="AR447" s="478"/>
      <c r="AS447" s="478"/>
      <c r="AT447" s="478"/>
      <c r="AU447" s="478"/>
      <c r="AV447" s="478"/>
      <c r="AW447" s="478"/>
      <c r="AX447" s="478"/>
      <c r="AY447" s="478"/>
      <c r="AZ447" s="478"/>
      <c r="BA447" s="478"/>
      <c r="BB447" s="478"/>
      <c r="BC447" s="478"/>
      <c r="BD447" s="478"/>
      <c r="BE447" s="478"/>
      <c r="BF447" s="478"/>
      <c r="BG447" s="478"/>
      <c r="BH447" s="478"/>
      <c r="BI447" s="478"/>
      <c r="BJ447" s="478"/>
    </row>
    <row r="448" spans="1:62" ht="15.75" hidden="1" customHeight="1">
      <c r="A448" s="490" t="s">
        <v>20</v>
      </c>
      <c r="B448" s="475"/>
      <c r="C448" s="694" t="s">
        <v>465</v>
      </c>
      <c r="T448" s="478"/>
      <c r="U448" s="478"/>
      <c r="V448" s="565" t="s">
        <v>20</v>
      </c>
      <c r="W448" s="726"/>
      <c r="X448" s="719"/>
      <c r="Y448" s="727"/>
      <c r="Z448" s="720">
        <v>0</v>
      </c>
      <c r="AA448" s="719"/>
      <c r="AB448" s="719"/>
      <c r="AC448" s="720"/>
      <c r="AD448" s="728"/>
      <c r="AE448" s="727"/>
      <c r="AF448" s="720">
        <v>0</v>
      </c>
      <c r="AG448" s="721"/>
      <c r="AH448" s="722">
        <v>0</v>
      </c>
      <c r="AI448" s="723">
        <v>0</v>
      </c>
      <c r="AJ448" s="728"/>
      <c r="AK448" s="719"/>
      <c r="AL448" s="720">
        <v>0</v>
      </c>
      <c r="AM448" s="724"/>
      <c r="AN448" s="722">
        <v>0</v>
      </c>
      <c r="AO448" s="729">
        <v>0</v>
      </c>
      <c r="AP448" s="478"/>
      <c r="AQ448" s="478"/>
      <c r="AR448" s="478"/>
      <c r="AS448" s="478"/>
      <c r="AT448" s="478"/>
      <c r="AU448" s="478"/>
      <c r="AV448" s="478"/>
      <c r="AW448" s="478"/>
      <c r="AX448" s="478"/>
      <c r="AY448" s="478"/>
      <c r="AZ448" s="478"/>
      <c r="BA448" s="478"/>
      <c r="BB448" s="478"/>
      <c r="BC448" s="478"/>
      <c r="BD448" s="478"/>
      <c r="BE448" s="478"/>
      <c r="BF448" s="478"/>
      <c r="BG448" s="478"/>
      <c r="BH448" s="478"/>
      <c r="BI448" s="478"/>
      <c r="BJ448" s="478"/>
    </row>
    <row r="449" spans="1:62" ht="15.75" hidden="1" customHeight="1">
      <c r="A449" s="490" t="s">
        <v>20</v>
      </c>
      <c r="B449" s="475"/>
      <c r="C449" s="694" t="s">
        <v>465</v>
      </c>
      <c r="T449" s="478"/>
      <c r="U449" s="478"/>
      <c r="V449" s="565" t="s">
        <v>20</v>
      </c>
      <c r="W449" s="726"/>
      <c r="X449" s="719"/>
      <c r="Y449" s="727"/>
      <c r="Z449" s="720">
        <v>0</v>
      </c>
      <c r="AA449" s="719"/>
      <c r="AB449" s="719"/>
      <c r="AC449" s="720"/>
      <c r="AD449" s="728"/>
      <c r="AE449" s="727"/>
      <c r="AF449" s="720">
        <v>0</v>
      </c>
      <c r="AG449" s="721"/>
      <c r="AH449" s="722">
        <v>0</v>
      </c>
      <c r="AI449" s="723">
        <v>0</v>
      </c>
      <c r="AJ449" s="728"/>
      <c r="AK449" s="719"/>
      <c r="AL449" s="720">
        <v>0</v>
      </c>
      <c r="AM449" s="724"/>
      <c r="AN449" s="722">
        <v>0</v>
      </c>
      <c r="AO449" s="729">
        <v>0</v>
      </c>
      <c r="AP449" s="478"/>
      <c r="AQ449" s="478"/>
      <c r="AR449" s="478"/>
      <c r="AS449" s="478"/>
      <c r="AT449" s="478"/>
      <c r="AU449" s="478"/>
      <c r="AV449" s="478"/>
      <c r="AW449" s="478"/>
      <c r="AX449" s="478"/>
      <c r="AY449" s="478"/>
      <c r="AZ449" s="478"/>
      <c r="BA449" s="478"/>
      <c r="BB449" s="478"/>
      <c r="BC449" s="478"/>
      <c r="BD449" s="478"/>
      <c r="BE449" s="478"/>
      <c r="BF449" s="478"/>
      <c r="BG449" s="478"/>
      <c r="BH449" s="478"/>
      <c r="BI449" s="478"/>
      <c r="BJ449" s="478"/>
    </row>
    <row r="450" spans="1:62" ht="15.75" hidden="1" customHeight="1">
      <c r="A450" s="490" t="s">
        <v>20</v>
      </c>
      <c r="B450" s="475"/>
      <c r="C450" s="694" t="s">
        <v>465</v>
      </c>
      <c r="T450" s="478"/>
      <c r="U450" s="478"/>
      <c r="V450" s="565" t="s">
        <v>20</v>
      </c>
      <c r="W450" s="726"/>
      <c r="X450" s="719"/>
      <c r="Y450" s="727"/>
      <c r="Z450" s="720">
        <v>0</v>
      </c>
      <c r="AA450" s="719"/>
      <c r="AB450" s="719"/>
      <c r="AC450" s="720"/>
      <c r="AD450" s="728"/>
      <c r="AE450" s="727"/>
      <c r="AF450" s="720">
        <v>0</v>
      </c>
      <c r="AG450" s="721"/>
      <c r="AH450" s="722">
        <v>0</v>
      </c>
      <c r="AI450" s="723">
        <v>0</v>
      </c>
      <c r="AJ450" s="728"/>
      <c r="AK450" s="719"/>
      <c r="AL450" s="720">
        <v>0</v>
      </c>
      <c r="AM450" s="724"/>
      <c r="AN450" s="722">
        <v>0</v>
      </c>
      <c r="AO450" s="729">
        <v>0</v>
      </c>
      <c r="AP450" s="478"/>
      <c r="AQ450" s="478"/>
      <c r="AR450" s="478"/>
      <c r="AS450" s="478"/>
      <c r="AT450" s="478"/>
      <c r="AU450" s="478"/>
      <c r="AV450" s="478"/>
      <c r="AW450" s="478"/>
      <c r="AX450" s="478"/>
      <c r="AY450" s="478"/>
      <c r="AZ450" s="478"/>
      <c r="BA450" s="478"/>
      <c r="BB450" s="478"/>
      <c r="BC450" s="478"/>
      <c r="BD450" s="478"/>
      <c r="BE450" s="478"/>
      <c r="BF450" s="478"/>
      <c r="BG450" s="478"/>
      <c r="BH450" s="478"/>
      <c r="BI450" s="478"/>
      <c r="BJ450" s="478"/>
    </row>
    <row r="451" spans="1:62" ht="15.75" customHeight="1">
      <c r="A451" s="490" t="s">
        <v>64</v>
      </c>
      <c r="B451" s="475"/>
      <c r="C451" s="694" t="s">
        <v>465</v>
      </c>
      <c r="T451" s="478"/>
      <c r="U451" s="478"/>
      <c r="V451" s="734" t="s">
        <v>64</v>
      </c>
      <c r="W451" s="758"/>
      <c r="X451" s="736">
        <v>0.15207241609653835</v>
      </c>
      <c r="Y451" s="735"/>
      <c r="Z451" s="737">
        <v>97833.874246911379</v>
      </c>
      <c r="AA451" s="736"/>
      <c r="AB451" s="735"/>
      <c r="AC451" s="737"/>
      <c r="AD451" s="738">
        <v>0.20386864924162415</v>
      </c>
      <c r="AE451" s="735"/>
      <c r="AF451" s="737">
        <v>128089.18</v>
      </c>
      <c r="AG451" s="744"/>
      <c r="AH451" s="759">
        <v>30255.305753088607</v>
      </c>
      <c r="AI451" s="736">
        <v>0.30925184130734523</v>
      </c>
      <c r="AJ451" s="738">
        <v>0.17670921044603088</v>
      </c>
      <c r="AK451" s="736"/>
      <c r="AL451" s="737">
        <v>115843.49</v>
      </c>
      <c r="AM451" s="745"/>
      <c r="AN451" s="740">
        <v>12245.689999999999</v>
      </c>
      <c r="AO451" s="760">
        <v>0.1057089181273803</v>
      </c>
      <c r="AP451" s="478"/>
      <c r="AQ451" s="478"/>
      <c r="AR451" s="478"/>
      <c r="AS451" s="478"/>
      <c r="AT451" s="478"/>
      <c r="AU451" s="478"/>
      <c r="AV451" s="478"/>
      <c r="AW451" s="478"/>
      <c r="AX451" s="478"/>
      <c r="AY451" s="478"/>
      <c r="AZ451" s="478"/>
      <c r="BA451" s="478"/>
      <c r="BB451" s="478"/>
      <c r="BC451" s="478"/>
      <c r="BD451" s="478"/>
      <c r="BE451" s="478"/>
      <c r="BF451" s="478"/>
      <c r="BG451" s="478"/>
      <c r="BH451" s="478"/>
      <c r="BI451" s="478"/>
      <c r="BJ451" s="478"/>
    </row>
    <row r="452" spans="1:62" ht="15.75" customHeight="1">
      <c r="A452" s="490" t="s">
        <v>162</v>
      </c>
      <c r="B452" s="475"/>
      <c r="C452" s="694" t="s">
        <v>465</v>
      </c>
      <c r="D452" s="478"/>
      <c r="E452" s="478"/>
      <c r="F452" s="478"/>
      <c r="G452" s="478"/>
      <c r="H452" s="478"/>
      <c r="I452" s="478"/>
      <c r="J452" s="478"/>
      <c r="K452" s="478"/>
      <c r="L452" s="478"/>
      <c r="M452" s="478"/>
      <c r="N452" s="478"/>
      <c r="O452" s="478"/>
      <c r="P452" s="478"/>
      <c r="Q452" s="478"/>
      <c r="R452" s="478"/>
      <c r="S452" s="478"/>
      <c r="T452" s="478"/>
      <c r="U452" s="478"/>
      <c r="V452" s="565" t="s">
        <v>162</v>
      </c>
      <c r="W452" s="726" t="s">
        <v>163</v>
      </c>
      <c r="X452" s="719"/>
      <c r="Y452" s="727"/>
      <c r="Z452" s="720">
        <v>26000.000000000004</v>
      </c>
      <c r="AA452" s="719"/>
      <c r="AB452" s="727"/>
      <c r="AC452" s="720"/>
      <c r="AD452" s="728"/>
      <c r="AE452" s="727"/>
      <c r="AF452" s="720">
        <v>26000</v>
      </c>
      <c r="AG452" s="721"/>
      <c r="AH452" s="722">
        <v>0</v>
      </c>
      <c r="AI452" s="723">
        <v>0</v>
      </c>
      <c r="AJ452" s="728"/>
      <c r="AK452" s="719"/>
      <c r="AL452" s="720">
        <v>26000</v>
      </c>
      <c r="AM452" s="724"/>
      <c r="AN452" s="722">
        <v>0</v>
      </c>
      <c r="AO452" s="729">
        <v>0</v>
      </c>
      <c r="AP452" s="478"/>
      <c r="AQ452" s="478"/>
      <c r="AR452" s="478"/>
      <c r="AS452" s="478"/>
      <c r="AT452" s="478"/>
      <c r="AU452" s="478"/>
      <c r="AV452" s="478"/>
      <c r="AW452" s="478"/>
      <c r="AX452" s="478"/>
      <c r="AY452" s="478"/>
      <c r="AZ452" s="478"/>
      <c r="BA452" s="478"/>
      <c r="BB452" s="478"/>
      <c r="BC452" s="478"/>
      <c r="BD452" s="478"/>
      <c r="BE452" s="478"/>
      <c r="BF452" s="478"/>
      <c r="BG452" s="478"/>
      <c r="BH452" s="478"/>
      <c r="BI452" s="478"/>
      <c r="BJ452" s="478"/>
    </row>
    <row r="453" spans="1:62" ht="15.75" customHeight="1">
      <c r="A453" s="490" t="s">
        <v>164</v>
      </c>
      <c r="B453" s="475"/>
      <c r="C453" s="694" t="s">
        <v>465</v>
      </c>
      <c r="D453" s="478"/>
      <c r="E453" s="478"/>
      <c r="F453" s="478"/>
      <c r="G453" s="478"/>
      <c r="H453" s="478"/>
      <c r="I453" s="478"/>
      <c r="J453" s="478"/>
      <c r="K453" s="478"/>
      <c r="L453" s="478"/>
      <c r="M453" s="478"/>
      <c r="N453" s="478"/>
      <c r="O453" s="478"/>
      <c r="P453" s="478"/>
      <c r="Q453" s="478"/>
      <c r="R453" s="478"/>
      <c r="S453" s="478"/>
      <c r="T453" s="478"/>
      <c r="U453" s="478"/>
      <c r="V453" s="565" t="s">
        <v>164</v>
      </c>
      <c r="W453" s="726" t="s">
        <v>165</v>
      </c>
      <c r="X453" s="719"/>
      <c r="Y453" s="727"/>
      <c r="Z453" s="720">
        <v>5281.6050000000005</v>
      </c>
      <c r="AA453" s="719"/>
      <c r="AB453" s="727"/>
      <c r="AC453" s="720"/>
      <c r="AD453" s="728"/>
      <c r="AE453" s="727"/>
      <c r="AF453" s="720">
        <v>4930</v>
      </c>
      <c r="AG453" s="721"/>
      <c r="AH453" s="722">
        <v>-351.60500000000047</v>
      </c>
      <c r="AI453" s="723">
        <v>-6.6571619801177942E-2</v>
      </c>
      <c r="AJ453" s="728"/>
      <c r="AK453" s="719"/>
      <c r="AL453" s="720">
        <v>4930</v>
      </c>
      <c r="AM453" s="724"/>
      <c r="AN453" s="722">
        <v>0</v>
      </c>
      <c r="AO453" s="729">
        <v>0</v>
      </c>
      <c r="AP453" s="478"/>
      <c r="AQ453" s="478"/>
      <c r="AR453" s="478"/>
      <c r="AS453" s="478"/>
      <c r="AT453" s="478"/>
      <c r="AU453" s="478"/>
      <c r="AV453" s="478"/>
      <c r="AW453" s="478"/>
      <c r="AX453" s="478"/>
      <c r="AY453" s="478"/>
      <c r="AZ453" s="478"/>
      <c r="BA453" s="478"/>
      <c r="BB453" s="478"/>
      <c r="BC453" s="478"/>
      <c r="BD453" s="478"/>
      <c r="BE453" s="478"/>
      <c r="BF453" s="478"/>
      <c r="BG453" s="478"/>
      <c r="BH453" s="478"/>
      <c r="BI453" s="478"/>
      <c r="BJ453" s="478"/>
    </row>
    <row r="454" spans="1:62" ht="15.75" customHeight="1">
      <c r="A454" s="490" t="s">
        <v>166</v>
      </c>
      <c r="B454" s="475"/>
      <c r="C454" s="694" t="s">
        <v>465</v>
      </c>
      <c r="D454" s="478"/>
      <c r="E454" s="478"/>
      <c r="F454" s="478"/>
      <c r="G454" s="478"/>
      <c r="H454" s="478"/>
      <c r="I454" s="478"/>
      <c r="J454" s="478"/>
      <c r="K454" s="478"/>
      <c r="L454" s="478"/>
      <c r="M454" s="478"/>
      <c r="N454" s="478"/>
      <c r="O454" s="478"/>
      <c r="P454" s="478"/>
      <c r="Q454" s="478"/>
      <c r="R454" s="478"/>
      <c r="S454" s="478"/>
      <c r="T454" s="478"/>
      <c r="U454" s="478"/>
      <c r="V454" s="566" t="s">
        <v>166</v>
      </c>
      <c r="W454" s="730" t="s">
        <v>167</v>
      </c>
      <c r="X454" s="703"/>
      <c r="Y454" s="731"/>
      <c r="Z454" s="704">
        <v>3513.8249999999998</v>
      </c>
      <c r="AA454" s="703"/>
      <c r="AB454" s="731"/>
      <c r="AC454" s="704"/>
      <c r="AD454" s="732"/>
      <c r="AE454" s="731"/>
      <c r="AF454" s="704">
        <v>3279.9999999999995</v>
      </c>
      <c r="AG454" s="705"/>
      <c r="AH454" s="706">
        <v>-233.82500000000027</v>
      </c>
      <c r="AI454" s="733">
        <v>-6.6544292900187194E-2</v>
      </c>
      <c r="AJ454" s="732"/>
      <c r="AK454" s="703"/>
      <c r="AL454" s="704">
        <v>3279.9999999999995</v>
      </c>
      <c r="AM454" s="708"/>
      <c r="AN454" s="706">
        <v>0</v>
      </c>
      <c r="AO454" s="709">
        <v>0</v>
      </c>
      <c r="AP454" s="478"/>
      <c r="AQ454" s="478"/>
      <c r="AR454" s="478"/>
      <c r="AS454" s="478"/>
      <c r="AT454" s="478"/>
      <c r="AU454" s="478"/>
      <c r="AV454" s="478"/>
      <c r="AW454" s="478"/>
      <c r="AX454" s="478"/>
      <c r="AY454" s="478"/>
      <c r="AZ454" s="478"/>
      <c r="BA454" s="478"/>
      <c r="BB454" s="478"/>
      <c r="BC454" s="478"/>
      <c r="BD454" s="478"/>
      <c r="BE454" s="478"/>
      <c r="BF454" s="478"/>
      <c r="BG454" s="478"/>
      <c r="BH454" s="478"/>
      <c r="BI454" s="478"/>
      <c r="BJ454" s="478"/>
    </row>
    <row r="455" spans="1:62" ht="15.75" customHeight="1">
      <c r="A455" s="490" t="s">
        <v>168</v>
      </c>
      <c r="B455" s="475"/>
      <c r="C455" s="694" t="s">
        <v>465</v>
      </c>
      <c r="D455" s="478"/>
      <c r="E455" s="478"/>
      <c r="F455" s="478"/>
      <c r="G455" s="478"/>
      <c r="H455" s="478"/>
      <c r="I455" s="478"/>
      <c r="J455" s="478"/>
      <c r="K455" s="478"/>
      <c r="L455" s="478"/>
      <c r="M455" s="478"/>
      <c r="N455" s="478"/>
      <c r="O455" s="478"/>
      <c r="P455" s="478"/>
      <c r="Q455" s="478"/>
      <c r="R455" s="478"/>
      <c r="S455" s="478"/>
      <c r="T455" s="478"/>
      <c r="U455" s="478"/>
      <c r="V455" s="565" t="s">
        <v>168</v>
      </c>
      <c r="W455" s="726"/>
      <c r="X455" s="719"/>
      <c r="Y455" s="727"/>
      <c r="Z455" s="720">
        <v>0</v>
      </c>
      <c r="AA455" s="719"/>
      <c r="AB455" s="727"/>
      <c r="AC455" s="720"/>
      <c r="AD455" s="728"/>
      <c r="AE455" s="727"/>
      <c r="AF455" s="720">
        <v>0</v>
      </c>
      <c r="AG455" s="721"/>
      <c r="AH455" s="722">
        <v>0</v>
      </c>
      <c r="AI455" s="723">
        <v>0</v>
      </c>
      <c r="AJ455" s="728"/>
      <c r="AK455" s="719"/>
      <c r="AL455" s="720">
        <v>0</v>
      </c>
      <c r="AM455" s="724"/>
      <c r="AN455" s="722">
        <v>0</v>
      </c>
      <c r="AO455" s="729">
        <v>0</v>
      </c>
      <c r="AP455" s="478"/>
      <c r="AQ455" s="478"/>
      <c r="AR455" s="478"/>
      <c r="AS455" s="478"/>
      <c r="AT455" s="478"/>
      <c r="AU455" s="478"/>
      <c r="AV455" s="478"/>
      <c r="AW455" s="478"/>
      <c r="AX455" s="478"/>
      <c r="AY455" s="478"/>
      <c r="AZ455" s="478"/>
      <c r="BA455" s="478"/>
      <c r="BB455" s="478"/>
      <c r="BC455" s="478"/>
      <c r="BD455" s="478"/>
      <c r="BE455" s="478"/>
      <c r="BF455" s="478"/>
      <c r="BG455" s="478"/>
      <c r="BH455" s="478"/>
      <c r="BI455" s="478"/>
      <c r="BJ455" s="478"/>
    </row>
    <row r="456" spans="1:62" ht="15.75" customHeight="1">
      <c r="A456" s="490" t="s">
        <v>169</v>
      </c>
      <c r="B456" s="475"/>
      <c r="C456" s="694" t="s">
        <v>465</v>
      </c>
      <c r="D456" s="478"/>
      <c r="E456" s="478"/>
      <c r="F456" s="478"/>
      <c r="G456" s="478"/>
      <c r="H456" s="478"/>
      <c r="I456" s="478"/>
      <c r="J456" s="478"/>
      <c r="K456" s="478"/>
      <c r="L456" s="478"/>
      <c r="M456" s="478"/>
      <c r="N456" s="478"/>
      <c r="O456" s="478"/>
      <c r="P456" s="478"/>
      <c r="Q456" s="478"/>
      <c r="R456" s="478"/>
      <c r="S456" s="478"/>
      <c r="T456" s="478"/>
      <c r="U456" s="478"/>
      <c r="V456" s="566" t="s">
        <v>169</v>
      </c>
      <c r="W456" s="730" t="s">
        <v>170</v>
      </c>
      <c r="X456" s="703"/>
      <c r="Y456" s="731"/>
      <c r="Z456" s="704">
        <v>4356.2783333333327</v>
      </c>
      <c r="AA456" s="703"/>
      <c r="AB456" s="731"/>
      <c r="AC456" s="704"/>
      <c r="AD456" s="732"/>
      <c r="AE456" s="731"/>
      <c r="AF456" s="704">
        <v>4271</v>
      </c>
      <c r="AG456" s="705"/>
      <c r="AH456" s="706">
        <v>-85.278333333332739</v>
      </c>
      <c r="AI456" s="733">
        <v>-1.9575960672852496E-2</v>
      </c>
      <c r="AJ456" s="732"/>
      <c r="AK456" s="703"/>
      <c r="AL456" s="704">
        <v>4271</v>
      </c>
      <c r="AM456" s="708"/>
      <c r="AN456" s="706">
        <v>0</v>
      </c>
      <c r="AO456" s="709">
        <v>0</v>
      </c>
      <c r="AP456" s="478"/>
      <c r="AQ456" s="478"/>
      <c r="AR456" s="478"/>
      <c r="AS456" s="478"/>
      <c r="AT456" s="478"/>
      <c r="AU456" s="478"/>
      <c r="AV456" s="478"/>
      <c r="AW456" s="478"/>
      <c r="AX456" s="478"/>
      <c r="AY456" s="478"/>
      <c r="AZ456" s="478"/>
      <c r="BA456" s="478"/>
      <c r="BB456" s="478"/>
      <c r="BC456" s="478"/>
      <c r="BD456" s="478"/>
      <c r="BE456" s="478"/>
      <c r="BF456" s="478"/>
      <c r="BG456" s="478"/>
      <c r="BH456" s="478"/>
      <c r="BI456" s="478"/>
      <c r="BJ456" s="478"/>
    </row>
    <row r="457" spans="1:62" ht="15.75" customHeight="1">
      <c r="A457" s="490" t="s">
        <v>171</v>
      </c>
      <c r="B457" s="475"/>
      <c r="C457" s="694" t="s">
        <v>465</v>
      </c>
      <c r="D457" s="478"/>
      <c r="E457" s="478"/>
      <c r="F457" s="478"/>
      <c r="G457" s="478"/>
      <c r="H457" s="478"/>
      <c r="I457" s="478"/>
      <c r="J457" s="478"/>
      <c r="K457" s="478"/>
      <c r="L457" s="478"/>
      <c r="M457" s="478"/>
      <c r="N457" s="478"/>
      <c r="O457" s="478"/>
      <c r="P457" s="478"/>
      <c r="Q457" s="478"/>
      <c r="R457" s="478"/>
      <c r="S457" s="478"/>
      <c r="T457" s="478"/>
      <c r="U457" s="478"/>
      <c r="V457" s="565" t="s">
        <v>171</v>
      </c>
      <c r="W457" s="726" t="s">
        <v>172</v>
      </c>
      <c r="X457" s="761"/>
      <c r="Y457" s="762"/>
      <c r="Z457" s="720">
        <v>2510.948249791667</v>
      </c>
      <c r="AA457" s="761"/>
      <c r="AB457" s="762"/>
      <c r="AC457" s="720"/>
      <c r="AD457" s="728"/>
      <c r="AE457" s="727"/>
      <c r="AF457" s="763">
        <v>41.97</v>
      </c>
      <c r="AG457" s="721"/>
      <c r="AH457" s="722">
        <v>-2468.9782497916672</v>
      </c>
      <c r="AI457" s="723">
        <v>-0.98328519912607437</v>
      </c>
      <c r="AJ457" s="728"/>
      <c r="AK457" s="719"/>
      <c r="AL457" s="720">
        <v>0</v>
      </c>
      <c r="AM457" s="724"/>
      <c r="AN457" s="722">
        <v>41.97</v>
      </c>
      <c r="AO457" s="729">
        <v>0</v>
      </c>
      <c r="AP457" s="478"/>
      <c r="AQ457" s="478"/>
      <c r="AR457" s="478"/>
      <c r="AS457" s="478"/>
      <c r="AT457" s="478"/>
      <c r="AU457" s="478"/>
      <c r="AV457" s="478"/>
      <c r="AW457" s="478"/>
      <c r="AX457" s="478"/>
      <c r="AY457" s="478"/>
      <c r="AZ457" s="478"/>
      <c r="BA457" s="478"/>
      <c r="BB457" s="478"/>
      <c r="BC457" s="478"/>
      <c r="BD457" s="478"/>
      <c r="BE457" s="478"/>
      <c r="BF457" s="478"/>
      <c r="BG457" s="478"/>
      <c r="BH457" s="478"/>
      <c r="BI457" s="478"/>
      <c r="BJ457" s="478"/>
    </row>
    <row r="458" spans="1:62" ht="15.75" customHeight="1">
      <c r="A458" s="490" t="s">
        <v>173</v>
      </c>
      <c r="B458" s="475"/>
      <c r="C458" s="694" t="s">
        <v>465</v>
      </c>
      <c r="D458" s="478"/>
      <c r="E458" s="478"/>
      <c r="F458" s="478"/>
      <c r="G458" s="478"/>
      <c r="H458" s="478"/>
      <c r="I458" s="478"/>
      <c r="J458" s="478"/>
      <c r="K458" s="478"/>
      <c r="L458" s="478"/>
      <c r="M458" s="478"/>
      <c r="N458" s="478"/>
      <c r="O458" s="478"/>
      <c r="P458" s="478"/>
      <c r="Q458" s="478"/>
      <c r="R458" s="478"/>
      <c r="S458" s="478"/>
      <c r="T458" s="478"/>
      <c r="U458" s="478"/>
      <c r="V458" s="565" t="s">
        <v>173</v>
      </c>
      <c r="W458" s="726" t="s">
        <v>174</v>
      </c>
      <c r="X458" s="719"/>
      <c r="Y458" s="727"/>
      <c r="Z458" s="720">
        <v>6306.8593777777805</v>
      </c>
      <c r="AA458" s="719"/>
      <c r="AB458" s="727"/>
      <c r="AC458" s="720"/>
      <c r="AD458" s="728"/>
      <c r="AE458" s="727"/>
      <c r="AF458" s="720">
        <v>6550.12</v>
      </c>
      <c r="AG458" s="721"/>
      <c r="AH458" s="722">
        <v>243.26062222221935</v>
      </c>
      <c r="AI458" s="723">
        <v>3.8570801670217696E-2</v>
      </c>
      <c r="AJ458" s="728"/>
      <c r="AK458" s="719"/>
      <c r="AL458" s="720">
        <v>6123.33</v>
      </c>
      <c r="AM458" s="724"/>
      <c r="AN458" s="722">
        <v>426.78999999999996</v>
      </c>
      <c r="AO458" s="729">
        <v>6.9699003646708571E-2</v>
      </c>
      <c r="AP458" s="478"/>
      <c r="AQ458" s="478"/>
      <c r="AR458" s="478"/>
      <c r="AS458" s="478"/>
      <c r="AT458" s="478"/>
      <c r="AU458" s="478"/>
      <c r="AV458" s="478"/>
      <c r="AW458" s="478"/>
      <c r="AX458" s="478"/>
      <c r="AY458" s="478"/>
      <c r="AZ458" s="478"/>
      <c r="BA458" s="478"/>
      <c r="BB458" s="478"/>
      <c r="BC458" s="478"/>
      <c r="BD458" s="478"/>
      <c r="BE458" s="478"/>
      <c r="BF458" s="478"/>
      <c r="BG458" s="478"/>
      <c r="BH458" s="478"/>
      <c r="BI458" s="478"/>
      <c r="BJ458" s="478"/>
    </row>
    <row r="459" spans="1:62" ht="15.75" customHeight="1">
      <c r="A459" s="490" t="s">
        <v>175</v>
      </c>
      <c r="B459" s="475"/>
      <c r="C459" s="694" t="s">
        <v>465</v>
      </c>
      <c r="D459" s="478"/>
      <c r="E459" s="478"/>
      <c r="F459" s="478"/>
      <c r="G459" s="478"/>
      <c r="H459" s="478"/>
      <c r="I459" s="478"/>
      <c r="J459" s="478"/>
      <c r="K459" s="478"/>
      <c r="L459" s="478"/>
      <c r="M459" s="478"/>
      <c r="N459" s="478"/>
      <c r="O459" s="478"/>
      <c r="P459" s="478"/>
      <c r="Q459" s="478"/>
      <c r="R459" s="478"/>
      <c r="S459" s="478"/>
      <c r="T459" s="478"/>
      <c r="U459" s="478"/>
      <c r="V459" s="566" t="s">
        <v>175</v>
      </c>
      <c r="W459" s="730" t="s">
        <v>176</v>
      </c>
      <c r="X459" s="703"/>
      <c r="Y459" s="731"/>
      <c r="Z459" s="704">
        <v>1518.181195972222</v>
      </c>
      <c r="AA459" s="703"/>
      <c r="AB459" s="731"/>
      <c r="AC459" s="704"/>
      <c r="AD459" s="732"/>
      <c r="AE459" s="731"/>
      <c r="AF459" s="704">
        <v>480</v>
      </c>
      <c r="AG459" s="705"/>
      <c r="AH459" s="706">
        <v>-1038.181195972222</v>
      </c>
      <c r="AI459" s="733">
        <v>-0.68383220575155734</v>
      </c>
      <c r="AJ459" s="732"/>
      <c r="AK459" s="703"/>
      <c r="AL459" s="704">
        <v>1606.3</v>
      </c>
      <c r="AM459" s="708"/>
      <c r="AN459" s="706">
        <v>-1126.3</v>
      </c>
      <c r="AO459" s="709">
        <v>-0.70117661707028578</v>
      </c>
      <c r="AP459" s="478"/>
      <c r="AQ459" s="478"/>
      <c r="AR459" s="478"/>
      <c r="AS459" s="478"/>
      <c r="AT459" s="478"/>
      <c r="AU459" s="478"/>
      <c r="AV459" s="478"/>
      <c r="AW459" s="478"/>
      <c r="AX459" s="478"/>
      <c r="AY459" s="478"/>
      <c r="AZ459" s="478"/>
      <c r="BA459" s="478"/>
      <c r="BB459" s="478"/>
      <c r="BC459" s="478"/>
      <c r="BD459" s="478"/>
      <c r="BE459" s="478"/>
      <c r="BF459" s="478"/>
      <c r="BG459" s="478"/>
      <c r="BH459" s="478"/>
      <c r="BI459" s="478"/>
      <c r="BJ459" s="478"/>
    </row>
    <row r="460" spans="1:62" ht="15.75" customHeight="1">
      <c r="A460" s="490" t="s">
        <v>177</v>
      </c>
      <c r="B460" s="475"/>
      <c r="C460" s="694" t="s">
        <v>465</v>
      </c>
      <c r="D460" s="478"/>
      <c r="E460" s="478"/>
      <c r="F460" s="478"/>
      <c r="G460" s="478"/>
      <c r="H460" s="478"/>
      <c r="I460" s="478"/>
      <c r="J460" s="478"/>
      <c r="K460" s="478"/>
      <c r="L460" s="478"/>
      <c r="M460" s="478"/>
      <c r="N460" s="478"/>
      <c r="O460" s="478"/>
      <c r="P460" s="478"/>
      <c r="Q460" s="478"/>
      <c r="R460" s="478"/>
      <c r="S460" s="478"/>
      <c r="T460" s="478"/>
      <c r="U460" s="764"/>
      <c r="V460" s="565" t="s">
        <v>177</v>
      </c>
      <c r="W460" s="726" t="s">
        <v>178</v>
      </c>
      <c r="X460" s="719"/>
      <c r="Y460" s="727"/>
      <c r="Z460" s="720">
        <v>80.334374999999994</v>
      </c>
      <c r="AA460" s="719"/>
      <c r="AB460" s="727"/>
      <c r="AC460" s="720"/>
      <c r="AD460" s="728"/>
      <c r="AE460" s="727"/>
      <c r="AF460" s="720">
        <v>1060.92</v>
      </c>
      <c r="AG460" s="721"/>
      <c r="AH460" s="722">
        <v>980.58562500000005</v>
      </c>
      <c r="AI460" s="765">
        <v>12.206301785505895</v>
      </c>
      <c r="AJ460" s="719"/>
      <c r="AK460" s="719"/>
      <c r="AL460" s="720">
        <v>0</v>
      </c>
      <c r="AM460" s="724"/>
      <c r="AN460" s="722">
        <v>1060.92</v>
      </c>
      <c r="AO460" s="729">
        <v>0</v>
      </c>
      <c r="AP460" s="478"/>
      <c r="AQ460" s="478"/>
      <c r="AR460" s="478"/>
      <c r="AS460" s="478"/>
      <c r="AT460" s="478"/>
      <c r="AU460" s="478"/>
      <c r="AV460" s="478"/>
      <c r="AW460" s="478"/>
      <c r="AX460" s="478"/>
      <c r="AY460" s="478"/>
      <c r="AZ460" s="478"/>
      <c r="BA460" s="478"/>
      <c r="BB460" s="478"/>
      <c r="BC460" s="478"/>
      <c r="BD460" s="478"/>
      <c r="BE460" s="478"/>
      <c r="BF460" s="478"/>
      <c r="BG460" s="478"/>
      <c r="BH460" s="478"/>
      <c r="BI460" s="478"/>
      <c r="BJ460" s="478"/>
    </row>
    <row r="461" spans="1:62" ht="15.75" customHeight="1">
      <c r="A461" s="490" t="s">
        <v>179</v>
      </c>
      <c r="B461" s="475"/>
      <c r="C461" s="694" t="s">
        <v>465</v>
      </c>
      <c r="D461" s="478"/>
      <c r="E461" s="478"/>
      <c r="F461" s="478"/>
      <c r="G461" s="478"/>
      <c r="H461" s="478"/>
      <c r="I461" s="478"/>
      <c r="J461" s="478"/>
      <c r="K461" s="478"/>
      <c r="L461" s="478"/>
      <c r="M461" s="478"/>
      <c r="N461" s="478"/>
      <c r="O461" s="478"/>
      <c r="P461" s="478"/>
      <c r="Q461" s="478"/>
      <c r="R461" s="478"/>
      <c r="S461" s="478"/>
      <c r="T461" s="478"/>
      <c r="U461" s="764"/>
      <c r="V461" s="565" t="s">
        <v>179</v>
      </c>
      <c r="W461" s="726" t="s">
        <v>180</v>
      </c>
      <c r="X461" s="719"/>
      <c r="Y461" s="727"/>
      <c r="Z461" s="720">
        <v>0</v>
      </c>
      <c r="AA461" s="719"/>
      <c r="AB461" s="727"/>
      <c r="AC461" s="720"/>
      <c r="AD461" s="728"/>
      <c r="AE461" s="727"/>
      <c r="AF461" s="720">
        <v>0</v>
      </c>
      <c r="AG461" s="721"/>
      <c r="AH461" s="722">
        <v>0</v>
      </c>
      <c r="AI461" s="742">
        <v>0</v>
      </c>
      <c r="AJ461" s="719"/>
      <c r="AK461" s="719"/>
      <c r="AL461" s="720">
        <v>0</v>
      </c>
      <c r="AM461" s="724"/>
      <c r="AN461" s="722">
        <v>0</v>
      </c>
      <c r="AO461" s="729">
        <v>0</v>
      </c>
      <c r="AP461" s="478"/>
      <c r="AQ461" s="478"/>
      <c r="AR461" s="478"/>
      <c r="AS461" s="478"/>
      <c r="AT461" s="478"/>
      <c r="AU461" s="478"/>
      <c r="AV461" s="478"/>
      <c r="AW461" s="478"/>
      <c r="AX461" s="478"/>
      <c r="AY461" s="478"/>
      <c r="AZ461" s="478"/>
      <c r="BA461" s="478"/>
      <c r="BB461" s="478"/>
      <c r="BC461" s="478"/>
      <c r="BD461" s="478"/>
      <c r="BE461" s="478"/>
      <c r="BF461" s="478"/>
      <c r="BG461" s="478"/>
      <c r="BH461" s="478"/>
      <c r="BI461" s="478"/>
      <c r="BJ461" s="478"/>
    </row>
    <row r="462" spans="1:62" ht="15.75" hidden="1" customHeight="1">
      <c r="A462" s="490" t="s">
        <v>20</v>
      </c>
      <c r="B462" s="475"/>
      <c r="C462" s="694" t="s">
        <v>465</v>
      </c>
      <c r="D462" s="478"/>
      <c r="E462" s="478"/>
      <c r="F462" s="478"/>
      <c r="G462" s="478"/>
      <c r="H462" s="478"/>
      <c r="I462" s="478"/>
      <c r="J462" s="478"/>
      <c r="K462" s="478"/>
      <c r="L462" s="478"/>
      <c r="M462" s="478"/>
      <c r="N462" s="478"/>
      <c r="O462" s="478"/>
      <c r="P462" s="478"/>
      <c r="Q462" s="478"/>
      <c r="R462" s="478"/>
      <c r="S462" s="478"/>
      <c r="T462" s="478"/>
      <c r="U462" s="764"/>
      <c r="V462" s="565" t="s">
        <v>20</v>
      </c>
      <c r="W462" s="726"/>
      <c r="X462" s="719"/>
      <c r="Y462" s="727"/>
      <c r="Z462" s="720">
        <v>0</v>
      </c>
      <c r="AA462" s="719"/>
      <c r="AB462" s="719"/>
      <c r="AC462" s="720"/>
      <c r="AD462" s="728"/>
      <c r="AE462" s="727"/>
      <c r="AF462" s="720">
        <v>0</v>
      </c>
      <c r="AG462" s="721"/>
      <c r="AH462" s="722">
        <v>0</v>
      </c>
      <c r="AI462" s="723">
        <v>0</v>
      </c>
      <c r="AJ462" s="728"/>
      <c r="AK462" s="719"/>
      <c r="AL462" s="720">
        <v>0</v>
      </c>
      <c r="AM462" s="724"/>
      <c r="AN462" s="722">
        <v>0</v>
      </c>
      <c r="AO462" s="729">
        <v>1</v>
      </c>
      <c r="AP462" s="478"/>
      <c r="AQ462" s="478"/>
      <c r="AR462" s="478"/>
      <c r="AS462" s="478"/>
      <c r="AT462" s="478"/>
      <c r="AU462" s="478"/>
      <c r="AV462" s="478"/>
      <c r="AW462" s="478"/>
      <c r="AX462" s="478"/>
      <c r="AY462" s="478"/>
      <c r="AZ462" s="478"/>
      <c r="BA462" s="478"/>
      <c r="BB462" s="478"/>
      <c r="BC462" s="478"/>
      <c r="BD462" s="478"/>
      <c r="BE462" s="478"/>
      <c r="BF462" s="478"/>
      <c r="BG462" s="478"/>
      <c r="BH462" s="478"/>
      <c r="BI462" s="478"/>
      <c r="BJ462" s="478"/>
    </row>
    <row r="463" spans="1:62" ht="15.75" hidden="1" customHeight="1">
      <c r="A463" s="490" t="s">
        <v>20</v>
      </c>
      <c r="B463" s="475"/>
      <c r="C463" s="694" t="s">
        <v>465</v>
      </c>
      <c r="D463" s="478"/>
      <c r="E463" s="478"/>
      <c r="F463" s="478"/>
      <c r="G463" s="478"/>
      <c r="H463" s="478"/>
      <c r="I463" s="478"/>
      <c r="J463" s="478"/>
      <c r="K463" s="478"/>
      <c r="L463" s="478"/>
      <c r="M463" s="478"/>
      <c r="N463" s="478"/>
      <c r="O463" s="478"/>
      <c r="P463" s="478"/>
      <c r="Q463" s="478"/>
      <c r="R463" s="478"/>
      <c r="S463" s="478"/>
      <c r="T463" s="478"/>
      <c r="U463" s="764"/>
      <c r="V463" s="565" t="s">
        <v>20</v>
      </c>
      <c r="W463" s="726"/>
      <c r="X463" s="719"/>
      <c r="Y463" s="727"/>
      <c r="Z463" s="720">
        <v>0</v>
      </c>
      <c r="AA463" s="719"/>
      <c r="AB463" s="719"/>
      <c r="AC463" s="720"/>
      <c r="AD463" s="728"/>
      <c r="AE463" s="727"/>
      <c r="AF463" s="720">
        <v>0</v>
      </c>
      <c r="AG463" s="721"/>
      <c r="AH463" s="722">
        <v>0</v>
      </c>
      <c r="AI463" s="723">
        <v>0</v>
      </c>
      <c r="AJ463" s="728"/>
      <c r="AK463" s="719"/>
      <c r="AL463" s="720">
        <v>0</v>
      </c>
      <c r="AM463" s="724"/>
      <c r="AN463" s="722">
        <v>0</v>
      </c>
      <c r="AO463" s="729">
        <v>2</v>
      </c>
      <c r="AP463" s="478"/>
      <c r="AQ463" s="478"/>
      <c r="AR463" s="478"/>
      <c r="AS463" s="478"/>
      <c r="AT463" s="478"/>
      <c r="AU463" s="478"/>
      <c r="AV463" s="478"/>
      <c r="AW463" s="478"/>
      <c r="AX463" s="478"/>
      <c r="AY463" s="478"/>
      <c r="AZ463" s="478"/>
      <c r="BA463" s="478"/>
      <c r="BB463" s="478"/>
      <c r="BC463" s="478"/>
      <c r="BD463" s="478"/>
      <c r="BE463" s="478"/>
      <c r="BF463" s="478"/>
      <c r="BG463" s="478"/>
      <c r="BH463" s="478"/>
      <c r="BI463" s="478"/>
      <c r="BJ463" s="478"/>
    </row>
    <row r="464" spans="1:62" ht="15.75" hidden="1" customHeight="1">
      <c r="A464" s="490" t="s">
        <v>20</v>
      </c>
      <c r="B464" s="475"/>
      <c r="C464" s="694" t="s">
        <v>465</v>
      </c>
      <c r="D464" s="478"/>
      <c r="E464" s="478"/>
      <c r="F464" s="478"/>
      <c r="G464" s="478"/>
      <c r="H464" s="478"/>
      <c r="I464" s="478"/>
      <c r="J464" s="478"/>
      <c r="K464" s="478"/>
      <c r="L464" s="478"/>
      <c r="M464" s="478"/>
      <c r="N464" s="478"/>
      <c r="O464" s="478"/>
      <c r="P464" s="478"/>
      <c r="Q464" s="478"/>
      <c r="R464" s="478"/>
      <c r="S464" s="478"/>
      <c r="T464" s="478"/>
      <c r="U464" s="478"/>
      <c r="V464" s="565" t="s">
        <v>20</v>
      </c>
      <c r="W464" s="726"/>
      <c r="X464" s="719"/>
      <c r="Y464" s="727"/>
      <c r="Z464" s="720">
        <v>0</v>
      </c>
      <c r="AA464" s="719"/>
      <c r="AB464" s="719"/>
      <c r="AC464" s="720"/>
      <c r="AD464" s="728"/>
      <c r="AE464" s="727"/>
      <c r="AF464" s="720">
        <v>0</v>
      </c>
      <c r="AG464" s="721"/>
      <c r="AH464" s="722">
        <v>0</v>
      </c>
      <c r="AI464" s="723">
        <v>0</v>
      </c>
      <c r="AJ464" s="728"/>
      <c r="AK464" s="719"/>
      <c r="AL464" s="720">
        <v>0</v>
      </c>
      <c r="AM464" s="724"/>
      <c r="AN464" s="722">
        <v>0</v>
      </c>
      <c r="AO464" s="729">
        <v>3</v>
      </c>
      <c r="AP464" s="478"/>
      <c r="AQ464" s="478"/>
      <c r="AR464" s="478"/>
      <c r="AS464" s="478"/>
      <c r="AT464" s="478"/>
      <c r="AU464" s="478"/>
      <c r="AV464" s="478"/>
      <c r="AW464" s="478"/>
      <c r="AX464" s="478"/>
      <c r="AY464" s="478"/>
      <c r="AZ464" s="478"/>
      <c r="BA464" s="478"/>
      <c r="BB464" s="478"/>
      <c r="BC464" s="478"/>
      <c r="BD464" s="478"/>
      <c r="BE464" s="478"/>
      <c r="BF464" s="478"/>
      <c r="BG464" s="478"/>
      <c r="BH464" s="478"/>
      <c r="BI464" s="478"/>
      <c r="BJ464" s="478"/>
    </row>
    <row r="465" spans="1:62" ht="15.75" customHeight="1">
      <c r="A465" s="490" t="s">
        <v>181</v>
      </c>
      <c r="B465" s="475"/>
      <c r="C465" s="694" t="s">
        <v>465</v>
      </c>
      <c r="D465" s="478"/>
      <c r="E465" s="478"/>
      <c r="F465" s="478"/>
      <c r="G465" s="478"/>
      <c r="H465" s="478"/>
      <c r="I465" s="478"/>
      <c r="J465" s="478"/>
      <c r="K465" s="478"/>
      <c r="L465" s="478"/>
      <c r="M465" s="478"/>
      <c r="N465" s="478"/>
      <c r="O465" s="478"/>
      <c r="P465" s="478"/>
      <c r="Q465" s="478"/>
      <c r="R465" s="478"/>
      <c r="S465" s="478"/>
      <c r="T465" s="478"/>
      <c r="U465" s="478"/>
      <c r="V465" s="734" t="s">
        <v>181</v>
      </c>
      <c r="W465" s="735"/>
      <c r="X465" s="736">
        <v>7.7048265482950573E-2</v>
      </c>
      <c r="Y465" s="735"/>
      <c r="Z465" s="737">
        <v>49568.031531875007</v>
      </c>
      <c r="AA465" s="736"/>
      <c r="AB465" s="735"/>
      <c r="AC465" s="737"/>
      <c r="AD465" s="738">
        <v>7.4191553528842658E-2</v>
      </c>
      <c r="AE465" s="735"/>
      <c r="AF465" s="737">
        <v>46614.01</v>
      </c>
      <c r="AG465" s="744"/>
      <c r="AH465" s="766">
        <v>-2954.0215318750029</v>
      </c>
      <c r="AI465" s="767">
        <v>-5.9595296415501237E-2</v>
      </c>
      <c r="AJ465" s="738">
        <v>7.0490313624992376E-2</v>
      </c>
      <c r="AK465" s="736"/>
      <c r="AL465" s="737">
        <v>46210.630000000005</v>
      </c>
      <c r="AM465" s="745"/>
      <c r="AN465" s="740">
        <v>403.38000000000011</v>
      </c>
      <c r="AO465" s="760">
        <v>8.7291603685126142E-3</v>
      </c>
      <c r="AP465" s="478"/>
      <c r="AQ465" s="478"/>
      <c r="AR465" s="478"/>
      <c r="AS465" s="478"/>
      <c r="AT465" s="478"/>
      <c r="AU465" s="478"/>
      <c r="AV465" s="478"/>
      <c r="AW465" s="478"/>
      <c r="AX465" s="478"/>
      <c r="AY465" s="478"/>
      <c r="AZ465" s="478"/>
      <c r="BA465" s="478"/>
      <c r="BB465" s="478"/>
      <c r="BC465" s="478"/>
      <c r="BD465" s="478"/>
      <c r="BE465" s="478"/>
      <c r="BF465" s="478"/>
      <c r="BG465" s="478"/>
      <c r="BH465" s="478"/>
      <c r="BI465" s="478"/>
      <c r="BJ465" s="478"/>
    </row>
    <row r="466" spans="1:62" ht="15.75" customHeight="1">
      <c r="A466" s="490" t="s">
        <v>466</v>
      </c>
      <c r="B466" s="475"/>
      <c r="C466" s="694" t="s">
        <v>465</v>
      </c>
      <c r="D466" s="478"/>
      <c r="E466" s="478"/>
      <c r="F466" s="478"/>
      <c r="G466" s="478"/>
      <c r="H466" s="478"/>
      <c r="I466" s="478"/>
      <c r="J466" s="478"/>
      <c r="K466" s="478"/>
      <c r="L466" s="478"/>
      <c r="M466" s="478"/>
      <c r="N466" s="478"/>
      <c r="O466" s="478"/>
      <c r="P466" s="478"/>
      <c r="Q466" s="478"/>
      <c r="R466" s="478"/>
      <c r="S466" s="478"/>
      <c r="T466" s="478"/>
      <c r="U466" s="478"/>
      <c r="V466" s="565"/>
      <c r="W466" s="719"/>
      <c r="X466" s="719"/>
      <c r="Y466" s="719"/>
      <c r="Z466" s="768"/>
      <c r="AA466" s="719"/>
      <c r="AB466" s="719"/>
      <c r="AC466" s="768"/>
      <c r="AD466" s="728"/>
      <c r="AE466" s="719"/>
      <c r="AF466" s="768"/>
      <c r="AG466" s="728"/>
      <c r="AH466" s="722">
        <v>0</v>
      </c>
      <c r="AI466" s="723"/>
      <c r="AJ466" s="728"/>
      <c r="AK466" s="719"/>
      <c r="AL466" s="768"/>
      <c r="AM466" s="769"/>
      <c r="AN466" s="722">
        <v>0</v>
      </c>
      <c r="AO466" s="770">
        <v>0</v>
      </c>
      <c r="AP466" s="478"/>
      <c r="AQ466" s="478"/>
      <c r="AR466" s="478"/>
      <c r="AS466" s="478"/>
      <c r="AT466" s="478"/>
      <c r="AU466" s="478"/>
      <c r="AV466" s="478"/>
      <c r="AW466" s="478"/>
      <c r="AX466" s="478"/>
      <c r="AY466" s="478"/>
      <c r="AZ466" s="478"/>
      <c r="BA466" s="478"/>
      <c r="BB466" s="478"/>
      <c r="BC466" s="478"/>
      <c r="BD466" s="478"/>
      <c r="BE466" s="478"/>
      <c r="BF466" s="478"/>
      <c r="BG466" s="478"/>
      <c r="BH466" s="478"/>
      <c r="BI466" s="478"/>
      <c r="BJ466" s="478"/>
    </row>
    <row r="467" spans="1:62" ht="15.75" customHeight="1">
      <c r="A467" s="490" t="s">
        <v>65</v>
      </c>
      <c r="B467" s="475"/>
      <c r="C467" s="694" t="s">
        <v>465</v>
      </c>
      <c r="D467" s="478"/>
      <c r="E467" s="478"/>
      <c r="F467" s="478"/>
      <c r="G467" s="478"/>
      <c r="H467" s="478"/>
      <c r="I467" s="478"/>
      <c r="J467" s="478"/>
      <c r="K467" s="478"/>
      <c r="L467" s="478"/>
      <c r="M467" s="478"/>
      <c r="N467" s="478"/>
      <c r="O467" s="478"/>
      <c r="P467" s="478"/>
      <c r="Q467" s="478"/>
      <c r="R467" s="478"/>
      <c r="S467" s="478"/>
      <c r="T467" s="478"/>
      <c r="U467" s="478"/>
      <c r="V467" s="734" t="s">
        <v>65</v>
      </c>
      <c r="W467" s="735"/>
      <c r="X467" s="736">
        <v>0.92502810284207293</v>
      </c>
      <c r="Y467" s="735"/>
      <c r="Z467" s="737">
        <v>595105.18351243855</v>
      </c>
      <c r="AA467" s="736"/>
      <c r="AB467" s="735"/>
      <c r="AC467" s="737"/>
      <c r="AD467" s="738">
        <v>0.94424724158810835</v>
      </c>
      <c r="AE467" s="735"/>
      <c r="AF467" s="737">
        <v>593263.63</v>
      </c>
      <c r="AG467" s="744"/>
      <c r="AH467" s="740">
        <v>-1841.5535124385497</v>
      </c>
      <c r="AI467" s="736">
        <v>-3.0945008772555222E-3</v>
      </c>
      <c r="AJ467" s="738">
        <v>0.85231768259198248</v>
      </c>
      <c r="AK467" s="736"/>
      <c r="AL467" s="737">
        <v>558745.38</v>
      </c>
      <c r="AM467" s="745"/>
      <c r="AN467" s="740">
        <v>34518.25</v>
      </c>
      <c r="AO467" s="717">
        <v>6.1778139445197736E-2</v>
      </c>
      <c r="AP467" s="478"/>
      <c r="AQ467" s="478"/>
      <c r="AR467" s="478"/>
      <c r="AS467" s="478"/>
      <c r="AT467" s="478"/>
      <c r="AU467" s="478"/>
      <c r="AV467" s="478"/>
      <c r="AW467" s="478"/>
      <c r="AX467" s="478"/>
      <c r="AY467" s="478"/>
      <c r="AZ467" s="478"/>
      <c r="BA467" s="478"/>
      <c r="BB467" s="478"/>
      <c r="BC467" s="478"/>
      <c r="BD467" s="478"/>
      <c r="BE467" s="478"/>
      <c r="BF467" s="478"/>
      <c r="BG467" s="478"/>
      <c r="BH467" s="478"/>
      <c r="BI467" s="478"/>
      <c r="BJ467" s="478"/>
    </row>
    <row r="468" spans="1:62" ht="15.75" customHeight="1">
      <c r="A468" s="490" t="s">
        <v>182</v>
      </c>
      <c r="B468" s="475"/>
      <c r="C468" s="694" t="s">
        <v>465</v>
      </c>
      <c r="D468" s="478"/>
      <c r="E468" s="478"/>
      <c r="F468" s="478"/>
      <c r="G468" s="478"/>
      <c r="H468" s="478"/>
      <c r="I468" s="478"/>
      <c r="J468" s="478"/>
      <c r="K468" s="478"/>
      <c r="L468" s="478"/>
      <c r="M468" s="478"/>
      <c r="N468" s="478"/>
      <c r="O468" s="478"/>
      <c r="P468" s="478"/>
      <c r="Q468" s="478"/>
      <c r="R468" s="478"/>
      <c r="S468" s="478"/>
      <c r="T468" s="478"/>
      <c r="U468" s="478"/>
      <c r="V468" s="565" t="s">
        <v>182</v>
      </c>
      <c r="W468" s="762"/>
      <c r="X468" s="762"/>
      <c r="Y468" s="719"/>
      <c r="Z468" s="748">
        <v>176.08</v>
      </c>
      <c r="AA468" s="771"/>
      <c r="AB468" s="772"/>
      <c r="AC468" s="748"/>
      <c r="AD468" s="773"/>
      <c r="AE468" s="772"/>
      <c r="AF468" s="720">
        <v>47782.21</v>
      </c>
      <c r="AG468" s="774"/>
      <c r="AH468" s="722">
        <v>47606.13</v>
      </c>
      <c r="AI468" s="765">
        <v>270.36648114493408</v>
      </c>
      <c r="AJ468" s="773"/>
      <c r="AK468" s="771"/>
      <c r="AL468" s="775">
        <v>304.64</v>
      </c>
      <c r="AM468" s="776"/>
      <c r="AN468" s="722">
        <v>47477.57</v>
      </c>
      <c r="AO468" s="729">
        <v>155.84811580882354</v>
      </c>
      <c r="AP468" s="478"/>
      <c r="AQ468" s="478"/>
      <c r="AR468" s="478"/>
      <c r="AS468" s="478"/>
      <c r="AT468" s="478"/>
      <c r="AU468" s="478"/>
      <c r="AV468" s="478"/>
      <c r="AW468" s="478"/>
      <c r="AX468" s="478"/>
      <c r="AY468" s="478"/>
      <c r="AZ468" s="478"/>
      <c r="BA468" s="478"/>
      <c r="BB468" s="478"/>
      <c r="BC468" s="478"/>
      <c r="BD468" s="478"/>
      <c r="BE468" s="478"/>
      <c r="BF468" s="478"/>
      <c r="BG468" s="478"/>
      <c r="BH468" s="478"/>
      <c r="BI468" s="478"/>
      <c r="BJ468" s="478"/>
    </row>
    <row r="469" spans="1:62" ht="15.75" customHeight="1">
      <c r="A469" s="490" t="s">
        <v>69</v>
      </c>
      <c r="B469" s="475"/>
      <c r="C469" s="694" t="s">
        <v>465</v>
      </c>
      <c r="D469" s="478"/>
      <c r="E469" s="478"/>
      <c r="F469" s="478"/>
      <c r="G469" s="478"/>
      <c r="H469" s="478"/>
      <c r="I469" s="478"/>
      <c r="J469" s="478"/>
      <c r="K469" s="478"/>
      <c r="L469" s="478"/>
      <c r="M469" s="478"/>
      <c r="N469" s="478"/>
      <c r="O469" s="478"/>
      <c r="P469" s="478"/>
      <c r="Q469" s="478"/>
      <c r="R469" s="478"/>
      <c r="S469" s="478"/>
      <c r="T469" s="478"/>
      <c r="U469" s="478"/>
      <c r="V469" s="565" t="s">
        <v>69</v>
      </c>
      <c r="W469" s="719"/>
      <c r="X469" s="719"/>
      <c r="Y469" s="719"/>
      <c r="Z469" s="720">
        <v>66622.585631206806</v>
      </c>
      <c r="AA469" s="761"/>
      <c r="AB469" s="722"/>
      <c r="AC469" s="720"/>
      <c r="AD469" s="777"/>
      <c r="AE469" s="778"/>
      <c r="AF469" s="720">
        <v>58938</v>
      </c>
      <c r="AG469" s="779"/>
      <c r="AH469" s="722">
        <v>-7684.5856312068063</v>
      </c>
      <c r="AI469" s="742">
        <v>-0.11534505240828202</v>
      </c>
      <c r="AJ469" s="780"/>
      <c r="AK469" s="761"/>
      <c r="AL469" s="781">
        <v>62788</v>
      </c>
      <c r="AM469" s="777"/>
      <c r="AN469" s="722">
        <v>-3850</v>
      </c>
      <c r="AO469" s="729">
        <v>-6.1317449194113527E-2</v>
      </c>
      <c r="AP469" s="478"/>
      <c r="AQ469" s="478"/>
      <c r="AR469" s="478"/>
      <c r="AS469" s="478"/>
      <c r="AT469" s="478"/>
      <c r="AU469" s="478"/>
      <c r="AV469" s="478"/>
      <c r="AW469" s="478"/>
      <c r="AX469" s="478"/>
      <c r="AY469" s="478"/>
      <c r="AZ469" s="478"/>
      <c r="BA469" s="478"/>
      <c r="BB469" s="478"/>
      <c r="BC469" s="478"/>
      <c r="BD469" s="478"/>
      <c r="BE469" s="478"/>
      <c r="BF469" s="478"/>
      <c r="BG469" s="478"/>
      <c r="BH469" s="478"/>
      <c r="BI469" s="478"/>
      <c r="BJ469" s="478"/>
    </row>
    <row r="470" spans="1:62" ht="15.75" customHeight="1">
      <c r="A470" s="490" t="s">
        <v>198</v>
      </c>
      <c r="B470" s="475"/>
      <c r="C470" s="694" t="s">
        <v>465</v>
      </c>
      <c r="D470" s="478"/>
      <c r="E470" s="478"/>
      <c r="F470" s="478"/>
      <c r="G470" s="478"/>
      <c r="H470" s="478"/>
      <c r="I470" s="478"/>
      <c r="J470" s="478"/>
      <c r="K470" s="478"/>
      <c r="L470" s="478"/>
      <c r="M470" s="478"/>
      <c r="N470" s="478"/>
      <c r="O470" s="478"/>
      <c r="P470" s="478"/>
      <c r="Q470" s="478"/>
      <c r="R470" s="478"/>
      <c r="S470" s="478"/>
      <c r="T470" s="478"/>
      <c r="U470" s="478"/>
      <c r="V470" s="565" t="s">
        <v>198</v>
      </c>
      <c r="W470" s="719"/>
      <c r="X470" s="719"/>
      <c r="Y470" s="719"/>
      <c r="Z470" s="720">
        <v>15729.130133089158</v>
      </c>
      <c r="AA470" s="761"/>
      <c r="AB470" s="762"/>
      <c r="AC470" s="720"/>
      <c r="AD470" s="780"/>
      <c r="AF470" s="720">
        <v>0</v>
      </c>
      <c r="AG470" s="779"/>
      <c r="AH470" s="722">
        <v>-15729.130133089158</v>
      </c>
      <c r="AI470" s="742">
        <v>-1</v>
      </c>
      <c r="AJ470" s="780"/>
      <c r="AK470" s="761"/>
      <c r="AL470" s="781">
        <v>0</v>
      </c>
      <c r="AM470" s="777"/>
      <c r="AN470" s="722">
        <v>0</v>
      </c>
      <c r="AO470" s="729">
        <v>0</v>
      </c>
      <c r="AP470" s="478"/>
      <c r="AQ470" s="478"/>
      <c r="AR470" s="478"/>
      <c r="AS470" s="478"/>
      <c r="AT470" s="478"/>
      <c r="AU470" s="478"/>
      <c r="AV470" s="478"/>
      <c r="AW470" s="478"/>
      <c r="AX470" s="478"/>
      <c r="AY470" s="478"/>
      <c r="AZ470" s="478"/>
      <c r="BA470" s="478"/>
      <c r="BB470" s="478"/>
      <c r="BC470" s="478"/>
      <c r="BD470" s="478"/>
      <c r="BE470" s="478"/>
      <c r="BF470" s="478"/>
      <c r="BG470" s="478"/>
      <c r="BH470" s="478"/>
      <c r="BI470" s="478"/>
      <c r="BJ470" s="478"/>
    </row>
    <row r="471" spans="1:62" ht="15.75" customHeight="1">
      <c r="A471" s="490" t="s">
        <v>195</v>
      </c>
      <c r="B471" s="475"/>
      <c r="C471" s="694" t="s">
        <v>465</v>
      </c>
      <c r="D471" s="478"/>
      <c r="E471" s="478"/>
      <c r="F471" s="478"/>
      <c r="G471" s="478"/>
      <c r="H471" s="478"/>
      <c r="I471" s="478"/>
      <c r="J471" s="478"/>
      <c r="K471" s="478"/>
      <c r="L471" s="478"/>
      <c r="M471" s="478"/>
      <c r="N471" s="478"/>
      <c r="O471" s="478"/>
      <c r="P471" s="478"/>
      <c r="Q471" s="478"/>
      <c r="R471" s="478"/>
      <c r="S471" s="478"/>
      <c r="T471" s="478"/>
      <c r="U471" s="478"/>
      <c r="V471" s="565" t="s">
        <v>195</v>
      </c>
      <c r="W471" s="719"/>
      <c r="X471" s="719"/>
      <c r="Y471" s="719"/>
      <c r="Z471" s="720">
        <v>0</v>
      </c>
      <c r="AA471" s="761"/>
      <c r="AB471" s="762"/>
      <c r="AC471" s="720"/>
      <c r="AD471" s="780"/>
      <c r="AE471" s="762"/>
      <c r="AF471" s="720">
        <v>0</v>
      </c>
      <c r="AG471" s="779"/>
      <c r="AH471" s="722">
        <v>0</v>
      </c>
      <c r="AI471" s="742">
        <v>0</v>
      </c>
      <c r="AJ471" s="780"/>
      <c r="AK471" s="761"/>
      <c r="AL471" s="781">
        <v>0</v>
      </c>
      <c r="AM471" s="777"/>
      <c r="AN471" s="722">
        <v>0</v>
      </c>
      <c r="AO471" s="729">
        <v>0</v>
      </c>
      <c r="AP471" s="478"/>
      <c r="AQ471" s="478"/>
      <c r="AR471" s="478"/>
      <c r="AS471" s="478"/>
      <c r="AT471" s="478"/>
      <c r="AU471" s="478"/>
      <c r="AV471" s="478"/>
      <c r="AW471" s="478"/>
      <c r="AX471" s="478"/>
      <c r="AY471" s="478"/>
      <c r="AZ471" s="478"/>
      <c r="BA471" s="478"/>
      <c r="BB471" s="478"/>
      <c r="BC471" s="478"/>
      <c r="BD471" s="478"/>
      <c r="BE471" s="478"/>
      <c r="BF471" s="478"/>
      <c r="BG471" s="478"/>
      <c r="BH471" s="478"/>
      <c r="BI471" s="478"/>
      <c r="BJ471" s="478"/>
    </row>
    <row r="472" spans="1:62" ht="15.75" customHeight="1">
      <c r="A472" s="490" t="s">
        <v>68</v>
      </c>
      <c r="B472" s="475"/>
      <c r="C472" s="694" t="s">
        <v>465</v>
      </c>
      <c r="D472" s="478"/>
      <c r="E472" s="478"/>
      <c r="F472" s="478"/>
      <c r="G472" s="478"/>
      <c r="H472" s="478"/>
      <c r="I472" s="478"/>
      <c r="J472" s="478"/>
      <c r="K472" s="478"/>
      <c r="L472" s="478"/>
      <c r="M472" s="478"/>
      <c r="N472" s="478"/>
      <c r="O472" s="478"/>
      <c r="P472" s="478"/>
      <c r="Q472" s="478"/>
      <c r="R472" s="478"/>
      <c r="S472" s="478"/>
      <c r="T472" s="478"/>
      <c r="U472" s="478"/>
      <c r="V472" s="565" t="s">
        <v>68</v>
      </c>
      <c r="W472" s="719"/>
      <c r="X472" s="719"/>
      <c r="Y472" s="719"/>
      <c r="Z472" s="720">
        <v>0</v>
      </c>
      <c r="AA472" s="761"/>
      <c r="AB472" s="762"/>
      <c r="AC472" s="720"/>
      <c r="AD472" s="780"/>
      <c r="AE472" s="762"/>
      <c r="AF472" s="720">
        <v>0</v>
      </c>
      <c r="AG472" s="779"/>
      <c r="AH472" s="722">
        <v>0</v>
      </c>
      <c r="AI472" s="742">
        <v>0</v>
      </c>
      <c r="AJ472" s="780"/>
      <c r="AK472" s="761"/>
      <c r="AL472" s="781">
        <v>0</v>
      </c>
      <c r="AM472" s="777"/>
      <c r="AN472" s="722">
        <v>0</v>
      </c>
      <c r="AO472" s="729">
        <v>0</v>
      </c>
      <c r="AP472" s="478"/>
      <c r="AQ472" s="478"/>
      <c r="AR472" s="478"/>
      <c r="AS472" s="478"/>
      <c r="AT472" s="478"/>
      <c r="AU472" s="478"/>
      <c r="AV472" s="478"/>
      <c r="AW472" s="478"/>
      <c r="AX472" s="478"/>
      <c r="AY472" s="478"/>
      <c r="AZ472" s="478"/>
      <c r="BA472" s="478"/>
      <c r="BB472" s="478"/>
      <c r="BC472" s="478"/>
      <c r="BD472" s="478"/>
      <c r="BE472" s="478"/>
      <c r="BF472" s="478"/>
      <c r="BG472" s="478"/>
      <c r="BH472" s="478"/>
      <c r="BI472" s="478"/>
      <c r="BJ472" s="478"/>
    </row>
    <row r="473" spans="1:62" ht="15.75" customHeight="1">
      <c r="A473" s="490" t="s">
        <v>211</v>
      </c>
      <c r="B473" s="475"/>
      <c r="C473" s="694" t="s">
        <v>465</v>
      </c>
      <c r="D473" s="478"/>
      <c r="E473" s="478"/>
      <c r="F473" s="478"/>
      <c r="G473" s="478"/>
      <c r="H473" s="478"/>
      <c r="I473" s="478"/>
      <c r="J473" s="478"/>
      <c r="K473" s="478"/>
      <c r="L473" s="478"/>
      <c r="M473" s="478"/>
      <c r="N473" s="478"/>
      <c r="O473" s="478"/>
      <c r="P473" s="478"/>
      <c r="Q473" s="478"/>
      <c r="R473" s="478"/>
      <c r="S473" s="478"/>
      <c r="T473" s="478"/>
      <c r="U473" s="478"/>
      <c r="V473" s="565" t="s">
        <v>211</v>
      </c>
      <c r="W473" s="719"/>
      <c r="X473" s="719"/>
      <c r="Y473" s="719"/>
      <c r="Z473" s="720">
        <v>0</v>
      </c>
      <c r="AA473" s="761"/>
      <c r="AB473" s="762"/>
      <c r="AC473" s="720"/>
      <c r="AD473" s="780"/>
      <c r="AE473" s="762"/>
      <c r="AF473" s="720">
        <v>0</v>
      </c>
      <c r="AG473" s="779"/>
      <c r="AH473" s="722">
        <v>0</v>
      </c>
      <c r="AI473" s="742">
        <v>0</v>
      </c>
      <c r="AJ473" s="780"/>
      <c r="AK473" s="761"/>
      <c r="AL473" s="781">
        <v>0</v>
      </c>
      <c r="AM473" s="777"/>
      <c r="AN473" s="722">
        <v>0</v>
      </c>
      <c r="AO473" s="729">
        <v>0</v>
      </c>
      <c r="AP473" s="478"/>
      <c r="AQ473" s="478"/>
      <c r="AR473" s="478"/>
      <c r="AS473" s="478"/>
      <c r="AT473" s="478"/>
      <c r="AU473" s="478"/>
      <c r="AV473" s="478"/>
      <c r="AW473" s="478"/>
      <c r="AX473" s="478"/>
      <c r="AY473" s="478"/>
      <c r="AZ473" s="478"/>
      <c r="BA473" s="478"/>
      <c r="BB473" s="478"/>
      <c r="BC473" s="478"/>
      <c r="BD473" s="478"/>
      <c r="BE473" s="478"/>
      <c r="BF473" s="478"/>
      <c r="BG473" s="478"/>
      <c r="BH473" s="478"/>
      <c r="BI473" s="478"/>
      <c r="BJ473" s="478"/>
    </row>
    <row r="474" spans="1:62" ht="15.75" customHeight="1">
      <c r="A474" s="490" t="s">
        <v>81</v>
      </c>
      <c r="B474" s="475"/>
      <c r="C474" s="694" t="s">
        <v>465</v>
      </c>
      <c r="D474" s="478"/>
      <c r="E474" s="478"/>
      <c r="F474" s="478"/>
      <c r="G474" s="478"/>
      <c r="H474" s="478"/>
      <c r="I474" s="478"/>
      <c r="J474" s="478"/>
      <c r="K474" s="478"/>
      <c r="L474" s="478"/>
      <c r="M474" s="478"/>
      <c r="N474" s="478"/>
      <c r="O474" s="478"/>
      <c r="P474" s="478"/>
      <c r="Q474" s="478"/>
      <c r="R474" s="478"/>
      <c r="S474" s="478"/>
      <c r="T474" s="478"/>
      <c r="U474" s="478"/>
      <c r="V474" s="565" t="s">
        <v>81</v>
      </c>
      <c r="W474" s="719"/>
      <c r="X474" s="719"/>
      <c r="Y474" s="719"/>
      <c r="Z474" s="720">
        <v>0</v>
      </c>
      <c r="AA474" s="761"/>
      <c r="AB474" s="762"/>
      <c r="AC474" s="720"/>
      <c r="AD474" s="780"/>
      <c r="AE474" s="762"/>
      <c r="AF474" s="720">
        <v>0</v>
      </c>
      <c r="AG474" s="779"/>
      <c r="AH474" s="722">
        <v>0</v>
      </c>
      <c r="AI474" s="742">
        <v>0</v>
      </c>
      <c r="AJ474" s="780"/>
      <c r="AK474" s="761"/>
      <c r="AL474" s="781">
        <v>0</v>
      </c>
      <c r="AM474" s="777"/>
      <c r="AN474" s="722">
        <v>0</v>
      </c>
      <c r="AO474" s="729">
        <v>0</v>
      </c>
      <c r="AP474" s="478"/>
      <c r="AQ474" s="478"/>
      <c r="AR474" s="478"/>
      <c r="AS474" s="478"/>
      <c r="AT474" s="478"/>
      <c r="AU474" s="478"/>
      <c r="AV474" s="478"/>
      <c r="AW474" s="478"/>
      <c r="AX474" s="478"/>
      <c r="AY474" s="478"/>
      <c r="AZ474" s="478"/>
      <c r="BA474" s="478"/>
      <c r="BB474" s="478"/>
      <c r="BC474" s="478"/>
      <c r="BD474" s="478"/>
      <c r="BE474" s="478"/>
      <c r="BF474" s="478"/>
      <c r="BG474" s="478"/>
      <c r="BH474" s="478"/>
      <c r="BI474" s="478"/>
      <c r="BJ474" s="478"/>
    </row>
    <row r="475" spans="1:62" ht="15.75" customHeight="1">
      <c r="A475" s="490" t="s">
        <v>82</v>
      </c>
      <c r="B475" s="475"/>
      <c r="C475" s="694" t="s">
        <v>465</v>
      </c>
      <c r="D475" s="478"/>
      <c r="E475" s="478"/>
      <c r="F475" s="478"/>
      <c r="G475" s="478"/>
      <c r="H475" s="478"/>
      <c r="I475" s="478"/>
      <c r="J475" s="478"/>
      <c r="K475" s="478"/>
      <c r="L475" s="478"/>
      <c r="M475" s="478"/>
      <c r="N475" s="478"/>
      <c r="O475" s="478"/>
      <c r="P475" s="478"/>
      <c r="Q475" s="478"/>
      <c r="R475" s="478"/>
      <c r="S475" s="478"/>
      <c r="T475" s="478"/>
      <c r="U475" s="478"/>
      <c r="V475" s="565" t="s">
        <v>82</v>
      </c>
      <c r="W475" s="719"/>
      <c r="X475" s="719"/>
      <c r="Y475" s="719"/>
      <c r="Z475" s="720">
        <v>0</v>
      </c>
      <c r="AA475" s="761"/>
      <c r="AB475" s="762"/>
      <c r="AC475" s="720"/>
      <c r="AD475" s="780"/>
      <c r="AE475" s="762"/>
      <c r="AF475" s="720">
        <v>0</v>
      </c>
      <c r="AG475" s="779"/>
      <c r="AH475" s="722">
        <v>0</v>
      </c>
      <c r="AI475" s="742">
        <v>0</v>
      </c>
      <c r="AJ475" s="780"/>
      <c r="AK475" s="761"/>
      <c r="AL475" s="781">
        <v>0</v>
      </c>
      <c r="AM475" s="777"/>
      <c r="AN475" s="722">
        <v>0</v>
      </c>
      <c r="AO475" s="729">
        <v>0</v>
      </c>
      <c r="AP475" s="478"/>
      <c r="AQ475" s="478"/>
      <c r="AR475" s="478"/>
      <c r="AS475" s="478"/>
      <c r="AT475" s="478"/>
      <c r="AU475" s="478"/>
      <c r="AV475" s="478"/>
      <c r="AW475" s="478"/>
      <c r="AX475" s="478"/>
      <c r="AY475" s="478"/>
      <c r="AZ475" s="478"/>
      <c r="BA475" s="478"/>
      <c r="BB475" s="478"/>
      <c r="BC475" s="478"/>
      <c r="BD475" s="478"/>
      <c r="BE475" s="478"/>
      <c r="BF475" s="478"/>
      <c r="BG475" s="478"/>
      <c r="BH475" s="478"/>
      <c r="BI475" s="478"/>
      <c r="BJ475" s="478"/>
    </row>
    <row r="476" spans="1:62" ht="15.75" hidden="1" customHeight="1">
      <c r="A476" s="490" t="s">
        <v>20</v>
      </c>
      <c r="B476" s="475"/>
      <c r="C476" s="694" t="s">
        <v>465</v>
      </c>
      <c r="D476" s="478"/>
      <c r="E476" s="478"/>
      <c r="F476" s="478"/>
      <c r="G476" s="478"/>
      <c r="H476" s="478"/>
      <c r="I476" s="478"/>
      <c r="J476" s="478"/>
      <c r="K476" s="478"/>
      <c r="L476" s="478"/>
      <c r="M476" s="478"/>
      <c r="N476" s="478"/>
      <c r="O476" s="478"/>
      <c r="P476" s="478"/>
      <c r="Q476" s="478"/>
      <c r="R476" s="478"/>
      <c r="S476" s="478"/>
      <c r="T476" s="478"/>
      <c r="U476" s="478"/>
      <c r="V476" s="565" t="s">
        <v>20</v>
      </c>
      <c r="W476" s="719"/>
      <c r="X476" s="719"/>
      <c r="Y476" s="719"/>
      <c r="Z476" s="720">
        <v>0</v>
      </c>
      <c r="AA476" s="719"/>
      <c r="AB476" s="719"/>
      <c r="AC476" s="720"/>
      <c r="AD476" s="728"/>
      <c r="AE476" s="727"/>
      <c r="AF476" s="720">
        <v>0</v>
      </c>
      <c r="AG476" s="721"/>
      <c r="AH476" s="722">
        <v>0</v>
      </c>
      <c r="AI476" s="723">
        <v>0</v>
      </c>
      <c r="AJ476" s="728"/>
      <c r="AK476" s="719"/>
      <c r="AL476" s="720">
        <v>0</v>
      </c>
      <c r="AM476" s="777"/>
      <c r="AN476" s="722">
        <v>0</v>
      </c>
      <c r="AO476" s="729">
        <v>0</v>
      </c>
      <c r="AP476" s="478"/>
      <c r="AQ476" s="478"/>
      <c r="AR476" s="478"/>
      <c r="AS476" s="478"/>
      <c r="AT476" s="478"/>
      <c r="AU476" s="478"/>
      <c r="AV476" s="478"/>
      <c r="AW476" s="478"/>
      <c r="AX476" s="478"/>
      <c r="AY476" s="478"/>
      <c r="AZ476" s="478"/>
      <c r="BA476" s="478"/>
      <c r="BB476" s="478"/>
      <c r="BC476" s="478"/>
      <c r="BD476" s="478"/>
      <c r="BE476" s="478"/>
      <c r="BF476" s="478"/>
      <c r="BG476" s="478"/>
      <c r="BH476" s="478"/>
      <c r="BI476" s="478"/>
      <c r="BJ476" s="478"/>
    </row>
    <row r="477" spans="1:62" ht="15.75" hidden="1" customHeight="1">
      <c r="A477" s="490" t="s">
        <v>20</v>
      </c>
      <c r="B477" s="475"/>
      <c r="C477" s="694" t="s">
        <v>465</v>
      </c>
      <c r="D477" s="478"/>
      <c r="E477" s="478"/>
      <c r="F477" s="478"/>
      <c r="G477" s="478"/>
      <c r="H477" s="478"/>
      <c r="I477" s="478"/>
      <c r="J477" s="478"/>
      <c r="K477" s="478"/>
      <c r="L477" s="478"/>
      <c r="M477" s="478"/>
      <c r="N477" s="478"/>
      <c r="O477" s="478"/>
      <c r="P477" s="478"/>
      <c r="Q477" s="478"/>
      <c r="R477" s="478"/>
      <c r="S477" s="478"/>
      <c r="T477" s="478"/>
      <c r="U477" s="478"/>
      <c r="V477" s="565" t="s">
        <v>20</v>
      </c>
      <c r="W477" s="719"/>
      <c r="X477" s="719"/>
      <c r="Y477" s="719"/>
      <c r="Z477" s="720">
        <v>0</v>
      </c>
      <c r="AA477" s="719"/>
      <c r="AB477" s="719"/>
      <c r="AC477" s="720"/>
      <c r="AD477" s="728"/>
      <c r="AE477" s="727"/>
      <c r="AF477" s="720">
        <v>0</v>
      </c>
      <c r="AG477" s="721"/>
      <c r="AH477" s="722">
        <v>0</v>
      </c>
      <c r="AI477" s="723">
        <v>0</v>
      </c>
      <c r="AJ477" s="728"/>
      <c r="AK477" s="719"/>
      <c r="AL477" s="720">
        <v>0</v>
      </c>
      <c r="AM477" s="777"/>
      <c r="AN477" s="722">
        <v>0</v>
      </c>
      <c r="AO477" s="729">
        <v>0</v>
      </c>
      <c r="AP477" s="478"/>
      <c r="AQ477" s="478"/>
      <c r="AR477" s="478"/>
      <c r="AS477" s="478"/>
      <c r="AT477" s="478"/>
      <c r="AU477" s="478"/>
      <c r="AV477" s="478"/>
      <c r="AW477" s="478"/>
      <c r="AX477" s="478"/>
      <c r="AY477" s="478"/>
      <c r="AZ477" s="478"/>
      <c r="BA477" s="478"/>
      <c r="BB477" s="478"/>
      <c r="BC477" s="478"/>
      <c r="BD477" s="478"/>
      <c r="BE477" s="478"/>
      <c r="BF477" s="478"/>
      <c r="BG477" s="478"/>
      <c r="BH477" s="478"/>
      <c r="BI477" s="478"/>
      <c r="BJ477" s="478"/>
    </row>
    <row r="478" spans="1:62" ht="15.75" hidden="1" customHeight="1">
      <c r="A478" s="490" t="s">
        <v>20</v>
      </c>
      <c r="B478" s="475"/>
      <c r="C478" s="694" t="s">
        <v>465</v>
      </c>
      <c r="D478" s="478"/>
      <c r="E478" s="478"/>
      <c r="F478" s="478"/>
      <c r="G478" s="478"/>
      <c r="H478" s="478"/>
      <c r="I478" s="478"/>
      <c r="J478" s="478"/>
      <c r="K478" s="478"/>
      <c r="L478" s="478"/>
      <c r="M478" s="478"/>
      <c r="N478" s="478"/>
      <c r="O478" s="478"/>
      <c r="P478" s="478"/>
      <c r="Q478" s="478"/>
      <c r="R478" s="478"/>
      <c r="S478" s="478"/>
      <c r="T478" s="478"/>
      <c r="U478" s="478"/>
      <c r="V478" s="565" t="s">
        <v>20</v>
      </c>
      <c r="W478" s="719"/>
      <c r="X478" s="719"/>
      <c r="Y478" s="719"/>
      <c r="Z478" s="720">
        <v>0</v>
      </c>
      <c r="AA478" s="719"/>
      <c r="AB478" s="719"/>
      <c r="AC478" s="720"/>
      <c r="AD478" s="728"/>
      <c r="AE478" s="727"/>
      <c r="AF478" s="720">
        <v>0</v>
      </c>
      <c r="AG478" s="721"/>
      <c r="AH478" s="722">
        <v>0</v>
      </c>
      <c r="AI478" s="723">
        <v>0</v>
      </c>
      <c r="AJ478" s="728"/>
      <c r="AK478" s="719"/>
      <c r="AL478" s="720">
        <v>0</v>
      </c>
      <c r="AM478" s="777"/>
      <c r="AN478" s="722">
        <v>0</v>
      </c>
      <c r="AO478" s="729">
        <v>0</v>
      </c>
      <c r="AP478" s="478"/>
      <c r="AQ478" s="478"/>
      <c r="AR478" s="478"/>
      <c r="AS478" s="478"/>
      <c r="AT478" s="478"/>
      <c r="AU478" s="478"/>
      <c r="AV478" s="478"/>
      <c r="AW478" s="478"/>
      <c r="AX478" s="478"/>
      <c r="AY478" s="478"/>
      <c r="AZ478" s="478"/>
      <c r="BA478" s="478"/>
      <c r="BB478" s="478"/>
      <c r="BC478" s="478"/>
      <c r="BD478" s="478"/>
      <c r="BE478" s="478"/>
      <c r="BF478" s="478"/>
      <c r="BG478" s="478"/>
      <c r="BH478" s="478"/>
      <c r="BI478" s="478"/>
      <c r="BJ478" s="478"/>
    </row>
    <row r="479" spans="1:62" ht="15.75" customHeight="1">
      <c r="A479" s="490" t="s">
        <v>70</v>
      </c>
      <c r="B479" s="475"/>
      <c r="C479" s="694" t="s">
        <v>465</v>
      </c>
      <c r="D479" s="478"/>
      <c r="E479" s="478"/>
      <c r="F479" s="478"/>
      <c r="G479" s="478"/>
      <c r="H479" s="478"/>
      <c r="I479" s="478"/>
      <c r="J479" s="478"/>
      <c r="K479" s="478"/>
      <c r="L479" s="478"/>
      <c r="M479" s="478"/>
      <c r="N479" s="478"/>
      <c r="O479" s="478"/>
      <c r="P479" s="478"/>
      <c r="Q479" s="478"/>
      <c r="R479" s="478"/>
      <c r="S479" s="478"/>
      <c r="T479" s="478"/>
      <c r="U479" s="478"/>
      <c r="V479" s="566" t="s">
        <v>70</v>
      </c>
      <c r="W479" s="719"/>
      <c r="X479" s="719"/>
      <c r="Y479" s="719"/>
      <c r="Z479" s="720">
        <v>34636.213612800006</v>
      </c>
      <c r="AA479" s="761"/>
      <c r="AB479" s="762"/>
      <c r="AC479" s="720"/>
      <c r="AD479" s="782">
        <v>102.09022556390977</v>
      </c>
      <c r="AE479" s="761">
        <v>1.173450868550687</v>
      </c>
      <c r="AF479" s="720">
        <v>40734</v>
      </c>
      <c r="AG479" s="779"/>
      <c r="AH479" s="722">
        <v>6097.7863871999944</v>
      </c>
      <c r="AI479" s="742">
        <v>0.17605233803462061</v>
      </c>
      <c r="AJ479" s="780"/>
      <c r="AK479" s="761"/>
      <c r="AL479" s="781">
        <v>31337</v>
      </c>
      <c r="AM479" s="777"/>
      <c r="AN479" s="722">
        <v>9397</v>
      </c>
      <c r="AO479" s="729">
        <v>0.2998691642467371</v>
      </c>
      <c r="AP479" s="478"/>
      <c r="AQ479" s="478"/>
      <c r="AR479" s="478"/>
      <c r="AS479" s="478"/>
      <c r="AT479" s="478"/>
      <c r="AU479" s="478"/>
      <c r="AV479" s="478"/>
      <c r="AW479" s="478"/>
      <c r="AX479" s="478"/>
      <c r="AY479" s="478"/>
      <c r="AZ479" s="478"/>
      <c r="BA479" s="478"/>
      <c r="BB479" s="478"/>
      <c r="BC479" s="478"/>
      <c r="BD479" s="478"/>
      <c r="BE479" s="478"/>
      <c r="BF479" s="478"/>
      <c r="BG479" s="478"/>
      <c r="BH479" s="478"/>
      <c r="BI479" s="478"/>
      <c r="BJ479" s="478"/>
    </row>
    <row r="480" spans="1:62" ht="15.75" customHeight="1">
      <c r="A480" s="490" t="s">
        <v>183</v>
      </c>
      <c r="B480" s="475"/>
      <c r="C480" s="694" t="s">
        <v>465</v>
      </c>
      <c r="D480" s="478"/>
      <c r="E480" s="478"/>
      <c r="F480" s="478"/>
      <c r="G480" s="478"/>
      <c r="H480" s="478"/>
      <c r="I480" s="478"/>
      <c r="J480" s="478"/>
      <c r="K480" s="478"/>
      <c r="L480" s="478"/>
      <c r="M480" s="478"/>
      <c r="N480" s="478"/>
      <c r="O480" s="478"/>
      <c r="P480" s="478"/>
      <c r="Q480" s="478"/>
      <c r="R480" s="478"/>
      <c r="S480" s="478"/>
      <c r="T480" s="478"/>
      <c r="U480" s="478"/>
      <c r="V480" s="734" t="s">
        <v>183</v>
      </c>
      <c r="W480" s="735"/>
      <c r="X480" s="736">
        <v>0.18211906788609014</v>
      </c>
      <c r="Y480" s="758"/>
      <c r="Z480" s="737">
        <v>117164.00937709596</v>
      </c>
      <c r="AA480" s="736"/>
      <c r="AB480" s="758"/>
      <c r="AC480" s="737"/>
      <c r="AD480" s="736">
        <v>0.23469031980445804</v>
      </c>
      <c r="AE480" s="758"/>
      <c r="AF480" s="737">
        <v>147454.21</v>
      </c>
      <c r="AG480" s="744"/>
      <c r="AH480" s="740">
        <v>30290.200622904027</v>
      </c>
      <c r="AI480" s="736">
        <v>0.25852820148390521</v>
      </c>
      <c r="AJ480" s="783"/>
      <c r="AK480" s="784"/>
      <c r="AL480" s="737">
        <v>94429.64</v>
      </c>
      <c r="AM480" s="785"/>
      <c r="AN480" s="740">
        <v>53024.569999999992</v>
      </c>
      <c r="AO480" s="760">
        <v>0.56152464416892822</v>
      </c>
      <c r="AP480" s="478"/>
      <c r="AQ480" s="478"/>
      <c r="AR480" s="478"/>
      <c r="AS480" s="478"/>
      <c r="AT480" s="478"/>
      <c r="AU480" s="478"/>
      <c r="AV480" s="478"/>
      <c r="AW480" s="478"/>
      <c r="AX480" s="478"/>
      <c r="AY480" s="478"/>
      <c r="AZ480" s="478"/>
      <c r="BA480" s="478"/>
      <c r="BB480" s="478"/>
      <c r="BC480" s="478"/>
      <c r="BD480" s="478"/>
      <c r="BE480" s="478"/>
      <c r="BF480" s="478"/>
      <c r="BG480" s="478"/>
      <c r="BH480" s="478"/>
      <c r="BI480" s="478"/>
      <c r="BJ480" s="478"/>
    </row>
    <row r="481" spans="1:62" ht="6" customHeight="1" thickBot="1">
      <c r="A481" s="490" t="s">
        <v>466</v>
      </c>
      <c r="B481" s="475"/>
      <c r="C481" s="694" t="s">
        <v>465</v>
      </c>
      <c r="D481" s="478"/>
      <c r="E481" s="478"/>
      <c r="F481" s="478"/>
      <c r="G481" s="478"/>
      <c r="H481" s="478"/>
      <c r="I481" s="478"/>
      <c r="J481" s="478"/>
      <c r="K481" s="478"/>
      <c r="L481" s="478"/>
      <c r="M481" s="478"/>
      <c r="N481" s="478"/>
      <c r="O481" s="478"/>
      <c r="P481" s="478"/>
      <c r="Q481" s="478"/>
      <c r="R481" s="478"/>
      <c r="S481" s="478"/>
      <c r="T481" s="478"/>
      <c r="U481" s="478"/>
      <c r="V481" s="786"/>
      <c r="W481" s="787"/>
      <c r="X481" s="787"/>
      <c r="Y481" s="788"/>
      <c r="Z481" s="789"/>
      <c r="AA481" s="787"/>
      <c r="AB481" s="790"/>
      <c r="AC481" s="789"/>
      <c r="AD481" s="787"/>
      <c r="AE481" s="790"/>
      <c r="AF481" s="791"/>
      <c r="AG481" s="792"/>
      <c r="AH481" s="793"/>
      <c r="AI481" s="794"/>
      <c r="AJ481" s="795"/>
      <c r="AK481" s="796"/>
      <c r="AL481" s="791"/>
      <c r="AM481" s="797"/>
      <c r="AN481" s="793">
        <v>0</v>
      </c>
      <c r="AO481" s="798">
        <v>0</v>
      </c>
      <c r="AP481" s="478"/>
      <c r="AQ481" s="478"/>
      <c r="AR481" s="478"/>
      <c r="AS481" s="478"/>
      <c r="AT481" s="478"/>
      <c r="AU481" s="478"/>
      <c r="AV481" s="478"/>
      <c r="AW481" s="478"/>
      <c r="AX481" s="478"/>
      <c r="AY481" s="478"/>
      <c r="AZ481" s="478"/>
      <c r="BA481" s="478"/>
      <c r="BB481" s="478"/>
      <c r="BC481" s="478"/>
      <c r="BD481" s="478"/>
      <c r="BE481" s="478"/>
      <c r="BF481" s="478"/>
      <c r="BG481" s="478"/>
      <c r="BH481" s="478"/>
      <c r="BI481" s="478"/>
      <c r="BJ481" s="478"/>
    </row>
    <row r="482" spans="1:62" ht="15.75" customHeight="1" thickTop="1" thickBot="1">
      <c r="A482" s="490" t="s">
        <v>184</v>
      </c>
      <c r="B482" s="475"/>
      <c r="C482" s="694" t="s">
        <v>465</v>
      </c>
      <c r="D482" s="478"/>
      <c r="E482" s="478"/>
      <c r="F482" s="478"/>
      <c r="G482" s="478"/>
      <c r="H482" s="478"/>
      <c r="I482" s="478"/>
      <c r="J482" s="478"/>
      <c r="K482" s="478"/>
      <c r="L482" s="478"/>
      <c r="M482" s="478"/>
      <c r="N482" s="478"/>
      <c r="O482" s="478"/>
      <c r="P482" s="478"/>
      <c r="Q482" s="478"/>
      <c r="R482" s="478"/>
      <c r="S482" s="478"/>
      <c r="T482" s="478"/>
      <c r="U482" s="478"/>
      <c r="V482" s="799" t="s">
        <v>184</v>
      </c>
      <c r="W482" s="800"/>
      <c r="X482" s="801" t="s">
        <v>185</v>
      </c>
      <c r="Y482" s="802">
        <v>3.4552889647799158E-2</v>
      </c>
      <c r="Z482" s="803">
        <v>165396.23548932362</v>
      </c>
      <c r="AA482" s="801"/>
      <c r="AB482" s="802"/>
      <c r="AC482" s="803"/>
      <c r="AD482" s="801" t="s">
        <v>185</v>
      </c>
      <c r="AE482" s="802">
        <v>3.9905801248578766E-2</v>
      </c>
      <c r="AF482" s="804">
        <v>182483.25999999992</v>
      </c>
      <c r="AG482" s="805"/>
      <c r="AH482" s="805">
        <v>17087.024510676303</v>
      </c>
      <c r="AI482" s="806">
        <v>0.10330963374181075</v>
      </c>
      <c r="AJ482" s="807" t="s">
        <v>185</v>
      </c>
      <c r="AK482" s="802">
        <v>3.7670268692609893E-2</v>
      </c>
      <c r="AL482" s="804">
        <v>191244.26</v>
      </c>
      <c r="AM482" s="808"/>
      <c r="AN482" s="804">
        <v>-8761.0000000000873</v>
      </c>
      <c r="AO482" s="809">
        <v>-4.5810525241385479E-2</v>
      </c>
      <c r="AP482" s="478"/>
      <c r="AQ482" s="478"/>
      <c r="AR482" s="478"/>
      <c r="AS482" s="478"/>
      <c r="AT482" s="478"/>
      <c r="AU482" s="478"/>
      <c r="AV482" s="478"/>
      <c r="AW482" s="478"/>
      <c r="AX482" s="478"/>
      <c r="AY482" s="478"/>
      <c r="AZ482" s="478"/>
      <c r="BA482" s="478"/>
      <c r="BB482" s="478"/>
      <c r="BC482" s="478"/>
      <c r="BD482" s="478"/>
      <c r="BE482" s="478"/>
      <c r="BF482" s="478"/>
      <c r="BG482" s="478"/>
      <c r="BH482" s="478"/>
      <c r="BI482" s="478"/>
      <c r="BJ482" s="478"/>
    </row>
    <row r="483" spans="1:62" ht="8.25" customHeight="1" thickTop="1">
      <c r="A483" s="490" t="s">
        <v>466</v>
      </c>
      <c r="B483" s="475"/>
      <c r="C483" s="694" t="s">
        <v>465</v>
      </c>
      <c r="D483" s="478"/>
      <c r="E483" s="478"/>
      <c r="F483" s="478"/>
      <c r="G483" s="478"/>
      <c r="H483" s="478"/>
      <c r="I483" s="478"/>
      <c r="J483" s="478"/>
      <c r="K483" s="478"/>
      <c r="L483" s="478"/>
      <c r="M483" s="478"/>
      <c r="N483" s="478"/>
      <c r="O483" s="478"/>
      <c r="P483" s="478"/>
      <c r="Q483" s="478"/>
      <c r="R483" s="478"/>
      <c r="S483" s="478"/>
      <c r="T483" s="478"/>
      <c r="U483" s="478"/>
      <c r="V483" s="467"/>
      <c r="W483" s="467"/>
      <c r="X483" s="467"/>
      <c r="Y483" s="467"/>
      <c r="Z483" s="542"/>
      <c r="AA483" s="481"/>
      <c r="AB483" s="481"/>
      <c r="AC483" s="542"/>
      <c r="AD483" s="481"/>
      <c r="AE483" s="481"/>
      <c r="AF483" s="810"/>
      <c r="AG483" s="481"/>
      <c r="AH483" s="481"/>
      <c r="AI483" s="481"/>
      <c r="AJ483" s="481"/>
      <c r="AK483" s="481"/>
      <c r="AL483" s="542"/>
      <c r="AM483" s="481"/>
      <c r="AN483" s="481"/>
      <c r="AO483" s="481"/>
      <c r="AP483" s="478"/>
      <c r="AQ483" s="478"/>
      <c r="AR483" s="478"/>
      <c r="AS483" s="478"/>
      <c r="AT483" s="478"/>
      <c r="AU483" s="478"/>
      <c r="AV483" s="478"/>
      <c r="AW483" s="478"/>
      <c r="AX483" s="478"/>
      <c r="AY483" s="478"/>
      <c r="AZ483" s="478"/>
      <c r="BA483" s="478"/>
      <c r="BB483" s="478"/>
      <c r="BC483" s="478"/>
      <c r="BD483" s="478"/>
      <c r="BE483" s="478"/>
      <c r="BF483" s="478"/>
      <c r="BG483" s="478"/>
      <c r="BH483" s="478"/>
      <c r="BI483" s="478"/>
      <c r="BJ483" s="478"/>
    </row>
    <row r="484" spans="1:62" ht="18" customHeight="1">
      <c r="A484" s="490" t="s">
        <v>223</v>
      </c>
      <c r="B484" s="475"/>
      <c r="C484" s="694" t="s">
        <v>465</v>
      </c>
      <c r="D484" s="478"/>
      <c r="E484" s="478"/>
      <c r="F484" s="478"/>
      <c r="G484" s="478"/>
      <c r="H484" s="478"/>
      <c r="I484" s="478"/>
      <c r="J484" s="478"/>
      <c r="K484" s="478"/>
      <c r="L484" s="478"/>
      <c r="M484" s="478"/>
      <c r="N484" s="478"/>
      <c r="O484" s="478"/>
      <c r="P484" s="478"/>
      <c r="Q484" s="478"/>
      <c r="R484" s="478"/>
      <c r="S484" s="478"/>
      <c r="T484" s="478"/>
      <c r="U484" s="478"/>
      <c r="V484" s="811" t="s">
        <v>223</v>
      </c>
      <c r="W484" s="811"/>
      <c r="X484" s="811"/>
      <c r="Y484" s="811"/>
      <c r="Z484" s="811"/>
      <c r="AA484" s="811"/>
      <c r="AB484" s="811"/>
      <c r="AC484" s="811"/>
      <c r="AD484" s="811"/>
      <c r="AE484" s="812" t="s">
        <v>186</v>
      </c>
      <c r="AF484" s="811"/>
      <c r="AG484" s="811"/>
      <c r="AH484" s="811"/>
      <c r="AI484" s="811"/>
      <c r="AJ484" s="813"/>
      <c r="AK484" s="814"/>
      <c r="AL484" s="811"/>
      <c r="AM484" s="811"/>
      <c r="AN484" s="811"/>
      <c r="AO484" s="815" t="s">
        <v>484</v>
      </c>
      <c r="AP484" s="478"/>
      <c r="AQ484" s="478"/>
      <c r="AR484" s="478"/>
      <c r="AS484" s="478"/>
      <c r="AT484" s="478"/>
      <c r="AU484" s="478"/>
      <c r="AV484" s="478"/>
      <c r="AW484" s="478"/>
      <c r="AX484" s="478"/>
      <c r="AY484" s="478"/>
      <c r="AZ484" s="478"/>
      <c r="BA484" s="478"/>
      <c r="BB484" s="478"/>
      <c r="BC484" s="478"/>
      <c r="BD484" s="478"/>
      <c r="BE484" s="478"/>
      <c r="BF484" s="478"/>
      <c r="BG484" s="478"/>
      <c r="BH484" s="478"/>
      <c r="BI484" s="478"/>
      <c r="BJ484" s="478"/>
    </row>
    <row r="485" spans="1:62" ht="3" customHeight="1">
      <c r="A485" s="490" t="s">
        <v>466</v>
      </c>
      <c r="B485" s="475"/>
      <c r="C485" s="694" t="s">
        <v>465</v>
      </c>
      <c r="D485" s="478"/>
      <c r="E485" s="478"/>
      <c r="F485" s="478"/>
      <c r="G485" s="478"/>
      <c r="H485" s="478"/>
      <c r="I485" s="478"/>
      <c r="J485" s="478"/>
      <c r="K485" s="478"/>
      <c r="L485" s="478"/>
      <c r="M485" s="478"/>
      <c r="N485" s="478"/>
      <c r="O485" s="478"/>
      <c r="P485" s="478"/>
      <c r="Q485" s="478"/>
      <c r="R485" s="478"/>
      <c r="S485" s="478"/>
      <c r="T485" s="478"/>
      <c r="U485" s="478"/>
      <c r="V485" s="467"/>
      <c r="W485" s="467"/>
      <c r="X485" s="467"/>
      <c r="Y485" s="467"/>
      <c r="Z485" s="542"/>
      <c r="AA485" s="481"/>
      <c r="AB485" s="481"/>
      <c r="AC485" s="542"/>
      <c r="AD485" s="481"/>
      <c r="AE485" s="481"/>
      <c r="AF485" s="810"/>
      <c r="AG485" s="481"/>
      <c r="AH485" s="481"/>
      <c r="AI485" s="481"/>
      <c r="AJ485" s="481"/>
      <c r="AK485" s="481"/>
      <c r="AL485" s="542"/>
      <c r="AM485" s="481"/>
      <c r="AN485" s="481"/>
      <c r="AO485" s="481"/>
      <c r="AP485" s="478"/>
      <c r="AQ485" s="478"/>
      <c r="AR485" s="478"/>
      <c r="AS485" s="478"/>
      <c r="AT485" s="478"/>
      <c r="AU485" s="478"/>
      <c r="AV485" s="478"/>
      <c r="AW485" s="478"/>
      <c r="AX485" s="478"/>
      <c r="AY485" s="478"/>
      <c r="AZ485" s="478"/>
      <c r="BA485" s="478"/>
      <c r="BB485" s="478"/>
      <c r="BC485" s="478"/>
      <c r="BD485" s="478"/>
      <c r="BE485" s="478"/>
      <c r="BF485" s="478"/>
      <c r="BG485" s="478"/>
      <c r="BH485" s="478"/>
      <c r="BI485" s="478"/>
      <c r="BJ485" s="478"/>
    </row>
    <row r="486" spans="1:62" ht="3" customHeight="1">
      <c r="A486" s="490" t="s">
        <v>466</v>
      </c>
      <c r="B486" s="475"/>
      <c r="C486" s="694" t="s">
        <v>465</v>
      </c>
      <c r="D486" s="478"/>
      <c r="E486" s="478"/>
      <c r="F486" s="478"/>
      <c r="G486" s="478"/>
      <c r="H486" s="478"/>
      <c r="I486" s="478"/>
      <c r="J486" s="478"/>
      <c r="K486" s="478"/>
      <c r="L486" s="478"/>
      <c r="M486" s="478"/>
      <c r="N486" s="478"/>
      <c r="O486" s="478"/>
      <c r="P486" s="478"/>
      <c r="Q486" s="478"/>
      <c r="R486" s="478"/>
      <c r="S486" s="478"/>
      <c r="T486" s="478"/>
      <c r="U486" s="478"/>
      <c r="V486" s="467"/>
      <c r="W486" s="467"/>
      <c r="X486" s="467"/>
      <c r="Y486" s="467"/>
      <c r="Z486" s="542"/>
      <c r="AA486" s="481"/>
      <c r="AB486" s="481"/>
      <c r="AC486" s="542"/>
      <c r="AD486" s="481"/>
      <c r="AE486" s="481"/>
      <c r="AF486" s="810"/>
      <c r="AG486" s="481"/>
      <c r="AH486" s="481"/>
      <c r="AI486" s="481"/>
      <c r="AJ486" s="481"/>
      <c r="AK486" s="481"/>
      <c r="AL486" s="542"/>
      <c r="AM486" s="481"/>
      <c r="AN486" s="481"/>
      <c r="AO486" s="481"/>
      <c r="AP486" s="478"/>
      <c r="AQ486" s="478"/>
      <c r="AR486" s="478"/>
      <c r="AS486" s="478"/>
      <c r="AT486" s="478"/>
      <c r="AU486" s="478"/>
      <c r="AV486" s="478"/>
      <c r="AW486" s="478"/>
      <c r="AX486" s="478"/>
      <c r="AY486" s="478"/>
      <c r="AZ486" s="478"/>
      <c r="BA486" s="478"/>
      <c r="BB486" s="478"/>
      <c r="BC486" s="478"/>
      <c r="BD486" s="478"/>
      <c r="BE486" s="478"/>
      <c r="BF486" s="478"/>
      <c r="BG486" s="478"/>
      <c r="BH486" s="478"/>
      <c r="BI486" s="478"/>
      <c r="BJ486" s="478"/>
    </row>
    <row r="487" spans="1:62" ht="3" customHeight="1" thickBot="1">
      <c r="A487" s="490" t="s">
        <v>466</v>
      </c>
      <c r="B487" s="475"/>
      <c r="C487" s="694" t="s">
        <v>465</v>
      </c>
      <c r="D487" s="478"/>
      <c r="E487" s="478"/>
      <c r="F487" s="478"/>
      <c r="G487" s="478"/>
      <c r="H487" s="478"/>
      <c r="I487" s="478"/>
      <c r="J487" s="478"/>
      <c r="K487" s="478"/>
      <c r="L487" s="478"/>
      <c r="M487" s="478"/>
      <c r="N487" s="478"/>
      <c r="O487" s="478"/>
      <c r="P487" s="478"/>
      <c r="Q487" s="478"/>
      <c r="R487" s="478"/>
      <c r="S487" s="478"/>
      <c r="T487" s="478"/>
      <c r="U487" s="478"/>
      <c r="V487" s="467"/>
      <c r="W487" s="467"/>
      <c r="X487" s="467"/>
      <c r="Y487" s="467"/>
      <c r="Z487" s="542"/>
      <c r="AA487" s="481"/>
      <c r="AB487" s="481"/>
      <c r="AC487" s="542"/>
      <c r="AD487" s="481"/>
      <c r="AE487" s="481"/>
      <c r="AF487" s="810"/>
      <c r="AG487" s="481"/>
      <c r="AH487" s="481"/>
      <c r="AI487" s="481"/>
      <c r="AJ487" s="481"/>
      <c r="AK487" s="481"/>
      <c r="AL487" s="542"/>
      <c r="AM487" s="481"/>
      <c r="AN487" s="481"/>
      <c r="AO487" s="481"/>
      <c r="AP487" s="478"/>
      <c r="AQ487" s="478"/>
      <c r="AR487" s="478"/>
      <c r="AS487" s="478"/>
      <c r="AT487" s="478"/>
      <c r="AU487" s="478"/>
      <c r="AV487" s="478"/>
      <c r="AW487" s="478"/>
      <c r="AX487" s="478"/>
      <c r="AY487" s="478"/>
      <c r="AZ487" s="478"/>
      <c r="BA487" s="478"/>
      <c r="BB487" s="478"/>
      <c r="BC487" s="478"/>
      <c r="BD487" s="478"/>
      <c r="BE487" s="478"/>
      <c r="BF487" s="478"/>
      <c r="BG487" s="478"/>
      <c r="BH487" s="478"/>
      <c r="BI487" s="478"/>
      <c r="BJ487" s="478"/>
    </row>
    <row r="488" spans="1:62" ht="15.75" customHeight="1" thickTop="1" thickBot="1">
      <c r="A488" s="490" t="s">
        <v>184</v>
      </c>
      <c r="B488" s="475"/>
      <c r="C488" s="694" t="s">
        <v>465</v>
      </c>
      <c r="D488" s="478"/>
      <c r="E488" s="478"/>
      <c r="F488" s="478"/>
      <c r="G488" s="478"/>
      <c r="H488" s="478"/>
      <c r="I488" s="478"/>
      <c r="J488" s="478"/>
      <c r="K488" s="478"/>
      <c r="L488" s="478"/>
      <c r="M488" s="478"/>
      <c r="N488" s="478"/>
      <c r="O488" s="478"/>
      <c r="P488" s="478"/>
      <c r="Q488" s="478"/>
      <c r="R488" s="478"/>
      <c r="S488" s="478"/>
      <c r="T488" s="478"/>
      <c r="U488" s="478"/>
      <c r="V488" s="799" t="s">
        <v>184</v>
      </c>
      <c r="W488" s="800"/>
      <c r="X488" s="801" t="s">
        <v>185</v>
      </c>
      <c r="Y488" s="802">
        <v>3.4552889647799158E-2</v>
      </c>
      <c r="Z488" s="803">
        <v>165396.23548932362</v>
      </c>
      <c r="AA488" s="801"/>
      <c r="AB488" s="802"/>
      <c r="AC488" s="803"/>
      <c r="AD488" s="801" t="s">
        <v>185</v>
      </c>
      <c r="AE488" s="802">
        <v>3.9905801248578766E-2</v>
      </c>
      <c r="AF488" s="803">
        <v>182483.25999999992</v>
      </c>
      <c r="AG488" s="804"/>
      <c r="AH488" s="805">
        <v>17087.024510676303</v>
      </c>
      <c r="AI488" s="806">
        <v>0.10330963374181075</v>
      </c>
      <c r="AJ488" s="801" t="s">
        <v>185</v>
      </c>
      <c r="AK488" s="802">
        <v>3.7670268692609893E-2</v>
      </c>
      <c r="AL488" s="816">
        <v>191244.26</v>
      </c>
      <c r="AM488" s="817"/>
      <c r="AN488" s="818">
        <v>-8761.0000000000873</v>
      </c>
      <c r="AO488" s="819">
        <v>-4.5810525241385479E-2</v>
      </c>
      <c r="AP488" s="478"/>
      <c r="AQ488" s="478"/>
      <c r="AR488" s="478"/>
      <c r="AS488" s="478"/>
      <c r="AT488" s="478"/>
      <c r="AU488" s="478"/>
      <c r="AV488" s="478"/>
      <c r="AW488" s="478"/>
      <c r="AX488" s="478"/>
      <c r="AY488" s="478"/>
      <c r="AZ488" s="478"/>
      <c r="BA488" s="478"/>
      <c r="BB488" s="478"/>
      <c r="BC488" s="478"/>
      <c r="BD488" s="478"/>
      <c r="BE488" s="478"/>
      <c r="BF488" s="478"/>
      <c r="BG488" s="478"/>
      <c r="BH488" s="478"/>
      <c r="BI488" s="478"/>
      <c r="BJ488" s="478"/>
    </row>
    <row r="489" spans="1:62" ht="15.75" customHeight="1" thickTop="1">
      <c r="A489" s="490" t="s">
        <v>466</v>
      </c>
      <c r="B489" s="475"/>
      <c r="C489" s="694" t="s">
        <v>465</v>
      </c>
      <c r="D489" s="478"/>
      <c r="E489" s="478"/>
      <c r="F489" s="617"/>
      <c r="G489" s="478"/>
      <c r="H489" s="478"/>
      <c r="I489" s="617"/>
      <c r="J489" s="478"/>
      <c r="K489" s="478"/>
      <c r="L489" s="478"/>
      <c r="M489" s="617"/>
      <c r="N489" s="478"/>
      <c r="O489" s="478"/>
      <c r="P489" s="478"/>
      <c r="Q489" s="617"/>
      <c r="R489" s="617"/>
      <c r="S489" s="617"/>
      <c r="T489" s="764"/>
      <c r="U489" s="764"/>
      <c r="V489" s="820"/>
      <c r="W489" s="478"/>
      <c r="X489" s="478"/>
      <c r="Y489" s="478"/>
      <c r="Z489" s="821"/>
      <c r="AA489" s="478"/>
      <c r="AB489" s="478"/>
      <c r="AC489" s="822"/>
      <c r="AD489" s="478"/>
      <c r="AE489" s="478"/>
      <c r="AF489" s="822"/>
      <c r="AG489" s="478"/>
      <c r="AH489" s="478"/>
      <c r="AI489" s="822"/>
      <c r="AJ489" s="478"/>
      <c r="AK489" s="478"/>
      <c r="AL489" s="823"/>
      <c r="AM489" s="824"/>
      <c r="AN489" s="478"/>
      <c r="AO489" s="825"/>
      <c r="AP489" s="478"/>
      <c r="AQ489" s="478"/>
      <c r="AR489" s="478"/>
      <c r="AS489" s="478"/>
      <c r="AT489" s="478"/>
      <c r="AU489" s="478"/>
      <c r="AV489" s="478"/>
      <c r="AW489" s="478"/>
      <c r="AX489" s="478"/>
      <c r="AY489" s="478"/>
      <c r="AZ489" s="478"/>
      <c r="BA489" s="478"/>
      <c r="BB489" s="478"/>
      <c r="BC489" s="478"/>
      <c r="BD489" s="478"/>
      <c r="BE489" s="478"/>
      <c r="BF489" s="478"/>
      <c r="BG489" s="478"/>
      <c r="BH489" s="478"/>
      <c r="BI489" s="478"/>
      <c r="BJ489" s="478"/>
    </row>
    <row r="490" spans="1:62" ht="15.75" customHeight="1">
      <c r="A490" s="490" t="s">
        <v>187</v>
      </c>
      <c r="B490" s="475"/>
      <c r="C490" s="694" t="s">
        <v>465</v>
      </c>
      <c r="D490" s="478"/>
      <c r="E490" s="478"/>
      <c r="F490" s="478"/>
      <c r="G490" s="478"/>
      <c r="H490" s="478"/>
      <c r="I490" s="478"/>
      <c r="J490" s="478"/>
      <c r="K490" s="478"/>
      <c r="L490" s="478"/>
      <c r="M490" s="478"/>
      <c r="N490" s="478"/>
      <c r="O490" s="478"/>
      <c r="P490" s="478"/>
      <c r="Q490" s="478"/>
      <c r="R490" s="478"/>
      <c r="S490" s="478"/>
      <c r="T490" s="478"/>
      <c r="U490" s="478"/>
      <c r="V490" s="565" t="s">
        <v>187</v>
      </c>
      <c r="W490" s="726"/>
      <c r="X490" s="719"/>
      <c r="Y490" s="727"/>
      <c r="Z490" s="720">
        <v>4664.0375000000004</v>
      </c>
      <c r="AA490" s="719"/>
      <c r="AB490" s="727"/>
      <c r="AC490" s="720"/>
      <c r="AD490" s="719"/>
      <c r="AE490" s="727"/>
      <c r="AF490" s="720">
        <v>4314.5</v>
      </c>
      <c r="AG490" s="719"/>
      <c r="AH490" s="722">
        <v>-349.53750000000036</v>
      </c>
      <c r="AI490" s="742">
        <v>-7.4943115272979755E-2</v>
      </c>
      <c r="AJ490" s="719"/>
      <c r="AK490" s="719"/>
      <c r="AL490" s="720">
        <v>4314.5</v>
      </c>
      <c r="AM490" s="724"/>
      <c r="AN490" s="722">
        <v>0</v>
      </c>
      <c r="AO490" s="729">
        <v>0</v>
      </c>
      <c r="AP490" s="478"/>
      <c r="AQ490" s="478"/>
      <c r="AR490" s="478"/>
      <c r="AS490" s="478"/>
      <c r="AT490" s="478"/>
      <c r="AU490" s="478"/>
      <c r="AV490" s="478"/>
      <c r="AW490" s="478"/>
      <c r="AX490" s="478"/>
      <c r="AY490" s="478"/>
      <c r="AZ490" s="478"/>
      <c r="BA490" s="478"/>
      <c r="BB490" s="478"/>
      <c r="BC490" s="478"/>
      <c r="BD490" s="478"/>
      <c r="BE490" s="478"/>
      <c r="BF490" s="478"/>
      <c r="BG490" s="478"/>
      <c r="BH490" s="478"/>
      <c r="BI490" s="478"/>
      <c r="BJ490" s="478"/>
    </row>
    <row r="491" spans="1:62" ht="15.75" customHeight="1">
      <c r="A491" s="490" t="s">
        <v>188</v>
      </c>
      <c r="B491" s="475"/>
      <c r="C491" s="694" t="s">
        <v>465</v>
      </c>
      <c r="D491" s="478"/>
      <c r="E491" s="478"/>
      <c r="F491" s="617"/>
      <c r="G491" s="478"/>
      <c r="H491" s="478"/>
      <c r="I491" s="617"/>
      <c r="J491" s="478"/>
      <c r="K491" s="478"/>
      <c r="L491" s="478"/>
      <c r="M491" s="617"/>
      <c r="N491" s="478"/>
      <c r="O491" s="478"/>
      <c r="P491" s="478"/>
      <c r="Q491" s="617"/>
      <c r="R491" s="617"/>
      <c r="S491" s="617"/>
      <c r="T491" s="478"/>
      <c r="U491" s="478"/>
      <c r="V491" s="565" t="s">
        <v>188</v>
      </c>
      <c r="W491" s="478"/>
      <c r="X491" s="478"/>
      <c r="Y491" s="478"/>
      <c r="Z491" s="720">
        <v>0</v>
      </c>
      <c r="AA491" s="478"/>
      <c r="AB491" s="478"/>
      <c r="AC491" s="720"/>
      <c r="AD491" s="478"/>
      <c r="AE491" s="481"/>
      <c r="AF491" s="720">
        <v>0</v>
      </c>
      <c r="AG491" s="478"/>
      <c r="AH491" s="722">
        <v>0</v>
      </c>
      <c r="AI491" s="742">
        <v>0</v>
      </c>
      <c r="AJ491" s="478"/>
      <c r="AK491" s="478"/>
      <c r="AL491" s="720">
        <v>0</v>
      </c>
      <c r="AM491" s="824"/>
      <c r="AN491" s="722">
        <v>0</v>
      </c>
      <c r="AO491" s="729">
        <v>0</v>
      </c>
      <c r="AP491" s="478"/>
      <c r="AQ491" s="478"/>
      <c r="AR491" s="478"/>
      <c r="AS491" s="478"/>
      <c r="AT491" s="478"/>
      <c r="AU491" s="478"/>
      <c r="AV491" s="478"/>
      <c r="AW491" s="478"/>
      <c r="AX491" s="478"/>
      <c r="AY491" s="478"/>
      <c r="AZ491" s="478"/>
      <c r="BA491" s="478"/>
      <c r="BB491" s="478"/>
      <c r="BC491" s="478"/>
      <c r="BD491" s="478"/>
      <c r="BE491" s="478"/>
      <c r="BF491" s="478"/>
      <c r="BG491" s="478"/>
      <c r="BH491" s="478"/>
      <c r="BI491" s="478"/>
      <c r="BJ491" s="478"/>
    </row>
    <row r="492" spans="1:62" ht="15.75" customHeight="1">
      <c r="A492" s="490" t="s">
        <v>189</v>
      </c>
      <c r="B492" s="475"/>
      <c r="C492" s="694" t="s">
        <v>465</v>
      </c>
      <c r="D492" s="478"/>
      <c r="E492" s="478"/>
      <c r="F492" s="617"/>
      <c r="G492" s="478"/>
      <c r="H492" s="478"/>
      <c r="I492" s="617"/>
      <c r="J492" s="478"/>
      <c r="K492" s="478"/>
      <c r="L492" s="478"/>
      <c r="M492" s="617"/>
      <c r="N492" s="478"/>
      <c r="O492" s="478"/>
      <c r="P492" s="478"/>
      <c r="Q492" s="617"/>
      <c r="R492" s="617"/>
      <c r="S492" s="617"/>
      <c r="T492" s="478"/>
      <c r="U492" s="478"/>
      <c r="V492" s="565" t="s">
        <v>189</v>
      </c>
      <c r="W492" s="481"/>
      <c r="X492" s="481"/>
      <c r="Y492" s="481"/>
      <c r="Z492" s="720">
        <v>415.81</v>
      </c>
      <c r="AA492" s="478"/>
      <c r="AB492" s="478"/>
      <c r="AC492" s="720"/>
      <c r="AD492" s="478"/>
      <c r="AE492" s="481"/>
      <c r="AF492" s="720">
        <v>0</v>
      </c>
      <c r="AG492" s="478"/>
      <c r="AH492" s="722">
        <v>-415.81</v>
      </c>
      <c r="AI492" s="742">
        <v>-1</v>
      </c>
      <c r="AJ492" s="478"/>
      <c r="AK492" s="478"/>
      <c r="AL492" s="720">
        <v>426.79</v>
      </c>
      <c r="AM492" s="824"/>
      <c r="AN492" s="722">
        <v>-426.79</v>
      </c>
      <c r="AO492" s="729">
        <v>-1</v>
      </c>
      <c r="AP492" s="478"/>
      <c r="AQ492" s="478"/>
      <c r="AR492" s="478"/>
      <c r="AS492" s="478"/>
      <c r="AT492" s="478"/>
      <c r="AU492" s="478"/>
      <c r="AV492" s="478"/>
      <c r="AW492" s="478"/>
      <c r="AX492" s="478"/>
      <c r="AY492" s="478"/>
      <c r="AZ492" s="478"/>
      <c r="BA492" s="478"/>
      <c r="BB492" s="478"/>
      <c r="BC492" s="478"/>
      <c r="BD492" s="478"/>
      <c r="BE492" s="478"/>
      <c r="BF492" s="478"/>
      <c r="BG492" s="478"/>
      <c r="BH492" s="478"/>
      <c r="BI492" s="478"/>
      <c r="BJ492" s="478"/>
    </row>
    <row r="493" spans="1:62" ht="15.75" customHeight="1" thickBot="1">
      <c r="A493" s="490" t="s">
        <v>190</v>
      </c>
      <c r="B493" s="475"/>
      <c r="C493" s="694" t="s">
        <v>465</v>
      </c>
      <c r="D493" s="478"/>
      <c r="E493" s="478"/>
      <c r="F493" s="617"/>
      <c r="G493" s="478"/>
      <c r="H493" s="478"/>
      <c r="I493" s="617"/>
      <c r="J493" s="478"/>
      <c r="K493" s="478"/>
      <c r="L493" s="478"/>
      <c r="M493" s="617"/>
      <c r="N493" s="478"/>
      <c r="O493" s="478"/>
      <c r="P493" s="478"/>
      <c r="Q493" s="617"/>
      <c r="R493" s="617"/>
      <c r="S493" s="617"/>
      <c r="T493" s="478"/>
      <c r="U493" s="478"/>
      <c r="V493" s="565" t="s">
        <v>190</v>
      </c>
      <c r="W493" s="481"/>
      <c r="X493" s="481"/>
      <c r="Y493" s="481"/>
      <c r="Z493" s="720">
        <v>0</v>
      </c>
      <c r="AA493" s="478"/>
      <c r="AB493" s="478"/>
      <c r="AC493" s="720"/>
      <c r="AD493" s="478"/>
      <c r="AE493" s="481"/>
      <c r="AF493" s="720">
        <v>0</v>
      </c>
      <c r="AG493" s="478"/>
      <c r="AH493" s="722">
        <v>0</v>
      </c>
      <c r="AI493" s="742">
        <v>0</v>
      </c>
      <c r="AJ493" s="478"/>
      <c r="AK493" s="478"/>
      <c r="AL493" s="720">
        <v>0</v>
      </c>
      <c r="AM493" s="824"/>
      <c r="AN493" s="722">
        <v>0</v>
      </c>
      <c r="AO493" s="729">
        <v>0</v>
      </c>
      <c r="AP493" s="478"/>
      <c r="AQ493" s="478"/>
      <c r="AR493" s="478"/>
      <c r="AS493" s="478"/>
      <c r="AT493" s="478"/>
      <c r="AU493" s="478"/>
      <c r="AV493" s="478"/>
      <c r="AW493" s="478"/>
      <c r="AX493" s="478"/>
      <c r="AY493" s="478"/>
      <c r="AZ493" s="478"/>
      <c r="BA493" s="478"/>
      <c r="BB493" s="478"/>
      <c r="BC493" s="478"/>
      <c r="BD493" s="478"/>
      <c r="BE493" s="478"/>
      <c r="BF493" s="478"/>
      <c r="BG493" s="478"/>
      <c r="BH493" s="478"/>
      <c r="BI493" s="478"/>
      <c r="BJ493" s="478"/>
    </row>
    <row r="494" spans="1:62" ht="15.75" hidden="1" customHeight="1">
      <c r="A494" s="490" t="s">
        <v>20</v>
      </c>
      <c r="B494" s="475"/>
      <c r="C494" s="694" t="s">
        <v>465</v>
      </c>
      <c r="D494" s="478"/>
      <c r="E494" s="478"/>
      <c r="F494" s="617"/>
      <c r="G494" s="478"/>
      <c r="H494" s="478"/>
      <c r="I494" s="617"/>
      <c r="J494" s="478"/>
      <c r="K494" s="478"/>
      <c r="L494" s="478"/>
      <c r="M494" s="617"/>
      <c r="N494" s="478"/>
      <c r="O494" s="478"/>
      <c r="P494" s="478"/>
      <c r="Q494" s="617"/>
      <c r="R494" s="617"/>
      <c r="S494" s="617"/>
      <c r="T494" s="478"/>
      <c r="U494" s="478"/>
      <c r="V494" s="565" t="s">
        <v>20</v>
      </c>
      <c r="W494" s="481"/>
      <c r="X494" s="481"/>
      <c r="Y494" s="481"/>
      <c r="Z494" s="720">
        <v>0</v>
      </c>
      <c r="AA494" s="719"/>
      <c r="AB494" s="719"/>
      <c r="AC494" s="720"/>
      <c r="AD494" s="728"/>
      <c r="AE494" s="727"/>
      <c r="AF494" s="720">
        <v>0</v>
      </c>
      <c r="AG494" s="721"/>
      <c r="AH494" s="722">
        <v>0</v>
      </c>
      <c r="AI494" s="723">
        <v>0</v>
      </c>
      <c r="AJ494" s="728"/>
      <c r="AK494" s="719"/>
      <c r="AL494" s="720">
        <v>0</v>
      </c>
      <c r="AM494" s="824"/>
      <c r="AN494" s="722">
        <v>0</v>
      </c>
      <c r="AO494" s="729">
        <v>0</v>
      </c>
      <c r="AP494" s="478"/>
      <c r="AQ494" s="478"/>
      <c r="AR494" s="478"/>
      <c r="AS494" s="478"/>
      <c r="AT494" s="478"/>
      <c r="AU494" s="478"/>
      <c r="AV494" s="478"/>
      <c r="AW494" s="478"/>
      <c r="AX494" s="478"/>
      <c r="AY494" s="478"/>
      <c r="AZ494" s="478"/>
      <c r="BA494" s="478"/>
      <c r="BB494" s="478"/>
      <c r="BC494" s="478"/>
      <c r="BD494" s="478"/>
      <c r="BE494" s="478"/>
      <c r="BF494" s="478"/>
      <c r="BG494" s="478"/>
      <c r="BH494" s="478"/>
      <c r="BI494" s="478"/>
      <c r="BJ494" s="478"/>
    </row>
    <row r="495" spans="1:62" ht="15.75" hidden="1" customHeight="1">
      <c r="A495" s="490" t="s">
        <v>20</v>
      </c>
      <c r="B495" s="475"/>
      <c r="C495" s="694" t="s">
        <v>465</v>
      </c>
      <c r="D495" s="478"/>
      <c r="E495" s="478"/>
      <c r="F495" s="617"/>
      <c r="G495" s="478"/>
      <c r="H495" s="478"/>
      <c r="I495" s="617"/>
      <c r="J495" s="478"/>
      <c r="K495" s="478"/>
      <c r="L495" s="478"/>
      <c r="M495" s="617"/>
      <c r="N495" s="478"/>
      <c r="O495" s="478"/>
      <c r="P495" s="478"/>
      <c r="Q495" s="617"/>
      <c r="R495" s="617"/>
      <c r="S495" s="617"/>
      <c r="T495" s="478"/>
      <c r="U495" s="478"/>
      <c r="V495" s="565" t="s">
        <v>20</v>
      </c>
      <c r="W495" s="481"/>
      <c r="X495" s="481"/>
      <c r="Y495" s="481"/>
      <c r="Z495" s="720">
        <v>0</v>
      </c>
      <c r="AA495" s="719"/>
      <c r="AB495" s="719"/>
      <c r="AC495" s="720"/>
      <c r="AD495" s="728"/>
      <c r="AE495" s="727"/>
      <c r="AF495" s="720">
        <v>0</v>
      </c>
      <c r="AG495" s="721"/>
      <c r="AH495" s="722">
        <v>0</v>
      </c>
      <c r="AI495" s="723">
        <v>0</v>
      </c>
      <c r="AJ495" s="728"/>
      <c r="AK495" s="719"/>
      <c r="AL495" s="720">
        <v>0</v>
      </c>
      <c r="AM495" s="824"/>
      <c r="AN495" s="722">
        <v>0</v>
      </c>
      <c r="AO495" s="729">
        <v>0</v>
      </c>
      <c r="AP495" s="478"/>
      <c r="AQ495" s="478"/>
      <c r="AR495" s="478"/>
      <c r="AS495" s="478"/>
      <c r="AT495" s="478"/>
      <c r="AU495" s="478"/>
      <c r="AV495" s="478"/>
      <c r="AW495" s="478"/>
      <c r="AX495" s="478"/>
      <c r="AY495" s="478"/>
      <c r="AZ495" s="478"/>
      <c r="BA495" s="478"/>
      <c r="BB495" s="478"/>
      <c r="BC495" s="478"/>
      <c r="BD495" s="478"/>
      <c r="BE495" s="478"/>
      <c r="BF495" s="478"/>
      <c r="BG495" s="478"/>
      <c r="BH495" s="478"/>
      <c r="BI495" s="478"/>
      <c r="BJ495" s="478"/>
    </row>
    <row r="496" spans="1:62" ht="15.75" hidden="1" customHeight="1">
      <c r="A496" s="490" t="s">
        <v>20</v>
      </c>
      <c r="B496" s="475"/>
      <c r="C496" s="694" t="s">
        <v>465</v>
      </c>
      <c r="D496" s="478"/>
      <c r="E496" s="478"/>
      <c r="F496" s="617"/>
      <c r="G496" s="478"/>
      <c r="H496" s="478"/>
      <c r="I496" s="617"/>
      <c r="J496" s="478"/>
      <c r="K496" s="478"/>
      <c r="L496" s="478"/>
      <c r="M496" s="617"/>
      <c r="N496" s="478"/>
      <c r="O496" s="478"/>
      <c r="P496" s="478"/>
      <c r="Q496" s="617"/>
      <c r="R496" s="617"/>
      <c r="S496" s="617"/>
      <c r="T496" s="478"/>
      <c r="U496" s="478"/>
      <c r="V496" s="565" t="s">
        <v>20</v>
      </c>
      <c r="W496" s="481"/>
      <c r="X496" s="478"/>
      <c r="Y496" s="481"/>
      <c r="Z496" s="720">
        <v>0</v>
      </c>
      <c r="AA496" s="719"/>
      <c r="AB496" s="719"/>
      <c r="AC496" s="720"/>
      <c r="AD496" s="728"/>
      <c r="AE496" s="727"/>
      <c r="AF496" s="720">
        <v>0</v>
      </c>
      <c r="AG496" s="721"/>
      <c r="AH496" s="722">
        <v>0</v>
      </c>
      <c r="AI496" s="723">
        <v>0</v>
      </c>
      <c r="AJ496" s="728"/>
      <c r="AK496" s="719"/>
      <c r="AL496" s="720">
        <v>0</v>
      </c>
      <c r="AM496" s="824"/>
      <c r="AN496" s="722">
        <v>0</v>
      </c>
      <c r="AO496" s="729">
        <v>0</v>
      </c>
      <c r="AP496" s="478"/>
      <c r="AQ496" s="478"/>
      <c r="AR496" s="478"/>
      <c r="AS496" s="478"/>
      <c r="AT496" s="478"/>
      <c r="AU496" s="478"/>
      <c r="AV496" s="478"/>
      <c r="AW496" s="478"/>
      <c r="AX496" s="478"/>
      <c r="AY496" s="478"/>
      <c r="AZ496" s="478"/>
      <c r="BA496" s="478"/>
      <c r="BB496" s="478"/>
      <c r="BC496" s="478"/>
      <c r="BD496" s="478"/>
      <c r="BE496" s="478"/>
      <c r="BF496" s="478"/>
      <c r="BG496" s="478"/>
      <c r="BH496" s="478"/>
      <c r="BI496" s="478"/>
      <c r="BJ496" s="478"/>
    </row>
    <row r="497" spans="1:62" ht="15.75" customHeight="1" thickTop="1" thickBot="1">
      <c r="A497" s="490" t="s">
        <v>192</v>
      </c>
      <c r="B497" s="475"/>
      <c r="C497" s="694" t="s">
        <v>465</v>
      </c>
      <c r="D497" s="478"/>
      <c r="E497" s="478"/>
      <c r="F497" s="617"/>
      <c r="G497" s="478"/>
      <c r="H497" s="478"/>
      <c r="I497" s="617"/>
      <c r="J497" s="478"/>
      <c r="K497" s="478"/>
      <c r="L497" s="478"/>
      <c r="M497" s="617"/>
      <c r="N497" s="478"/>
      <c r="O497" s="478"/>
      <c r="P497" s="478"/>
      <c r="Q497" s="617"/>
      <c r="R497" s="617"/>
      <c r="S497" s="617"/>
      <c r="T497" s="478"/>
      <c r="U497" s="478"/>
      <c r="V497" s="799" t="s">
        <v>192</v>
      </c>
      <c r="W497" s="800"/>
      <c r="X497" s="801" t="s">
        <v>185</v>
      </c>
      <c r="Y497" s="802">
        <v>3.3491659870858566E-2</v>
      </c>
      <c r="Z497" s="803">
        <v>160316.38798932362</v>
      </c>
      <c r="AA497" s="801"/>
      <c r="AB497" s="802"/>
      <c r="AC497" s="803"/>
      <c r="AD497" s="801" t="s">
        <v>185</v>
      </c>
      <c r="AE497" s="802">
        <v>3.8962297830857091E-2</v>
      </c>
      <c r="AF497" s="804">
        <v>178168.75999999992</v>
      </c>
      <c r="AG497" s="805"/>
      <c r="AH497" s="805">
        <v>17852.372010676307</v>
      </c>
      <c r="AI497" s="806">
        <v>0.11135712471182421</v>
      </c>
      <c r="AJ497" s="807" t="s">
        <v>185</v>
      </c>
      <c r="AK497" s="802">
        <v>3.673635481592892E-2</v>
      </c>
      <c r="AL497" s="804">
        <v>186502.97</v>
      </c>
      <c r="AM497" s="808"/>
      <c r="AN497" s="804">
        <v>-8334.2100000000792</v>
      </c>
      <c r="AO497" s="826">
        <v>-4.4686741449747845E-2</v>
      </c>
      <c r="AP497" s="478"/>
      <c r="AQ497" s="478"/>
      <c r="AR497" s="478"/>
      <c r="AS497" s="478"/>
      <c r="AT497" s="478"/>
      <c r="AU497" s="478"/>
      <c r="AV497" s="478"/>
      <c r="AW497" s="478"/>
      <c r="AX497" s="478"/>
      <c r="AY497" s="478"/>
      <c r="AZ497" s="478"/>
      <c r="BA497" s="478"/>
      <c r="BB497" s="478"/>
      <c r="BC497" s="478"/>
      <c r="BD497" s="478"/>
      <c r="BE497" s="478"/>
      <c r="BF497" s="478"/>
      <c r="BG497" s="478"/>
      <c r="BH497" s="478"/>
      <c r="BI497" s="478"/>
      <c r="BJ497" s="478"/>
    </row>
    <row r="498" spans="1:62" ht="15.75" customHeight="1" thickTop="1">
      <c r="A498" s="490" t="s">
        <v>466</v>
      </c>
      <c r="B498" s="475"/>
      <c r="C498" s="478"/>
      <c r="D498" s="478"/>
      <c r="E498" s="478"/>
      <c r="F498" s="617"/>
      <c r="G498" s="478"/>
      <c r="H498" s="478"/>
      <c r="I498" s="617"/>
      <c r="J498" s="478"/>
      <c r="K498" s="478"/>
      <c r="L498" s="478"/>
      <c r="M498" s="617"/>
      <c r="N498" s="478"/>
      <c r="O498" s="478"/>
      <c r="P498" s="478"/>
      <c r="Q498" s="617"/>
      <c r="R498" s="617"/>
      <c r="S498" s="617"/>
      <c r="T498" s="478"/>
      <c r="U498" s="478"/>
      <c r="V498" s="478"/>
      <c r="W498" s="478"/>
      <c r="X498" s="478"/>
      <c r="Y498" s="478"/>
      <c r="Z498" s="478"/>
      <c r="AA498" s="478"/>
      <c r="AB498" s="478"/>
      <c r="AC498" s="478"/>
      <c r="AD498" s="478"/>
      <c r="AE498" s="827"/>
      <c r="AF498" s="828"/>
      <c r="AG498" s="478"/>
      <c r="AH498" s="478"/>
      <c r="AI498" s="478"/>
      <c r="AJ498" s="478"/>
      <c r="AK498" s="478"/>
      <c r="AL498" s="478"/>
      <c r="AM498" s="478"/>
      <c r="AN498" s="478"/>
      <c r="AO498" s="478"/>
      <c r="AP498" s="478"/>
      <c r="AQ498" s="478"/>
      <c r="AR498" s="478"/>
      <c r="AS498" s="478"/>
      <c r="AT498" s="478"/>
      <c r="AU498" s="478"/>
      <c r="AV498" s="478"/>
      <c r="AW498" s="478"/>
      <c r="AX498" s="478"/>
      <c r="AY498" s="478"/>
      <c r="AZ498" s="478"/>
      <c r="BA498" s="478"/>
      <c r="BB498" s="478"/>
      <c r="BC498" s="478"/>
      <c r="BD498" s="478"/>
      <c r="BE498" s="478"/>
      <c r="BF498" s="478"/>
      <c r="BG498" s="478"/>
      <c r="BH498" s="478"/>
      <c r="BI498" s="478"/>
      <c r="BJ498" s="478"/>
    </row>
    <row r="499" spans="1:62" ht="15.75" customHeight="1">
      <c r="B499" s="475"/>
      <c r="T499" s="478"/>
      <c r="U499" s="478"/>
      <c r="V499" s="478"/>
      <c r="W499" s="478"/>
      <c r="X499" s="478"/>
      <c r="Y499" s="478"/>
      <c r="Z499" s="617"/>
      <c r="AA499" s="478"/>
      <c r="AB499" s="478"/>
      <c r="AC499" s="617"/>
      <c r="AE499" s="478" t="s">
        <v>478</v>
      </c>
      <c r="AF499" s="829">
        <v>152015</v>
      </c>
      <c r="AG499" s="478"/>
      <c r="AH499" s="478"/>
      <c r="AI499" s="478"/>
      <c r="AJ499" s="830"/>
      <c r="AK499" s="831"/>
      <c r="AL499" s="832"/>
      <c r="AM499" s="478"/>
      <c r="AN499" s="478"/>
      <c r="AO499" s="478"/>
      <c r="AP499" s="478"/>
      <c r="AQ499" s="478"/>
      <c r="AR499" s="478"/>
      <c r="AS499" s="478"/>
      <c r="AT499" s="478"/>
      <c r="AU499" s="478"/>
      <c r="AV499" s="478"/>
      <c r="AW499" s="478"/>
      <c r="AX499" s="478"/>
      <c r="AY499" s="478"/>
      <c r="AZ499" s="478"/>
      <c r="BA499" s="478"/>
      <c r="BB499" s="478"/>
      <c r="BC499" s="478"/>
      <c r="BD499" s="478"/>
      <c r="BE499" s="478"/>
      <c r="BF499" s="478"/>
      <c r="BG499" s="478"/>
      <c r="BH499" s="478"/>
      <c r="BI499" s="478"/>
      <c r="BJ499" s="478"/>
    </row>
    <row r="500" spans="1:62" ht="15.75" customHeight="1">
      <c r="B500" s="475"/>
      <c r="C500" s="478"/>
      <c r="S500" s="617"/>
      <c r="W500" s="478"/>
      <c r="X500" s="478"/>
      <c r="Y500" s="478"/>
      <c r="Z500" s="617"/>
      <c r="AA500" s="478"/>
      <c r="AB500" s="478"/>
      <c r="AC500" s="617"/>
      <c r="AD500" s="478"/>
      <c r="AE500" s="478"/>
      <c r="AF500" s="833"/>
      <c r="AG500" s="478"/>
      <c r="AH500" s="478"/>
      <c r="AI500" s="478"/>
      <c r="AJ500" s="478"/>
      <c r="AL500" s="832"/>
      <c r="AM500" s="478"/>
      <c r="AN500" s="478"/>
      <c r="AO500" s="478"/>
      <c r="AP500" s="478"/>
      <c r="AQ500" s="478"/>
      <c r="AR500" s="478"/>
      <c r="AS500" s="478"/>
      <c r="AT500" s="478"/>
      <c r="AU500" s="478"/>
      <c r="AV500" s="478"/>
      <c r="AW500" s="478"/>
      <c r="AX500" s="478"/>
      <c r="AY500" s="478"/>
      <c r="AZ500" s="478"/>
      <c r="BA500" s="478"/>
      <c r="BB500" s="478"/>
      <c r="BC500" s="478"/>
      <c r="BD500" s="478"/>
      <c r="BE500" s="478"/>
      <c r="BF500" s="478"/>
      <c r="BG500" s="478"/>
      <c r="BH500" s="478"/>
      <c r="BI500" s="478"/>
      <c r="BJ500" s="478"/>
    </row>
    <row r="501" spans="1:62" ht="15.75" customHeight="1">
      <c r="B501" s="475"/>
      <c r="C501" s="719"/>
      <c r="W501" s="478"/>
      <c r="X501" s="478"/>
      <c r="Y501" s="478"/>
      <c r="AE501" s="478"/>
      <c r="AF501" s="833"/>
      <c r="AM501" s="478"/>
      <c r="AN501" s="478"/>
      <c r="AO501" s="478"/>
      <c r="AP501" s="478"/>
      <c r="AQ501" s="478"/>
      <c r="AR501" s="478"/>
      <c r="AS501" s="478"/>
      <c r="AT501" s="478"/>
      <c r="AU501" s="478"/>
      <c r="AV501" s="478"/>
      <c r="AW501" s="478"/>
      <c r="AX501" s="478"/>
      <c r="AY501" s="478"/>
      <c r="AZ501" s="478"/>
      <c r="BA501" s="478"/>
      <c r="BB501" s="478"/>
      <c r="BC501" s="478"/>
      <c r="BD501" s="478"/>
      <c r="BE501" s="478"/>
      <c r="BF501" s="478"/>
      <c r="BG501" s="478"/>
      <c r="BH501" s="478"/>
      <c r="BI501" s="478"/>
      <c r="BJ501" s="478"/>
    </row>
    <row r="502" spans="1:62" ht="15.75" customHeight="1">
      <c r="B502" s="475"/>
      <c r="C502" s="719"/>
      <c r="W502" s="478"/>
      <c r="X502" s="478"/>
      <c r="Y502" s="478"/>
      <c r="Z502" s="478"/>
      <c r="AA502" s="478"/>
      <c r="AB502" s="478"/>
      <c r="AC502" s="478"/>
      <c r="AD502" s="478"/>
      <c r="AE502" s="478"/>
      <c r="AF502" s="833"/>
      <c r="AG502" s="478"/>
      <c r="AH502" s="478"/>
      <c r="AI502" s="478"/>
      <c r="AJ502" s="834"/>
      <c r="AK502" s="831"/>
      <c r="AL502" s="832"/>
      <c r="AM502" s="478"/>
      <c r="AN502" s="478"/>
      <c r="AO502" s="478"/>
      <c r="AP502" s="478"/>
      <c r="AQ502" s="478"/>
      <c r="AR502" s="478"/>
      <c r="AS502" s="478"/>
      <c r="AT502" s="478"/>
      <c r="AU502" s="478"/>
      <c r="AV502" s="478"/>
      <c r="AW502" s="478"/>
      <c r="AX502" s="478"/>
      <c r="AY502" s="478"/>
      <c r="AZ502" s="478"/>
      <c r="BA502" s="478"/>
      <c r="BB502" s="478"/>
      <c r="BC502" s="478"/>
      <c r="BD502" s="478"/>
      <c r="BE502" s="478"/>
      <c r="BF502" s="478"/>
      <c r="BG502" s="478"/>
      <c r="BH502" s="478"/>
      <c r="BI502" s="478"/>
      <c r="BJ502" s="478"/>
    </row>
    <row r="503" spans="1:62" ht="15.75" customHeight="1">
      <c r="B503" s="475"/>
      <c r="C503" s="719"/>
      <c r="W503" s="478"/>
      <c r="X503" s="478"/>
      <c r="Y503" s="478"/>
      <c r="Z503" s="478"/>
      <c r="AA503" s="478"/>
      <c r="AB503" s="478"/>
      <c r="AC503" s="478"/>
      <c r="AD503" s="478"/>
      <c r="AE503" s="478"/>
      <c r="AF503" s="833"/>
      <c r="AG503" s="478"/>
      <c r="AH503" s="478"/>
      <c r="AI503" s="478"/>
      <c r="AJ503" s="478"/>
      <c r="AK503" s="478"/>
      <c r="AL503" s="478"/>
      <c r="AM503" s="478"/>
      <c r="AN503" s="478"/>
      <c r="AO503" s="478"/>
      <c r="AP503" s="478"/>
      <c r="AQ503" s="478"/>
      <c r="AR503" s="478"/>
      <c r="AS503" s="478"/>
      <c r="AT503" s="478"/>
      <c r="AU503" s="478"/>
      <c r="AV503" s="478"/>
      <c r="AW503" s="478"/>
      <c r="AX503" s="478"/>
      <c r="AY503" s="478"/>
      <c r="AZ503" s="478"/>
      <c r="BA503" s="478"/>
      <c r="BB503" s="478"/>
      <c r="BC503" s="478"/>
      <c r="BD503" s="478"/>
      <c r="BE503" s="478"/>
      <c r="BF503" s="478"/>
      <c r="BG503" s="478"/>
      <c r="BH503" s="478"/>
      <c r="BI503" s="478"/>
      <c r="BJ503" s="478"/>
    </row>
    <row r="504" spans="1:62" ht="15.75" customHeight="1">
      <c r="B504" s="475"/>
      <c r="C504" s="719"/>
      <c r="W504" s="478"/>
      <c r="X504" s="478"/>
      <c r="Y504" s="478"/>
      <c r="Z504" s="478"/>
      <c r="AA504" s="478"/>
      <c r="AB504" s="478"/>
      <c r="AC504" s="478"/>
      <c r="AD504" s="478"/>
      <c r="AE504" s="478"/>
      <c r="AF504" s="833"/>
      <c r="AG504" s="478"/>
      <c r="AH504" s="478"/>
      <c r="AI504" s="478"/>
      <c r="AJ504" s="478"/>
      <c r="AK504" s="478"/>
      <c r="AL504" s="478"/>
      <c r="AM504" s="478"/>
      <c r="AN504" s="478"/>
      <c r="AO504" s="478"/>
      <c r="AP504" s="478"/>
      <c r="AQ504" s="478"/>
      <c r="AR504" s="478"/>
      <c r="AS504" s="478"/>
      <c r="AT504" s="478"/>
      <c r="AU504" s="478"/>
      <c r="AV504" s="478"/>
      <c r="AW504" s="478"/>
      <c r="AX504" s="478"/>
      <c r="AY504" s="478"/>
      <c r="AZ504" s="478"/>
      <c r="BA504" s="478"/>
      <c r="BB504" s="478"/>
      <c r="BC504" s="478"/>
      <c r="BD504" s="478"/>
      <c r="BE504" s="478"/>
      <c r="BF504" s="478"/>
      <c r="BG504" s="478"/>
      <c r="BH504" s="478"/>
      <c r="BI504" s="478"/>
      <c r="BJ504" s="478"/>
    </row>
    <row r="505" spans="1:62" ht="15.75" customHeight="1">
      <c r="B505" s="475"/>
      <c r="C505" s="719"/>
      <c r="W505" s="478"/>
      <c r="X505" s="478"/>
      <c r="Y505" s="478"/>
      <c r="Z505" s="478"/>
      <c r="AA505" s="478"/>
      <c r="AB505" s="478"/>
      <c r="AC505" s="478"/>
      <c r="AD505" s="478"/>
      <c r="AE505" s="478"/>
      <c r="AF505" s="833"/>
      <c r="AG505" s="478"/>
      <c r="AH505" s="478"/>
      <c r="AI505" s="478"/>
      <c r="AJ505" s="478"/>
      <c r="AK505" s="478"/>
      <c r="AL505" s="478"/>
      <c r="AM505" s="478"/>
      <c r="AN505" s="478"/>
      <c r="AO505" s="478"/>
      <c r="AP505" s="478"/>
      <c r="AQ505" s="478"/>
      <c r="AR505" s="478"/>
      <c r="AS505" s="478"/>
      <c r="AT505" s="478"/>
      <c r="AU505" s="478"/>
      <c r="AV505" s="478"/>
      <c r="AW505" s="478"/>
      <c r="AX505" s="478"/>
      <c r="AY505" s="478"/>
      <c r="AZ505" s="478"/>
      <c r="BA505" s="478"/>
      <c r="BB505" s="478"/>
      <c r="BC505" s="478"/>
      <c r="BD505" s="478"/>
      <c r="BE505" s="478"/>
      <c r="BF505" s="478"/>
      <c r="BG505" s="478"/>
      <c r="BH505" s="478"/>
      <c r="BI505" s="478"/>
      <c r="BJ505" s="478"/>
    </row>
    <row r="506" spans="1:62" ht="15.75" customHeight="1">
      <c r="B506" s="475"/>
      <c r="C506" s="719"/>
      <c r="W506" s="478"/>
      <c r="X506" s="478"/>
      <c r="Y506" s="478"/>
      <c r="Z506" s="478"/>
      <c r="AA506" s="478"/>
      <c r="AB506" s="478"/>
      <c r="AC506" s="478"/>
      <c r="AD506" s="478"/>
      <c r="AE506" s="478"/>
      <c r="AF506" s="833"/>
      <c r="AG506" s="478"/>
      <c r="AH506" s="478"/>
      <c r="AI506" s="478"/>
      <c r="AJ506" s="478"/>
      <c r="AK506" s="478"/>
      <c r="AL506" s="478"/>
      <c r="AM506" s="478"/>
      <c r="AN506" s="478"/>
      <c r="AO506" s="478"/>
      <c r="AP506" s="478"/>
      <c r="AQ506" s="478"/>
      <c r="AR506" s="478"/>
      <c r="AS506" s="478"/>
      <c r="AT506" s="478"/>
      <c r="AU506" s="478"/>
      <c r="AV506" s="478"/>
      <c r="AW506" s="478"/>
      <c r="AX506" s="478"/>
      <c r="AY506" s="478"/>
      <c r="AZ506" s="478"/>
      <c r="BA506" s="478"/>
      <c r="BB506" s="478"/>
      <c r="BC506" s="478"/>
      <c r="BD506" s="478"/>
      <c r="BE506" s="478"/>
      <c r="BF506" s="478"/>
      <c r="BG506" s="478"/>
      <c r="BH506" s="478"/>
      <c r="BI506" s="478"/>
      <c r="BJ506" s="478"/>
    </row>
    <row r="507" spans="1:62" ht="15.75" customHeight="1">
      <c r="B507" s="475"/>
      <c r="C507" s="719"/>
      <c r="W507" s="478"/>
      <c r="X507" s="478"/>
      <c r="Y507" s="478"/>
      <c r="Z507" s="478"/>
      <c r="AA507" s="478"/>
      <c r="AB507" s="478"/>
      <c r="AC507" s="478"/>
      <c r="AD507" s="478"/>
      <c r="AE507" s="478"/>
      <c r="AF507" s="617"/>
      <c r="AG507" s="478"/>
      <c r="AH507" s="478"/>
      <c r="AI507" s="478"/>
      <c r="AJ507" s="478"/>
      <c r="AK507" s="478"/>
      <c r="AL507" s="478"/>
      <c r="AM507" s="478"/>
      <c r="AN507" s="478"/>
      <c r="AO507" s="478"/>
      <c r="AP507" s="478"/>
      <c r="AQ507" s="478"/>
      <c r="AR507" s="478"/>
      <c r="AS507" s="478"/>
      <c r="AT507" s="478"/>
      <c r="AU507" s="478"/>
      <c r="AV507" s="478"/>
      <c r="AW507" s="478"/>
      <c r="AX507" s="478"/>
      <c r="AY507" s="478"/>
      <c r="AZ507" s="478"/>
      <c r="BA507" s="478"/>
      <c r="BB507" s="478"/>
      <c r="BC507" s="478"/>
      <c r="BD507" s="478"/>
      <c r="BE507" s="478"/>
      <c r="BF507" s="478"/>
      <c r="BG507" s="478"/>
      <c r="BH507" s="478"/>
      <c r="BI507" s="478"/>
      <c r="BJ507" s="478"/>
    </row>
    <row r="508" spans="1:62" ht="15.75" customHeight="1">
      <c r="B508" s="475"/>
      <c r="C508" s="719"/>
      <c r="W508" s="478"/>
      <c r="X508" s="478"/>
      <c r="Y508" s="478"/>
      <c r="Z508" s="478"/>
      <c r="AA508" s="478"/>
      <c r="AB508" s="478"/>
      <c r="AC508" s="478"/>
      <c r="AD508" s="478"/>
      <c r="AE508" s="478"/>
      <c r="AF508" s="833"/>
      <c r="AG508" s="478"/>
      <c r="AH508" s="478"/>
      <c r="AI508" s="478"/>
      <c r="AJ508" s="478"/>
      <c r="AK508" s="478"/>
      <c r="AL508" s="478"/>
      <c r="AM508" s="478"/>
      <c r="AN508" s="478"/>
      <c r="AO508" s="478"/>
      <c r="AP508" s="478"/>
      <c r="AQ508" s="478"/>
      <c r="AR508" s="478"/>
      <c r="AS508" s="478"/>
      <c r="AT508" s="478"/>
      <c r="AU508" s="478"/>
      <c r="AV508" s="478"/>
      <c r="AW508" s="478"/>
      <c r="AX508" s="478"/>
      <c r="AY508" s="478"/>
      <c r="AZ508" s="478"/>
      <c r="BA508" s="478"/>
      <c r="BB508" s="478"/>
      <c r="BC508" s="478"/>
      <c r="BD508" s="478"/>
      <c r="BE508" s="478"/>
      <c r="BF508" s="478"/>
      <c r="BG508" s="478"/>
      <c r="BH508" s="478"/>
      <c r="BI508" s="478"/>
      <c r="BJ508" s="478"/>
    </row>
    <row r="509" spans="1:62" ht="15.75" customHeight="1">
      <c r="B509" s="475"/>
      <c r="C509" s="719"/>
      <c r="W509" s="764"/>
      <c r="X509" s="764"/>
      <c r="Y509" s="478"/>
      <c r="Z509" s="478"/>
      <c r="AA509" s="478"/>
      <c r="AB509" s="478"/>
      <c r="AC509" s="478"/>
      <c r="AD509" s="478"/>
      <c r="AE509" s="478"/>
      <c r="AF509" s="478"/>
      <c r="AG509" s="478"/>
      <c r="AH509" s="478"/>
      <c r="AI509" s="478"/>
      <c r="AJ509" s="478"/>
      <c r="AK509" s="478"/>
      <c r="AL509" s="478"/>
      <c r="AM509" s="478"/>
      <c r="AN509" s="478"/>
      <c r="AO509" s="478"/>
      <c r="AP509" s="478"/>
      <c r="AQ509" s="478"/>
      <c r="AR509" s="478"/>
      <c r="AS509" s="478"/>
      <c r="AT509" s="478"/>
      <c r="AU509" s="478"/>
      <c r="AV509" s="478"/>
      <c r="AW509" s="478"/>
      <c r="AX509" s="478"/>
      <c r="AY509" s="478"/>
      <c r="AZ509" s="478"/>
      <c r="BA509" s="478"/>
      <c r="BB509" s="478"/>
      <c r="BC509" s="478"/>
      <c r="BD509" s="478"/>
      <c r="BE509" s="478"/>
      <c r="BF509" s="478"/>
      <c r="BG509" s="478"/>
      <c r="BH509" s="478"/>
      <c r="BI509" s="478"/>
      <c r="BJ509" s="478"/>
    </row>
    <row r="510" spans="1:62" ht="15.75" customHeight="1">
      <c r="B510" s="475"/>
      <c r="C510" s="719"/>
      <c r="W510" s="764"/>
      <c r="X510" s="764"/>
      <c r="Y510" s="478"/>
      <c r="Z510" s="478"/>
      <c r="AA510" s="478"/>
      <c r="AB510" s="478"/>
      <c r="AC510" s="478"/>
      <c r="AD510" s="478"/>
      <c r="AE510" s="478"/>
      <c r="AF510" s="478"/>
      <c r="AG510" s="478"/>
      <c r="AH510" s="478"/>
      <c r="AI510" s="478"/>
      <c r="AJ510" s="478"/>
      <c r="AK510" s="478"/>
      <c r="AL510" s="478"/>
      <c r="AM510" s="478"/>
      <c r="AN510" s="478"/>
      <c r="AO510" s="478"/>
      <c r="AP510" s="478"/>
      <c r="AQ510" s="478"/>
      <c r="AR510" s="478"/>
      <c r="AS510" s="478"/>
      <c r="AT510" s="478"/>
      <c r="AU510" s="478"/>
      <c r="AV510" s="478"/>
      <c r="AW510" s="478"/>
      <c r="AX510" s="478"/>
      <c r="AY510" s="478"/>
      <c r="AZ510" s="478"/>
      <c r="BA510" s="478"/>
      <c r="BB510" s="478"/>
      <c r="BC510" s="478"/>
      <c r="BD510" s="478"/>
      <c r="BE510" s="478"/>
      <c r="BF510" s="478"/>
      <c r="BG510" s="478"/>
      <c r="BH510" s="478"/>
      <c r="BI510" s="478"/>
      <c r="BJ510" s="478"/>
    </row>
    <row r="511" spans="1:62" ht="15.75" customHeight="1">
      <c r="B511" s="475"/>
      <c r="C511" s="719"/>
      <c r="W511" s="764"/>
      <c r="X511" s="764"/>
      <c r="Y511" s="478"/>
      <c r="Z511" s="478"/>
      <c r="AA511" s="478"/>
      <c r="AB511" s="478"/>
      <c r="AC511" s="478"/>
      <c r="AD511" s="478"/>
      <c r="AE511" s="478"/>
      <c r="AF511" s="478"/>
      <c r="AG511" s="478"/>
      <c r="AH511" s="478"/>
      <c r="AI511" s="478"/>
      <c r="AJ511" s="478"/>
      <c r="AK511" s="478"/>
      <c r="AL511" s="478"/>
      <c r="AM511" s="478"/>
      <c r="AN511" s="478"/>
      <c r="AO511" s="478"/>
      <c r="AP511" s="478"/>
      <c r="AQ511" s="478"/>
      <c r="AR511" s="478"/>
      <c r="AS511" s="478"/>
      <c r="AT511" s="478"/>
      <c r="AU511" s="478"/>
      <c r="AV511" s="478"/>
      <c r="AW511" s="478"/>
      <c r="AX511" s="478"/>
      <c r="AY511" s="478"/>
      <c r="AZ511" s="478"/>
      <c r="BA511" s="478"/>
      <c r="BB511" s="478"/>
      <c r="BC511" s="478"/>
      <c r="BD511" s="478"/>
      <c r="BE511" s="478"/>
      <c r="BF511" s="478"/>
      <c r="BG511" s="478"/>
      <c r="BH511" s="478"/>
      <c r="BI511" s="478"/>
      <c r="BJ511" s="478"/>
    </row>
    <row r="512" spans="1:62" ht="15.75" customHeight="1">
      <c r="B512" s="475"/>
      <c r="C512" s="719"/>
      <c r="W512" s="764"/>
      <c r="X512" s="764"/>
      <c r="Y512" s="478"/>
      <c r="Z512" s="478"/>
      <c r="AA512" s="478"/>
      <c r="AB512" s="478"/>
      <c r="AC512" s="478"/>
      <c r="AD512" s="478"/>
      <c r="AE512" s="478"/>
      <c r="AF512" s="478"/>
      <c r="AG512" s="478"/>
      <c r="AH512" s="478"/>
      <c r="AI512" s="478"/>
      <c r="AJ512" s="478"/>
      <c r="AK512" s="478"/>
      <c r="AL512" s="478"/>
      <c r="AM512" s="478"/>
      <c r="AN512" s="478"/>
      <c r="AO512" s="478"/>
      <c r="AP512" s="478"/>
      <c r="AQ512" s="478"/>
      <c r="AR512" s="478"/>
      <c r="AS512" s="478"/>
      <c r="AT512" s="478"/>
      <c r="AU512" s="478"/>
      <c r="AV512" s="478"/>
      <c r="AW512" s="478"/>
      <c r="AX512" s="478"/>
      <c r="AY512" s="478"/>
      <c r="AZ512" s="478"/>
      <c r="BA512" s="478"/>
      <c r="BB512" s="478"/>
      <c r="BC512" s="478"/>
      <c r="BD512" s="478"/>
      <c r="BE512" s="478"/>
      <c r="BF512" s="478"/>
      <c r="BG512" s="478"/>
      <c r="BH512" s="478"/>
      <c r="BI512" s="478"/>
      <c r="BJ512" s="478"/>
    </row>
    <row r="513" spans="2:62" ht="15.75" customHeight="1">
      <c r="B513" s="475"/>
      <c r="C513" s="719"/>
      <c r="W513" s="764"/>
      <c r="X513" s="764"/>
      <c r="Y513" s="478"/>
      <c r="Z513" s="478"/>
      <c r="AA513" s="478"/>
      <c r="AB513" s="478"/>
      <c r="AC513" s="478"/>
      <c r="AD513" s="478"/>
      <c r="AE513" s="478"/>
      <c r="AF513" s="478"/>
      <c r="AG513" s="478"/>
      <c r="AH513" s="478"/>
      <c r="AI513" s="478"/>
      <c r="AJ513" s="478"/>
      <c r="AK513" s="478"/>
      <c r="AL513" s="478"/>
      <c r="AM513" s="478"/>
      <c r="AN513" s="478"/>
      <c r="AO513" s="478"/>
      <c r="AP513" s="478"/>
      <c r="AQ513" s="478"/>
      <c r="AR513" s="478"/>
      <c r="AS513" s="478"/>
      <c r="AT513" s="478"/>
      <c r="AU513" s="478"/>
      <c r="AV513" s="478"/>
      <c r="AW513" s="478"/>
      <c r="AX513" s="478"/>
      <c r="AY513" s="478"/>
      <c r="AZ513" s="478"/>
      <c r="BA513" s="478"/>
      <c r="BB513" s="478"/>
      <c r="BC513" s="478"/>
      <c r="BD513" s="478"/>
      <c r="BE513" s="478"/>
      <c r="BF513" s="478"/>
      <c r="BG513" s="478"/>
      <c r="BH513" s="478"/>
      <c r="BI513" s="478"/>
      <c r="BJ513" s="478"/>
    </row>
    <row r="514" spans="2:62" ht="15.75" customHeight="1">
      <c r="B514" s="475"/>
      <c r="C514" s="719"/>
      <c r="W514" s="764"/>
      <c r="X514" s="764"/>
      <c r="Y514" s="478"/>
      <c r="Z514" s="478"/>
      <c r="AA514" s="478"/>
      <c r="AB514" s="478"/>
      <c r="AC514" s="478"/>
      <c r="AD514" s="478"/>
      <c r="AE514" s="478"/>
      <c r="AF514" s="478"/>
      <c r="AG514" s="478"/>
      <c r="AH514" s="478"/>
      <c r="AI514" s="478"/>
      <c r="AJ514" s="478"/>
      <c r="AK514" s="478"/>
      <c r="AL514" s="478"/>
      <c r="AM514" s="478"/>
      <c r="AN514" s="478"/>
      <c r="AO514" s="478"/>
      <c r="AP514" s="478"/>
      <c r="AQ514" s="478"/>
      <c r="AR514" s="478"/>
      <c r="AS514" s="478"/>
      <c r="AT514" s="478"/>
      <c r="AU514" s="478"/>
      <c r="AV514" s="478"/>
      <c r="AW514" s="478"/>
      <c r="AX514" s="478"/>
      <c r="AY514" s="478"/>
      <c r="AZ514" s="478"/>
      <c r="BA514" s="478"/>
      <c r="BB514" s="478"/>
      <c r="BC514" s="478"/>
      <c r="BD514" s="478"/>
      <c r="BE514" s="478"/>
      <c r="BF514" s="478"/>
      <c r="BG514" s="478"/>
      <c r="BH514" s="478"/>
      <c r="BI514" s="478"/>
      <c r="BJ514" s="478"/>
    </row>
    <row r="515" spans="2:62" ht="15.75" customHeight="1">
      <c r="B515" s="475"/>
      <c r="W515" s="764"/>
      <c r="X515" s="764"/>
      <c r="Y515" s="478"/>
      <c r="Z515" s="478"/>
      <c r="AA515" s="478"/>
      <c r="AB515" s="478"/>
      <c r="AC515" s="478"/>
      <c r="AD515" s="478"/>
      <c r="AE515" s="478"/>
      <c r="AF515" s="478"/>
      <c r="AG515" s="478"/>
      <c r="AH515" s="478"/>
      <c r="AI515" s="478"/>
      <c r="AJ515" s="478"/>
      <c r="AK515" s="478"/>
      <c r="AL515" s="478"/>
      <c r="AM515" s="478"/>
      <c r="AN515" s="478"/>
      <c r="AO515" s="478"/>
      <c r="AP515" s="478"/>
      <c r="AQ515" s="478"/>
      <c r="AR515" s="478"/>
      <c r="AS515" s="478"/>
      <c r="AT515" s="478"/>
      <c r="AU515" s="478"/>
      <c r="AV515" s="478"/>
      <c r="AW515" s="478"/>
      <c r="AX515" s="478"/>
      <c r="AY515" s="478"/>
      <c r="AZ515" s="478"/>
      <c r="BA515" s="478"/>
      <c r="BB515" s="478"/>
      <c r="BC515" s="478"/>
      <c r="BD515" s="478"/>
      <c r="BE515" s="478"/>
      <c r="BF515" s="478"/>
      <c r="BG515" s="478"/>
      <c r="BH515" s="478"/>
      <c r="BI515" s="478"/>
      <c r="BJ515" s="478"/>
    </row>
    <row r="516" spans="2:62" ht="15.75" customHeight="1">
      <c r="B516" s="475"/>
      <c r="W516" s="764"/>
      <c r="X516" s="764"/>
      <c r="Y516" s="478"/>
      <c r="Z516" s="478"/>
      <c r="AA516" s="478"/>
      <c r="AB516" s="478"/>
      <c r="AC516" s="478"/>
      <c r="AD516" s="478"/>
      <c r="AE516" s="478"/>
      <c r="AF516" s="478"/>
      <c r="AG516" s="478"/>
      <c r="AH516" s="478"/>
      <c r="AI516" s="478"/>
      <c r="AJ516" s="478"/>
      <c r="AK516" s="478"/>
      <c r="AL516" s="478"/>
      <c r="AM516" s="478"/>
      <c r="AN516" s="478"/>
      <c r="AO516" s="478"/>
      <c r="AP516" s="478"/>
      <c r="AQ516" s="478"/>
      <c r="AR516" s="478"/>
      <c r="AS516" s="478"/>
      <c r="AT516" s="478"/>
      <c r="AU516" s="478"/>
      <c r="AV516" s="478"/>
      <c r="AW516" s="478"/>
      <c r="AX516" s="478"/>
      <c r="AY516" s="478"/>
      <c r="AZ516" s="478"/>
      <c r="BA516" s="478"/>
      <c r="BB516" s="478"/>
      <c r="BC516" s="478"/>
      <c r="BD516" s="478"/>
      <c r="BE516" s="478"/>
      <c r="BF516" s="478"/>
      <c r="BG516" s="478"/>
      <c r="BH516" s="478"/>
      <c r="BI516" s="478"/>
      <c r="BJ516" s="478"/>
    </row>
    <row r="517" spans="2:62" ht="15.75" customHeight="1">
      <c r="B517" s="475"/>
      <c r="W517" s="764"/>
      <c r="X517" s="764"/>
      <c r="Y517" s="478"/>
      <c r="Z517" s="478"/>
      <c r="AA517" s="478"/>
      <c r="AB517" s="478"/>
      <c r="AC517" s="478"/>
      <c r="AD517" s="478"/>
      <c r="AE517" s="478"/>
      <c r="AF517" s="478"/>
      <c r="AG517" s="478"/>
      <c r="AH517" s="478"/>
      <c r="AI517" s="478"/>
      <c r="AJ517" s="478"/>
      <c r="AK517" s="478"/>
      <c r="AL517" s="478"/>
      <c r="AM517" s="478"/>
      <c r="AN517" s="478"/>
      <c r="AO517" s="478"/>
      <c r="AP517" s="478"/>
      <c r="AQ517" s="478"/>
      <c r="AR517" s="478"/>
      <c r="AS517" s="478"/>
      <c r="AT517" s="478"/>
      <c r="AU517" s="478"/>
      <c r="AV517" s="478"/>
      <c r="AW517" s="478"/>
      <c r="AX517" s="478"/>
      <c r="AY517" s="478"/>
      <c r="AZ517" s="478"/>
      <c r="BA517" s="478"/>
      <c r="BB517" s="478"/>
      <c r="BC517" s="478"/>
      <c r="BD517" s="478"/>
      <c r="BE517" s="478"/>
      <c r="BF517" s="478"/>
      <c r="BG517" s="478"/>
      <c r="BH517" s="478"/>
      <c r="BI517" s="478"/>
      <c r="BJ517" s="478"/>
    </row>
    <row r="518" spans="2:62" ht="15.75" customHeight="1">
      <c r="B518" s="475"/>
      <c r="W518" s="764"/>
      <c r="X518" s="764"/>
      <c r="Y518" s="478"/>
      <c r="Z518" s="478"/>
      <c r="AA518" s="478"/>
      <c r="AB518" s="478"/>
      <c r="AC518" s="478"/>
      <c r="AD518" s="478"/>
      <c r="AE518" s="478"/>
      <c r="AF518" s="478"/>
      <c r="AG518" s="478"/>
      <c r="AH518" s="478"/>
      <c r="AI518" s="478"/>
      <c r="AJ518" s="478"/>
      <c r="AK518" s="478"/>
      <c r="AL518" s="478"/>
      <c r="AM518" s="478"/>
      <c r="AN518" s="478"/>
      <c r="AO518" s="478"/>
      <c r="AP518" s="478"/>
      <c r="AQ518" s="478"/>
      <c r="AR518" s="478"/>
      <c r="AS518" s="478"/>
      <c r="AT518" s="478"/>
      <c r="AU518" s="478"/>
      <c r="AV518" s="478"/>
      <c r="AW518" s="478"/>
      <c r="AX518" s="478"/>
      <c r="AY518" s="478"/>
      <c r="AZ518" s="478"/>
      <c r="BA518" s="478"/>
      <c r="BB518" s="478"/>
      <c r="BC518" s="478"/>
      <c r="BD518" s="478"/>
      <c r="BE518" s="478"/>
      <c r="BF518" s="478"/>
      <c r="BG518" s="478"/>
      <c r="BH518" s="478"/>
      <c r="BI518" s="478"/>
      <c r="BJ518" s="478"/>
    </row>
    <row r="519" spans="2:62" ht="15.75" customHeight="1">
      <c r="B519" s="475"/>
      <c r="W519" s="764"/>
      <c r="X519" s="764"/>
      <c r="Y519" s="478"/>
      <c r="Z519" s="478"/>
      <c r="AA519" s="478"/>
      <c r="AB519" s="478"/>
      <c r="AC519" s="478"/>
      <c r="AD519" s="478"/>
      <c r="AE519" s="478"/>
      <c r="AF519" s="478"/>
      <c r="AG519" s="478"/>
      <c r="AH519" s="478"/>
      <c r="AI519" s="478"/>
      <c r="AJ519" s="478"/>
      <c r="AK519" s="478"/>
      <c r="AL519" s="478"/>
      <c r="AM519" s="478"/>
      <c r="AN519" s="478"/>
      <c r="AO519" s="478"/>
      <c r="AP519" s="478"/>
      <c r="AQ519" s="478"/>
      <c r="AR519" s="478"/>
      <c r="AS519" s="478"/>
      <c r="AT519" s="478"/>
      <c r="AU519" s="478"/>
      <c r="AV519" s="478"/>
      <c r="AW519" s="478"/>
      <c r="AX519" s="478"/>
      <c r="AY519" s="478"/>
      <c r="AZ519" s="478"/>
      <c r="BA519" s="478"/>
      <c r="BB519" s="478"/>
      <c r="BC519" s="478"/>
      <c r="BD519" s="478"/>
      <c r="BE519" s="478"/>
      <c r="BF519" s="478"/>
      <c r="BG519" s="478"/>
      <c r="BH519" s="478"/>
      <c r="BI519" s="478"/>
      <c r="BJ519" s="478"/>
    </row>
    <row r="520" spans="2:62" ht="15.75" customHeight="1">
      <c r="B520" s="475"/>
      <c r="W520" s="764"/>
      <c r="X520" s="764"/>
      <c r="Y520" s="478"/>
      <c r="Z520" s="478"/>
      <c r="AA520" s="478"/>
      <c r="AB520" s="478"/>
      <c r="AC520" s="478"/>
      <c r="AD520" s="478"/>
      <c r="AE520" s="478"/>
      <c r="AF520" s="478"/>
      <c r="AG520" s="478"/>
      <c r="AH520" s="478"/>
      <c r="AI520" s="478"/>
      <c r="AJ520" s="478"/>
      <c r="AK520" s="478"/>
      <c r="AL520" s="478"/>
      <c r="AM520" s="478"/>
      <c r="AN520" s="478"/>
      <c r="AO520" s="478"/>
      <c r="AP520" s="478"/>
      <c r="AQ520" s="478"/>
      <c r="AR520" s="478"/>
      <c r="AS520" s="478"/>
      <c r="AT520" s="478"/>
      <c r="AU520" s="478"/>
      <c r="AV520" s="478"/>
      <c r="AW520" s="478"/>
      <c r="AX520" s="478"/>
      <c r="AY520" s="478"/>
      <c r="AZ520" s="478"/>
      <c r="BA520" s="478"/>
      <c r="BB520" s="478"/>
      <c r="BC520" s="478"/>
      <c r="BD520" s="478"/>
      <c r="BE520" s="478"/>
      <c r="BF520" s="478"/>
      <c r="BG520" s="478"/>
      <c r="BH520" s="478"/>
      <c r="BI520" s="478"/>
      <c r="BJ520" s="478"/>
    </row>
    <row r="521" spans="2:62" ht="15.75" customHeight="1">
      <c r="B521" s="475"/>
      <c r="W521" s="764"/>
      <c r="X521" s="764"/>
      <c r="Y521" s="478"/>
      <c r="Z521" s="478"/>
      <c r="AA521" s="478"/>
      <c r="AB521" s="478"/>
      <c r="AC521" s="478"/>
      <c r="AD521" s="478"/>
      <c r="AE521" s="478"/>
      <c r="AF521" s="478"/>
      <c r="AG521" s="478"/>
      <c r="AH521" s="478"/>
      <c r="AI521" s="478"/>
      <c r="AJ521" s="478"/>
      <c r="AK521" s="478"/>
      <c r="AL521" s="478"/>
      <c r="AM521" s="478"/>
      <c r="AN521" s="478"/>
      <c r="AO521" s="478"/>
      <c r="AP521" s="478"/>
      <c r="AQ521" s="478"/>
      <c r="AR521" s="478"/>
      <c r="AS521" s="478"/>
      <c r="AT521" s="478"/>
      <c r="AU521" s="478"/>
      <c r="AV521" s="478"/>
      <c r="AW521" s="478"/>
      <c r="AX521" s="478"/>
      <c r="AY521" s="478"/>
      <c r="AZ521" s="478"/>
      <c r="BA521" s="478"/>
      <c r="BB521" s="478"/>
      <c r="BC521" s="478"/>
      <c r="BD521" s="478"/>
      <c r="BE521" s="478"/>
      <c r="BF521" s="478"/>
      <c r="BG521" s="478"/>
      <c r="BH521" s="478"/>
      <c r="BI521" s="478"/>
      <c r="BJ521" s="478"/>
    </row>
    <row r="522" spans="2:62" ht="15.75" customHeight="1">
      <c r="B522" s="475"/>
      <c r="W522" s="764"/>
      <c r="X522" s="764"/>
      <c r="Y522" s="478"/>
      <c r="Z522" s="478"/>
      <c r="AA522" s="478"/>
      <c r="AB522" s="478"/>
      <c r="AC522" s="478"/>
      <c r="AD522" s="478"/>
      <c r="AE522" s="478"/>
      <c r="AF522" s="478"/>
      <c r="AG522" s="478"/>
      <c r="AH522" s="478"/>
      <c r="AI522" s="478"/>
      <c r="AJ522" s="478"/>
      <c r="AK522" s="478"/>
      <c r="AL522" s="478"/>
      <c r="AM522" s="478"/>
      <c r="AN522" s="478"/>
      <c r="AO522" s="478"/>
      <c r="AP522" s="478"/>
      <c r="AQ522" s="478"/>
      <c r="AR522" s="478"/>
      <c r="AS522" s="478"/>
      <c r="AT522" s="478"/>
      <c r="AU522" s="478"/>
      <c r="AV522" s="478"/>
      <c r="AW522" s="478"/>
      <c r="AX522" s="478"/>
      <c r="AY522" s="478"/>
      <c r="AZ522" s="478"/>
      <c r="BA522" s="478"/>
      <c r="BB522" s="478"/>
      <c r="BC522" s="478"/>
      <c r="BD522" s="478"/>
      <c r="BE522" s="478"/>
      <c r="BF522" s="478"/>
      <c r="BG522" s="478"/>
      <c r="BH522" s="478"/>
      <c r="BI522" s="478"/>
      <c r="BJ522" s="478"/>
    </row>
    <row r="523" spans="2:62" ht="15.75" customHeight="1">
      <c r="B523" s="475"/>
      <c r="W523" s="764"/>
      <c r="X523" s="764"/>
      <c r="Y523" s="478"/>
      <c r="Z523" s="478"/>
      <c r="AA523" s="478"/>
      <c r="AB523" s="478"/>
      <c r="AC523" s="478"/>
      <c r="AD523" s="478"/>
      <c r="AE523" s="478"/>
      <c r="AF523" s="478"/>
      <c r="AG523" s="478"/>
      <c r="AH523" s="478"/>
      <c r="AI523" s="478"/>
      <c r="AJ523" s="478"/>
      <c r="AK523" s="478"/>
      <c r="AL523" s="478"/>
      <c r="AM523" s="478"/>
      <c r="AN523" s="478"/>
      <c r="AO523" s="478"/>
      <c r="AP523" s="478"/>
      <c r="AQ523" s="478"/>
      <c r="AR523" s="478"/>
      <c r="AS523" s="478"/>
      <c r="AT523" s="478"/>
      <c r="AU523" s="478"/>
      <c r="AV523" s="478"/>
      <c r="AW523" s="478"/>
      <c r="AX523" s="478"/>
      <c r="AY523" s="478"/>
      <c r="AZ523" s="478"/>
      <c r="BA523" s="478"/>
      <c r="BB523" s="478"/>
      <c r="BC523" s="478"/>
      <c r="BD523" s="478"/>
      <c r="BE523" s="478"/>
      <c r="BF523" s="478"/>
      <c r="BG523" s="478"/>
      <c r="BH523" s="478"/>
      <c r="BI523" s="478"/>
      <c r="BJ523" s="478"/>
    </row>
    <row r="524" spans="2:62" ht="15.75" customHeight="1">
      <c r="B524" s="475"/>
      <c r="C524" s="719"/>
      <c r="W524" s="764"/>
      <c r="X524" s="764"/>
      <c r="Y524" s="478"/>
      <c r="Z524" s="478"/>
      <c r="AA524" s="478"/>
      <c r="AB524" s="478"/>
      <c r="AC524" s="478"/>
      <c r="AD524" s="478"/>
      <c r="AE524" s="478"/>
      <c r="AF524" s="478"/>
      <c r="AG524" s="478"/>
      <c r="AH524" s="478"/>
      <c r="AI524" s="478"/>
      <c r="AJ524" s="478"/>
      <c r="AK524" s="478"/>
      <c r="AL524" s="478"/>
      <c r="AM524" s="478"/>
      <c r="AN524" s="478"/>
      <c r="AO524" s="478"/>
      <c r="AP524" s="478"/>
      <c r="AQ524" s="478"/>
      <c r="AR524" s="478"/>
      <c r="AS524" s="478"/>
      <c r="AT524" s="478"/>
      <c r="AU524" s="478"/>
      <c r="AV524" s="478"/>
      <c r="AW524" s="478"/>
      <c r="AX524" s="478"/>
      <c r="AY524" s="478"/>
      <c r="AZ524" s="478"/>
      <c r="BA524" s="478"/>
      <c r="BB524" s="478"/>
      <c r="BC524" s="478"/>
      <c r="BD524" s="478"/>
      <c r="BE524" s="478"/>
      <c r="BF524" s="478"/>
      <c r="BG524" s="478"/>
      <c r="BH524" s="478"/>
      <c r="BI524" s="478"/>
      <c r="BJ524" s="478"/>
    </row>
    <row r="525" spans="2:62" ht="15.75" customHeight="1">
      <c r="B525" s="475"/>
      <c r="C525" s="719"/>
      <c r="W525" s="764"/>
      <c r="X525" s="764"/>
      <c r="Y525" s="478"/>
      <c r="Z525" s="478"/>
      <c r="AA525" s="478"/>
      <c r="AB525" s="478"/>
      <c r="AC525" s="478"/>
      <c r="AD525" s="478"/>
      <c r="AE525" s="478"/>
      <c r="AF525" s="478"/>
      <c r="AG525" s="478"/>
      <c r="AH525" s="478"/>
      <c r="AI525" s="478"/>
      <c r="AJ525" s="478"/>
      <c r="AK525" s="478"/>
      <c r="AL525" s="478"/>
      <c r="AM525" s="478"/>
      <c r="AN525" s="478"/>
      <c r="AO525" s="478"/>
      <c r="AP525" s="478"/>
      <c r="AQ525" s="478"/>
      <c r="AR525" s="478"/>
      <c r="AS525" s="478"/>
      <c r="AT525" s="478"/>
      <c r="AU525" s="478"/>
      <c r="AV525" s="478"/>
      <c r="AW525" s="478"/>
      <c r="AX525" s="478"/>
      <c r="AY525" s="478"/>
      <c r="AZ525" s="478"/>
      <c r="BA525" s="478"/>
      <c r="BB525" s="478"/>
      <c r="BC525" s="478"/>
      <c r="BD525" s="478"/>
      <c r="BE525" s="478"/>
      <c r="BF525" s="478"/>
      <c r="BG525" s="478"/>
      <c r="BH525" s="478"/>
      <c r="BI525" s="478"/>
      <c r="BJ525" s="478"/>
    </row>
    <row r="526" spans="2:62" ht="15.75" customHeight="1">
      <c r="B526" s="475"/>
      <c r="C526" s="719"/>
      <c r="W526" s="764"/>
      <c r="X526" s="764"/>
      <c r="Y526" s="478"/>
      <c r="Z526" s="478"/>
      <c r="AA526" s="478"/>
      <c r="AB526" s="478"/>
      <c r="AC526" s="478"/>
      <c r="AD526" s="478"/>
      <c r="AE526" s="478"/>
      <c r="AF526" s="478"/>
      <c r="AG526" s="478"/>
      <c r="AH526" s="478"/>
      <c r="AI526" s="478"/>
      <c r="AJ526" s="478"/>
      <c r="AK526" s="478"/>
      <c r="AL526" s="478"/>
      <c r="AM526" s="478"/>
      <c r="AN526" s="478"/>
      <c r="AO526" s="478"/>
      <c r="AP526" s="478"/>
      <c r="AQ526" s="478"/>
      <c r="AR526" s="478"/>
      <c r="AS526" s="478"/>
      <c r="AT526" s="478"/>
      <c r="AU526" s="478"/>
      <c r="AV526" s="478"/>
      <c r="AW526" s="478"/>
      <c r="AX526" s="478"/>
      <c r="AY526" s="478"/>
      <c r="AZ526" s="478"/>
      <c r="BA526" s="478"/>
      <c r="BB526" s="478"/>
      <c r="BC526" s="478"/>
      <c r="BD526" s="478"/>
      <c r="BE526" s="478"/>
      <c r="BF526" s="478"/>
      <c r="BG526" s="478"/>
      <c r="BH526" s="478"/>
      <c r="BI526" s="478"/>
      <c r="BJ526" s="478"/>
    </row>
    <row r="527" spans="2:62" ht="15.75" customHeight="1">
      <c r="B527" s="475"/>
      <c r="C527" s="719"/>
      <c r="W527" s="764"/>
      <c r="X527" s="764"/>
      <c r="Y527" s="478"/>
      <c r="Z527" s="478"/>
      <c r="AA527" s="478"/>
      <c r="AB527" s="478"/>
      <c r="AC527" s="478"/>
      <c r="AD527" s="478"/>
      <c r="AE527" s="478"/>
      <c r="AF527" s="478"/>
      <c r="AG527" s="478"/>
      <c r="AH527" s="478"/>
      <c r="AI527" s="478"/>
      <c r="AJ527" s="478"/>
      <c r="AK527" s="478"/>
      <c r="AL527" s="478"/>
      <c r="AM527" s="478"/>
      <c r="AN527" s="478"/>
      <c r="AO527" s="478"/>
      <c r="AP527" s="478"/>
      <c r="AQ527" s="478"/>
      <c r="AR527" s="478"/>
      <c r="AS527" s="478"/>
      <c r="AT527" s="478"/>
      <c r="AU527" s="478"/>
      <c r="AV527" s="478"/>
      <c r="AW527" s="478"/>
      <c r="AX527" s="478"/>
      <c r="AY527" s="478"/>
      <c r="AZ527" s="478"/>
      <c r="BA527" s="478"/>
      <c r="BB527" s="478"/>
      <c r="BC527" s="478"/>
      <c r="BD527" s="478"/>
      <c r="BE527" s="478"/>
      <c r="BF527" s="478"/>
      <c r="BG527" s="478"/>
      <c r="BH527" s="478"/>
      <c r="BI527" s="478"/>
      <c r="BJ527" s="478"/>
    </row>
    <row r="528" spans="2:62" ht="15.75" customHeight="1">
      <c r="B528" s="475"/>
      <c r="C528" s="719"/>
      <c r="W528" s="764"/>
      <c r="X528" s="764"/>
      <c r="Y528" s="478"/>
      <c r="Z528" s="478"/>
      <c r="AA528" s="478"/>
      <c r="AB528" s="478"/>
      <c r="AC528" s="478"/>
      <c r="AD528" s="478"/>
      <c r="AE528" s="478"/>
      <c r="AF528" s="478"/>
      <c r="AG528" s="478"/>
      <c r="AH528" s="478"/>
      <c r="AI528" s="478"/>
      <c r="AJ528" s="478"/>
      <c r="AK528" s="478"/>
      <c r="AL528" s="478"/>
      <c r="AM528" s="478"/>
      <c r="AN528" s="478"/>
      <c r="AO528" s="478"/>
      <c r="AP528" s="478"/>
      <c r="AQ528" s="478"/>
      <c r="AR528" s="478"/>
      <c r="AS528" s="478"/>
      <c r="AT528" s="478"/>
      <c r="AU528" s="478"/>
      <c r="AV528" s="478"/>
      <c r="AW528" s="478"/>
      <c r="AX528" s="478"/>
      <c r="AY528" s="478"/>
      <c r="AZ528" s="478"/>
      <c r="BA528" s="478"/>
      <c r="BB528" s="478"/>
      <c r="BC528" s="478"/>
      <c r="BD528" s="478"/>
      <c r="BE528" s="478"/>
      <c r="BF528" s="478"/>
      <c r="BG528" s="478"/>
      <c r="BH528" s="478"/>
      <c r="BI528" s="478"/>
      <c r="BJ528" s="478"/>
    </row>
    <row r="529" spans="2:62" ht="15.75" customHeight="1">
      <c r="B529" s="475"/>
      <c r="C529" s="719"/>
      <c r="W529" s="764"/>
      <c r="X529" s="764"/>
      <c r="Y529" s="478"/>
      <c r="Z529" s="478"/>
      <c r="AA529" s="478"/>
      <c r="AB529" s="478"/>
      <c r="AC529" s="478"/>
      <c r="AD529" s="478"/>
      <c r="AE529" s="478"/>
      <c r="AF529" s="478"/>
      <c r="AG529" s="478"/>
      <c r="AH529" s="478"/>
      <c r="AI529" s="478"/>
      <c r="AJ529" s="478"/>
      <c r="AK529" s="478"/>
      <c r="AL529" s="478"/>
      <c r="AM529" s="478"/>
      <c r="AN529" s="478"/>
      <c r="AO529" s="478"/>
      <c r="AP529" s="478"/>
      <c r="AQ529" s="478"/>
      <c r="AR529" s="478"/>
      <c r="AS529" s="478"/>
      <c r="AT529" s="478"/>
      <c r="AU529" s="478"/>
      <c r="AV529" s="478"/>
      <c r="AW529" s="478"/>
      <c r="AX529" s="478"/>
      <c r="AY529" s="478"/>
      <c r="AZ529" s="478"/>
      <c r="BA529" s="478"/>
      <c r="BB529" s="478"/>
      <c r="BC529" s="478"/>
      <c r="BD529" s="478"/>
      <c r="BE529" s="478"/>
      <c r="BF529" s="478"/>
      <c r="BG529" s="478"/>
      <c r="BH529" s="478"/>
      <c r="BI529" s="478"/>
      <c r="BJ529" s="478"/>
    </row>
    <row r="530" spans="2:62" ht="15.75" customHeight="1">
      <c r="B530" s="475"/>
      <c r="C530" s="719"/>
      <c r="W530" s="764"/>
      <c r="X530" s="764"/>
      <c r="Y530" s="478"/>
      <c r="Z530" s="478"/>
      <c r="AA530" s="478"/>
      <c r="AB530" s="478"/>
      <c r="AC530" s="478"/>
      <c r="AD530" s="478"/>
      <c r="AE530" s="478"/>
      <c r="AF530" s="478"/>
      <c r="AG530" s="478"/>
      <c r="AH530" s="478"/>
      <c r="AI530" s="478"/>
      <c r="AJ530" s="478"/>
      <c r="AK530" s="478"/>
      <c r="AL530" s="478"/>
      <c r="AM530" s="478"/>
      <c r="AN530" s="478"/>
      <c r="AO530" s="478"/>
      <c r="AP530" s="478"/>
      <c r="AQ530" s="478"/>
      <c r="AR530" s="478"/>
      <c r="AS530" s="478"/>
      <c r="AT530" s="478"/>
      <c r="AU530" s="478"/>
      <c r="AV530" s="478"/>
      <c r="AW530" s="478"/>
      <c r="AX530" s="478"/>
      <c r="AY530" s="478"/>
      <c r="AZ530" s="478"/>
      <c r="BA530" s="478"/>
      <c r="BB530" s="478"/>
      <c r="BC530" s="478"/>
      <c r="BD530" s="478"/>
      <c r="BE530" s="478"/>
      <c r="BF530" s="478"/>
      <c r="BG530" s="478"/>
      <c r="BH530" s="478"/>
      <c r="BI530" s="478"/>
      <c r="BJ530" s="478"/>
    </row>
    <row r="531" spans="2:62" ht="15.75" customHeight="1">
      <c r="B531" s="475"/>
      <c r="C531" s="719"/>
      <c r="W531" s="764"/>
      <c r="X531" s="764"/>
      <c r="Y531" s="478"/>
      <c r="Z531" s="478"/>
      <c r="AA531" s="478"/>
      <c r="AB531" s="478"/>
      <c r="AC531" s="478"/>
      <c r="AD531" s="478"/>
      <c r="AE531" s="478"/>
      <c r="AF531" s="478"/>
      <c r="AG531" s="478"/>
      <c r="AH531" s="478"/>
      <c r="AI531" s="478"/>
      <c r="AJ531" s="478"/>
      <c r="AK531" s="478"/>
      <c r="AL531" s="478"/>
      <c r="AM531" s="478"/>
      <c r="AN531" s="478"/>
      <c r="AO531" s="478"/>
      <c r="AP531" s="478"/>
      <c r="AQ531" s="478"/>
      <c r="AR531" s="478"/>
      <c r="AS531" s="478"/>
      <c r="AT531" s="478"/>
      <c r="AU531" s="478"/>
      <c r="AV531" s="478"/>
      <c r="AW531" s="478"/>
      <c r="AX531" s="478"/>
      <c r="AY531" s="478"/>
      <c r="AZ531" s="478"/>
      <c r="BA531" s="478"/>
      <c r="BB531" s="478"/>
      <c r="BC531" s="478"/>
      <c r="BD531" s="478"/>
      <c r="BE531" s="478"/>
      <c r="BF531" s="478"/>
      <c r="BG531" s="478"/>
      <c r="BH531" s="478"/>
      <c r="BI531" s="478"/>
      <c r="BJ531" s="478"/>
    </row>
    <row r="532" spans="2:62" ht="15.75" customHeight="1">
      <c r="B532" s="475"/>
      <c r="C532" s="719"/>
      <c r="W532" s="764"/>
      <c r="X532" s="764"/>
      <c r="Y532" s="478"/>
      <c r="Z532" s="478"/>
      <c r="AA532" s="478"/>
      <c r="AB532" s="478"/>
      <c r="AC532" s="478"/>
      <c r="AD532" s="478"/>
      <c r="AE532" s="478"/>
      <c r="AF532" s="478"/>
      <c r="AG532" s="478"/>
      <c r="AH532" s="478"/>
      <c r="AI532" s="478"/>
      <c r="AJ532" s="478"/>
      <c r="AK532" s="478"/>
      <c r="AL532" s="478"/>
      <c r="AM532" s="478"/>
      <c r="AN532" s="478"/>
      <c r="AO532" s="478"/>
      <c r="AP532" s="478"/>
      <c r="AQ532" s="478"/>
      <c r="AR532" s="478"/>
      <c r="AS532" s="478"/>
      <c r="AT532" s="478"/>
      <c r="AU532" s="478"/>
      <c r="AV532" s="478"/>
      <c r="AW532" s="478"/>
      <c r="AX532" s="478"/>
      <c r="AY532" s="478"/>
      <c r="AZ532" s="478"/>
      <c r="BA532" s="478"/>
      <c r="BB532" s="478"/>
      <c r="BC532" s="478"/>
      <c r="BD532" s="478"/>
      <c r="BE532" s="478"/>
      <c r="BF532" s="478"/>
      <c r="BG532" s="478"/>
      <c r="BH532" s="478"/>
      <c r="BI532" s="478"/>
      <c r="BJ532" s="478"/>
    </row>
    <row r="533" spans="2:62" ht="15.75" customHeight="1">
      <c r="B533" s="475"/>
      <c r="C533" s="719"/>
      <c r="W533" s="764"/>
      <c r="X533" s="764"/>
      <c r="Y533" s="478"/>
      <c r="Z533" s="478"/>
      <c r="AA533" s="478"/>
      <c r="AB533" s="478"/>
      <c r="AC533" s="478"/>
      <c r="AD533" s="478"/>
      <c r="AE533" s="478"/>
      <c r="AF533" s="478"/>
      <c r="AG533" s="478"/>
      <c r="AH533" s="478"/>
      <c r="AI533" s="478"/>
      <c r="AJ533" s="478"/>
      <c r="AK533" s="478"/>
      <c r="AL533" s="478"/>
      <c r="AM533" s="478"/>
      <c r="AN533" s="478"/>
      <c r="AO533" s="478"/>
      <c r="AP533" s="478"/>
      <c r="AQ533" s="478"/>
      <c r="AR533" s="478"/>
      <c r="AS533" s="478"/>
      <c r="AT533" s="478"/>
      <c r="AU533" s="478"/>
      <c r="AV533" s="478"/>
      <c r="AW533" s="478"/>
      <c r="AX533" s="478"/>
      <c r="AY533" s="478"/>
      <c r="AZ533" s="478"/>
      <c r="BA533" s="478"/>
      <c r="BB533" s="478"/>
      <c r="BC533" s="478"/>
      <c r="BD533" s="478"/>
      <c r="BE533" s="478"/>
      <c r="BF533" s="478"/>
      <c r="BG533" s="478"/>
      <c r="BH533" s="478"/>
      <c r="BI533" s="478"/>
      <c r="BJ533" s="478"/>
    </row>
    <row r="534" spans="2:62" ht="15.75" customHeight="1">
      <c r="B534" s="475"/>
      <c r="W534" s="764"/>
      <c r="X534" s="764"/>
      <c r="Y534" s="478"/>
      <c r="Z534" s="478"/>
      <c r="AA534" s="478"/>
      <c r="AB534" s="478"/>
      <c r="AC534" s="478"/>
      <c r="AD534" s="478"/>
      <c r="AE534" s="478"/>
      <c r="AF534" s="478"/>
      <c r="AG534" s="478"/>
      <c r="AH534" s="478"/>
      <c r="AI534" s="478"/>
      <c r="AJ534" s="478"/>
      <c r="AK534" s="478"/>
      <c r="AL534" s="478"/>
      <c r="AM534" s="478"/>
      <c r="AN534" s="478"/>
      <c r="AO534" s="478"/>
      <c r="AP534" s="478"/>
      <c r="AQ534" s="478"/>
      <c r="AR534" s="478"/>
      <c r="AS534" s="478"/>
      <c r="AT534" s="478"/>
      <c r="AU534" s="478"/>
      <c r="AV534" s="478"/>
      <c r="AW534" s="478"/>
      <c r="AX534" s="478"/>
      <c r="AY534" s="478"/>
      <c r="AZ534" s="478"/>
      <c r="BA534" s="478"/>
      <c r="BB534" s="478"/>
      <c r="BC534" s="478"/>
      <c r="BD534" s="478"/>
      <c r="BE534" s="478"/>
      <c r="BF534" s="478"/>
      <c r="BG534" s="478"/>
      <c r="BH534" s="478"/>
      <c r="BI534" s="478"/>
      <c r="BJ534" s="478"/>
    </row>
    <row r="535" spans="2:62" ht="15.75" customHeight="1">
      <c r="B535" s="475"/>
      <c r="W535" s="764"/>
      <c r="X535" s="764"/>
      <c r="Y535" s="478"/>
      <c r="Z535" s="478"/>
      <c r="AA535" s="478"/>
      <c r="AB535" s="478"/>
      <c r="AC535" s="478"/>
      <c r="AD535" s="478"/>
      <c r="AE535" s="478"/>
      <c r="AF535" s="478"/>
      <c r="AG535" s="478"/>
      <c r="AH535" s="478"/>
      <c r="AI535" s="478"/>
      <c r="AJ535" s="478"/>
      <c r="AK535" s="478"/>
      <c r="AL535" s="478"/>
      <c r="AM535" s="478"/>
      <c r="AN535" s="478"/>
      <c r="AO535" s="478"/>
      <c r="AP535" s="478"/>
      <c r="AQ535" s="478"/>
      <c r="AR535" s="478"/>
      <c r="AS535" s="478"/>
      <c r="AT535" s="478"/>
      <c r="AU535" s="478"/>
      <c r="AV535" s="478"/>
      <c r="AW535" s="478"/>
      <c r="AX535" s="478"/>
      <c r="AY535" s="478"/>
      <c r="AZ535" s="478"/>
      <c r="BA535" s="478"/>
      <c r="BB535" s="478"/>
      <c r="BC535" s="478"/>
      <c r="BD535" s="478"/>
      <c r="BE535" s="478"/>
      <c r="BF535" s="478"/>
      <c r="BG535" s="478"/>
      <c r="BH535" s="478"/>
      <c r="BI535" s="478"/>
      <c r="BJ535" s="478"/>
    </row>
    <row r="536" spans="2:62" ht="15.75" customHeight="1">
      <c r="B536" s="475"/>
      <c r="W536" s="764"/>
      <c r="X536" s="764"/>
      <c r="Y536" s="478"/>
      <c r="Z536" s="478"/>
      <c r="AA536" s="478"/>
      <c r="AB536" s="478"/>
      <c r="AC536" s="478"/>
      <c r="AD536" s="478"/>
      <c r="AE536" s="478"/>
      <c r="AF536" s="478"/>
      <c r="AG536" s="478"/>
      <c r="AH536" s="478"/>
      <c r="AI536" s="478"/>
      <c r="AJ536" s="478"/>
      <c r="AK536" s="478"/>
      <c r="AL536" s="478"/>
      <c r="AM536" s="478"/>
      <c r="AN536" s="478"/>
      <c r="AO536" s="478"/>
      <c r="AP536" s="478"/>
      <c r="AQ536" s="478"/>
      <c r="AR536" s="478"/>
      <c r="AS536" s="478"/>
      <c r="AT536" s="478"/>
      <c r="AU536" s="478"/>
      <c r="AV536" s="478"/>
      <c r="AW536" s="478"/>
      <c r="AX536" s="478"/>
      <c r="AY536" s="478"/>
      <c r="AZ536" s="478"/>
      <c r="BA536" s="478"/>
      <c r="BB536" s="478"/>
      <c r="BC536" s="478"/>
      <c r="BD536" s="478"/>
      <c r="BE536" s="478"/>
      <c r="BF536" s="478"/>
      <c r="BG536" s="478"/>
      <c r="BH536" s="478"/>
      <c r="BI536" s="478"/>
      <c r="BJ536" s="478"/>
    </row>
    <row r="537" spans="2:62" ht="15.75" customHeight="1">
      <c r="B537" s="475"/>
      <c r="W537" s="764"/>
      <c r="X537" s="764"/>
      <c r="Y537" s="478"/>
      <c r="Z537" s="478"/>
      <c r="AA537" s="478"/>
      <c r="AB537" s="478"/>
      <c r="AC537" s="478"/>
      <c r="AD537" s="478"/>
      <c r="AE537" s="478"/>
      <c r="AF537" s="478"/>
      <c r="AG537" s="478"/>
      <c r="AH537" s="478"/>
      <c r="AI537" s="478"/>
      <c r="AJ537" s="478"/>
      <c r="AK537" s="478"/>
      <c r="AL537" s="478"/>
      <c r="AM537" s="478"/>
      <c r="AN537" s="478"/>
      <c r="AO537" s="478"/>
      <c r="AP537" s="478"/>
      <c r="AQ537" s="478"/>
      <c r="AR537" s="478"/>
      <c r="AS537" s="478"/>
      <c r="AT537" s="478"/>
      <c r="AU537" s="478"/>
      <c r="AV537" s="478"/>
      <c r="AW537" s="478"/>
      <c r="AX537" s="478"/>
      <c r="AY537" s="478"/>
      <c r="AZ537" s="478"/>
      <c r="BA537" s="478"/>
      <c r="BB537" s="478"/>
      <c r="BC537" s="478"/>
      <c r="BD537" s="478"/>
      <c r="BE537" s="478"/>
      <c r="BF537" s="478"/>
      <c r="BG537" s="478"/>
      <c r="BH537" s="478"/>
      <c r="BI537" s="478"/>
      <c r="BJ537" s="47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61" priority="62" stopIfTrue="1">
      <formula>"esterreur(reference)"</formula>
    </cfRule>
  </conditionalFormatting>
  <conditionalFormatting sqref="D171:D180">
    <cfRule type="expression" dxfId="60" priority="59" stopIfTrue="1">
      <formula>"esterreur(reference)"</formula>
    </cfRule>
  </conditionalFormatting>
  <conditionalFormatting sqref="D399">
    <cfRule type="expression" dxfId="59" priority="3" stopIfTrue="1">
      <formula>"esterreur(reference)"</formula>
    </cfRule>
  </conditionalFormatting>
  <conditionalFormatting sqref="E185">
    <cfRule type="expression" dxfId="58" priority="60" stopIfTrue="1">
      <formula>"esterreur(reference)"</formula>
    </cfRule>
  </conditionalFormatting>
  <conditionalFormatting sqref="F5">
    <cfRule type="expression" dxfId="57" priority="57" stopIfTrue="1">
      <formula>"esterreur(reference)"</formula>
    </cfRule>
  </conditionalFormatting>
  <conditionalFormatting sqref="F83:F85">
    <cfRule type="expression" dxfId="56" priority="56" stopIfTrue="1">
      <formula>"esterreur(reference)"</formula>
    </cfRule>
  </conditionalFormatting>
  <conditionalFormatting sqref="F100">
    <cfRule type="expression" dxfId="55" priority="61" stopIfTrue="1">
      <formula>"esterreur(reference)"</formula>
    </cfRule>
  </conditionalFormatting>
  <conditionalFormatting sqref="F183">
    <cfRule type="expression" dxfId="54" priority="25" stopIfTrue="1">
      <formula>"esterreur(reference)"</formula>
    </cfRule>
  </conditionalFormatting>
  <conditionalFormatting sqref="G31:G32">
    <cfRule type="expression" dxfId="53" priority="54" stopIfTrue="1">
      <formula>"esterreur(reference)"</formula>
    </cfRule>
  </conditionalFormatting>
  <conditionalFormatting sqref="G111:G112">
    <cfRule type="expression" dxfId="52" priority="51" stopIfTrue="1">
      <formula>"esterreur(reference)"</formula>
    </cfRule>
  </conditionalFormatting>
  <conditionalFormatting sqref="G171:G180">
    <cfRule type="expression" dxfId="51" priority="58" stopIfTrue="1">
      <formula>"esterreur(reference)"</formula>
    </cfRule>
  </conditionalFormatting>
  <conditionalFormatting sqref="H25:H26 H28:H72">
    <cfRule type="expression" dxfId="50" priority="53" stopIfTrue="1">
      <formula>"esterreur(reference)"</formula>
    </cfRule>
  </conditionalFormatting>
  <conditionalFormatting sqref="H359 J359:L359">
    <cfRule type="expression" dxfId="49" priority="13" stopIfTrue="1">
      <formula>"esterreur(reference)"</formula>
    </cfRule>
  </conditionalFormatting>
  <conditionalFormatting sqref="H196:L196">
    <cfRule type="expression" dxfId="48" priority="15" stopIfTrue="1">
      <formula>"esterreur(reference)"</formula>
    </cfRule>
  </conditionalFormatting>
  <conditionalFormatting sqref="H395:L398">
    <cfRule type="expression" dxfId="47" priority="11" stopIfTrue="1">
      <formula>"esterreur(reference)"</formula>
    </cfRule>
  </conditionalFormatting>
  <conditionalFormatting sqref="I16:I18 I20 I24:I30">
    <cfRule type="expression" dxfId="46" priority="55" stopIfTrue="1">
      <formula>"esterreur(reference)"</formula>
    </cfRule>
  </conditionalFormatting>
  <conditionalFormatting sqref="I376:L376 J377:L393 H377:H394">
    <cfRule type="expression" dxfId="45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44" priority="4" stopIfTrue="1">
      <formula>"esterreur(reference)"</formula>
    </cfRule>
  </conditionalFormatting>
  <conditionalFormatting sqref="K394">
    <cfRule type="expression" dxfId="43" priority="14" stopIfTrue="1">
      <formula>"esterreur(reference)"</formula>
    </cfRule>
  </conditionalFormatting>
  <conditionalFormatting sqref="K5:L5">
    <cfRule type="expression" dxfId="42" priority="24" stopIfTrue="1">
      <formula>"esterreur(reference)"</formula>
    </cfRule>
  </conditionalFormatting>
  <conditionalFormatting sqref="K243:L243">
    <cfRule type="expression" dxfId="41" priority="21" stopIfTrue="1">
      <formula>"esterreur(reference)"</formula>
    </cfRule>
  </conditionalFormatting>
  <conditionalFormatting sqref="K246:L246">
    <cfRule type="expression" dxfId="40" priority="22" stopIfTrue="1">
      <formula>"esterreur(reference)"</formula>
    </cfRule>
  </conditionalFormatting>
  <conditionalFormatting sqref="L42:L48">
    <cfRule type="expression" dxfId="39" priority="17" stopIfTrue="1">
      <formula>"esterreur(reference)"</formula>
    </cfRule>
  </conditionalFormatting>
  <conditionalFormatting sqref="L75:L82">
    <cfRule type="expression" dxfId="38" priority="6" stopIfTrue="1">
      <formula>"esterreur(reference)"</formula>
    </cfRule>
  </conditionalFormatting>
  <conditionalFormatting sqref="L155:L161">
    <cfRule type="expression" dxfId="37" priority="20" stopIfTrue="1">
      <formula>"esterreur(reference)"</formula>
    </cfRule>
  </conditionalFormatting>
  <conditionalFormatting sqref="L197:L208">
    <cfRule type="expression" dxfId="36" priority="18" stopIfTrue="1">
      <formula>"esterreur(reference)"</formula>
    </cfRule>
  </conditionalFormatting>
  <conditionalFormatting sqref="L210:L227">
    <cfRule type="expression" dxfId="35" priority="19" stopIfTrue="1">
      <formula>"esterreur(reference)"</formula>
    </cfRule>
  </conditionalFormatting>
  <conditionalFormatting sqref="L253:L264">
    <cfRule type="expression" dxfId="34" priority="23" stopIfTrue="1">
      <formula>"esterreur(reference)"</formula>
    </cfRule>
  </conditionalFormatting>
  <conditionalFormatting sqref="L330:L347">
    <cfRule type="expression" dxfId="33" priority="16" stopIfTrue="1">
      <formula>"esterreur(reference)"</formula>
    </cfRule>
  </conditionalFormatting>
  <conditionalFormatting sqref="L355:L356 H356:I356 K356 J356:J357 H358:L358">
    <cfRule type="expression" dxfId="32" priority="10" stopIfTrue="1">
      <formula>"esterreur(reference)"</formula>
    </cfRule>
  </conditionalFormatting>
  <conditionalFormatting sqref="M95:M96">
    <cfRule type="expression" dxfId="31" priority="5" stopIfTrue="1">
      <formula>"esterreur(reference)"</formula>
    </cfRule>
  </conditionalFormatting>
  <conditionalFormatting sqref="N196:N208">
    <cfRule type="expression" dxfId="30" priority="1" stopIfTrue="1">
      <formula>"esterreur(reference)"</formula>
    </cfRule>
  </conditionalFormatting>
  <conditionalFormatting sqref="N317:N327">
    <cfRule type="expression" dxfId="29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28" priority="46" stopIfTrue="1">
      <formula>"esterreur(reference)"</formula>
    </cfRule>
  </conditionalFormatting>
  <conditionalFormatting sqref="O196:Q196">
    <cfRule type="expression" dxfId="27" priority="35" stopIfTrue="1">
      <formula>"esterreur(reference)"</formula>
    </cfRule>
  </conditionalFormatting>
  <conditionalFormatting sqref="O242:Q242 O251:Q252 O253:P283 Q281:Q284 O284 O287:Q287 O288:P288">
    <cfRule type="expression" dxfId="26" priority="41" stopIfTrue="1">
      <formula>"esterreur(reference)"</formula>
    </cfRule>
  </conditionalFormatting>
  <conditionalFormatting sqref="O358:Q393">
    <cfRule type="expression" dxfId="25" priority="48" stopIfTrue="1">
      <formula>"esterreur(reference)"</formula>
    </cfRule>
  </conditionalFormatting>
  <conditionalFormatting sqref="O395:Q398">
    <cfRule type="expression" dxfId="24" priority="49" stopIfTrue="1">
      <formula>"esterreur(reference)"</formula>
    </cfRule>
  </conditionalFormatting>
  <conditionalFormatting sqref="P5">
    <cfRule type="expression" dxfId="23" priority="29" stopIfTrue="1">
      <formula>"esterreur(reference)"</formula>
    </cfRule>
  </conditionalFormatting>
  <conditionalFormatting sqref="P174">
    <cfRule type="expression" dxfId="22" priority="38" stopIfTrue="1">
      <formula>"esterreur(reference)"</formula>
    </cfRule>
  </conditionalFormatting>
  <conditionalFormatting sqref="P177">
    <cfRule type="expression" dxfId="21" priority="39" stopIfTrue="1">
      <formula>"esterreur(reference)"</formula>
    </cfRule>
  </conditionalFormatting>
  <conditionalFormatting sqref="P180">
    <cfRule type="expression" dxfId="20" priority="40" stopIfTrue="1">
      <formula>"esterreur(reference)"</formula>
    </cfRule>
  </conditionalFormatting>
  <conditionalFormatting sqref="P394">
    <cfRule type="expression" dxfId="19" priority="50" stopIfTrue="1">
      <formula>"esterreur(reference)"</formula>
    </cfRule>
  </conditionalFormatting>
  <conditionalFormatting sqref="P93:Q95 O96:Q97 O155:P156 O163:Q163 O164:P164">
    <cfRule type="expression" dxfId="18" priority="32" stopIfTrue="1">
      <formula>"esterreur(reference)"</formula>
    </cfRule>
  </conditionalFormatting>
  <conditionalFormatting sqref="P98:Q99">
    <cfRule type="expression" dxfId="17" priority="31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6" priority="34" stopIfTrue="1">
      <formula>"esterreur(reference)"</formula>
    </cfRule>
  </conditionalFormatting>
  <conditionalFormatting sqref="P240:Q240">
    <cfRule type="expression" dxfId="15" priority="45" stopIfTrue="1">
      <formula>"esterreur(reference)"</formula>
    </cfRule>
  </conditionalFormatting>
  <conditionalFormatting sqref="P243:Q243">
    <cfRule type="expression" dxfId="14" priority="42" stopIfTrue="1">
      <formula>"esterreur(reference)"</formula>
    </cfRule>
  </conditionalFormatting>
  <conditionalFormatting sqref="P246:Q246">
    <cfRule type="expression" dxfId="13" priority="43" stopIfTrue="1">
      <formula>"esterreur(reference)"</formula>
    </cfRule>
  </conditionalFormatting>
  <conditionalFormatting sqref="Q5:Q14 O13:O14 O16 Q16:Q24 O18:O24 O25:Q26 O27 Q27 O28:Q72 O83:Q85">
    <cfRule type="expression" dxfId="12" priority="28" stopIfTrue="1">
      <formula>"esterreur(reference)"</formula>
    </cfRule>
  </conditionalFormatting>
  <conditionalFormatting sqref="Q75:Q82">
    <cfRule type="expression" dxfId="11" priority="30" stopIfTrue="1">
      <formula>"esterreur(reference)"</formula>
    </cfRule>
  </conditionalFormatting>
  <conditionalFormatting sqref="Q155:Q161">
    <cfRule type="expression" dxfId="10" priority="33" stopIfTrue="1">
      <formula>"esterreur(reference)"</formula>
    </cfRule>
  </conditionalFormatting>
  <conditionalFormatting sqref="Q197:Q208">
    <cfRule type="expression" dxfId="9" priority="36" stopIfTrue="1">
      <formula>"esterreur(reference)"</formula>
    </cfRule>
  </conditionalFormatting>
  <conditionalFormatting sqref="Q210:Q227">
    <cfRule type="expression" dxfId="8" priority="37" stopIfTrue="1">
      <formula>"esterreur(reference)"</formula>
    </cfRule>
  </conditionalFormatting>
  <conditionalFormatting sqref="Q253:Q264">
    <cfRule type="expression" dxfId="7" priority="44" stopIfTrue="1">
      <formula>"esterreur(reference)"</formula>
    </cfRule>
  </conditionalFormatting>
  <conditionalFormatting sqref="Q330:Q347">
    <cfRule type="expression" dxfId="6" priority="47" stopIfTrue="1">
      <formula>"esterreur(reference)"</formula>
    </cfRule>
  </conditionalFormatting>
  <conditionalFormatting sqref="R311">
    <cfRule type="expression" dxfId="5" priority="7" stopIfTrue="1">
      <formula>"esterreur(reference)"</formula>
    </cfRule>
  </conditionalFormatting>
  <conditionalFormatting sqref="S185">
    <cfRule type="expression" dxfId="4" priority="26" stopIfTrue="1">
      <formula>"esterreur(reference)"</formula>
    </cfRule>
  </conditionalFormatting>
  <conditionalFormatting sqref="AG408:AI417 AH419:AI450 AH452:AI459 AH460:AH461 AH462:AI467 AH490:AI496">
    <cfRule type="cellIs" dxfId="3" priority="8" operator="greaterThan">
      <formula>0</formula>
    </cfRule>
  </conditionalFormatting>
  <conditionalFormatting sqref="AH468:AI475 AH479:AI479">
    <cfRule type="cellIs" dxfId="2" priority="9" operator="lessThan">
      <formula>0</formula>
    </cfRule>
  </conditionalFormatting>
  <conditionalFormatting sqref="AH476:AI478">
    <cfRule type="cellIs" dxfId="1" priority="52" operator="greaterThan">
      <formula>0</formula>
    </cfRule>
  </conditionalFormatting>
  <conditionalFormatting sqref="AO408:AO417">
    <cfRule type="cellIs" dxfId="0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2023-07</vt:lpstr>
      <vt:lpstr>2023-08</vt:lpstr>
      <vt:lpstr>2023-09</vt:lpstr>
      <vt:lpstr>END</vt:lpstr>
      <vt:lpstr>'2023-07'!Print_Area</vt:lpstr>
      <vt:lpstr>'2023-08'!Print_Area</vt:lpstr>
      <vt:lpstr>'2023-09'!Print_Area</vt:lpstr>
      <vt:lpstr>Conso!Print_Area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2023-07-11T21:25:50Z</cp:lastPrinted>
  <dcterms:created xsi:type="dcterms:W3CDTF">2021-02-12T03:12:48Z</dcterms:created>
  <dcterms:modified xsi:type="dcterms:W3CDTF">2023-10-13T15:27:03Z</dcterms:modified>
</cp:coreProperties>
</file>