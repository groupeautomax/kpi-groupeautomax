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y2Fs2Dk-bu8dmlhN2wwWlRYbHc\PARK AVENUE VOLKSWAGEN\5 Réalisé\2021\"/>
    </mc:Choice>
  </mc:AlternateContent>
  <xr:revisionPtr revIDLastSave="0" documentId="13_ncr:1_{C3F41BA9-D4F4-4432-964B-31FA9E4F6078}" xr6:coauthVersionLast="47" xr6:coauthVersionMax="47" xr10:uidLastSave="{00000000-0000-0000-0000-000000000000}"/>
  <bookViews>
    <workbookView xWindow="-120" yWindow="-120" windowWidth="29040" windowHeight="15840" xr2:uid="{2FB3F4FD-8DCC-4E9E-AE40-26B85200015C}"/>
  </bookViews>
  <sheets>
    <sheet name="VOLKS" sheetId="2" r:id="rId1"/>
  </sheets>
  <definedNames>
    <definedName name="_DateConc" localSheetId="0">VOLKS!$G$97:$R$97</definedName>
    <definedName name="NamedRang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331" i="2" l="1"/>
  <c r="Q331" i="2"/>
  <c r="P331" i="2"/>
  <c r="O331" i="2"/>
  <c r="N331" i="2"/>
  <c r="M331" i="2"/>
  <c r="L331" i="2"/>
  <c r="I331" i="2"/>
  <c r="H331" i="2"/>
  <c r="G331" i="2"/>
  <c r="R327" i="2"/>
  <c r="Q327" i="2"/>
  <c r="P327" i="2"/>
  <c r="O327" i="2"/>
  <c r="N327" i="2"/>
  <c r="M327" i="2"/>
  <c r="L327" i="2"/>
  <c r="I327" i="2"/>
  <c r="H327" i="2"/>
  <c r="G327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R325" i="2"/>
  <c r="Q325" i="2"/>
  <c r="P325" i="2"/>
  <c r="O325" i="2"/>
  <c r="N325" i="2"/>
  <c r="M325" i="2"/>
  <c r="L325" i="2"/>
  <c r="I325" i="2"/>
  <c r="H325" i="2"/>
  <c r="G325" i="2"/>
  <c r="R323" i="2"/>
  <c r="Q323" i="2"/>
  <c r="P323" i="2"/>
  <c r="O323" i="2"/>
  <c r="N323" i="2"/>
  <c r="M323" i="2"/>
  <c r="L323" i="2"/>
  <c r="I323" i="2"/>
  <c r="H323" i="2"/>
  <c r="G323" i="2"/>
  <c r="R322" i="2"/>
  <c r="Q322" i="2"/>
  <c r="P322" i="2"/>
  <c r="O322" i="2"/>
  <c r="N322" i="2"/>
  <c r="M322" i="2"/>
  <c r="L322" i="2"/>
  <c r="K322" i="2"/>
  <c r="I322" i="2"/>
  <c r="H322" i="2"/>
  <c r="G322" i="2"/>
  <c r="W310" i="2"/>
  <c r="V310" i="2"/>
  <c r="U310" i="2"/>
  <c r="T310" i="2"/>
  <c r="R310" i="2"/>
  <c r="P310" i="2"/>
  <c r="O310" i="2"/>
  <c r="N310" i="2"/>
  <c r="M310" i="2"/>
  <c r="L310" i="2"/>
  <c r="K310" i="2"/>
  <c r="J310" i="2"/>
  <c r="I310" i="2"/>
  <c r="H310" i="2"/>
  <c r="G310" i="2"/>
  <c r="E310" i="2"/>
  <c r="F309" i="2"/>
  <c r="F308" i="2"/>
  <c r="F307" i="2"/>
  <c r="F306" i="2"/>
  <c r="F305" i="2"/>
  <c r="F304" i="2"/>
  <c r="F303" i="2"/>
  <c r="F302" i="2"/>
  <c r="F301" i="2"/>
  <c r="F300" i="2"/>
  <c r="F299" i="2"/>
  <c r="W296" i="2"/>
  <c r="V296" i="2"/>
  <c r="U296" i="2"/>
  <c r="T296" i="2"/>
  <c r="R296" i="2"/>
  <c r="P296" i="2"/>
  <c r="O296" i="2"/>
  <c r="N296" i="2"/>
  <c r="M296" i="2"/>
  <c r="L296" i="2"/>
  <c r="K296" i="2"/>
  <c r="J296" i="2"/>
  <c r="I296" i="2"/>
  <c r="H296" i="2"/>
  <c r="G296" i="2"/>
  <c r="E296" i="2"/>
  <c r="F295" i="2"/>
  <c r="F294" i="2"/>
  <c r="F293" i="2"/>
  <c r="F296" i="2" s="1"/>
  <c r="N289" i="2"/>
  <c r="W288" i="2"/>
  <c r="W289" i="2" s="1"/>
  <c r="V288" i="2"/>
  <c r="V289" i="2" s="1"/>
  <c r="U288" i="2"/>
  <c r="U289" i="2" s="1"/>
  <c r="T288" i="2"/>
  <c r="T289" i="2" s="1"/>
  <c r="T312" i="2" s="1"/>
  <c r="R288" i="2"/>
  <c r="R289" i="2" s="1"/>
  <c r="P288" i="2"/>
  <c r="P289" i="2" s="1"/>
  <c r="O288" i="2"/>
  <c r="O289" i="2" s="1"/>
  <c r="N288" i="2"/>
  <c r="M288" i="2"/>
  <c r="M289" i="2" s="1"/>
  <c r="L288" i="2"/>
  <c r="L289" i="2" s="1"/>
  <c r="K288" i="2"/>
  <c r="K289" i="2" s="1"/>
  <c r="J288" i="2"/>
  <c r="J289" i="2" s="1"/>
  <c r="I288" i="2"/>
  <c r="I289" i="2" s="1"/>
  <c r="H288" i="2"/>
  <c r="H289" i="2" s="1"/>
  <c r="G288" i="2"/>
  <c r="G289" i="2" s="1"/>
  <c r="E288" i="2"/>
  <c r="E289" i="2" s="1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69" i="2"/>
  <c r="F261" i="2"/>
  <c r="W259" i="2"/>
  <c r="V259" i="2"/>
  <c r="U259" i="2"/>
  <c r="T259" i="2"/>
  <c r="R259" i="2"/>
  <c r="P259" i="2"/>
  <c r="O259" i="2"/>
  <c r="N259" i="2"/>
  <c r="M259" i="2"/>
  <c r="L259" i="2"/>
  <c r="K259" i="2"/>
  <c r="J259" i="2"/>
  <c r="I259" i="2"/>
  <c r="H259" i="2"/>
  <c r="G259" i="2"/>
  <c r="E259" i="2"/>
  <c r="F258" i="2"/>
  <c r="F257" i="2"/>
  <c r="F259" i="2" s="1"/>
  <c r="W252" i="2"/>
  <c r="W254" i="2" s="1"/>
  <c r="W262" i="2" s="1"/>
  <c r="V252" i="2"/>
  <c r="U252" i="2"/>
  <c r="T252" i="2"/>
  <c r="R252" i="2"/>
  <c r="P252" i="2"/>
  <c r="O252" i="2"/>
  <c r="N252" i="2"/>
  <c r="M252" i="2"/>
  <c r="M254" i="2" s="1"/>
  <c r="M262" i="2" s="1"/>
  <c r="L252" i="2"/>
  <c r="K252" i="2"/>
  <c r="K254" i="2" s="1"/>
  <c r="K262" i="2" s="1"/>
  <c r="J252" i="2"/>
  <c r="I252" i="2"/>
  <c r="I254" i="2" s="1"/>
  <c r="I262" i="2" s="1"/>
  <c r="H252" i="2"/>
  <c r="G252" i="2"/>
  <c r="E252" i="2"/>
  <c r="F251" i="2"/>
  <c r="F250" i="2"/>
  <c r="F249" i="2"/>
  <c r="F248" i="2"/>
  <c r="F247" i="2"/>
  <c r="F246" i="2"/>
  <c r="F245" i="2"/>
  <c r="F244" i="2"/>
  <c r="F243" i="2"/>
  <c r="F252" i="2" s="1"/>
  <c r="W240" i="2"/>
  <c r="V240" i="2"/>
  <c r="V254" i="2" s="1"/>
  <c r="V262" i="2" s="1"/>
  <c r="U240" i="2"/>
  <c r="T240" i="2"/>
  <c r="R240" i="2"/>
  <c r="P240" i="2"/>
  <c r="O240" i="2"/>
  <c r="N240" i="2"/>
  <c r="M240" i="2"/>
  <c r="L240" i="2"/>
  <c r="K240" i="2"/>
  <c r="J240" i="2"/>
  <c r="J254" i="2" s="1"/>
  <c r="I240" i="2"/>
  <c r="H240" i="2"/>
  <c r="H254" i="2" s="1"/>
  <c r="H262" i="2" s="1"/>
  <c r="G240" i="2"/>
  <c r="E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W222" i="2"/>
  <c r="U222" i="2"/>
  <c r="T222" i="2"/>
  <c r="R222" i="2"/>
  <c r="P222" i="2"/>
  <c r="O222" i="2"/>
  <c r="N222" i="2"/>
  <c r="M222" i="2"/>
  <c r="L222" i="2"/>
  <c r="K222" i="2"/>
  <c r="J222" i="2"/>
  <c r="I222" i="2"/>
  <c r="H222" i="2"/>
  <c r="G222" i="2"/>
  <c r="E222" i="2"/>
  <c r="F221" i="2"/>
  <c r="F220" i="2"/>
  <c r="F219" i="2"/>
  <c r="F218" i="2"/>
  <c r="F217" i="2"/>
  <c r="F216" i="2"/>
  <c r="F215" i="2"/>
  <c r="F214" i="2"/>
  <c r="F213" i="2"/>
  <c r="F212" i="2"/>
  <c r="F211" i="2"/>
  <c r="W206" i="2"/>
  <c r="W208" i="2" s="1"/>
  <c r="W224" i="2" s="1"/>
  <c r="U206" i="2"/>
  <c r="U208" i="2" s="1"/>
  <c r="T206" i="2"/>
  <c r="T208" i="2" s="1"/>
  <c r="R206" i="2"/>
  <c r="R208" i="2" s="1"/>
  <c r="P206" i="2"/>
  <c r="P208" i="2" s="1"/>
  <c r="O206" i="2"/>
  <c r="O208" i="2" s="1"/>
  <c r="N206" i="2"/>
  <c r="N208" i="2" s="1"/>
  <c r="M206" i="2"/>
  <c r="M208" i="2" s="1"/>
  <c r="M224" i="2" s="1"/>
  <c r="L206" i="2"/>
  <c r="L208" i="2" s="1"/>
  <c r="K206" i="2"/>
  <c r="K208" i="2" s="1"/>
  <c r="J206" i="2"/>
  <c r="J208" i="2" s="1"/>
  <c r="I206" i="2"/>
  <c r="I208" i="2" s="1"/>
  <c r="H206" i="2"/>
  <c r="H208" i="2" s="1"/>
  <c r="G206" i="2"/>
  <c r="G208" i="2" s="1"/>
  <c r="E206" i="2"/>
  <c r="E208" i="2" s="1"/>
  <c r="F205" i="2"/>
  <c r="F204" i="2"/>
  <c r="F203" i="2"/>
  <c r="F201" i="2"/>
  <c r="F200" i="2"/>
  <c r="F199" i="2"/>
  <c r="F198" i="2"/>
  <c r="F197" i="2"/>
  <c r="F196" i="2"/>
  <c r="W187" i="2"/>
  <c r="V187" i="2"/>
  <c r="U187" i="2"/>
  <c r="T187" i="2"/>
  <c r="R183" i="2"/>
  <c r="R320" i="2" s="1"/>
  <c r="Q183" i="2"/>
  <c r="Q320" i="2" s="1"/>
  <c r="P183" i="2"/>
  <c r="P320" i="2" s="1"/>
  <c r="O183" i="2"/>
  <c r="O320" i="2" s="1"/>
  <c r="N183" i="2"/>
  <c r="N320" i="2" s="1"/>
  <c r="M183" i="2"/>
  <c r="M320" i="2" s="1"/>
  <c r="L183" i="2"/>
  <c r="L320" i="2" s="1"/>
  <c r="I183" i="2"/>
  <c r="I320" i="2" s="1"/>
  <c r="H183" i="2"/>
  <c r="H320" i="2" s="1"/>
  <c r="G183" i="2"/>
  <c r="G320" i="2" s="1"/>
  <c r="E183" i="2"/>
  <c r="E320" i="2" s="1"/>
  <c r="W182" i="2"/>
  <c r="V182" i="2"/>
  <c r="U182" i="2"/>
  <c r="T182" i="2"/>
  <c r="F182" i="2"/>
  <c r="W181" i="2"/>
  <c r="V181" i="2"/>
  <c r="U181" i="2"/>
  <c r="T181" i="2"/>
  <c r="F181" i="2"/>
  <c r="W180" i="2"/>
  <c r="V180" i="2"/>
  <c r="U180" i="2"/>
  <c r="T180" i="2"/>
  <c r="F180" i="2"/>
  <c r="W179" i="2"/>
  <c r="V179" i="2"/>
  <c r="U179" i="2"/>
  <c r="T179" i="2"/>
  <c r="F179" i="2"/>
  <c r="W178" i="2"/>
  <c r="V178" i="2"/>
  <c r="T178" i="2"/>
  <c r="K178" i="2"/>
  <c r="U178" i="2" s="1"/>
  <c r="J178" i="2"/>
  <c r="J183" i="2" s="1"/>
  <c r="W177" i="2"/>
  <c r="V177" i="2"/>
  <c r="U177" i="2"/>
  <c r="T177" i="2"/>
  <c r="F177" i="2"/>
  <c r="W174" i="2"/>
  <c r="V174" i="2"/>
  <c r="U174" i="2"/>
  <c r="T174" i="2"/>
  <c r="F174" i="2"/>
  <c r="W169" i="2"/>
  <c r="V169" i="2"/>
  <c r="U169" i="2"/>
  <c r="T169" i="2"/>
  <c r="F169" i="2"/>
  <c r="W167" i="2"/>
  <c r="V167" i="2"/>
  <c r="U167" i="2"/>
  <c r="T167" i="2"/>
  <c r="F167" i="2"/>
  <c r="W166" i="2"/>
  <c r="V166" i="2"/>
  <c r="U166" i="2"/>
  <c r="T166" i="2"/>
  <c r="V165" i="2"/>
  <c r="T165" i="2"/>
  <c r="Q165" i="2"/>
  <c r="J165" i="2"/>
  <c r="U165" i="2" s="1"/>
  <c r="W164" i="2"/>
  <c r="V164" i="2"/>
  <c r="U164" i="2"/>
  <c r="T164" i="2"/>
  <c r="F164" i="2"/>
  <c r="W163" i="2"/>
  <c r="V163" i="2"/>
  <c r="U163" i="2"/>
  <c r="T163" i="2"/>
  <c r="F163" i="2"/>
  <c r="W162" i="2"/>
  <c r="V162" i="2"/>
  <c r="U162" i="2"/>
  <c r="T162" i="2"/>
  <c r="F162" i="2"/>
  <c r="W161" i="2"/>
  <c r="V161" i="2"/>
  <c r="U161" i="2"/>
  <c r="T161" i="2"/>
  <c r="F161" i="2"/>
  <c r="W160" i="2"/>
  <c r="V160" i="2"/>
  <c r="U160" i="2"/>
  <c r="T160" i="2"/>
  <c r="J160" i="2"/>
  <c r="F160" i="2"/>
  <c r="W159" i="2"/>
  <c r="V159" i="2"/>
  <c r="U159" i="2"/>
  <c r="T159" i="2"/>
  <c r="F159" i="2"/>
  <c r="W158" i="2"/>
  <c r="V158" i="2"/>
  <c r="U158" i="2"/>
  <c r="T158" i="2"/>
  <c r="F158" i="2"/>
  <c r="W157" i="2"/>
  <c r="V157" i="2"/>
  <c r="T157" i="2"/>
  <c r="J157" i="2"/>
  <c r="F157" i="2" s="1"/>
  <c r="W156" i="2"/>
  <c r="V156" i="2"/>
  <c r="U156" i="2"/>
  <c r="T156" i="2"/>
  <c r="F156" i="2"/>
  <c r="W155" i="2"/>
  <c r="V155" i="2"/>
  <c r="U155" i="2"/>
  <c r="T155" i="2"/>
  <c r="F155" i="2"/>
  <c r="W154" i="2"/>
  <c r="V154" i="2"/>
  <c r="U154" i="2"/>
  <c r="T154" i="2"/>
  <c r="F154" i="2"/>
  <c r="R153" i="2"/>
  <c r="Q153" i="2"/>
  <c r="P153" i="2"/>
  <c r="O153" i="2"/>
  <c r="N153" i="2"/>
  <c r="M153" i="2"/>
  <c r="L153" i="2"/>
  <c r="K153" i="2"/>
  <c r="I153" i="2"/>
  <c r="H153" i="2"/>
  <c r="G153" i="2"/>
  <c r="E153" i="2"/>
  <c r="W152" i="2"/>
  <c r="V152" i="2"/>
  <c r="U152" i="2"/>
  <c r="T152" i="2"/>
  <c r="F152" i="2"/>
  <c r="W151" i="2"/>
  <c r="V151" i="2"/>
  <c r="U151" i="2"/>
  <c r="T151" i="2"/>
  <c r="F151" i="2"/>
  <c r="W150" i="2"/>
  <c r="V150" i="2"/>
  <c r="U150" i="2"/>
  <c r="T150" i="2"/>
  <c r="F150" i="2"/>
  <c r="W149" i="2"/>
  <c r="V149" i="2"/>
  <c r="U149" i="2"/>
  <c r="T149" i="2"/>
  <c r="F149" i="2"/>
  <c r="W148" i="2"/>
  <c r="V148" i="2"/>
  <c r="U148" i="2"/>
  <c r="T148" i="2"/>
  <c r="F148" i="2"/>
  <c r="W147" i="2"/>
  <c r="V147" i="2"/>
  <c r="V146" i="2" s="1"/>
  <c r="U147" i="2"/>
  <c r="T147" i="2"/>
  <c r="F147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E146" i="2"/>
  <c r="R139" i="2"/>
  <c r="Q139" i="2"/>
  <c r="P139" i="2"/>
  <c r="P94" i="2" s="1"/>
  <c r="O139" i="2"/>
  <c r="N139" i="2"/>
  <c r="M139" i="2"/>
  <c r="M94" i="2" s="1"/>
  <c r="L139" i="2"/>
  <c r="K139" i="2"/>
  <c r="J139" i="2"/>
  <c r="I139" i="2"/>
  <c r="H139" i="2"/>
  <c r="G139" i="2"/>
  <c r="T139" i="2" s="1"/>
  <c r="E139" i="2"/>
  <c r="E94" i="2" s="1"/>
  <c r="V136" i="2"/>
  <c r="R136" i="2"/>
  <c r="Q136" i="2"/>
  <c r="W136" i="2" s="1"/>
  <c r="P136" i="2"/>
  <c r="O136" i="2"/>
  <c r="N136" i="2"/>
  <c r="M136" i="2"/>
  <c r="L136" i="2"/>
  <c r="K136" i="2"/>
  <c r="J136" i="2"/>
  <c r="I136" i="2"/>
  <c r="H136" i="2"/>
  <c r="G136" i="2"/>
  <c r="E136" i="2"/>
  <c r="W135" i="2"/>
  <c r="V135" i="2"/>
  <c r="U135" i="2"/>
  <c r="T135" i="2"/>
  <c r="F135" i="2"/>
  <c r="E135" i="2"/>
  <c r="W134" i="2"/>
  <c r="V134" i="2"/>
  <c r="U134" i="2"/>
  <c r="T134" i="2"/>
  <c r="F134" i="2"/>
  <c r="E134" i="2"/>
  <c r="W133" i="2"/>
  <c r="V133" i="2"/>
  <c r="U133" i="2"/>
  <c r="T133" i="2"/>
  <c r="F133" i="2"/>
  <c r="E133" i="2"/>
  <c r="W132" i="2"/>
  <c r="V132" i="2"/>
  <c r="U132" i="2"/>
  <c r="T132" i="2"/>
  <c r="F132" i="2"/>
  <c r="E132" i="2"/>
  <c r="W131" i="2"/>
  <c r="V131" i="2"/>
  <c r="U131" i="2"/>
  <c r="T131" i="2"/>
  <c r="F131" i="2"/>
  <c r="E131" i="2"/>
  <c r="W130" i="2"/>
  <c r="V130" i="2"/>
  <c r="U130" i="2"/>
  <c r="T130" i="2"/>
  <c r="F130" i="2"/>
  <c r="E130" i="2"/>
  <c r="W129" i="2"/>
  <c r="V129" i="2"/>
  <c r="T129" i="2"/>
  <c r="K129" i="2"/>
  <c r="K331" i="2" s="1"/>
  <c r="J129" i="2"/>
  <c r="E129" i="2"/>
  <c r="W128" i="2"/>
  <c r="V128" i="2"/>
  <c r="T128" i="2"/>
  <c r="J128" i="2"/>
  <c r="U128" i="2" s="1"/>
  <c r="E128" i="2"/>
  <c r="R127" i="2"/>
  <c r="Q127" i="2"/>
  <c r="P127" i="2"/>
  <c r="P82" i="2" s="1"/>
  <c r="O127" i="2"/>
  <c r="O82" i="2" s="1"/>
  <c r="N127" i="2"/>
  <c r="M127" i="2"/>
  <c r="M82" i="2" s="1"/>
  <c r="L127" i="2"/>
  <c r="I127" i="2"/>
  <c r="H127" i="2"/>
  <c r="H82" i="2" s="1"/>
  <c r="G127" i="2"/>
  <c r="W126" i="2"/>
  <c r="V126" i="2"/>
  <c r="U126" i="2"/>
  <c r="T126" i="2"/>
  <c r="F126" i="2"/>
  <c r="E126" i="2"/>
  <c r="W125" i="2"/>
  <c r="V125" i="2"/>
  <c r="T125" i="2"/>
  <c r="J125" i="2"/>
  <c r="U125" i="2" s="1"/>
  <c r="E125" i="2"/>
  <c r="W124" i="2"/>
  <c r="V124" i="2"/>
  <c r="U124" i="2"/>
  <c r="T124" i="2"/>
  <c r="F124" i="2"/>
  <c r="E124" i="2"/>
  <c r="W123" i="2"/>
  <c r="V123" i="2"/>
  <c r="U123" i="2"/>
  <c r="T123" i="2"/>
  <c r="J123" i="2"/>
  <c r="F123" i="2"/>
  <c r="E123" i="2"/>
  <c r="W122" i="2"/>
  <c r="V122" i="2"/>
  <c r="U122" i="2"/>
  <c r="T122" i="2"/>
  <c r="F122" i="2"/>
  <c r="E122" i="2"/>
  <c r="W121" i="2"/>
  <c r="V121" i="2"/>
  <c r="U121" i="2"/>
  <c r="T121" i="2"/>
  <c r="F121" i="2"/>
  <c r="E121" i="2"/>
  <c r="W120" i="2"/>
  <c r="V120" i="2"/>
  <c r="U120" i="2"/>
  <c r="T120" i="2"/>
  <c r="F120" i="2"/>
  <c r="E120" i="2"/>
  <c r="W119" i="2"/>
  <c r="V119" i="2"/>
  <c r="U119" i="2"/>
  <c r="T119" i="2"/>
  <c r="J119" i="2"/>
  <c r="J322" i="2" s="1"/>
  <c r="E119" i="2"/>
  <c r="R118" i="2"/>
  <c r="R73" i="2" s="1"/>
  <c r="Q118" i="2"/>
  <c r="Q73" i="2" s="1"/>
  <c r="P118" i="2"/>
  <c r="P73" i="2" s="1"/>
  <c r="O118" i="2"/>
  <c r="N118" i="2"/>
  <c r="M118" i="2"/>
  <c r="L118" i="2"/>
  <c r="K118" i="2"/>
  <c r="K73" i="2" s="1"/>
  <c r="I118" i="2"/>
  <c r="I73" i="2" s="1"/>
  <c r="H118" i="2"/>
  <c r="H73" i="2" s="1"/>
  <c r="G118" i="2"/>
  <c r="G73" i="2" s="1"/>
  <c r="R114" i="2"/>
  <c r="Q114" i="2"/>
  <c r="P114" i="2"/>
  <c r="O114" i="2"/>
  <c r="N114" i="2"/>
  <c r="M114" i="2"/>
  <c r="L114" i="2"/>
  <c r="K114" i="2"/>
  <c r="J114" i="2"/>
  <c r="I114" i="2"/>
  <c r="H114" i="2"/>
  <c r="G114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R105" i="2"/>
  <c r="Q105" i="2"/>
  <c r="P105" i="2"/>
  <c r="O105" i="2"/>
  <c r="N105" i="2"/>
  <c r="M105" i="2"/>
  <c r="L105" i="2"/>
  <c r="K105" i="2"/>
  <c r="I105" i="2"/>
  <c r="H105" i="2"/>
  <c r="G105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R100" i="2"/>
  <c r="Q100" i="2"/>
  <c r="P100" i="2"/>
  <c r="O100" i="2"/>
  <c r="N100" i="2"/>
  <c r="M100" i="2"/>
  <c r="L100" i="2"/>
  <c r="J100" i="2"/>
  <c r="I100" i="2"/>
  <c r="H100" i="2"/>
  <c r="G100" i="2"/>
  <c r="R99" i="2"/>
  <c r="Q99" i="2"/>
  <c r="P99" i="2"/>
  <c r="O99" i="2"/>
  <c r="N99" i="2"/>
  <c r="M99" i="2"/>
  <c r="L99" i="2"/>
  <c r="K99" i="2"/>
  <c r="J99" i="2"/>
  <c r="I99" i="2"/>
  <c r="H99" i="2"/>
  <c r="G99" i="2"/>
  <c r="R94" i="2"/>
  <c r="Q94" i="2"/>
  <c r="O94" i="2"/>
  <c r="L94" i="2"/>
  <c r="K94" i="2"/>
  <c r="I94" i="2"/>
  <c r="H94" i="2"/>
  <c r="G94" i="2"/>
  <c r="R93" i="2"/>
  <c r="Q93" i="2"/>
  <c r="P93" i="2"/>
  <c r="O93" i="2"/>
  <c r="N93" i="2"/>
  <c r="M93" i="2"/>
  <c r="L93" i="2"/>
  <c r="K93" i="2"/>
  <c r="J93" i="2"/>
  <c r="I93" i="2"/>
  <c r="H93" i="2"/>
  <c r="G93" i="2"/>
  <c r="E93" i="2"/>
  <c r="R92" i="2"/>
  <c r="Q92" i="2"/>
  <c r="P92" i="2"/>
  <c r="O92" i="2"/>
  <c r="N92" i="2"/>
  <c r="N333" i="2" s="1"/>
  <c r="M92" i="2"/>
  <c r="M336" i="2" s="1"/>
  <c r="L92" i="2"/>
  <c r="L336" i="2" s="1"/>
  <c r="K92" i="2"/>
  <c r="J92" i="2"/>
  <c r="I92" i="2"/>
  <c r="H92" i="2"/>
  <c r="G92" i="2"/>
  <c r="E92" i="2"/>
  <c r="E335" i="2" s="1"/>
  <c r="F90" i="2"/>
  <c r="F89" i="2"/>
  <c r="F88" i="2"/>
  <c r="F87" i="2"/>
  <c r="F86" i="2"/>
  <c r="F85" i="2"/>
  <c r="F84" i="2"/>
  <c r="F83" i="2"/>
  <c r="R82" i="2"/>
  <c r="Q82" i="2"/>
  <c r="N82" i="2"/>
  <c r="I82" i="2"/>
  <c r="G82" i="2"/>
  <c r="F81" i="2"/>
  <c r="F80" i="2"/>
  <c r="F79" i="2"/>
  <c r="F78" i="2"/>
  <c r="F77" i="2"/>
  <c r="F76" i="2"/>
  <c r="F75" i="2"/>
  <c r="F74" i="2"/>
  <c r="O73" i="2"/>
  <c r="N73" i="2"/>
  <c r="M73" i="2"/>
  <c r="F69" i="2"/>
  <c r="W68" i="2"/>
  <c r="V68" i="2"/>
  <c r="U68" i="2"/>
  <c r="T68" i="2"/>
  <c r="F68" i="2"/>
  <c r="W67" i="2"/>
  <c r="V67" i="2"/>
  <c r="U67" i="2"/>
  <c r="T67" i="2"/>
  <c r="F67" i="2"/>
  <c r="W66" i="2"/>
  <c r="V66" i="2"/>
  <c r="U66" i="2"/>
  <c r="T66" i="2"/>
  <c r="F66" i="2"/>
  <c r="W65" i="2"/>
  <c r="V65" i="2"/>
  <c r="U65" i="2"/>
  <c r="T65" i="2"/>
  <c r="F65" i="2"/>
  <c r="W64" i="2"/>
  <c r="V64" i="2"/>
  <c r="U64" i="2"/>
  <c r="T64" i="2"/>
  <c r="F64" i="2"/>
  <c r="W63" i="2"/>
  <c r="V63" i="2"/>
  <c r="V62" i="2" s="1"/>
  <c r="U63" i="2"/>
  <c r="U62" i="2" s="1"/>
  <c r="T63" i="2"/>
  <c r="T62" i="2" s="1"/>
  <c r="F63" i="2"/>
  <c r="R62" i="2"/>
  <c r="R70" i="2" s="1"/>
  <c r="Q62" i="2"/>
  <c r="Q70" i="2" s="1"/>
  <c r="P62" i="2"/>
  <c r="P70" i="2" s="1"/>
  <c r="O62" i="2"/>
  <c r="O91" i="2" s="1"/>
  <c r="N62" i="2"/>
  <c r="N91" i="2" s="1"/>
  <c r="M62" i="2"/>
  <c r="M91" i="2" s="1"/>
  <c r="L62" i="2"/>
  <c r="L91" i="2" s="1"/>
  <c r="K62" i="2"/>
  <c r="K70" i="2" s="1"/>
  <c r="J62" i="2"/>
  <c r="I62" i="2"/>
  <c r="I70" i="2" s="1"/>
  <c r="H62" i="2"/>
  <c r="H70" i="2" s="1"/>
  <c r="G62" i="2"/>
  <c r="E62" i="2"/>
  <c r="F61" i="2"/>
  <c r="E61" i="2"/>
  <c r="E90" i="2" s="1"/>
  <c r="F60" i="2"/>
  <c r="E60" i="2"/>
  <c r="E89" i="2" s="1"/>
  <c r="F59" i="2"/>
  <c r="E59" i="2"/>
  <c r="F58" i="2"/>
  <c r="E58" i="2"/>
  <c r="E87" i="2" s="1"/>
  <c r="F57" i="2"/>
  <c r="E57" i="2"/>
  <c r="E86" i="2" s="1"/>
  <c r="F56" i="2"/>
  <c r="E56" i="2"/>
  <c r="E85" i="2" s="1"/>
  <c r="F55" i="2"/>
  <c r="E55" i="2"/>
  <c r="F54" i="2"/>
  <c r="E54" i="2"/>
  <c r="E83" i="2" s="1"/>
  <c r="W53" i="2"/>
  <c r="V53" i="2"/>
  <c r="U53" i="2"/>
  <c r="T53" i="2"/>
  <c r="L53" i="2"/>
  <c r="L82" i="2" s="1"/>
  <c r="J53" i="2"/>
  <c r="F52" i="2"/>
  <c r="E52" i="2"/>
  <c r="E81" i="2" s="1"/>
  <c r="F51" i="2"/>
  <c r="E51" i="2"/>
  <c r="E80" i="2" s="1"/>
  <c r="F50" i="2"/>
  <c r="E50" i="2"/>
  <c r="F49" i="2"/>
  <c r="E49" i="2"/>
  <c r="E78" i="2" s="1"/>
  <c r="F48" i="2"/>
  <c r="E48" i="2"/>
  <c r="E77" i="2" s="1"/>
  <c r="F47" i="2"/>
  <c r="E47" i="2"/>
  <c r="F46" i="2"/>
  <c r="E46" i="2"/>
  <c r="F45" i="2"/>
  <c r="E45" i="2"/>
  <c r="E74" i="2" s="1"/>
  <c r="W44" i="2"/>
  <c r="V44" i="2"/>
  <c r="T44" i="2"/>
  <c r="L44" i="2"/>
  <c r="L73" i="2" s="1"/>
  <c r="J44" i="2"/>
  <c r="F44" i="2" s="1"/>
  <c r="W21" i="2"/>
  <c r="W114" i="2" s="1"/>
  <c r="V21" i="2"/>
  <c r="V114" i="2" s="1"/>
  <c r="U21" i="2"/>
  <c r="U114" i="2" s="1"/>
  <c r="T21" i="2"/>
  <c r="F21" i="2"/>
  <c r="W20" i="2"/>
  <c r="W113" i="2" s="1"/>
  <c r="V20" i="2"/>
  <c r="V113" i="2" s="1"/>
  <c r="U20" i="2"/>
  <c r="U113" i="2" s="1"/>
  <c r="T20" i="2"/>
  <c r="T113" i="2" s="1"/>
  <c r="F20" i="2"/>
  <c r="W19" i="2"/>
  <c r="V19" i="2"/>
  <c r="V112" i="2" s="1"/>
  <c r="U19" i="2"/>
  <c r="U112" i="2" s="1"/>
  <c r="T19" i="2"/>
  <c r="T112" i="2" s="1"/>
  <c r="F19" i="2"/>
  <c r="W18" i="2"/>
  <c r="V18" i="2"/>
  <c r="U18" i="2"/>
  <c r="T18" i="2"/>
  <c r="T111" i="2" s="1"/>
  <c r="F18" i="2"/>
  <c r="W17" i="2"/>
  <c r="W110" i="2" s="1"/>
  <c r="V17" i="2"/>
  <c r="V110" i="2" s="1"/>
  <c r="U17" i="2"/>
  <c r="U110" i="2" s="1"/>
  <c r="T17" i="2"/>
  <c r="T110" i="2" s="1"/>
  <c r="F17" i="2"/>
  <c r="W16" i="2"/>
  <c r="V16" i="2"/>
  <c r="V109" i="2" s="1"/>
  <c r="U16" i="2"/>
  <c r="T16" i="2"/>
  <c r="T109" i="2" s="1"/>
  <c r="F16" i="2"/>
  <c r="W15" i="2"/>
  <c r="V15" i="2"/>
  <c r="V108" i="2" s="1"/>
  <c r="U15" i="2"/>
  <c r="T15" i="2"/>
  <c r="T108" i="2" s="1"/>
  <c r="F15" i="2"/>
  <c r="R14" i="2"/>
  <c r="R316" i="2" s="1"/>
  <c r="Q14" i="2"/>
  <c r="Q107" i="2" s="1"/>
  <c r="P14" i="2"/>
  <c r="O14" i="2"/>
  <c r="N14" i="2"/>
  <c r="M14" i="2"/>
  <c r="M107" i="2" s="1"/>
  <c r="L14" i="2"/>
  <c r="L107" i="2" s="1"/>
  <c r="K14" i="2"/>
  <c r="K107" i="2" s="1"/>
  <c r="J14" i="2"/>
  <c r="J107" i="2" s="1"/>
  <c r="I14" i="2"/>
  <c r="H14" i="2"/>
  <c r="H107" i="2" s="1"/>
  <c r="G14" i="2"/>
  <c r="G107" i="2" s="1"/>
  <c r="E14" i="2"/>
  <c r="E34" i="2" s="1"/>
  <c r="W12" i="2"/>
  <c r="W105" i="2" s="1"/>
  <c r="V12" i="2"/>
  <c r="V105" i="2" s="1"/>
  <c r="U12" i="2"/>
  <c r="T12" i="2"/>
  <c r="F12" i="2"/>
  <c r="W11" i="2"/>
  <c r="W104" i="2" s="1"/>
  <c r="V11" i="2"/>
  <c r="U11" i="2"/>
  <c r="U104" i="2" s="1"/>
  <c r="T11" i="2"/>
  <c r="F11" i="2"/>
  <c r="W10" i="2"/>
  <c r="V10" i="2"/>
  <c r="V103" i="2" s="1"/>
  <c r="U10" i="2"/>
  <c r="U103" i="2" s="1"/>
  <c r="T10" i="2"/>
  <c r="T103" i="2" s="1"/>
  <c r="F10" i="2"/>
  <c r="W9" i="2"/>
  <c r="V9" i="2"/>
  <c r="U9" i="2"/>
  <c r="U102" i="2" s="1"/>
  <c r="T9" i="2"/>
  <c r="F9" i="2"/>
  <c r="W8" i="2"/>
  <c r="W101" i="2" s="1"/>
  <c r="V8" i="2"/>
  <c r="V101" i="2" s="1"/>
  <c r="U8" i="2"/>
  <c r="T8" i="2"/>
  <c r="F8" i="2"/>
  <c r="W7" i="2"/>
  <c r="V7" i="2"/>
  <c r="V100" i="2" s="1"/>
  <c r="T7" i="2"/>
  <c r="K7" i="2"/>
  <c r="K100" i="2" s="1"/>
  <c r="F7" i="2"/>
  <c r="W6" i="2"/>
  <c r="W99" i="2" s="1"/>
  <c r="V6" i="2"/>
  <c r="V99" i="2" s="1"/>
  <c r="U6" i="2"/>
  <c r="U99" i="2" s="1"/>
  <c r="T6" i="2"/>
  <c r="T99" i="2" s="1"/>
  <c r="F6" i="2"/>
  <c r="R5" i="2"/>
  <c r="R13" i="2" s="1"/>
  <c r="R106" i="2" s="1"/>
  <c r="Q5" i="2"/>
  <c r="Q98" i="2" s="1"/>
  <c r="P5" i="2"/>
  <c r="O5" i="2"/>
  <c r="N5" i="2"/>
  <c r="M5" i="2"/>
  <c r="M98" i="2" s="1"/>
  <c r="L5" i="2"/>
  <c r="L98" i="2" s="1"/>
  <c r="K5" i="2"/>
  <c r="K98" i="2" s="1"/>
  <c r="J5" i="2"/>
  <c r="J98" i="2" s="1"/>
  <c r="I5" i="2"/>
  <c r="I98" i="2" s="1"/>
  <c r="H5" i="2"/>
  <c r="H98" i="2" s="1"/>
  <c r="G5" i="2"/>
  <c r="G98" i="2" s="1"/>
  <c r="E5" i="2"/>
  <c r="E98" i="2" s="1"/>
  <c r="Y8" i="2"/>
  <c r="Y15" i="2"/>
  <c r="N142" i="2" l="1"/>
  <c r="F206" i="2"/>
  <c r="O254" i="2"/>
  <c r="E254" i="2"/>
  <c r="E262" i="2" s="1"/>
  <c r="W62" i="2"/>
  <c r="E168" i="2"/>
  <c r="V93" i="2"/>
  <c r="V196" i="2"/>
  <c r="J262" i="2"/>
  <c r="I13" i="2"/>
  <c r="I106" i="2" s="1"/>
  <c r="E75" i="2"/>
  <c r="E79" i="2"/>
  <c r="I224" i="2"/>
  <c r="T254" i="2"/>
  <c r="T262" i="2" s="1"/>
  <c r="P224" i="2"/>
  <c r="M168" i="2"/>
  <c r="N168" i="2"/>
  <c r="P168" i="2"/>
  <c r="Q168" i="2"/>
  <c r="R168" i="2"/>
  <c r="U146" i="2"/>
  <c r="L168" i="2"/>
  <c r="W108" i="2"/>
  <c r="E76" i="2"/>
  <c r="V73" i="2"/>
  <c r="E91" i="2"/>
  <c r="U101" i="2"/>
  <c r="M95" i="2"/>
  <c r="T105" i="2"/>
  <c r="T136" i="2"/>
  <c r="Q142" i="2"/>
  <c r="V326" i="2"/>
  <c r="T102" i="2"/>
  <c r="T114" i="2"/>
  <c r="F93" i="2"/>
  <c r="U322" i="2"/>
  <c r="W127" i="2"/>
  <c r="W112" i="2"/>
  <c r="U111" i="2"/>
  <c r="W92" i="2"/>
  <c r="W73" i="2"/>
  <c r="U136" i="2"/>
  <c r="E322" i="2"/>
  <c r="T104" i="2"/>
  <c r="F5" i="2"/>
  <c r="E84" i="2"/>
  <c r="E88" i="2"/>
  <c r="G13" i="2"/>
  <c r="T73" i="2"/>
  <c r="W5" i="2"/>
  <c r="W98" i="2" s="1"/>
  <c r="U92" i="2"/>
  <c r="U336" i="2" s="1"/>
  <c r="R142" i="2"/>
  <c r="R328" i="2" s="1"/>
  <c r="M142" i="2"/>
  <c r="M171" i="2" s="1"/>
  <c r="U157" i="2"/>
  <c r="J312" i="2"/>
  <c r="F310" i="2"/>
  <c r="F118" i="2"/>
  <c r="F119" i="2"/>
  <c r="F322" i="2" s="1"/>
  <c r="V139" i="2"/>
  <c r="O168" i="2"/>
  <c r="I312" i="2"/>
  <c r="W312" i="2"/>
  <c r="J331" i="2"/>
  <c r="V208" i="2"/>
  <c r="W111" i="2"/>
  <c r="M70" i="2"/>
  <c r="G142" i="2"/>
  <c r="G328" i="2" s="1"/>
  <c r="M312" i="2"/>
  <c r="O70" i="2"/>
  <c r="J105" i="2"/>
  <c r="J118" i="2"/>
  <c r="T322" i="2"/>
  <c r="T101" i="2"/>
  <c r="F125" i="2"/>
  <c r="T331" i="2"/>
  <c r="T127" i="2"/>
  <c r="F165" i="2"/>
  <c r="T183" i="2"/>
  <c r="T320" i="2" s="1"/>
  <c r="K224" i="2"/>
  <c r="R224" i="2"/>
  <c r="L254" i="2"/>
  <c r="L262" i="2" s="1"/>
  <c r="K312" i="2"/>
  <c r="W109" i="2"/>
  <c r="T146" i="2"/>
  <c r="R171" i="2"/>
  <c r="R172" i="2" s="1"/>
  <c r="T153" i="2"/>
  <c r="V14" i="2"/>
  <c r="V107" i="2" s="1"/>
  <c r="V82" i="2"/>
  <c r="W323" i="2"/>
  <c r="W139" i="2"/>
  <c r="W140" i="2" s="1"/>
  <c r="U326" i="2"/>
  <c r="V183" i="2"/>
  <c r="V320" i="2" s="1"/>
  <c r="F222" i="2"/>
  <c r="O262" i="2"/>
  <c r="N254" i="2"/>
  <c r="N262" i="2" s="1"/>
  <c r="F288" i="2"/>
  <c r="F289" i="2" s="1"/>
  <c r="V104" i="2"/>
  <c r="H22" i="2"/>
  <c r="H115" i="2" s="1"/>
  <c r="Y52" i="2"/>
  <c r="Q91" i="2"/>
  <c r="N94" i="2"/>
  <c r="V94" i="2" s="1"/>
  <c r="H142" i="2"/>
  <c r="H143" i="2" s="1"/>
  <c r="N224" i="2"/>
  <c r="R312" i="2"/>
  <c r="T82" i="2"/>
  <c r="R22" i="2"/>
  <c r="R115" i="2" s="1"/>
  <c r="W82" i="2"/>
  <c r="E118" i="2"/>
  <c r="F129" i="2"/>
  <c r="W326" i="2"/>
  <c r="I168" i="2"/>
  <c r="F178" i="2"/>
  <c r="P254" i="2"/>
  <c r="P262" i="2" s="1"/>
  <c r="H312" i="2"/>
  <c r="V312" i="2"/>
  <c r="U7" i="2"/>
  <c r="U100" i="2" s="1"/>
  <c r="Y11" i="2"/>
  <c r="U14" i="2"/>
  <c r="V92" i="2"/>
  <c r="V336" i="2" s="1"/>
  <c r="U129" i="2"/>
  <c r="U327" i="2" s="1"/>
  <c r="J153" i="2"/>
  <c r="J168" i="2" s="1"/>
  <c r="J224" i="2"/>
  <c r="R254" i="2"/>
  <c r="R262" i="2" s="1"/>
  <c r="P312" i="2"/>
  <c r="W102" i="2"/>
  <c r="J73" i="2"/>
  <c r="U73" i="2" s="1"/>
  <c r="F146" i="2"/>
  <c r="K168" i="2"/>
  <c r="F208" i="2"/>
  <c r="W331" i="2"/>
  <c r="W100" i="2"/>
  <c r="T93" i="2"/>
  <c r="L142" i="2"/>
  <c r="L328" i="2" s="1"/>
  <c r="T224" i="2"/>
  <c r="L224" i="2"/>
  <c r="G254" i="2"/>
  <c r="G262" i="2" s="1"/>
  <c r="U254" i="2"/>
  <c r="U262" i="2" s="1"/>
  <c r="N334" i="2"/>
  <c r="T100" i="2"/>
  <c r="T5" i="2"/>
  <c r="T98" i="2" s="1"/>
  <c r="I107" i="2"/>
  <c r="F14" i="2"/>
  <c r="I22" i="2"/>
  <c r="I115" i="2" s="1"/>
  <c r="F62" i="2"/>
  <c r="J70" i="2"/>
  <c r="J91" i="2"/>
  <c r="E73" i="2"/>
  <c r="I335" i="2"/>
  <c r="I336" i="2"/>
  <c r="I333" i="2"/>
  <c r="I334" i="2"/>
  <c r="F92" i="2"/>
  <c r="F333" i="2" s="1"/>
  <c r="U108" i="2"/>
  <c r="U331" i="2"/>
  <c r="V127" i="2"/>
  <c r="V111" i="2"/>
  <c r="J320" i="2"/>
  <c r="T70" i="2"/>
  <c r="G106" i="2"/>
  <c r="V70" i="2"/>
  <c r="N315" i="2"/>
  <c r="N98" i="2"/>
  <c r="N13" i="2"/>
  <c r="N106" i="2" s="1"/>
  <c r="W70" i="2"/>
  <c r="U334" i="2"/>
  <c r="Y18" i="2"/>
  <c r="Q22" i="2"/>
  <c r="Q115" i="2" s="1"/>
  <c r="E44" i="2"/>
  <c r="Y47" i="2"/>
  <c r="Y53" i="2"/>
  <c r="Y60" i="2"/>
  <c r="Y63" i="2"/>
  <c r="Y66" i="2"/>
  <c r="L70" i="2"/>
  <c r="P91" i="2"/>
  <c r="P95" i="2" s="1"/>
  <c r="H335" i="2"/>
  <c r="H333" i="2"/>
  <c r="H334" i="2"/>
  <c r="T94" i="2"/>
  <c r="V102" i="2"/>
  <c r="E323" i="2"/>
  <c r="E127" i="2"/>
  <c r="E331" i="2"/>
  <c r="P142" i="2"/>
  <c r="V322" i="2"/>
  <c r="O315" i="2"/>
  <c r="O98" i="2"/>
  <c r="H13" i="2"/>
  <c r="H106" i="2" s="1"/>
  <c r="W14" i="2"/>
  <c r="W107" i="2" s="1"/>
  <c r="Y20" i="2"/>
  <c r="G22" i="2"/>
  <c r="Y45" i="2"/>
  <c r="Y58" i="2"/>
  <c r="Y68" i="2"/>
  <c r="N70" i="2"/>
  <c r="N143" i="2" s="1"/>
  <c r="R91" i="2"/>
  <c r="R95" i="2" s="1"/>
  <c r="J335" i="2"/>
  <c r="J334" i="2"/>
  <c r="V334" i="2"/>
  <c r="V215" i="2"/>
  <c r="G312" i="2"/>
  <c r="G314" i="2" s="1"/>
  <c r="U312" i="2"/>
  <c r="P315" i="2"/>
  <c r="P98" i="2"/>
  <c r="Y50" i="2"/>
  <c r="K336" i="2"/>
  <c r="K334" i="2"/>
  <c r="K335" i="2"/>
  <c r="V331" i="2"/>
  <c r="T140" i="2"/>
  <c r="W334" i="2"/>
  <c r="W336" i="2"/>
  <c r="J13" i="2"/>
  <c r="E53" i="2"/>
  <c r="Y56" i="2"/>
  <c r="Y65" i="2"/>
  <c r="G91" i="2"/>
  <c r="G95" i="2" s="1"/>
  <c r="L95" i="2"/>
  <c r="W322" i="2"/>
  <c r="H328" i="2"/>
  <c r="T327" i="2"/>
  <c r="F240" i="2"/>
  <c r="R315" i="2"/>
  <c r="R98" i="2"/>
  <c r="Y7" i="2"/>
  <c r="Y10" i="2"/>
  <c r="K13" i="2"/>
  <c r="K106" i="2" s="1"/>
  <c r="Y17" i="2"/>
  <c r="J22" i="2"/>
  <c r="U44" i="2"/>
  <c r="U70" i="2" s="1"/>
  <c r="Y48" i="2"/>
  <c r="F53" i="2"/>
  <c r="Y61" i="2"/>
  <c r="H91" i="2"/>
  <c r="H95" i="2" s="1"/>
  <c r="V91" i="2"/>
  <c r="W93" i="2"/>
  <c r="V118" i="2"/>
  <c r="I142" i="2"/>
  <c r="U325" i="2"/>
  <c r="N171" i="2"/>
  <c r="Y165" i="2"/>
  <c r="K333" i="2"/>
  <c r="L13" i="2"/>
  <c r="L106" i="2" s="1"/>
  <c r="N107" i="2"/>
  <c r="N316" i="2"/>
  <c r="K22" i="2"/>
  <c r="K115" i="2" s="1"/>
  <c r="Y54" i="2"/>
  <c r="I91" i="2"/>
  <c r="I95" i="2" s="1"/>
  <c r="E107" i="2"/>
  <c r="J94" i="2"/>
  <c r="F94" i="2" s="1"/>
  <c r="U139" i="2"/>
  <c r="V325" i="2"/>
  <c r="Y154" i="2"/>
  <c r="J333" i="2"/>
  <c r="O224" i="2"/>
  <c r="U5" i="2"/>
  <c r="U98" i="2" s="1"/>
  <c r="M13" i="2"/>
  <c r="O107" i="2"/>
  <c r="O316" i="2"/>
  <c r="Y19" i="2"/>
  <c r="L22" i="2"/>
  <c r="L115" i="2" s="1"/>
  <c r="Y46" i="2"/>
  <c r="Y59" i="2"/>
  <c r="Y67" i="2"/>
  <c r="G70" i="2"/>
  <c r="O333" i="2"/>
  <c r="O334" i="2"/>
  <c r="O335" i="2"/>
  <c r="O336" i="2"/>
  <c r="O95" i="2"/>
  <c r="R107" i="2"/>
  <c r="Q143" i="2"/>
  <c r="Q328" i="2"/>
  <c r="W146" i="2"/>
  <c r="W327" i="2"/>
  <c r="W325" i="2"/>
  <c r="P171" i="2"/>
  <c r="U335" i="2"/>
  <c r="L312" i="2"/>
  <c r="V206" i="2"/>
  <c r="Y181" i="2"/>
  <c r="Y152" i="2"/>
  <c r="Y149" i="2"/>
  <c r="Y130" i="2"/>
  <c r="V210" i="2"/>
  <c r="Y156" i="2"/>
  <c r="Y135" i="2"/>
  <c r="Y121" i="2"/>
  <c r="V209" i="2"/>
  <c r="Y179" i="2"/>
  <c r="V197" i="2"/>
  <c r="V199" i="2" s="1"/>
  <c r="Y167" i="2"/>
  <c r="Y164" i="2"/>
  <c r="Y161" i="2"/>
  <c r="Y157" i="2"/>
  <c r="Y136" i="2"/>
  <c r="Y131" i="2"/>
  <c r="Y122" i="2"/>
  <c r="V205" i="2"/>
  <c r="Y182" i="2"/>
  <c r="Y174" i="2"/>
  <c r="Y150" i="2"/>
  <c r="Y147" i="2"/>
  <c r="Y139" i="2"/>
  <c r="Y123" i="2"/>
  <c r="Y158" i="2"/>
  <c r="Y132" i="2"/>
  <c r="Y125" i="2"/>
  <c r="Y124" i="2"/>
  <c r="V195" i="2"/>
  <c r="Y180" i="2"/>
  <c r="Y162" i="2"/>
  <c r="V202" i="2"/>
  <c r="V194" i="2"/>
  <c r="Y177" i="2"/>
  <c r="Y151" i="2"/>
  <c r="Y148" i="2"/>
  <c r="Y126" i="2"/>
  <c r="V207" i="2"/>
  <c r="V193" i="2"/>
  <c r="Y169" i="2"/>
  <c r="Y159" i="2"/>
  <c r="Y155" i="2"/>
  <c r="Y133" i="2"/>
  <c r="Y119" i="2"/>
  <c r="Y92" i="2"/>
  <c r="V192" i="2"/>
  <c r="Y178" i="2"/>
  <c r="Y166" i="2"/>
  <c r="Y129" i="2"/>
  <c r="Y128" i="2"/>
  <c r="Y93" i="2"/>
  <c r="V191" i="2"/>
  <c r="Y187" i="2"/>
  <c r="Y163" i="2"/>
  <c r="Y160" i="2"/>
  <c r="Y134" i="2"/>
  <c r="Y120" i="2"/>
  <c r="V5" i="2"/>
  <c r="V98" i="2" s="1"/>
  <c r="Y6" i="2"/>
  <c r="P107" i="2"/>
  <c r="P316" i="2"/>
  <c r="M22" i="2"/>
  <c r="Y44" i="2"/>
  <c r="Y51" i="2"/>
  <c r="Y64" i="2"/>
  <c r="K91" i="2"/>
  <c r="P333" i="2"/>
  <c r="P334" i="2"/>
  <c r="P335" i="2"/>
  <c r="P336" i="2"/>
  <c r="T118" i="2"/>
  <c r="B125" i="2"/>
  <c r="Q171" i="2"/>
  <c r="V335" i="2"/>
  <c r="Y9" i="2"/>
  <c r="Y12" i="2"/>
  <c r="O13" i="2"/>
  <c r="O106" i="2" s="1"/>
  <c r="Y16" i="2"/>
  <c r="N22" i="2"/>
  <c r="N115" i="2" s="1"/>
  <c r="Y57" i="2"/>
  <c r="E334" i="2"/>
  <c r="E336" i="2"/>
  <c r="E333" i="2"/>
  <c r="Q334" i="2"/>
  <c r="Q336" i="2"/>
  <c r="Q333" i="2"/>
  <c r="W94" i="2"/>
  <c r="Q95" i="2"/>
  <c r="W118" i="2"/>
  <c r="W142" i="2" s="1"/>
  <c r="W103" i="2"/>
  <c r="U118" i="2"/>
  <c r="U105" i="2"/>
  <c r="R143" i="2"/>
  <c r="V333" i="2"/>
  <c r="W335" i="2"/>
  <c r="U183" i="2"/>
  <c r="U320" i="2" s="1"/>
  <c r="E224" i="2"/>
  <c r="F254" i="2"/>
  <c r="F262" i="2" s="1"/>
  <c r="E312" i="2"/>
  <c r="E314" i="2" s="1"/>
  <c r="N312" i="2"/>
  <c r="Q335" i="2"/>
  <c r="P13" i="2"/>
  <c r="Y21" i="2"/>
  <c r="O22" i="2"/>
  <c r="O115" i="2" s="1"/>
  <c r="E25" i="2"/>
  <c r="Y49" i="2"/>
  <c r="R334" i="2"/>
  <c r="R335" i="2"/>
  <c r="R336" i="2"/>
  <c r="R333" i="2"/>
  <c r="N328" i="2"/>
  <c r="V153" i="2"/>
  <c r="V168" i="2" s="1"/>
  <c r="W333" i="2"/>
  <c r="G224" i="2"/>
  <c r="U224" i="2"/>
  <c r="O312" i="2"/>
  <c r="H336" i="2"/>
  <c r="Q13" i="2"/>
  <c r="Q106" i="2" s="1"/>
  <c r="T14" i="2"/>
  <c r="T107" i="2" s="1"/>
  <c r="P22" i="2"/>
  <c r="Y55" i="2"/>
  <c r="G334" i="2"/>
  <c r="G335" i="2"/>
  <c r="G336" i="2"/>
  <c r="G333" i="2"/>
  <c r="T92" i="2"/>
  <c r="T333" i="2" s="1"/>
  <c r="U93" i="2"/>
  <c r="V142" i="2"/>
  <c r="V143" i="2" s="1"/>
  <c r="V140" i="2"/>
  <c r="H168" i="2"/>
  <c r="H171" i="2" s="1"/>
  <c r="J336" i="2"/>
  <c r="W183" i="2"/>
  <c r="W320" i="2" s="1"/>
  <c r="H224" i="2"/>
  <c r="J127" i="2"/>
  <c r="G168" i="2"/>
  <c r="J325" i="2"/>
  <c r="N336" i="2"/>
  <c r="K127" i="2"/>
  <c r="K82" i="2" s="1"/>
  <c r="T323" i="2"/>
  <c r="K325" i="2"/>
  <c r="V327" i="2"/>
  <c r="L335" i="2"/>
  <c r="F139" i="2"/>
  <c r="J327" i="2"/>
  <c r="M335" i="2"/>
  <c r="F136" i="2"/>
  <c r="V323" i="2"/>
  <c r="K327" i="2"/>
  <c r="N335" i="2"/>
  <c r="O142" i="2"/>
  <c r="K183" i="2"/>
  <c r="K320" i="2" s="1"/>
  <c r="J323" i="2"/>
  <c r="T326" i="2"/>
  <c r="L334" i="2"/>
  <c r="W165" i="2"/>
  <c r="W153" i="2" s="1"/>
  <c r="K323" i="2"/>
  <c r="M334" i="2"/>
  <c r="F128" i="2"/>
  <c r="L333" i="2"/>
  <c r="M333" i="2"/>
  <c r="T325" i="2"/>
  <c r="Y111" i="2" l="1"/>
  <c r="Y112" i="2"/>
  <c r="V95" i="2"/>
  <c r="I171" i="2"/>
  <c r="I185" i="2" s="1"/>
  <c r="I189" i="2" s="1"/>
  <c r="I190" i="2" s="1"/>
  <c r="W168" i="2"/>
  <c r="W171" i="2" s="1"/>
  <c r="M172" i="2"/>
  <c r="M185" i="2"/>
  <c r="M189" i="2" s="1"/>
  <c r="M190" i="2" s="1"/>
  <c r="T142" i="2"/>
  <c r="M328" i="2"/>
  <c r="N95" i="2"/>
  <c r="C159" i="2"/>
  <c r="M143" i="2"/>
  <c r="F335" i="2"/>
  <c r="C160" i="2"/>
  <c r="L143" i="2"/>
  <c r="R185" i="2"/>
  <c r="R189" i="2" s="1"/>
  <c r="R190" i="2" s="1"/>
  <c r="E82" i="2"/>
  <c r="U333" i="2"/>
  <c r="E95" i="2"/>
  <c r="C158" i="2"/>
  <c r="F153" i="2"/>
  <c r="U109" i="2"/>
  <c r="Y110" i="2"/>
  <c r="U323" i="2"/>
  <c r="U107" i="2"/>
  <c r="F224" i="2"/>
  <c r="F334" i="2"/>
  <c r="O171" i="2"/>
  <c r="O172" i="2" s="1"/>
  <c r="C157" i="2"/>
  <c r="Y13" i="2"/>
  <c r="Y106" i="2" s="1"/>
  <c r="T13" i="2"/>
  <c r="T106" i="2" s="1"/>
  <c r="F312" i="2"/>
  <c r="F314" i="2" s="1"/>
  <c r="Y22" i="2"/>
  <c r="Y115" i="2" s="1"/>
  <c r="U127" i="2"/>
  <c r="U142" i="2" s="1"/>
  <c r="U171" i="2" s="1"/>
  <c r="Y94" i="2"/>
  <c r="E70" i="2"/>
  <c r="Y73" i="2"/>
  <c r="F70" i="2"/>
  <c r="F73" i="2"/>
  <c r="F336" i="2"/>
  <c r="U153" i="2"/>
  <c r="U168" i="2" s="1"/>
  <c r="Y91" i="2"/>
  <c r="E142" i="2"/>
  <c r="E171" i="2" s="1"/>
  <c r="E172" i="2" s="1"/>
  <c r="L171" i="2"/>
  <c r="T168" i="2"/>
  <c r="T171" i="2" s="1"/>
  <c r="V200" i="2"/>
  <c r="W143" i="2"/>
  <c r="W328" i="2"/>
  <c r="T143" i="2"/>
  <c r="T328" i="2"/>
  <c r="I172" i="2"/>
  <c r="Y113" i="2"/>
  <c r="Y140" i="2"/>
  <c r="P185" i="2"/>
  <c r="P189" i="2" s="1"/>
  <c r="P190" i="2" s="1"/>
  <c r="P172" i="2"/>
  <c r="M106" i="2"/>
  <c r="V13" i="2"/>
  <c r="V106" i="2" s="1"/>
  <c r="J106" i="2"/>
  <c r="U13" i="2"/>
  <c r="U106" i="2" s="1"/>
  <c r="M115" i="2"/>
  <c r="V22" i="2"/>
  <c r="V115" i="2" s="1"/>
  <c r="Y336" i="2"/>
  <c r="Y335" i="2"/>
  <c r="K95" i="2"/>
  <c r="H172" i="2"/>
  <c r="H185" i="2"/>
  <c r="H189" i="2" s="1"/>
  <c r="H190" i="2" s="1"/>
  <c r="Y333" i="2"/>
  <c r="F183" i="2"/>
  <c r="F320" i="2" s="1"/>
  <c r="T335" i="2"/>
  <c r="Y104" i="2"/>
  <c r="T336" i="2"/>
  <c r="Y146" i="2"/>
  <c r="Y327" i="2"/>
  <c r="Y325" i="2"/>
  <c r="F331" i="2"/>
  <c r="F323" i="2"/>
  <c r="V171" i="2"/>
  <c r="Y5" i="2"/>
  <c r="Y183" i="2"/>
  <c r="Y105" i="2"/>
  <c r="K142" i="2"/>
  <c r="Y153" i="2"/>
  <c r="T334" i="2"/>
  <c r="V313" i="2"/>
  <c r="V314" i="2" s="1"/>
  <c r="H313" i="2"/>
  <c r="H314" i="2" s="1"/>
  <c r="U313" i="2"/>
  <c r="U314" i="2" s="1"/>
  <c r="T313" i="2"/>
  <c r="T314" i="2" s="1"/>
  <c r="R313" i="2"/>
  <c r="R314" i="2" s="1"/>
  <c r="P313" i="2"/>
  <c r="P314" i="2" s="1"/>
  <c r="N313" i="2"/>
  <c r="N314" i="2" s="1"/>
  <c r="M313" i="2"/>
  <c r="M314" i="2" s="1"/>
  <c r="L313" i="2"/>
  <c r="L314" i="2" s="1"/>
  <c r="K313" i="2"/>
  <c r="K314" i="2" s="1"/>
  <c r="J313" i="2"/>
  <c r="J314" i="2" s="1"/>
  <c r="W313" i="2"/>
  <c r="W314" i="2" s="1"/>
  <c r="I313" i="2"/>
  <c r="I314" i="2" s="1"/>
  <c r="O313" i="2"/>
  <c r="F168" i="2"/>
  <c r="G171" i="2"/>
  <c r="G143" i="2"/>
  <c r="P115" i="2"/>
  <c r="W22" i="2"/>
  <c r="W115" i="2" s="1"/>
  <c r="Q185" i="2"/>
  <c r="Q189" i="2" s="1"/>
  <c r="Q190" i="2" s="1"/>
  <c r="Q172" i="2"/>
  <c r="V211" i="2"/>
  <c r="Y101" i="2"/>
  <c r="N172" i="2"/>
  <c r="N185" i="2"/>
  <c r="N189" i="2" s="1"/>
  <c r="N190" i="2" s="1"/>
  <c r="T91" i="2"/>
  <c r="T95" i="2" s="1"/>
  <c r="F91" i="2"/>
  <c r="V328" i="2"/>
  <c r="G115" i="2"/>
  <c r="T22" i="2"/>
  <c r="T115" i="2" s="1"/>
  <c r="F22" i="2"/>
  <c r="Y326" i="2"/>
  <c r="F127" i="2"/>
  <c r="Y334" i="2"/>
  <c r="Y102" i="2"/>
  <c r="W91" i="2"/>
  <c r="W95" i="2" s="1"/>
  <c r="Y100" i="2"/>
  <c r="Y322" i="2"/>
  <c r="Y118" i="2"/>
  <c r="Y99" i="2"/>
  <c r="U140" i="2"/>
  <c r="P143" i="2"/>
  <c r="P328" i="2"/>
  <c r="Y14" i="2"/>
  <c r="U91" i="2"/>
  <c r="O143" i="2"/>
  <c r="O328" i="2"/>
  <c r="Y108" i="2"/>
  <c r="Y331" i="2"/>
  <c r="Y323" i="2"/>
  <c r="Y127" i="2"/>
  <c r="U94" i="2"/>
  <c r="I143" i="2"/>
  <c r="I328" i="2"/>
  <c r="O314" i="2"/>
  <c r="P106" i="2"/>
  <c r="W13" i="2"/>
  <c r="W106" i="2" s="1"/>
  <c r="Y114" i="2"/>
  <c r="Y109" i="2"/>
  <c r="Y103" i="2"/>
  <c r="J142" i="2"/>
  <c r="J115" i="2"/>
  <c r="U22" i="2"/>
  <c r="U115" i="2" s="1"/>
  <c r="Y62" i="2"/>
  <c r="F13" i="2"/>
  <c r="J82" i="2"/>
  <c r="J95" i="2" s="1"/>
  <c r="F95" i="2" s="1"/>
  <c r="E143" i="2" l="1"/>
  <c r="W172" i="2"/>
  <c r="W185" i="2"/>
  <c r="W189" i="2" s="1"/>
  <c r="W190" i="2" s="1"/>
  <c r="E185" i="2"/>
  <c r="E189" i="2" s="1"/>
  <c r="E190" i="2" s="1"/>
  <c r="O185" i="2"/>
  <c r="O189" i="2" s="1"/>
  <c r="O190" i="2" s="1"/>
  <c r="L172" i="2"/>
  <c r="L185" i="2"/>
  <c r="L189" i="2" s="1"/>
  <c r="L190" i="2" s="1"/>
  <c r="Y98" i="2"/>
  <c r="Y107" i="2"/>
  <c r="V172" i="2"/>
  <c r="V185" i="2"/>
  <c r="V189" i="2" s="1"/>
  <c r="V190" i="2" s="1"/>
  <c r="T185" i="2"/>
  <c r="T189" i="2" s="1"/>
  <c r="T190" i="2" s="1"/>
  <c r="T172" i="2"/>
  <c r="Y168" i="2"/>
  <c r="U143" i="2"/>
  <c r="U328" i="2"/>
  <c r="Y320" i="2"/>
  <c r="Y142" i="2"/>
  <c r="V213" i="2"/>
  <c r="V217" i="2" s="1"/>
  <c r="V218" i="2" s="1"/>
  <c r="U172" i="2"/>
  <c r="U185" i="2"/>
  <c r="U189" i="2" s="1"/>
  <c r="U190" i="2" s="1"/>
  <c r="G185" i="2"/>
  <c r="G172" i="2"/>
  <c r="K143" i="2"/>
  <c r="K328" i="2"/>
  <c r="K171" i="2"/>
  <c r="Y70" i="2"/>
  <c r="J143" i="2"/>
  <c r="J328" i="2"/>
  <c r="J171" i="2"/>
  <c r="F142" i="2"/>
  <c r="F143" i="2" s="1"/>
  <c r="U82" i="2"/>
  <c r="U95" i="2" s="1"/>
  <c r="F82" i="2"/>
  <c r="Y82" i="2"/>
  <c r="K172" i="2" l="1"/>
  <c r="K185" i="2"/>
  <c r="K189" i="2" s="1"/>
  <c r="K190" i="2" s="1"/>
  <c r="Y171" i="2"/>
  <c r="F171" i="2"/>
  <c r="F172" i="2" s="1"/>
  <c r="Y143" i="2"/>
  <c r="Y328" i="2"/>
  <c r="V222" i="2"/>
  <c r="V224" i="2" s="1"/>
  <c r="Y95" i="2"/>
  <c r="G189" i="2"/>
  <c r="J172" i="2"/>
  <c r="J185" i="2"/>
  <c r="J189" i="2" s="1"/>
  <c r="J190" i="2" s="1"/>
  <c r="F185" i="2" l="1"/>
  <c r="Y172" i="2"/>
  <c r="Y185" i="2"/>
  <c r="G190" i="2"/>
  <c r="F189" i="2"/>
  <c r="F190" i="2" s="1"/>
  <c r="Y189" i="2" l="1"/>
  <c r="Y190" i="2" l="1"/>
</calcChain>
</file>

<file path=xl/sharedStrings.xml><?xml version="1.0" encoding="utf-8"?>
<sst xmlns="http://schemas.openxmlformats.org/spreadsheetml/2006/main" count="378" uniqueCount="244">
  <si>
    <t>Q1</t>
  </si>
  <si>
    <t>Q2</t>
  </si>
  <si>
    <t>Q3</t>
  </si>
  <si>
    <t>Q4</t>
  </si>
  <si>
    <t>YTD</t>
  </si>
  <si>
    <t>Income Statement</t>
  </si>
  <si>
    <t>1 to 3</t>
  </si>
  <si>
    <t>4 to 6</t>
  </si>
  <si>
    <t>7 to 9</t>
  </si>
  <si>
    <t>10 to 12</t>
  </si>
  <si>
    <t>Nb of Vehicules</t>
  </si>
  <si>
    <t>X</t>
  </si>
  <si>
    <t>NB New</t>
  </si>
  <si>
    <t>New vehicles</t>
  </si>
  <si>
    <t>Vehicle deliveries neuf</t>
  </si>
  <si>
    <t>New Cars</t>
  </si>
  <si>
    <t>SUV</t>
  </si>
  <si>
    <t>Sprinter</t>
  </si>
  <si>
    <t>Motos</t>
  </si>
  <si>
    <t>Demos</t>
  </si>
  <si>
    <t>Rachat de bail neuf</t>
  </si>
  <si>
    <t>Rachat de bail</t>
  </si>
  <si>
    <t>NB Fleet</t>
  </si>
  <si>
    <t>Unit Fleet neuf</t>
  </si>
  <si>
    <t>Fleet</t>
  </si>
  <si>
    <t>F&amp;I</t>
  </si>
  <si>
    <t>NB Used</t>
  </si>
  <si>
    <t>Used vehicles</t>
  </si>
  <si>
    <t>Units sold used</t>
  </si>
  <si>
    <t>Retail CPO / Not CPO 1</t>
  </si>
  <si>
    <t>Retail CPO / Not CPO 2</t>
  </si>
  <si>
    <t>Retail CPO / Not CPO 3</t>
  </si>
  <si>
    <t>Retail CPO / Not CPO 4</t>
  </si>
  <si>
    <t>Retail CPO / Not CPO 5</t>
  </si>
  <si>
    <t>NB US</t>
  </si>
  <si>
    <t>US Units per week sold</t>
  </si>
  <si>
    <t>US</t>
  </si>
  <si>
    <t>NB Wholesale</t>
  </si>
  <si>
    <t>Wholesale Units sold</t>
  </si>
  <si>
    <t>Wholesale 1</t>
  </si>
  <si>
    <t>Revenues / vehicule</t>
  </si>
  <si>
    <t>Revenues</t>
  </si>
  <si>
    <t>After-sale service</t>
  </si>
  <si>
    <t>Services Revenue</t>
  </si>
  <si>
    <t>Service</t>
  </si>
  <si>
    <t>Body Revenue</t>
  </si>
  <si>
    <t>Body Shop</t>
  </si>
  <si>
    <t>Parts revenues + Tires Sales</t>
  </si>
  <si>
    <t>Parts and accessories</t>
  </si>
  <si>
    <t>Rent</t>
  </si>
  <si>
    <t>IT Services</t>
  </si>
  <si>
    <t>Interest</t>
  </si>
  <si>
    <t>Management Fees</t>
  </si>
  <si>
    <t>Total Revenue</t>
  </si>
  <si>
    <t>Total - Revenues</t>
  </si>
  <si>
    <t>Cost of Goods Sold</t>
  </si>
  <si>
    <t>Cost vehicules neuf</t>
  </si>
  <si>
    <t>Total cost used</t>
  </si>
  <si>
    <t>US Total cost</t>
  </si>
  <si>
    <t>Wholesale Total cost</t>
  </si>
  <si>
    <t>Projected Parts Costs &amp; Tires Costs</t>
  </si>
  <si>
    <t>Total - Cost of Goods Sold</t>
  </si>
  <si>
    <t>Gross Margin per vehicules</t>
  </si>
  <si>
    <t>Average profit / unit neuf</t>
  </si>
  <si>
    <t>Average Fleet / unit neuf</t>
  </si>
  <si>
    <t>Average profit FI / unit neuf</t>
  </si>
  <si>
    <t>Gross Profit per unit used</t>
  </si>
  <si>
    <t>US Gross profit per unit</t>
  </si>
  <si>
    <t>Wholesale Gross profit per unit</t>
  </si>
  <si>
    <t>F&amp;I per unit used</t>
  </si>
  <si>
    <t>Gross Margin</t>
  </si>
  <si>
    <t>Gross New</t>
  </si>
  <si>
    <t>Profit Rachat de bail</t>
  </si>
  <si>
    <t>Profit Fleet</t>
  </si>
  <si>
    <t>Profit F&amp;I new</t>
  </si>
  <si>
    <t>Gross Used</t>
  </si>
  <si>
    <t>Profit US</t>
  </si>
  <si>
    <t>Profit Wholesale</t>
  </si>
  <si>
    <t>Profit F&amp;I used</t>
  </si>
  <si>
    <t>Gross Service</t>
  </si>
  <si>
    <t>Gross Services + Body</t>
  </si>
  <si>
    <t>% Brut service</t>
  </si>
  <si>
    <t>Service % profit</t>
  </si>
  <si>
    <t>% Brut body</t>
  </si>
  <si>
    <t>Body Shop % profit</t>
  </si>
  <si>
    <t>Gross Parts</t>
  </si>
  <si>
    <t>% profit</t>
  </si>
  <si>
    <t>Total Gross Margin</t>
  </si>
  <si>
    <t>Gross Margin (%)</t>
  </si>
  <si>
    <t>Operating Expenses</t>
  </si>
  <si>
    <t>Selling &amp; Marketing</t>
  </si>
  <si>
    <t>Selling and marketing expenses</t>
  </si>
  <si>
    <t>Total commissions</t>
  </si>
  <si>
    <t>Vehicles Sales Salaries &amp; Commissions</t>
  </si>
  <si>
    <t>F&amp;I commissions</t>
  </si>
  <si>
    <t>Total Delivery fees</t>
  </si>
  <si>
    <t>Delivery expense</t>
  </si>
  <si>
    <t>Total Goodwill</t>
  </si>
  <si>
    <t>Goodwill</t>
  </si>
  <si>
    <t>Advertising</t>
  </si>
  <si>
    <t>Demonstration</t>
  </si>
  <si>
    <t>General &amp; Administrative</t>
  </si>
  <si>
    <t>General and administrative expenses</t>
  </si>
  <si>
    <t>Executive salaries</t>
  </si>
  <si>
    <t>Total manager salaries</t>
  </si>
  <si>
    <t>Manager salaries</t>
  </si>
  <si>
    <t>Total others salaries</t>
  </si>
  <si>
    <t>Other Salaries</t>
  </si>
  <si>
    <t>Absentee wages</t>
  </si>
  <si>
    <t>Fringe benefits</t>
  </si>
  <si>
    <t>Payroll taxes</t>
  </si>
  <si>
    <t>CNESST</t>
  </si>
  <si>
    <t>Office expense</t>
  </si>
  <si>
    <t>IT Expense</t>
  </si>
  <si>
    <t>Outside Services and professional fees</t>
  </si>
  <si>
    <t>Building expenses</t>
  </si>
  <si>
    <t>Management fees</t>
  </si>
  <si>
    <t>Corporate expenses</t>
  </si>
  <si>
    <t>Total - Operating Expenses</t>
  </si>
  <si>
    <t>Other revenues</t>
  </si>
  <si>
    <t>Other Revenues</t>
  </si>
  <si>
    <t>EBITDA</t>
  </si>
  <si>
    <t>EBITDA Margin (%)</t>
  </si>
  <si>
    <t>Depreciation &amp; Amortization</t>
  </si>
  <si>
    <t>Financial Expenses (Income)</t>
  </si>
  <si>
    <t>Interest on short term debt</t>
  </si>
  <si>
    <t>Interest on long term debt</t>
  </si>
  <si>
    <t>Interest income</t>
  </si>
  <si>
    <t>Bank fees</t>
  </si>
  <si>
    <t>Floor plan interest</t>
  </si>
  <si>
    <t>Interest on advance</t>
  </si>
  <si>
    <t>Total - Financial Expenses (Income)</t>
  </si>
  <si>
    <t>Earnings Before Tax</t>
  </si>
  <si>
    <t>Income Tax</t>
  </si>
  <si>
    <t>Net Earnings</t>
  </si>
  <si>
    <t>Net Margin (%)</t>
  </si>
  <si>
    <t>Balance Sheet</t>
  </si>
  <si>
    <t>Assets</t>
  </si>
  <si>
    <t>Current Assets</t>
  </si>
  <si>
    <t>Cash &amp; cash equivalent</t>
  </si>
  <si>
    <t>Accounts receivable</t>
  </si>
  <si>
    <t>Prepaid expenses</t>
  </si>
  <si>
    <t>Income tax receivable</t>
  </si>
  <si>
    <t>Other current assets</t>
  </si>
  <si>
    <t>Advance receivable from shareholders / investments</t>
  </si>
  <si>
    <t>Inventories</t>
  </si>
  <si>
    <t>Total - Inventories</t>
  </si>
  <si>
    <t>Total Current Assets</t>
  </si>
  <si>
    <t>Non-Current Assets</t>
  </si>
  <si>
    <t>Property and equipment</t>
  </si>
  <si>
    <t>Intangible assets</t>
  </si>
  <si>
    <t>Investments</t>
  </si>
  <si>
    <t>Future income tax</t>
  </si>
  <si>
    <t>Purchase price balance receivable</t>
  </si>
  <si>
    <t>Notes receivable from subsidiaries</t>
  </si>
  <si>
    <t>Loans receivable from subsidiaries</t>
  </si>
  <si>
    <t>Advance receivable from a subsidiary</t>
  </si>
  <si>
    <t>Amount receivable - shareholders loans</t>
  </si>
  <si>
    <t>Advance receivable from the parent company</t>
  </si>
  <si>
    <t>Total Fixed Assets</t>
  </si>
  <si>
    <t>Assets - Total</t>
  </si>
  <si>
    <t>Liabilities</t>
  </si>
  <si>
    <t>Current Liabilities</t>
  </si>
  <si>
    <t>Bank overdraft</t>
  </si>
  <si>
    <t>Operating line of credit</t>
  </si>
  <si>
    <t>Notes payable on vehicles in inventory</t>
  </si>
  <si>
    <t>Accounts payable and accrued liabilities</t>
  </si>
  <si>
    <t>Income tax payable</t>
  </si>
  <si>
    <t>Note payable to a subsidiary</t>
  </si>
  <si>
    <t>Temporary loans</t>
  </si>
  <si>
    <t>CPLTD</t>
  </si>
  <si>
    <t>Note payable to the parent company</t>
  </si>
  <si>
    <t>Advances payable to subsidiaries</t>
  </si>
  <si>
    <t>Deferred income</t>
  </si>
  <si>
    <t>Other current liabilities</t>
  </si>
  <si>
    <t>Total Current Liabilities</t>
  </si>
  <si>
    <t>Long-Term Liabilities</t>
  </si>
  <si>
    <t>Advance payable to a parent company</t>
  </si>
  <si>
    <t>Advance payable to a subsidiary</t>
  </si>
  <si>
    <t>Deferred Income</t>
  </si>
  <si>
    <t>Long-term debt</t>
  </si>
  <si>
    <t>Future income taxes</t>
  </si>
  <si>
    <t>Notes payable to subsidiaries</t>
  </si>
  <si>
    <t>Purchase price balance payable</t>
  </si>
  <si>
    <t>Shareholders loans</t>
  </si>
  <si>
    <t>Other long-term liabilities</t>
  </si>
  <si>
    <t>Total Long-Term Liabilities</t>
  </si>
  <si>
    <t>Liabilities - Total</t>
  </si>
  <si>
    <t>Shareholders' Equity</t>
  </si>
  <si>
    <t>Share capital</t>
  </si>
  <si>
    <t>Retained earnings (Deficit)</t>
  </si>
  <si>
    <t>Shareholders' Equity - Total</t>
  </si>
  <si>
    <t>Non-controlling interest</t>
  </si>
  <si>
    <t>Liabilities and Equity</t>
  </si>
  <si>
    <t>Control</t>
  </si>
  <si>
    <t>Cash Flow Statement</t>
  </si>
  <si>
    <t>Operating Cash Flow</t>
  </si>
  <si>
    <t>Net Income</t>
  </si>
  <si>
    <t>Items not Affecting Cash</t>
  </si>
  <si>
    <t>Amortization of property and equipment</t>
  </si>
  <si>
    <t>Share in income of investments</t>
  </si>
  <si>
    <t>Other</t>
  </si>
  <si>
    <t>Change in Working Capital</t>
  </si>
  <si>
    <t>Prepaid expenses and deposits</t>
  </si>
  <si>
    <t>Income taxes receivable</t>
  </si>
  <si>
    <t>Total - Changes in Working Capital</t>
  </si>
  <si>
    <t>Net Operating Cash Flow</t>
  </si>
  <si>
    <t>Investing Cash Flow</t>
  </si>
  <si>
    <t>Changes in Investments</t>
  </si>
  <si>
    <t>Additions to fixed assets</t>
  </si>
  <si>
    <t>Additions to intangible assets</t>
  </si>
  <si>
    <t>Additions in other assets</t>
  </si>
  <si>
    <t>Net Investing Cash Flow</t>
  </si>
  <si>
    <t>Financing Cash Flow</t>
  </si>
  <si>
    <t>Net change in line of credit</t>
  </si>
  <si>
    <t>Net change in notes payable on vehicles in inventory</t>
  </si>
  <si>
    <t>Repayment of long-term debt</t>
  </si>
  <si>
    <t>Increase in long-term debt</t>
  </si>
  <si>
    <t>Increase/decrease in notes payable / advances to parent company</t>
  </si>
  <si>
    <t>Increase/decrease in shareholders loans</t>
  </si>
  <si>
    <t>Net change in advance receivable/payable to subsidiaries</t>
  </si>
  <si>
    <t>Increase/decrease in deferred income</t>
  </si>
  <si>
    <t>Increase/decrease in notes payable to subsidiaries</t>
  </si>
  <si>
    <t>Net Financing Cash Flow</t>
  </si>
  <si>
    <t>Net Cash Flow</t>
  </si>
  <si>
    <t>Opening Cash</t>
  </si>
  <si>
    <t>Closing Cash</t>
  </si>
  <si>
    <t>Revenue / vehicule new</t>
  </si>
  <si>
    <t>Revenue / vehicule used</t>
  </si>
  <si>
    <t>Amortization &amp; Financial fees</t>
  </si>
  <si>
    <t>Profit Front new</t>
  </si>
  <si>
    <t>Margin front new</t>
  </si>
  <si>
    <t>Profit Front used</t>
  </si>
  <si>
    <t>Margin front used</t>
  </si>
  <si>
    <t>% commissions</t>
  </si>
  <si>
    <t>% F&amp;I commissions</t>
  </si>
  <si>
    <t>% combiné</t>
  </si>
  <si>
    <t>% pub / brut</t>
  </si>
  <si>
    <t>Gross front &amp; back Used</t>
  </si>
  <si>
    <t>% Absentee wages</t>
  </si>
  <si>
    <t>% Fringe benefits</t>
  </si>
  <si>
    <t>% Payroll taxes</t>
  </si>
  <si>
    <t>% CNESST</t>
  </si>
  <si>
    <t>VOLKS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</si>
</sst>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1009]mmm\ \-\ yy;@"/>
    <numFmt numFmtId="166" formatCode="_-* #,##0_-;\-* #,##0_-;_-* &quot;-&quot;??_-;_-@_-"/>
    <numFmt numFmtId="167" formatCode="_-* #,##0.00_-;\-* #,##0.00_-;_-* &quot;-&quot;??_-;_-@_-"/>
    <numFmt numFmtId="168" formatCode="0.0%"/>
    <numFmt numFmtId="170" formatCode="_-* #,##0_-;\(#,##0\);_-* &quot;-&quot;??_-;_-@_-"/>
    <numFmt numFmtId="171" formatCode="&quot;$&quot;#,##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4E4E4E"/>
      <name val="Arial Unicode MS"/>
      <family val="2"/>
    </font>
    <font>
      <sz val="11"/>
      <color indexed="8"/>
      <name val="Sergoe UI"/>
    </font>
    <font>
      <b/>
      <sz val="11"/>
      <color indexed="8"/>
      <name val="Sergoe UI"/>
    </font>
    <font>
      <b/>
      <sz val="11"/>
      <name val="Sergoe UI"/>
    </font>
    <font>
      <b/>
      <sz val="12"/>
      <name val="Sergoe UI"/>
    </font>
    <font>
      <sz val="11"/>
      <name val="Sergoe UI"/>
    </font>
    <font>
      <sz val="11"/>
      <color theme="0" tint="-4.9989318521683403E-2"/>
      <name val="Sergoe UI"/>
    </font>
    <font>
      <sz val="11"/>
      <color theme="0" tint="-4.9989318521683403E-2"/>
      <name val="Calibri"/>
      <family val="2"/>
      <scheme val="minor"/>
    </font>
    <font>
      <i/>
      <sz val="11"/>
      <name val="Sergoe UI"/>
    </font>
    <font>
      <sz val="11"/>
      <color indexed="8"/>
      <name val="Tahoma"/>
      <family val="2"/>
    </font>
    <font>
      <sz val="10"/>
      <color theme="1"/>
      <name val="Arial"/>
      <family val="2"/>
    </font>
    <font>
      <b/>
      <sz val="11"/>
      <color theme="0" tint="-4.9989318521683403E-2"/>
      <name val="Sergoe UI"/>
    </font>
    <font>
      <b/>
      <sz val="12"/>
      <color theme="0" tint="-4.9989318521683403E-2"/>
      <name val="Sergoe U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2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1" xfId="0" applyFont="1" applyBorder="1"/>
    <xf numFmtId="1" fontId="5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0" fontId="2" fillId="0" borderId="0" xfId="0" applyFont="1"/>
    <xf numFmtId="0" fontId="7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0" fontId="9" fillId="3" borderId="0" xfId="0" applyFont="1" applyFill="1"/>
    <xf numFmtId="0" fontId="6" fillId="3" borderId="0" xfId="0" applyFont="1" applyFill="1"/>
    <xf numFmtId="0" fontId="8" fillId="3" borderId="0" xfId="0" applyFont="1" applyFill="1"/>
    <xf numFmtId="166" fontId="6" fillId="3" borderId="0" xfId="0" applyNumberFormat="1" applyFont="1" applyFill="1"/>
    <xf numFmtId="0" fontId="0" fillId="3" borderId="0" xfId="0" applyFill="1"/>
    <xf numFmtId="1" fontId="6" fillId="3" borderId="0" xfId="0" applyNumberFormat="1" applyFont="1" applyFill="1"/>
    <xf numFmtId="0" fontId="10" fillId="0" borderId="0" xfId="0" applyFont="1"/>
    <xf numFmtId="166" fontId="8" fillId="0" borderId="0" xfId="0" applyNumberFormat="1" applyFont="1"/>
    <xf numFmtId="166" fontId="6" fillId="0" borderId="0" xfId="0" applyNumberFormat="1" applyFont="1"/>
    <xf numFmtId="166" fontId="8" fillId="2" borderId="0" xfId="0" applyNumberFormat="1" applyFont="1" applyFill="1"/>
    <xf numFmtId="166" fontId="6" fillId="0" borderId="0" xfId="0" applyNumberFormat="1" applyFont="1" applyAlignment="1">
      <alignment horizontal="center"/>
    </xf>
    <xf numFmtId="9" fontId="8" fillId="0" borderId="0" xfId="1" applyFont="1"/>
    <xf numFmtId="166" fontId="0" fillId="0" borderId="0" xfId="0" applyNumberFormat="1"/>
    <xf numFmtId="9" fontId="0" fillId="0" borderId="0" xfId="0" applyNumberFormat="1"/>
    <xf numFmtId="9" fontId="0" fillId="0" borderId="0" xfId="1" applyFont="1"/>
    <xf numFmtId="166" fontId="0" fillId="0" borderId="0" xfId="1" applyNumberFormat="1" applyFont="1"/>
    <xf numFmtId="0" fontId="11" fillId="0" borderId="0" xfId="0" applyFont="1"/>
    <xf numFmtId="168" fontId="11" fillId="0" borderId="0" xfId="2" applyNumberFormat="1" applyFont="1"/>
    <xf numFmtId="0" fontId="4" fillId="0" borderId="0" xfId="0" applyFont="1"/>
    <xf numFmtId="0" fontId="13" fillId="0" borderId="0" xfId="0" applyFont="1"/>
    <xf numFmtId="166" fontId="6" fillId="0" borderId="2" xfId="0" applyNumberFormat="1" applyFont="1" applyBorder="1"/>
    <xf numFmtId="166" fontId="6" fillId="0" borderId="2" xfId="3" applyNumberFormat="1" applyFont="1" applyBorder="1"/>
    <xf numFmtId="166" fontId="6" fillId="0" borderId="3" xfId="0" applyNumberFormat="1" applyFont="1" applyBorder="1"/>
    <xf numFmtId="166" fontId="6" fillId="0" borderId="3" xfId="3" applyNumberFormat="1" applyFont="1" applyBorder="1"/>
    <xf numFmtId="170" fontId="6" fillId="0" borderId="3" xfId="0" applyNumberFormat="1" applyFont="1" applyBorder="1"/>
    <xf numFmtId="166" fontId="6" fillId="0" borderId="0" xfId="3" applyNumberFormat="1" applyFont="1"/>
    <xf numFmtId="0" fontId="14" fillId="0" borderId="0" xfId="0" applyFont="1"/>
    <xf numFmtId="170" fontId="6" fillId="0" borderId="0" xfId="0" applyNumberFormat="1" applyFont="1"/>
    <xf numFmtId="0" fontId="15" fillId="2" borderId="0" xfId="0" applyFont="1" applyFill="1"/>
    <xf numFmtId="166" fontId="8" fillId="0" borderId="2" xfId="0" applyNumberFormat="1" applyFont="1" applyBorder="1"/>
    <xf numFmtId="170" fontId="6" fillId="0" borderId="2" xfId="0" applyNumberFormat="1" applyFont="1" applyBorder="1"/>
    <xf numFmtId="170" fontId="8" fillId="0" borderId="0" xfId="0" applyNumberFormat="1" applyFont="1"/>
    <xf numFmtId="170" fontId="8" fillId="0" borderId="3" xfId="0" applyNumberFormat="1" applyFont="1" applyBorder="1"/>
    <xf numFmtId="170" fontId="8" fillId="0" borderId="2" xfId="0" applyNumberFormat="1" applyFont="1" applyBorder="1"/>
    <xf numFmtId="170" fontId="8" fillId="4" borderId="3" xfId="0" applyNumberFormat="1" applyFont="1" applyFill="1" applyBorder="1"/>
    <xf numFmtId="171" fontId="8" fillId="3" borderId="0" xfId="0" applyNumberFormat="1" applyFont="1" applyFill="1" applyAlignment="1">
      <alignment horizontal="center"/>
    </xf>
    <xf numFmtId="171" fontId="0" fillId="0" borderId="0" xfId="0" applyNumberFormat="1"/>
    <xf numFmtId="168" fontId="0" fillId="0" borderId="0" xfId="1" applyNumberFormat="1" applyFont="1"/>
    <xf numFmtId="164" fontId="6" fillId="0" borderId="0" xfId="0" applyNumberFormat="1" applyFont="1"/>
    <xf numFmtId="9" fontId="8" fillId="4" borderId="0" xfId="1" applyFont="1" applyFill="1"/>
  </cellXfs>
  <cellStyles count="4">
    <cellStyle name="Milliers 2" xfId="3" xr:uid="{7AE4294B-9AC5-4B21-93B8-19892CF54579}"/>
    <cellStyle name="Normal" xfId="0" builtinId="0"/>
    <cellStyle name="Pourcentage" xfId="1" builtinId="5"/>
    <cellStyle name="Pourcentage 4" xfId="2" xr:uid="{10220B3C-7BA2-462C-A0C7-DA80E699CB43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77FF-DE1F-4148-AD85-720BEB858256}">
  <sheetPr>
    <tabColor rgb="FF92D050"/>
  </sheetPr>
  <dimension ref="A1:Y336"/>
  <sheetViews>
    <sheetView tabSelected="1" workbookViewId="0">
      <pane xSplit="6" ySplit="3" topLeftCell="S43" activePane="bottomRight" state="frozen"/>
      <selection pane="topRight" activeCell="G1" sqref="G1"/>
      <selection pane="bottomLeft" activeCell="A4" sqref="A4"/>
      <selection pane="bottomRight" activeCell="D70" sqref="D70"/>
    </sheetView>
  </sheetViews>
  <sheetFormatPr baseColWidth="10" defaultRowHeight="15" outlineLevelRow="1"/>
  <cols>
    <col min="3" max="3" width="6.42578125" customWidth="1"/>
    <col min="4" max="4" width="38.140625" customWidth="1"/>
    <col min="5" max="5" width="19" hidden="1" customWidth="1"/>
    <col min="6" max="6" width="15.5703125" bestFit="1" customWidth="1"/>
    <col min="7" max="7" width="12.7109375" customWidth="1"/>
    <col min="8" max="11" width="13.7109375" bestFit="1" customWidth="1"/>
    <col min="12" max="18" width="13.7109375" customWidth="1"/>
    <col min="19" max="19" width="6.7109375" customWidth="1"/>
    <col min="20" max="23" width="13.7109375" customWidth="1"/>
    <col min="24" max="24" width="11.42578125" customWidth="1"/>
    <col min="25" max="25" width="13.7109375" customWidth="1"/>
  </cols>
  <sheetData>
    <row r="1" spans="1:25" ht="15.75" thickBot="1">
      <c r="A1" s="1" t="s">
        <v>243</v>
      </c>
      <c r="B1" s="2"/>
      <c r="C1" s="2"/>
      <c r="D1" s="2"/>
      <c r="E1" s="3">
        <v>2019</v>
      </c>
      <c r="F1" s="4">
        <v>2021</v>
      </c>
      <c r="G1" s="5">
        <v>44197</v>
      </c>
      <c r="H1" s="5">
        <v>44228</v>
      </c>
      <c r="I1" s="5">
        <v>44256</v>
      </c>
      <c r="J1" s="5">
        <v>44287</v>
      </c>
      <c r="K1" s="5">
        <v>44317</v>
      </c>
      <c r="L1" s="5">
        <v>44348</v>
      </c>
      <c r="M1" s="5">
        <v>44378</v>
      </c>
      <c r="N1" s="5">
        <v>44409</v>
      </c>
      <c r="O1" s="5">
        <v>44440</v>
      </c>
      <c r="P1" s="5">
        <v>44470</v>
      </c>
      <c r="Q1" s="5">
        <v>44501</v>
      </c>
      <c r="R1" s="5">
        <v>44531</v>
      </c>
      <c r="T1" s="6" t="s">
        <v>0</v>
      </c>
      <c r="U1" s="6" t="s">
        <v>1</v>
      </c>
      <c r="V1" s="6" t="s">
        <v>2</v>
      </c>
      <c r="W1" s="6" t="s">
        <v>3</v>
      </c>
      <c r="Y1" s="6" t="s">
        <v>4</v>
      </c>
    </row>
    <row r="2" spans="1:25" ht="15.75">
      <c r="A2" s="8" t="s">
        <v>5</v>
      </c>
      <c r="B2" s="9"/>
      <c r="C2" s="9"/>
      <c r="D2" s="9"/>
      <c r="E2" s="10"/>
      <c r="F2" s="9"/>
      <c r="G2" s="10">
        <v>1</v>
      </c>
      <c r="H2" s="10">
        <v>2</v>
      </c>
      <c r="I2" s="10">
        <v>3</v>
      </c>
      <c r="J2" s="10">
        <v>4</v>
      </c>
      <c r="K2" s="10">
        <v>5</v>
      </c>
      <c r="L2" s="10">
        <v>6</v>
      </c>
      <c r="M2" s="10">
        <v>7</v>
      </c>
      <c r="N2" s="10">
        <v>8</v>
      </c>
      <c r="O2" s="10">
        <v>9</v>
      </c>
      <c r="P2" s="10">
        <v>10</v>
      </c>
      <c r="Q2" s="10">
        <v>11</v>
      </c>
      <c r="R2" s="10">
        <v>12</v>
      </c>
      <c r="T2" s="10" t="s">
        <v>6</v>
      </c>
      <c r="U2" s="10" t="s">
        <v>7</v>
      </c>
      <c r="V2" s="10" t="s">
        <v>8</v>
      </c>
      <c r="W2" s="10" t="s">
        <v>9</v>
      </c>
      <c r="Y2" s="11" t="s">
        <v>4</v>
      </c>
    </row>
    <row r="3" spans="1:25">
      <c r="A3" s="12"/>
      <c r="B3" s="13"/>
      <c r="C3" s="12"/>
      <c r="D3" s="12"/>
      <c r="E3" s="12"/>
      <c r="F3" s="12"/>
      <c r="G3" s="12" t="s">
        <v>0</v>
      </c>
      <c r="H3" s="12" t="s">
        <v>0</v>
      </c>
      <c r="I3" s="12" t="s">
        <v>0</v>
      </c>
      <c r="J3" s="12" t="s">
        <v>1</v>
      </c>
      <c r="K3" s="12" t="s">
        <v>1</v>
      </c>
      <c r="L3" s="12" t="s">
        <v>1</v>
      </c>
      <c r="M3" s="12" t="s">
        <v>2</v>
      </c>
      <c r="N3" s="12" t="s">
        <v>2</v>
      </c>
      <c r="O3" s="12" t="s">
        <v>2</v>
      </c>
      <c r="P3" s="12" t="s">
        <v>3</v>
      </c>
      <c r="Q3" s="12" t="s">
        <v>3</v>
      </c>
      <c r="R3" s="12" t="s">
        <v>3</v>
      </c>
      <c r="T3" s="12"/>
      <c r="U3" s="12"/>
      <c r="V3" s="12"/>
      <c r="W3" s="12"/>
      <c r="Y3" s="12"/>
    </row>
    <row r="4" spans="1:25" hidden="1" outlineLevel="1">
      <c r="A4" s="14"/>
      <c r="B4" s="15" t="s">
        <v>10</v>
      </c>
      <c r="C4" s="12"/>
      <c r="D4" s="12"/>
      <c r="E4" s="12"/>
      <c r="F4" s="12"/>
      <c r="G4" s="13" t="s">
        <v>11</v>
      </c>
      <c r="H4" s="13" t="s">
        <v>11</v>
      </c>
      <c r="I4" s="13" t="s">
        <v>11</v>
      </c>
      <c r="J4" s="13" t="s">
        <v>11</v>
      </c>
      <c r="K4" s="13" t="s">
        <v>11</v>
      </c>
      <c r="L4" s="13" t="s">
        <v>11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T4" s="12"/>
      <c r="U4" s="12"/>
      <c r="V4" s="12"/>
      <c r="W4" s="12"/>
      <c r="Y4" s="11"/>
    </row>
    <row r="5" spans="1:25" s="20" customFormat="1" hidden="1" outlineLevel="1">
      <c r="A5" s="16" t="s">
        <v>12</v>
      </c>
      <c r="B5" s="17"/>
      <c r="C5" s="18" t="s">
        <v>13</v>
      </c>
      <c r="D5" s="18"/>
      <c r="E5" s="17">
        <f t="shared" ref="E5:I5" si="0">+SUM(E6:E10)</f>
        <v>816</v>
      </c>
      <c r="F5" s="19">
        <f t="shared" si="0"/>
        <v>795</v>
      </c>
      <c r="G5" s="19">
        <f t="shared" si="0"/>
        <v>22</v>
      </c>
      <c r="H5" s="19">
        <f t="shared" si="0"/>
        <v>49</v>
      </c>
      <c r="I5" s="19">
        <f t="shared" si="0"/>
        <v>78</v>
      </c>
      <c r="J5" s="19">
        <f t="shared" ref="J5:K5" si="1">+SUM(J6:J10)</f>
        <v>68</v>
      </c>
      <c r="K5" s="19">
        <f t="shared" si="1"/>
        <v>87</v>
      </c>
      <c r="L5" s="19">
        <f t="shared" ref="L5:R5" si="2">+SUM(L6:L10)</f>
        <v>64</v>
      </c>
      <c r="M5" s="19">
        <f t="shared" si="2"/>
        <v>67</v>
      </c>
      <c r="N5" s="19">
        <f t="shared" si="2"/>
        <v>77</v>
      </c>
      <c r="O5" s="19">
        <f t="shared" si="2"/>
        <v>91</v>
      </c>
      <c r="P5" s="19">
        <f t="shared" si="2"/>
        <v>76</v>
      </c>
      <c r="Q5" s="19">
        <f t="shared" si="2"/>
        <v>79</v>
      </c>
      <c r="R5" s="19">
        <f t="shared" si="2"/>
        <v>37</v>
      </c>
      <c r="T5" s="21">
        <f>+SUM(T6:T10)</f>
        <v>149</v>
      </c>
      <c r="U5" s="21">
        <f>+SUM(U6:U10)</f>
        <v>219</v>
      </c>
      <c r="V5" s="21">
        <f>+SUM(V6:V10)</f>
        <v>235</v>
      </c>
      <c r="W5" s="21">
        <f>+SUM(W6:W10)</f>
        <v>192</v>
      </c>
      <c r="Y5" s="17">
        <f>+SUM(Y6:Y10)</f>
        <v>368</v>
      </c>
    </row>
    <row r="6" spans="1:25" hidden="1" outlineLevel="1">
      <c r="A6" s="22"/>
      <c r="B6" t="s">
        <v>14</v>
      </c>
      <c r="D6" s="12" t="s">
        <v>15</v>
      </c>
      <c r="E6" s="23">
        <v>442</v>
      </c>
      <c r="F6" s="23">
        <f t="shared" ref="F6:F22" si="3">+SUM(G6:R6)</f>
        <v>243</v>
      </c>
      <c r="G6" s="23">
        <v>7</v>
      </c>
      <c r="H6" s="23">
        <v>15</v>
      </c>
      <c r="I6" s="23">
        <v>32</v>
      </c>
      <c r="J6" s="23">
        <v>24</v>
      </c>
      <c r="K6" s="23">
        <v>25</v>
      </c>
      <c r="L6" s="23">
        <v>23</v>
      </c>
      <c r="M6" s="23">
        <v>24</v>
      </c>
      <c r="N6" s="23">
        <v>24</v>
      </c>
      <c r="O6" s="23">
        <v>35</v>
      </c>
      <c r="P6" s="23">
        <v>20</v>
      </c>
      <c r="Q6" s="23">
        <v>9</v>
      </c>
      <c r="R6" s="23">
        <v>5</v>
      </c>
      <c r="T6" s="23">
        <f t="shared" ref="T6:W21" si="4">+SUMIF($G$3:$R$3,T$1,$G6:$R6)</f>
        <v>54</v>
      </c>
      <c r="U6" s="23">
        <f t="shared" si="4"/>
        <v>72</v>
      </c>
      <c r="V6" s="23">
        <f t="shared" si="4"/>
        <v>83</v>
      </c>
      <c r="W6" s="23">
        <f t="shared" si="4"/>
        <v>34</v>
      </c>
      <c r="Y6" s="23">
        <f t="shared" ref="Y6:Y13" si="5">+SUMIF($G$4:$R$4,"X",$G6:$R6)</f>
        <v>126</v>
      </c>
    </row>
    <row r="7" spans="1:25" hidden="1" outlineLevel="1">
      <c r="A7" s="14"/>
      <c r="D7" s="12" t="s">
        <v>16</v>
      </c>
      <c r="E7" s="23">
        <v>309</v>
      </c>
      <c r="F7" s="23">
        <f t="shared" si="3"/>
        <v>454</v>
      </c>
      <c r="G7" s="23">
        <v>13</v>
      </c>
      <c r="H7" s="23">
        <v>21</v>
      </c>
      <c r="I7" s="23">
        <v>37</v>
      </c>
      <c r="J7" s="23">
        <v>41</v>
      </c>
      <c r="K7" s="23">
        <f>58</f>
        <v>58</v>
      </c>
      <c r="L7" s="23">
        <v>32</v>
      </c>
      <c r="M7" s="23">
        <v>37</v>
      </c>
      <c r="N7" s="23">
        <v>39</v>
      </c>
      <c r="O7" s="23">
        <v>49</v>
      </c>
      <c r="P7" s="23">
        <v>45</v>
      </c>
      <c r="Q7" s="23">
        <v>55</v>
      </c>
      <c r="R7" s="23">
        <v>27</v>
      </c>
      <c r="T7" s="23">
        <f t="shared" si="4"/>
        <v>71</v>
      </c>
      <c r="U7" s="23">
        <f t="shared" si="4"/>
        <v>131</v>
      </c>
      <c r="V7" s="23">
        <f t="shared" si="4"/>
        <v>125</v>
      </c>
      <c r="W7" s="23">
        <f t="shared" si="4"/>
        <v>127</v>
      </c>
      <c r="Y7" s="23">
        <f t="shared" si="5"/>
        <v>202</v>
      </c>
    </row>
    <row r="8" spans="1:25" hidden="1" outlineLevel="1">
      <c r="A8" s="14"/>
      <c r="D8" s="12" t="s">
        <v>17</v>
      </c>
      <c r="E8" s="23">
        <v>0</v>
      </c>
      <c r="F8" s="23">
        <f t="shared" si="3"/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T8" s="23">
        <f t="shared" si="4"/>
        <v>0</v>
      </c>
      <c r="U8" s="23">
        <f t="shared" si="4"/>
        <v>0</v>
      </c>
      <c r="V8" s="23">
        <f t="shared" si="4"/>
        <v>0</v>
      </c>
      <c r="W8" s="23">
        <f t="shared" si="4"/>
        <v>0</v>
      </c>
      <c r="Y8" s="23">
        <f t="shared" si="5"/>
        <v>0</v>
      </c>
    </row>
    <row r="9" spans="1:25" hidden="1" outlineLevel="1">
      <c r="A9" s="14"/>
      <c r="D9" s="12" t="s">
        <v>18</v>
      </c>
      <c r="E9" s="23">
        <v>0</v>
      </c>
      <c r="F9" s="23">
        <f t="shared" si="3"/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T9" s="23">
        <f t="shared" si="4"/>
        <v>0</v>
      </c>
      <c r="U9" s="23">
        <f t="shared" si="4"/>
        <v>0</v>
      </c>
      <c r="V9" s="23">
        <f t="shared" si="4"/>
        <v>0</v>
      </c>
      <c r="W9" s="23">
        <f t="shared" si="4"/>
        <v>0</v>
      </c>
      <c r="Y9" s="23">
        <f t="shared" si="5"/>
        <v>0</v>
      </c>
    </row>
    <row r="10" spans="1:25" hidden="1" outlineLevel="1">
      <c r="A10" s="14"/>
      <c r="D10" s="12" t="s">
        <v>19</v>
      </c>
      <c r="E10" s="23">
        <v>65</v>
      </c>
      <c r="F10" s="23">
        <f t="shared" si="3"/>
        <v>98</v>
      </c>
      <c r="G10" s="23">
        <v>2</v>
      </c>
      <c r="H10" s="23">
        <v>13</v>
      </c>
      <c r="I10" s="23">
        <v>9</v>
      </c>
      <c r="J10" s="23">
        <v>3</v>
      </c>
      <c r="K10" s="23">
        <v>4</v>
      </c>
      <c r="L10" s="23">
        <v>9</v>
      </c>
      <c r="M10" s="23">
        <v>6</v>
      </c>
      <c r="N10" s="23">
        <v>14</v>
      </c>
      <c r="O10" s="23">
        <v>7</v>
      </c>
      <c r="P10" s="23">
        <v>11</v>
      </c>
      <c r="Q10" s="23">
        <v>15</v>
      </c>
      <c r="R10" s="23">
        <v>5</v>
      </c>
      <c r="T10" s="23">
        <f t="shared" si="4"/>
        <v>24</v>
      </c>
      <c r="U10" s="23">
        <f t="shared" si="4"/>
        <v>16</v>
      </c>
      <c r="V10" s="23">
        <f t="shared" si="4"/>
        <v>27</v>
      </c>
      <c r="W10" s="23">
        <f t="shared" si="4"/>
        <v>31</v>
      </c>
      <c r="Y10" s="23">
        <f t="shared" si="5"/>
        <v>40</v>
      </c>
    </row>
    <row r="11" spans="1:25" hidden="1" outlineLevel="1">
      <c r="A11" s="14"/>
      <c r="B11" t="s">
        <v>20</v>
      </c>
      <c r="D11" s="12" t="s">
        <v>21</v>
      </c>
      <c r="E11" s="23">
        <v>62961.120000000112</v>
      </c>
      <c r="F11" s="23">
        <f t="shared" si="3"/>
        <v>75892.679999999964</v>
      </c>
      <c r="G11" s="23">
        <v>898.55000000000291</v>
      </c>
      <c r="H11" s="23">
        <v>987.85000000000582</v>
      </c>
      <c r="I11" s="23">
        <v>6884.3699999999953</v>
      </c>
      <c r="J11" s="23">
        <v>10386.969999999972</v>
      </c>
      <c r="K11" s="23">
        <v>6141.9900000000198</v>
      </c>
      <c r="L11" s="23">
        <v>7884.9199999999801</v>
      </c>
      <c r="M11" s="23">
        <v>5617.1199999999899</v>
      </c>
      <c r="N11" s="23">
        <v>7992.19</v>
      </c>
      <c r="O11" s="23">
        <v>5452.6</v>
      </c>
      <c r="P11" s="23">
        <v>5310.6100000000097</v>
      </c>
      <c r="Q11" s="23">
        <v>7323.4299999999903</v>
      </c>
      <c r="R11" s="23">
        <v>11012.08</v>
      </c>
      <c r="T11" s="23">
        <f t="shared" si="4"/>
        <v>8770.7700000000041</v>
      </c>
      <c r="U11" s="23">
        <f t="shared" si="4"/>
        <v>24413.879999999972</v>
      </c>
      <c r="V11" s="23">
        <f t="shared" si="4"/>
        <v>19061.909999999989</v>
      </c>
      <c r="W11" s="23">
        <f t="shared" si="4"/>
        <v>23646.120000000003</v>
      </c>
      <c r="Y11" s="23">
        <f t="shared" si="5"/>
        <v>33184.64999999998</v>
      </c>
    </row>
    <row r="12" spans="1:25" hidden="1" outlineLevel="1">
      <c r="A12" s="14" t="s">
        <v>22</v>
      </c>
      <c r="B12" t="s">
        <v>23</v>
      </c>
      <c r="D12" s="12" t="s">
        <v>24</v>
      </c>
      <c r="E12" s="23">
        <v>11</v>
      </c>
      <c r="F12" s="23">
        <f t="shared" si="3"/>
        <v>21</v>
      </c>
      <c r="G12" s="23">
        <v>2</v>
      </c>
      <c r="H12" s="23">
        <v>3</v>
      </c>
      <c r="I12" s="23">
        <v>3</v>
      </c>
      <c r="J12" s="23">
        <v>5</v>
      </c>
      <c r="K12" s="23">
        <v>4</v>
      </c>
      <c r="L12" s="23">
        <v>1</v>
      </c>
      <c r="M12" s="23">
        <v>0</v>
      </c>
      <c r="N12" s="23">
        <v>1</v>
      </c>
      <c r="O12" s="23">
        <v>0</v>
      </c>
      <c r="P12" s="23">
        <v>0</v>
      </c>
      <c r="Q12" s="23">
        <v>1</v>
      </c>
      <c r="R12" s="23">
        <v>1</v>
      </c>
      <c r="T12" s="23">
        <f t="shared" si="4"/>
        <v>8</v>
      </c>
      <c r="U12" s="23">
        <f t="shared" si="4"/>
        <v>10</v>
      </c>
      <c r="V12" s="23">
        <f t="shared" si="4"/>
        <v>1</v>
      </c>
      <c r="W12" s="23">
        <f t="shared" si="4"/>
        <v>2</v>
      </c>
      <c r="Y12" s="23">
        <f t="shared" si="5"/>
        <v>18</v>
      </c>
    </row>
    <row r="13" spans="1:25" hidden="1" outlineLevel="1">
      <c r="A13" s="14"/>
      <c r="B13" s="15"/>
      <c r="D13" s="12" t="s">
        <v>25</v>
      </c>
      <c r="E13" s="23">
        <v>816</v>
      </c>
      <c r="F13" s="23">
        <f t="shared" si="3"/>
        <v>795</v>
      </c>
      <c r="G13" s="23">
        <f t="shared" ref="G13:R13" si="6">+G5</f>
        <v>22</v>
      </c>
      <c r="H13" s="23">
        <f t="shared" si="6"/>
        <v>49</v>
      </c>
      <c r="I13" s="23">
        <f t="shared" si="6"/>
        <v>78</v>
      </c>
      <c r="J13" s="23">
        <f t="shared" si="6"/>
        <v>68</v>
      </c>
      <c r="K13" s="23">
        <f>+K5</f>
        <v>87</v>
      </c>
      <c r="L13" s="23">
        <f t="shared" si="6"/>
        <v>64</v>
      </c>
      <c r="M13" s="23">
        <f t="shared" si="6"/>
        <v>67</v>
      </c>
      <c r="N13" s="23">
        <f t="shared" si="6"/>
        <v>77</v>
      </c>
      <c r="O13" s="23">
        <f t="shared" si="6"/>
        <v>91</v>
      </c>
      <c r="P13" s="23">
        <f t="shared" si="6"/>
        <v>76</v>
      </c>
      <c r="Q13" s="23">
        <f t="shared" si="6"/>
        <v>79</v>
      </c>
      <c r="R13" s="23">
        <f t="shared" si="6"/>
        <v>37</v>
      </c>
      <c r="T13" s="23">
        <f t="shared" si="4"/>
        <v>149</v>
      </c>
      <c r="U13" s="23">
        <f t="shared" si="4"/>
        <v>219</v>
      </c>
      <c r="V13" s="23">
        <f t="shared" si="4"/>
        <v>235</v>
      </c>
      <c r="W13" s="23">
        <f t="shared" si="4"/>
        <v>192</v>
      </c>
      <c r="Y13" s="23">
        <f t="shared" si="5"/>
        <v>368</v>
      </c>
    </row>
    <row r="14" spans="1:25" hidden="1" outlineLevel="1">
      <c r="A14" s="14" t="s">
        <v>26</v>
      </c>
      <c r="B14" s="12" t="s">
        <v>27</v>
      </c>
      <c r="D14" s="15"/>
      <c r="E14" s="23">
        <f>+SUM(E15:E19)</f>
        <v>380</v>
      </c>
      <c r="F14" s="24">
        <f>+SUM(G14:R14)</f>
        <v>412</v>
      </c>
      <c r="G14" s="23">
        <f t="shared" ref="G14:R14" si="7">+SUM(G15:G19)</f>
        <v>15</v>
      </c>
      <c r="H14" s="23">
        <f t="shared" si="7"/>
        <v>30</v>
      </c>
      <c r="I14" s="23">
        <f t="shared" si="7"/>
        <v>42</v>
      </c>
      <c r="J14" s="23">
        <f t="shared" si="7"/>
        <v>41</v>
      </c>
      <c r="K14" s="23">
        <f t="shared" si="7"/>
        <v>39</v>
      </c>
      <c r="L14" s="23">
        <f t="shared" si="7"/>
        <v>37</v>
      </c>
      <c r="M14" s="23">
        <f t="shared" si="7"/>
        <v>41</v>
      </c>
      <c r="N14" s="23">
        <f t="shared" si="7"/>
        <v>39</v>
      </c>
      <c r="O14" s="23">
        <f t="shared" si="7"/>
        <v>38</v>
      </c>
      <c r="P14" s="23">
        <f t="shared" si="7"/>
        <v>34</v>
      </c>
      <c r="Q14" s="23">
        <f t="shared" si="7"/>
        <v>36</v>
      </c>
      <c r="R14" s="23">
        <f t="shared" si="7"/>
        <v>20</v>
      </c>
      <c r="T14" s="24">
        <f>+SUM(T15:T19)</f>
        <v>87</v>
      </c>
      <c r="U14" s="24">
        <f>+SUM(U15:U19)</f>
        <v>117</v>
      </c>
      <c r="V14" s="24">
        <f>+SUM(V15:V19)</f>
        <v>118</v>
      </c>
      <c r="W14" s="24">
        <f>+SUM(W15:W19)</f>
        <v>90</v>
      </c>
      <c r="Y14" s="24">
        <f>+SUM(Y15:Y19)</f>
        <v>204</v>
      </c>
    </row>
    <row r="15" spans="1:25" hidden="1" outlineLevel="1">
      <c r="A15" s="14"/>
      <c r="B15" s="12" t="s">
        <v>28</v>
      </c>
      <c r="D15" s="12" t="s">
        <v>29</v>
      </c>
      <c r="E15" s="23">
        <v>168</v>
      </c>
      <c r="F15" s="23">
        <f t="shared" si="3"/>
        <v>400</v>
      </c>
      <c r="G15" s="23">
        <v>14</v>
      </c>
      <c r="H15" s="23">
        <v>30</v>
      </c>
      <c r="I15" s="23">
        <v>42</v>
      </c>
      <c r="J15" s="23">
        <v>39</v>
      </c>
      <c r="K15" s="23">
        <v>38</v>
      </c>
      <c r="L15" s="23">
        <v>36</v>
      </c>
      <c r="M15" s="23">
        <v>40</v>
      </c>
      <c r="N15" s="23">
        <v>39</v>
      </c>
      <c r="O15" s="23">
        <v>35</v>
      </c>
      <c r="P15" s="23">
        <v>33</v>
      </c>
      <c r="Q15" s="23">
        <v>35</v>
      </c>
      <c r="R15" s="23">
        <v>19</v>
      </c>
      <c r="T15" s="23">
        <f t="shared" ref="T15:T22" si="8">+SUMIF($G$3:$R$3,T$1,$G15:$R15)</f>
        <v>86</v>
      </c>
      <c r="U15" s="23">
        <f t="shared" si="4"/>
        <v>113</v>
      </c>
      <c r="V15" s="23">
        <f t="shared" si="4"/>
        <v>114</v>
      </c>
      <c r="W15" s="23">
        <f t="shared" si="4"/>
        <v>87</v>
      </c>
      <c r="Y15" s="23">
        <f t="shared" ref="Y15:Y22" si="9">+SUMIF($G$4:$R$4,"X",$G15:$R15)</f>
        <v>199</v>
      </c>
    </row>
    <row r="16" spans="1:25" hidden="1" outlineLevel="1">
      <c r="A16" s="14"/>
      <c r="B16" s="15"/>
      <c r="C16" s="12"/>
      <c r="D16" s="12" t="s">
        <v>30</v>
      </c>
      <c r="E16" s="23">
        <v>212</v>
      </c>
      <c r="F16" s="23">
        <f t="shared" si="3"/>
        <v>12</v>
      </c>
      <c r="G16" s="23">
        <v>1</v>
      </c>
      <c r="H16" s="23">
        <v>0</v>
      </c>
      <c r="I16" s="23">
        <v>0</v>
      </c>
      <c r="J16" s="23">
        <v>2</v>
      </c>
      <c r="K16" s="23">
        <v>1</v>
      </c>
      <c r="L16" s="23">
        <v>1</v>
      </c>
      <c r="M16" s="23">
        <v>1</v>
      </c>
      <c r="N16" s="23">
        <v>0</v>
      </c>
      <c r="O16" s="23">
        <v>3</v>
      </c>
      <c r="P16" s="23">
        <v>1</v>
      </c>
      <c r="Q16" s="23">
        <v>1</v>
      </c>
      <c r="R16" s="23">
        <v>1</v>
      </c>
      <c r="T16" s="23">
        <f t="shared" si="8"/>
        <v>1</v>
      </c>
      <c r="U16" s="23">
        <f t="shared" si="4"/>
        <v>4</v>
      </c>
      <c r="V16" s="23">
        <f t="shared" si="4"/>
        <v>4</v>
      </c>
      <c r="W16" s="23">
        <f t="shared" si="4"/>
        <v>3</v>
      </c>
      <c r="Y16" s="23">
        <f t="shared" si="9"/>
        <v>5</v>
      </c>
    </row>
    <row r="17" spans="1:25" hidden="1" outlineLevel="1">
      <c r="A17" s="14"/>
      <c r="B17" s="15"/>
      <c r="C17" s="12"/>
      <c r="D17" s="12" t="s">
        <v>31</v>
      </c>
      <c r="E17" s="23">
        <v>0</v>
      </c>
      <c r="F17" s="23">
        <f t="shared" si="3"/>
        <v>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T17" s="23">
        <f t="shared" si="8"/>
        <v>0</v>
      </c>
      <c r="U17" s="23">
        <f t="shared" si="4"/>
        <v>0</v>
      </c>
      <c r="V17" s="23">
        <f t="shared" si="4"/>
        <v>0</v>
      </c>
      <c r="W17" s="23">
        <f t="shared" si="4"/>
        <v>0</v>
      </c>
      <c r="Y17" s="23">
        <f t="shared" si="9"/>
        <v>0</v>
      </c>
    </row>
    <row r="18" spans="1:25" hidden="1" outlineLevel="1">
      <c r="A18" s="14"/>
      <c r="B18" s="15"/>
      <c r="C18" s="12"/>
      <c r="D18" s="12" t="s">
        <v>32</v>
      </c>
      <c r="E18" s="23">
        <v>0</v>
      </c>
      <c r="F18" s="23">
        <f t="shared" si="3"/>
        <v>0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T18" s="23">
        <f t="shared" si="8"/>
        <v>0</v>
      </c>
      <c r="U18" s="23">
        <f t="shared" si="4"/>
        <v>0</v>
      </c>
      <c r="V18" s="23">
        <f t="shared" si="4"/>
        <v>0</v>
      </c>
      <c r="W18" s="23">
        <f t="shared" si="4"/>
        <v>0</v>
      </c>
      <c r="Y18" s="23">
        <f t="shared" si="9"/>
        <v>0</v>
      </c>
    </row>
    <row r="19" spans="1:25" hidden="1" outlineLevel="1">
      <c r="A19" s="14"/>
      <c r="B19" s="15"/>
      <c r="C19" s="12"/>
      <c r="D19" s="12" t="s">
        <v>33</v>
      </c>
      <c r="E19" s="23">
        <v>0</v>
      </c>
      <c r="F19" s="23">
        <f t="shared" si="3"/>
        <v>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T19" s="23">
        <f t="shared" si="8"/>
        <v>0</v>
      </c>
      <c r="U19" s="23">
        <f t="shared" si="4"/>
        <v>0</v>
      </c>
      <c r="V19" s="23">
        <f t="shared" si="4"/>
        <v>0</v>
      </c>
      <c r="W19" s="23">
        <f t="shared" si="4"/>
        <v>0</v>
      </c>
      <c r="Y19" s="23">
        <f t="shared" si="9"/>
        <v>0</v>
      </c>
    </row>
    <row r="20" spans="1:25" hidden="1" outlineLevel="1">
      <c r="A20" s="14" t="s">
        <v>34</v>
      </c>
      <c r="B20" t="s">
        <v>35</v>
      </c>
      <c r="D20" s="12" t="s">
        <v>36</v>
      </c>
      <c r="E20" s="23">
        <v>0</v>
      </c>
      <c r="F20" s="23">
        <f t="shared" si="3"/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T20" s="23">
        <f t="shared" si="8"/>
        <v>0</v>
      </c>
      <c r="U20" s="23">
        <f t="shared" si="4"/>
        <v>0</v>
      </c>
      <c r="V20" s="23">
        <f t="shared" si="4"/>
        <v>0</v>
      </c>
      <c r="W20" s="23">
        <f t="shared" si="4"/>
        <v>0</v>
      </c>
      <c r="Y20" s="23">
        <f t="shared" si="9"/>
        <v>0</v>
      </c>
    </row>
    <row r="21" spans="1:25" hidden="1" outlineLevel="1">
      <c r="A21" s="14" t="s">
        <v>37</v>
      </c>
      <c r="B21" s="12" t="s">
        <v>38</v>
      </c>
      <c r="D21" s="12" t="s">
        <v>39</v>
      </c>
      <c r="E21" s="23">
        <v>322</v>
      </c>
      <c r="F21" s="23">
        <f t="shared" si="3"/>
        <v>470</v>
      </c>
      <c r="G21" s="23">
        <v>20</v>
      </c>
      <c r="H21" s="23">
        <v>23</v>
      </c>
      <c r="I21" s="23">
        <v>49</v>
      </c>
      <c r="J21" s="23">
        <v>25</v>
      </c>
      <c r="K21" s="23">
        <v>41</v>
      </c>
      <c r="L21" s="23">
        <v>47</v>
      </c>
      <c r="M21" s="23">
        <v>61</v>
      </c>
      <c r="N21" s="23">
        <v>35</v>
      </c>
      <c r="O21" s="23">
        <v>51</v>
      </c>
      <c r="P21" s="23">
        <v>33</v>
      </c>
      <c r="Q21" s="23">
        <v>66</v>
      </c>
      <c r="R21" s="23">
        <v>19</v>
      </c>
      <c r="T21" s="23">
        <f t="shared" si="8"/>
        <v>92</v>
      </c>
      <c r="U21" s="23">
        <f t="shared" si="4"/>
        <v>113</v>
      </c>
      <c r="V21" s="23">
        <f t="shared" si="4"/>
        <v>147</v>
      </c>
      <c r="W21" s="23">
        <f t="shared" si="4"/>
        <v>118</v>
      </c>
      <c r="Y21" s="23">
        <f t="shared" si="9"/>
        <v>205</v>
      </c>
    </row>
    <row r="22" spans="1:25" hidden="1" outlineLevel="1">
      <c r="A22" s="14"/>
      <c r="B22" s="15"/>
      <c r="C22" s="12"/>
      <c r="D22" s="12" t="s">
        <v>25</v>
      </c>
      <c r="E22" s="23">
        <v>380</v>
      </c>
      <c r="F22" s="23">
        <f t="shared" si="3"/>
        <v>412</v>
      </c>
      <c r="G22" s="23">
        <f t="shared" ref="G22:R22" si="10">+G14</f>
        <v>15</v>
      </c>
      <c r="H22" s="23">
        <f t="shared" si="10"/>
        <v>30</v>
      </c>
      <c r="I22" s="23">
        <f t="shared" si="10"/>
        <v>42</v>
      </c>
      <c r="J22" s="23">
        <f t="shared" si="10"/>
        <v>41</v>
      </c>
      <c r="K22" s="23">
        <f t="shared" si="10"/>
        <v>39</v>
      </c>
      <c r="L22" s="23">
        <f t="shared" si="10"/>
        <v>37</v>
      </c>
      <c r="M22" s="23">
        <f t="shared" si="10"/>
        <v>41</v>
      </c>
      <c r="N22" s="23">
        <f t="shared" si="10"/>
        <v>39</v>
      </c>
      <c r="O22" s="23">
        <f t="shared" si="10"/>
        <v>38</v>
      </c>
      <c r="P22" s="23">
        <f t="shared" si="10"/>
        <v>34</v>
      </c>
      <c r="Q22" s="23">
        <f t="shared" si="10"/>
        <v>36</v>
      </c>
      <c r="R22" s="23">
        <f t="shared" si="10"/>
        <v>20</v>
      </c>
      <c r="T22" s="23">
        <f t="shared" si="8"/>
        <v>87</v>
      </c>
      <c r="U22" s="23">
        <f>+SUMIF($G$3:$R$3,U$1,$G22:$R22)</f>
        <v>117</v>
      </c>
      <c r="V22" s="23">
        <f>+SUMIF($G$3:$R$3,V$1,$G22:$R22)</f>
        <v>118</v>
      </c>
      <c r="W22" s="23">
        <f>+SUMIF($G$3:$R$3,W$1,$G22:$R22)</f>
        <v>90</v>
      </c>
      <c r="Y22" s="23">
        <f t="shared" si="9"/>
        <v>204</v>
      </c>
    </row>
    <row r="23" spans="1:25" hidden="1" outlineLevel="1">
      <c r="A23" s="14"/>
      <c r="B23" s="15"/>
      <c r="C23" s="12"/>
      <c r="D23" s="12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T23" s="23"/>
      <c r="U23" s="23"/>
      <c r="V23" s="23"/>
      <c r="W23" s="23"/>
      <c r="Y23" s="23"/>
    </row>
    <row r="24" spans="1:25" hidden="1" outlineLevel="1">
      <c r="A24" s="14"/>
      <c r="B24" s="15" t="s">
        <v>40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T24" s="12"/>
      <c r="U24" s="12"/>
      <c r="V24" s="12"/>
      <c r="W24" s="12"/>
      <c r="Y24" s="12"/>
    </row>
    <row r="25" spans="1:25" hidden="1" outlineLevel="1">
      <c r="A25" s="14"/>
      <c r="B25" s="15"/>
      <c r="C25" s="12" t="s">
        <v>13</v>
      </c>
      <c r="D25" s="12"/>
      <c r="E25" s="25">
        <f>+SUMPRODUCT(E26:E30,E6:E10)/E5</f>
        <v>34267.134803921566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T25" s="23"/>
      <c r="U25" s="23"/>
      <c r="V25" s="23"/>
      <c r="W25" s="23"/>
      <c r="Y25" s="23"/>
    </row>
    <row r="26" spans="1:25" hidden="1" outlineLevel="1">
      <c r="A26" s="14"/>
      <c r="B26" s="15"/>
      <c r="C26" s="12"/>
      <c r="D26" s="12" t="s">
        <v>15</v>
      </c>
      <c r="E26" s="23">
        <v>30351</v>
      </c>
      <c r="F26" s="23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T26" s="23"/>
      <c r="U26" s="23"/>
      <c r="V26" s="23"/>
      <c r="W26" s="23"/>
      <c r="Y26" s="23"/>
    </row>
    <row r="27" spans="1:25" hidden="1" outlineLevel="1">
      <c r="A27" s="14"/>
      <c r="B27" s="15"/>
      <c r="C27" s="12"/>
      <c r="D27" s="12" t="s">
        <v>16</v>
      </c>
      <c r="E27" s="23">
        <v>40505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T27" s="23"/>
      <c r="U27" s="23"/>
      <c r="V27" s="23"/>
      <c r="W27" s="23"/>
      <c r="Y27" s="23"/>
    </row>
    <row r="28" spans="1:25" hidden="1" outlineLevel="1">
      <c r="A28" s="14"/>
      <c r="B28" s="15"/>
      <c r="C28" s="12"/>
      <c r="D28" s="12" t="s">
        <v>17</v>
      </c>
      <c r="E28" s="23">
        <v>0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T28" s="23"/>
      <c r="U28" s="23"/>
      <c r="V28" s="23"/>
      <c r="W28" s="23"/>
      <c r="Y28" s="23"/>
    </row>
    <row r="29" spans="1:25" hidden="1" outlineLevel="1">
      <c r="A29" s="14"/>
      <c r="B29" s="15"/>
      <c r="C29" s="12"/>
      <c r="D29" s="12" t="s">
        <v>18</v>
      </c>
      <c r="E29" s="23">
        <v>0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T29" s="23"/>
      <c r="U29" s="23"/>
      <c r="V29" s="23"/>
      <c r="W29" s="23"/>
      <c r="Y29" s="23"/>
    </row>
    <row r="30" spans="1:25" hidden="1" outlineLevel="1">
      <c r="A30" s="14"/>
      <c r="B30" s="15"/>
      <c r="C30" s="12"/>
      <c r="D30" s="12" t="s">
        <v>19</v>
      </c>
      <c r="E30" s="23">
        <v>31243.000000000004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T30" s="23"/>
      <c r="U30" s="23"/>
      <c r="V30" s="23"/>
      <c r="W30" s="23"/>
      <c r="Y30" s="23"/>
    </row>
    <row r="31" spans="1:25" hidden="1" outlineLevel="1">
      <c r="A31" s="14"/>
      <c r="B31" s="15"/>
      <c r="C31" s="12"/>
      <c r="D31" s="12" t="s">
        <v>21</v>
      </c>
      <c r="E31" s="23">
        <v>1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T31" s="23"/>
      <c r="U31" s="23"/>
      <c r="V31" s="23"/>
      <c r="W31" s="23"/>
      <c r="Y31" s="23"/>
    </row>
    <row r="32" spans="1:25" hidden="1" outlineLevel="1">
      <c r="A32" s="14"/>
      <c r="B32" s="15"/>
      <c r="C32" s="12"/>
      <c r="D32" s="12" t="s">
        <v>24</v>
      </c>
      <c r="E32" s="23">
        <v>41006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T32" s="23"/>
      <c r="U32" s="23"/>
      <c r="V32" s="23"/>
      <c r="W32" s="23"/>
      <c r="Y32" s="23"/>
    </row>
    <row r="33" spans="1:25" hidden="1" outlineLevel="1">
      <c r="A33" s="14"/>
      <c r="B33" s="15"/>
      <c r="C33" s="12"/>
      <c r="D33" s="12" t="s">
        <v>25</v>
      </c>
      <c r="E33" s="23">
        <v>690.89797794117658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T33" s="23"/>
      <c r="U33" s="23"/>
      <c r="V33" s="23"/>
      <c r="W33" s="23"/>
      <c r="Y33" s="23"/>
    </row>
    <row r="34" spans="1:25" hidden="1" outlineLevel="1">
      <c r="A34" s="14"/>
      <c r="B34" s="15"/>
      <c r="C34" s="12" t="s">
        <v>27</v>
      </c>
      <c r="D34" s="12"/>
      <c r="E34" s="25">
        <f>+SUMPRODUCT(E35:E39,E15:E19)/E14</f>
        <v>18108.905263157896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T34" s="23"/>
      <c r="U34" s="23"/>
      <c r="V34" s="23"/>
      <c r="W34" s="23"/>
      <c r="Y34" s="23"/>
    </row>
    <row r="35" spans="1:25" hidden="1" outlineLevel="1">
      <c r="A35" s="14"/>
      <c r="B35" s="15"/>
      <c r="C35" s="12"/>
      <c r="D35" s="12" t="s">
        <v>29</v>
      </c>
      <c r="E35" s="23">
        <v>17893</v>
      </c>
      <c r="F35" s="2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T35" s="23"/>
      <c r="U35" s="23"/>
      <c r="V35" s="23"/>
      <c r="W35" s="23"/>
      <c r="Y35" s="23"/>
    </row>
    <row r="36" spans="1:25" hidden="1" outlineLevel="1">
      <c r="A36" s="14"/>
      <c r="B36" s="15"/>
      <c r="C36" s="12"/>
      <c r="D36" s="12" t="s">
        <v>30</v>
      </c>
      <c r="E36" s="23">
        <v>18280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T36" s="23"/>
      <c r="U36" s="23"/>
      <c r="V36" s="23"/>
      <c r="W36" s="23"/>
      <c r="Y36" s="23"/>
    </row>
    <row r="37" spans="1:25" hidden="1" outlineLevel="1">
      <c r="A37" s="14"/>
      <c r="B37" s="15"/>
      <c r="C37" s="12"/>
      <c r="D37" s="12" t="s">
        <v>31</v>
      </c>
      <c r="E37" s="23">
        <v>0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T37" s="23"/>
      <c r="U37" s="23"/>
      <c r="V37" s="23"/>
      <c r="W37" s="23"/>
      <c r="Y37" s="23"/>
    </row>
    <row r="38" spans="1:25" hidden="1" outlineLevel="1">
      <c r="A38" s="14"/>
      <c r="B38" s="15"/>
      <c r="C38" s="12"/>
      <c r="D38" s="12" t="s">
        <v>32</v>
      </c>
      <c r="E38" s="23">
        <v>0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T38" s="23"/>
      <c r="U38" s="23"/>
      <c r="V38" s="23"/>
      <c r="W38" s="23"/>
      <c r="Y38" s="23"/>
    </row>
    <row r="39" spans="1:25" hidden="1" outlineLevel="1">
      <c r="A39" s="14"/>
      <c r="B39" s="15"/>
      <c r="C39" s="12"/>
      <c r="D39" s="12" t="s">
        <v>33</v>
      </c>
      <c r="E39" s="23">
        <v>0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T39" s="23"/>
      <c r="U39" s="23"/>
      <c r="V39" s="23"/>
      <c r="W39" s="23"/>
      <c r="Y39" s="23"/>
    </row>
    <row r="40" spans="1:25" hidden="1" outlineLevel="1">
      <c r="A40" s="14"/>
      <c r="B40" s="15"/>
      <c r="C40" s="12"/>
      <c r="D40" s="12" t="s">
        <v>36</v>
      </c>
      <c r="E40" s="23">
        <v>0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T40" s="23"/>
      <c r="U40" s="23"/>
      <c r="V40" s="23"/>
      <c r="W40" s="23"/>
      <c r="Y40" s="23"/>
    </row>
    <row r="41" spans="1:25" hidden="1" outlineLevel="1">
      <c r="A41" s="14"/>
      <c r="B41" s="15"/>
      <c r="C41" s="12"/>
      <c r="D41" s="12" t="s">
        <v>39</v>
      </c>
      <c r="E41" s="23">
        <v>7946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T41" s="23"/>
      <c r="U41" s="23"/>
      <c r="V41" s="23"/>
      <c r="W41" s="23"/>
      <c r="Y41" s="23"/>
    </row>
    <row r="42" spans="1:25" hidden="1" outlineLevel="1">
      <c r="A42" s="14"/>
      <c r="B42" s="15"/>
      <c r="C42" s="12"/>
      <c r="D42" s="12" t="s">
        <v>25</v>
      </c>
      <c r="E42" s="23">
        <v>1248.2379473684209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T42" s="23"/>
      <c r="U42" s="23"/>
      <c r="V42" s="23"/>
      <c r="W42" s="23"/>
      <c r="Y42" s="23"/>
    </row>
    <row r="43" spans="1:25" collapsed="1">
      <c r="A43" s="14"/>
      <c r="B43" s="15" t="s">
        <v>41</v>
      </c>
      <c r="C43" s="15"/>
      <c r="D43" s="15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T43" s="23"/>
      <c r="U43" s="23"/>
      <c r="V43" s="23"/>
      <c r="W43" s="23"/>
      <c r="Y43" s="23"/>
    </row>
    <row r="44" spans="1:25">
      <c r="A44" s="14"/>
      <c r="B44" s="15"/>
      <c r="C44" s="12" t="s">
        <v>13</v>
      </c>
      <c r="D44" s="12"/>
      <c r="E44" s="23">
        <f>+SUM(E45:E52)</f>
        <v>29039781.870000001</v>
      </c>
      <c r="F44" s="23">
        <f t="shared" ref="F44:F70" si="11">+SUM(G44:R44)</f>
        <v>34089024.48999998</v>
      </c>
      <c r="G44" s="23">
        <v>1000809.9600000001</v>
      </c>
      <c r="H44" s="23">
        <v>2019283.0600000003</v>
      </c>
      <c r="I44" s="23">
        <v>3240605.2</v>
      </c>
      <c r="J44" s="23">
        <f>3185397.83-102926.93</f>
        <v>3082470.9</v>
      </c>
      <c r="K44" s="23">
        <v>3760929.9899999998</v>
      </c>
      <c r="L44" s="23">
        <f>2741022.15+230371.01</f>
        <v>2971393.16</v>
      </c>
      <c r="M44" s="23">
        <v>2770249.67</v>
      </c>
      <c r="N44" s="23">
        <v>3249436.4</v>
      </c>
      <c r="O44" s="23">
        <v>3613426.5799999898</v>
      </c>
      <c r="P44" s="23">
        <v>2974831.87</v>
      </c>
      <c r="Q44" s="23">
        <v>3601325.0199999898</v>
      </c>
      <c r="R44" s="23">
        <v>1804262.68</v>
      </c>
      <c r="T44" s="23">
        <f>+SUMIF($G$3:$R$3,T$1,$G44:$R44)</f>
        <v>6260698.2200000007</v>
      </c>
      <c r="U44" s="23">
        <f>+SUMIF($G$3:$R$3,U$1,$G44:$R44)</f>
        <v>9814794.0500000007</v>
      </c>
      <c r="V44" s="23">
        <f>+SUMIF($G$3:$R$3,V$1,$G44:$R44)</f>
        <v>9633112.6499999911</v>
      </c>
      <c r="W44" s="23">
        <f>+SUMIF($G$3:$R$3,W$1,$G44:$R44)</f>
        <v>8380419.5699999891</v>
      </c>
      <c r="Y44" s="23">
        <f>+SUMIF($G$4:$R$4,"X",$G44:$R44)</f>
        <v>16075492.270000001</v>
      </c>
    </row>
    <row r="45" spans="1:25" hidden="1" outlineLevel="1">
      <c r="A45" s="14"/>
      <c r="B45" s="15"/>
      <c r="C45" s="12"/>
      <c r="D45" s="12" t="s">
        <v>15</v>
      </c>
      <c r="E45" s="23">
        <f t="shared" ref="E45:E52" si="12">+E6*E26</f>
        <v>13415142</v>
      </c>
      <c r="F45" s="23">
        <f t="shared" si="11"/>
        <v>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T45" s="23"/>
      <c r="U45" s="23"/>
      <c r="V45" s="23"/>
      <c r="W45" s="23"/>
      <c r="Y45" s="23">
        <f t="shared" ref="Y45:Y61" si="13">+SUMIF($G$4:$R$4,"X",$G45:$R45)</f>
        <v>0</v>
      </c>
    </row>
    <row r="46" spans="1:25" hidden="1" outlineLevel="1">
      <c r="A46" s="14"/>
      <c r="B46" s="15"/>
      <c r="C46" s="12"/>
      <c r="D46" s="12" t="s">
        <v>16</v>
      </c>
      <c r="E46" s="23">
        <f t="shared" si="12"/>
        <v>12516045</v>
      </c>
      <c r="F46" s="23">
        <f t="shared" si="11"/>
        <v>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T46" s="23"/>
      <c r="U46" s="23"/>
      <c r="V46" s="23"/>
      <c r="W46" s="23"/>
      <c r="Y46" s="23">
        <f t="shared" si="13"/>
        <v>0</v>
      </c>
    </row>
    <row r="47" spans="1:25" hidden="1" outlineLevel="1">
      <c r="A47" s="14"/>
      <c r="B47" s="15"/>
      <c r="C47" s="12"/>
      <c r="D47" s="12" t="s">
        <v>17</v>
      </c>
      <c r="E47" s="23">
        <f t="shared" si="12"/>
        <v>0</v>
      </c>
      <c r="F47" s="23">
        <f t="shared" si="11"/>
        <v>0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T47" s="23"/>
      <c r="U47" s="23"/>
      <c r="V47" s="23"/>
      <c r="W47" s="23"/>
      <c r="Y47" s="23">
        <f t="shared" si="13"/>
        <v>0</v>
      </c>
    </row>
    <row r="48" spans="1:25" hidden="1" outlineLevel="1">
      <c r="A48" s="14"/>
      <c r="B48" s="15"/>
      <c r="C48" s="12"/>
      <c r="D48" s="12" t="s">
        <v>18</v>
      </c>
      <c r="E48" s="23">
        <f t="shared" si="12"/>
        <v>0</v>
      </c>
      <c r="F48" s="23">
        <f t="shared" si="11"/>
        <v>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T48" s="23"/>
      <c r="U48" s="23"/>
      <c r="V48" s="23"/>
      <c r="W48" s="23"/>
      <c r="Y48" s="23">
        <f t="shared" si="13"/>
        <v>0</v>
      </c>
    </row>
    <row r="49" spans="1:25" hidden="1" outlineLevel="1">
      <c r="A49" s="14"/>
      <c r="B49" s="15"/>
      <c r="C49" s="12"/>
      <c r="D49" s="12" t="s">
        <v>19</v>
      </c>
      <c r="E49" s="23">
        <f t="shared" si="12"/>
        <v>2030795.0000000002</v>
      </c>
      <c r="F49" s="23">
        <f t="shared" si="11"/>
        <v>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T49" s="23"/>
      <c r="U49" s="23"/>
      <c r="V49" s="23"/>
      <c r="W49" s="23"/>
      <c r="Y49" s="23">
        <f t="shared" si="13"/>
        <v>0</v>
      </c>
    </row>
    <row r="50" spans="1:25" hidden="1" outlineLevel="1">
      <c r="A50" s="14"/>
      <c r="B50" s="15"/>
      <c r="C50" s="12"/>
      <c r="D50" s="12" t="s">
        <v>21</v>
      </c>
      <c r="E50" s="23">
        <f t="shared" si="12"/>
        <v>62961.120000000112</v>
      </c>
      <c r="F50" s="23">
        <f t="shared" si="11"/>
        <v>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T50" s="23"/>
      <c r="U50" s="23"/>
      <c r="V50" s="23"/>
      <c r="W50" s="23"/>
      <c r="Y50" s="23">
        <f t="shared" si="13"/>
        <v>0</v>
      </c>
    </row>
    <row r="51" spans="1:25" hidden="1" outlineLevel="1">
      <c r="A51" s="14"/>
      <c r="B51" s="15"/>
      <c r="C51" s="12"/>
      <c r="D51" s="12" t="s">
        <v>24</v>
      </c>
      <c r="E51" s="23">
        <f t="shared" si="12"/>
        <v>451066</v>
      </c>
      <c r="F51" s="23">
        <f t="shared" si="11"/>
        <v>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T51" s="23"/>
      <c r="U51" s="23"/>
      <c r="V51" s="23"/>
      <c r="W51" s="23"/>
      <c r="Y51" s="23">
        <f t="shared" si="13"/>
        <v>0</v>
      </c>
    </row>
    <row r="52" spans="1:25" hidden="1" outlineLevel="1">
      <c r="A52" s="14"/>
      <c r="C52" s="12"/>
      <c r="D52" s="12" t="s">
        <v>25</v>
      </c>
      <c r="E52" s="23">
        <f t="shared" si="12"/>
        <v>563772.75000000012</v>
      </c>
      <c r="F52" s="23">
        <f t="shared" si="11"/>
        <v>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T52" s="23"/>
      <c r="U52" s="23"/>
      <c r="V52" s="23"/>
      <c r="W52" s="23"/>
      <c r="Y52" s="23">
        <f t="shared" si="13"/>
        <v>0</v>
      </c>
    </row>
    <row r="53" spans="1:25" collapsed="1">
      <c r="A53" s="14"/>
      <c r="B53" s="15"/>
      <c r="C53" s="12" t="s">
        <v>27</v>
      </c>
      <c r="D53" s="12"/>
      <c r="E53" s="23">
        <f>+SUM(E54:E61)</f>
        <v>9914326.4199999999</v>
      </c>
      <c r="F53" s="23">
        <f t="shared" si="11"/>
        <v>16287093.40999998</v>
      </c>
      <c r="G53" s="23">
        <v>495435.11</v>
      </c>
      <c r="H53" s="23">
        <v>954945.51</v>
      </c>
      <c r="I53" s="23">
        <v>1538216.86</v>
      </c>
      <c r="J53" s="23">
        <f>1146628.66-44130.95</f>
        <v>1102497.71</v>
      </c>
      <c r="K53" s="23">
        <v>1342441.4</v>
      </c>
      <c r="L53" s="23">
        <f>1661612.02+289100.84</f>
        <v>1950712.86</v>
      </c>
      <c r="M53" s="23">
        <v>1788729.64</v>
      </c>
      <c r="N53" s="23">
        <v>1396259.35</v>
      </c>
      <c r="O53" s="23">
        <v>1490681.8699999901</v>
      </c>
      <c r="P53" s="23">
        <v>1348680.6199999901</v>
      </c>
      <c r="Q53" s="23">
        <v>2077356.92</v>
      </c>
      <c r="R53" s="23">
        <v>801135.56</v>
      </c>
      <c r="T53" s="23">
        <f>+SUMIF($G$3:$R$3,T$1,$G53:$R53)</f>
        <v>2988597.4800000004</v>
      </c>
      <c r="U53" s="23">
        <f>+SUMIF($G$3:$R$3,U$1,$G53:$R53)</f>
        <v>4395651.97</v>
      </c>
      <c r="V53" s="23">
        <f>+SUMIF($G$3:$R$3,V$1,$G53:$R53)</f>
        <v>4675670.8599999901</v>
      </c>
      <c r="W53" s="23">
        <f>+SUMIF($G$3:$R$3,W$1,$G53:$R53)</f>
        <v>4227173.0999999903</v>
      </c>
      <c r="Y53" s="24">
        <f t="shared" si="13"/>
        <v>7384249.4500000002</v>
      </c>
    </row>
    <row r="54" spans="1:25" hidden="1" outlineLevel="1">
      <c r="A54" s="14"/>
      <c r="C54" s="12"/>
      <c r="D54" s="12" t="s">
        <v>29</v>
      </c>
      <c r="E54" s="23">
        <f t="shared" ref="E54:E61" si="14">+E15*E35</f>
        <v>3006024</v>
      </c>
      <c r="F54" s="23">
        <f t="shared" si="11"/>
        <v>0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T54" s="23"/>
      <c r="U54" s="23"/>
      <c r="V54" s="23"/>
      <c r="W54" s="23"/>
      <c r="Y54" s="23">
        <f t="shared" si="13"/>
        <v>0</v>
      </c>
    </row>
    <row r="55" spans="1:25" hidden="1" outlineLevel="1">
      <c r="A55" s="14"/>
      <c r="B55" s="15"/>
      <c r="C55" s="12"/>
      <c r="D55" s="12" t="s">
        <v>30</v>
      </c>
      <c r="E55" s="23">
        <f t="shared" si="14"/>
        <v>3875360</v>
      </c>
      <c r="F55" s="23">
        <f t="shared" si="11"/>
        <v>0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T55" s="23"/>
      <c r="U55" s="23"/>
      <c r="V55" s="23"/>
      <c r="W55" s="23"/>
      <c r="Y55" s="23">
        <f t="shared" si="13"/>
        <v>0</v>
      </c>
    </row>
    <row r="56" spans="1:25" hidden="1" outlineLevel="1">
      <c r="A56" s="14"/>
      <c r="B56" s="15"/>
      <c r="C56" s="12"/>
      <c r="D56" s="12" t="s">
        <v>31</v>
      </c>
      <c r="E56" s="23">
        <f t="shared" si="14"/>
        <v>0</v>
      </c>
      <c r="F56" s="23">
        <f t="shared" si="11"/>
        <v>0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T56" s="23"/>
      <c r="U56" s="23"/>
      <c r="V56" s="23"/>
      <c r="W56" s="23"/>
      <c r="Y56" s="23">
        <f t="shared" si="13"/>
        <v>0</v>
      </c>
    </row>
    <row r="57" spans="1:25" hidden="1" outlineLevel="1">
      <c r="A57" s="14"/>
      <c r="B57" s="15"/>
      <c r="C57" s="12"/>
      <c r="D57" s="12" t="s">
        <v>32</v>
      </c>
      <c r="E57" s="23">
        <f t="shared" si="14"/>
        <v>0</v>
      </c>
      <c r="F57" s="23">
        <f t="shared" si="11"/>
        <v>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T57" s="23"/>
      <c r="U57" s="23"/>
      <c r="V57" s="23"/>
      <c r="W57" s="23"/>
      <c r="Y57" s="23">
        <f t="shared" si="13"/>
        <v>0</v>
      </c>
    </row>
    <row r="58" spans="1:25" hidden="1" outlineLevel="1">
      <c r="A58" s="14"/>
      <c r="B58" s="15"/>
      <c r="C58" s="12"/>
      <c r="D58" s="12" t="s">
        <v>33</v>
      </c>
      <c r="E58" s="23">
        <f t="shared" si="14"/>
        <v>0</v>
      </c>
      <c r="F58" s="23">
        <f t="shared" si="11"/>
        <v>0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T58" s="23"/>
      <c r="U58" s="23"/>
      <c r="V58" s="23"/>
      <c r="W58" s="23"/>
      <c r="Y58" s="23">
        <f t="shared" si="13"/>
        <v>0</v>
      </c>
    </row>
    <row r="59" spans="1:25" hidden="1" outlineLevel="1">
      <c r="A59" s="14"/>
      <c r="B59" s="15"/>
      <c r="C59" s="12"/>
      <c r="D59" s="12" t="s">
        <v>36</v>
      </c>
      <c r="E59" s="23">
        <f t="shared" si="14"/>
        <v>0</v>
      </c>
      <c r="F59" s="23">
        <f t="shared" si="11"/>
        <v>0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T59" s="23"/>
      <c r="U59" s="23"/>
      <c r="V59" s="23"/>
      <c r="W59" s="23"/>
      <c r="Y59" s="23">
        <f t="shared" si="13"/>
        <v>0</v>
      </c>
    </row>
    <row r="60" spans="1:25" hidden="1" outlineLevel="1">
      <c r="A60" s="14"/>
      <c r="C60" s="12"/>
      <c r="D60" s="12" t="s">
        <v>39</v>
      </c>
      <c r="E60" s="23">
        <f t="shared" si="14"/>
        <v>2558612</v>
      </c>
      <c r="F60" s="23">
        <f t="shared" si="11"/>
        <v>0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T60" s="23"/>
      <c r="U60" s="23"/>
      <c r="V60" s="23"/>
      <c r="W60" s="23"/>
      <c r="Y60" s="23">
        <f t="shared" si="13"/>
        <v>0</v>
      </c>
    </row>
    <row r="61" spans="1:25" hidden="1" outlineLevel="1">
      <c r="A61" s="14"/>
      <c r="C61" s="12"/>
      <c r="D61" s="12" t="s">
        <v>25</v>
      </c>
      <c r="E61" s="23">
        <f t="shared" si="14"/>
        <v>474330.41999999993</v>
      </c>
      <c r="F61" s="23">
        <f t="shared" si="11"/>
        <v>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T61" s="23"/>
      <c r="U61" s="23"/>
      <c r="V61" s="23"/>
      <c r="W61" s="23"/>
      <c r="Y61" s="23">
        <f t="shared" si="13"/>
        <v>0</v>
      </c>
    </row>
    <row r="62" spans="1:25" collapsed="1">
      <c r="A62" s="14"/>
      <c r="B62" s="15"/>
      <c r="C62" s="12" t="s">
        <v>42</v>
      </c>
      <c r="D62" s="15"/>
      <c r="E62" s="23">
        <f>+E63+E64</f>
        <v>4312876.51</v>
      </c>
      <c r="F62" s="23">
        <f t="shared" si="11"/>
        <v>3884315.509999997</v>
      </c>
      <c r="G62" s="23">
        <f t="shared" ref="G62:R62" si="15">+G63+G64</f>
        <v>262618.27</v>
      </c>
      <c r="H62" s="23">
        <f t="shared" si="15"/>
        <v>242357.56</v>
      </c>
      <c r="I62" s="23">
        <f t="shared" si="15"/>
        <v>332034.02</v>
      </c>
      <c r="J62" s="23">
        <f t="shared" si="15"/>
        <v>422898.3</v>
      </c>
      <c r="K62" s="23">
        <f t="shared" si="15"/>
        <v>311680.17</v>
      </c>
      <c r="L62" s="23">
        <f t="shared" si="15"/>
        <v>349831.59999999899</v>
      </c>
      <c r="M62" s="23">
        <f t="shared" si="15"/>
        <v>250998.57</v>
      </c>
      <c r="N62" s="23">
        <f t="shared" si="15"/>
        <v>285438.53999999899</v>
      </c>
      <c r="O62" s="23">
        <f t="shared" si="15"/>
        <v>310034.51999999897</v>
      </c>
      <c r="P62" s="23">
        <f t="shared" si="15"/>
        <v>377699.58</v>
      </c>
      <c r="Q62" s="23">
        <f t="shared" si="15"/>
        <v>454335.33999999985</v>
      </c>
      <c r="R62" s="23">
        <f t="shared" si="15"/>
        <v>284389.03999999992</v>
      </c>
      <c r="T62" s="23">
        <f>+T63+T64</f>
        <v>837009.85000000009</v>
      </c>
      <c r="U62" s="23">
        <f>+U63+U64</f>
        <v>1084410.0699999989</v>
      </c>
      <c r="V62" s="23">
        <f>+V63+V64</f>
        <v>846471.62999999803</v>
      </c>
      <c r="W62" s="23">
        <f>+W63+W64</f>
        <v>1116423.9599999997</v>
      </c>
      <c r="Y62" s="23">
        <f>+Y63+Y64</f>
        <v>1921419.919999999</v>
      </c>
    </row>
    <row r="63" spans="1:25" hidden="1" outlineLevel="1">
      <c r="A63" s="14"/>
      <c r="B63" s="12" t="s">
        <v>43</v>
      </c>
      <c r="C63" s="12"/>
      <c r="D63" s="12" t="s">
        <v>44</v>
      </c>
      <c r="E63" s="23">
        <v>3095059.96</v>
      </c>
      <c r="F63" s="23">
        <f t="shared" si="11"/>
        <v>2887241.9499999969</v>
      </c>
      <c r="G63" s="23">
        <v>158971.35</v>
      </c>
      <c r="H63" s="23">
        <v>168732.88999999998</v>
      </c>
      <c r="I63" s="23">
        <v>230012.55</v>
      </c>
      <c r="J63" s="23">
        <v>325629.8</v>
      </c>
      <c r="K63" s="23">
        <v>262627.93</v>
      </c>
      <c r="L63" s="23">
        <v>261121.639999999</v>
      </c>
      <c r="M63" s="23">
        <v>196189.13</v>
      </c>
      <c r="N63" s="23">
        <v>198176.66999999899</v>
      </c>
      <c r="O63" s="23">
        <v>238817.049999999</v>
      </c>
      <c r="P63" s="23">
        <v>277498.26</v>
      </c>
      <c r="Q63" s="23">
        <v>356108.85</v>
      </c>
      <c r="R63" s="23">
        <v>213355.83</v>
      </c>
      <c r="T63" s="23">
        <f t="shared" ref="T63:W68" si="16">+SUMIF($G$3:$R$3,T$1,$G63:$R63)</f>
        <v>557716.79</v>
      </c>
      <c r="U63" s="23">
        <f t="shared" si="16"/>
        <v>849379.36999999895</v>
      </c>
      <c r="V63" s="23">
        <f t="shared" si="16"/>
        <v>633182.849999998</v>
      </c>
      <c r="W63" s="23">
        <f t="shared" si="16"/>
        <v>846962.94</v>
      </c>
      <c r="Y63" s="23">
        <f t="shared" ref="Y63:Y68" si="17">+SUMIF($G$4:$R$4,"X",$G63:$R63)</f>
        <v>1407096.159999999</v>
      </c>
    </row>
    <row r="64" spans="1:25" hidden="1" outlineLevel="1">
      <c r="A64" s="14"/>
      <c r="B64" s="12" t="s">
        <v>45</v>
      </c>
      <c r="C64" s="12"/>
      <c r="D64" s="12" t="s">
        <v>46</v>
      </c>
      <c r="E64" s="23">
        <v>1217816.5499999998</v>
      </c>
      <c r="F64" s="23">
        <f t="shared" si="11"/>
        <v>997073.55999999959</v>
      </c>
      <c r="G64" s="23">
        <v>103646.92</v>
      </c>
      <c r="H64" s="23">
        <v>73624.67</v>
      </c>
      <c r="I64" s="23">
        <v>102021.47</v>
      </c>
      <c r="J64" s="23">
        <v>97268.499999999985</v>
      </c>
      <c r="K64" s="23">
        <v>49052.24</v>
      </c>
      <c r="L64" s="23">
        <v>88709.96</v>
      </c>
      <c r="M64" s="23">
        <v>54809.440000000002</v>
      </c>
      <c r="N64" s="23">
        <v>87261.87</v>
      </c>
      <c r="O64" s="23">
        <v>71217.47</v>
      </c>
      <c r="P64" s="23">
        <v>100201.32</v>
      </c>
      <c r="Q64" s="23">
        <v>98226.489999999903</v>
      </c>
      <c r="R64" s="23">
        <v>71033.209999999905</v>
      </c>
      <c r="T64" s="23">
        <f t="shared" si="16"/>
        <v>279293.06</v>
      </c>
      <c r="U64" s="23">
        <f t="shared" si="16"/>
        <v>235030.7</v>
      </c>
      <c r="V64" s="23">
        <f t="shared" si="16"/>
        <v>213288.78</v>
      </c>
      <c r="W64" s="23">
        <f t="shared" si="16"/>
        <v>269461.01999999979</v>
      </c>
      <c r="Y64" s="23">
        <f t="shared" si="17"/>
        <v>514323.76</v>
      </c>
    </row>
    <row r="65" spans="1:25" collapsed="1">
      <c r="A65" s="14"/>
      <c r="B65" s="12" t="s">
        <v>47</v>
      </c>
      <c r="C65" s="12" t="s">
        <v>48</v>
      </c>
      <c r="D65" s="15"/>
      <c r="E65" s="23">
        <v>4695433.7600000007</v>
      </c>
      <c r="F65" s="23">
        <f t="shared" si="11"/>
        <v>4362513.01</v>
      </c>
      <c r="G65" s="23">
        <v>316284.04999999993</v>
      </c>
      <c r="H65" s="23">
        <v>266002.44</v>
      </c>
      <c r="I65" s="23">
        <v>298360.31999999995</v>
      </c>
      <c r="J65" s="23">
        <v>366210.67</v>
      </c>
      <c r="K65" s="23">
        <v>334619.39</v>
      </c>
      <c r="L65" s="23">
        <v>425669.04</v>
      </c>
      <c r="M65" s="23">
        <v>324587.19999999902</v>
      </c>
      <c r="N65" s="23">
        <v>320812.25</v>
      </c>
      <c r="O65" s="23">
        <v>416402.4</v>
      </c>
      <c r="P65" s="23">
        <v>420014.42</v>
      </c>
      <c r="Q65" s="23">
        <v>499494.6</v>
      </c>
      <c r="R65" s="23">
        <v>374056.23</v>
      </c>
      <c r="T65" s="23">
        <f t="shared" si="16"/>
        <v>880646.80999999994</v>
      </c>
      <c r="U65" s="23">
        <f t="shared" si="16"/>
        <v>1126499.1000000001</v>
      </c>
      <c r="V65" s="23">
        <f t="shared" si="16"/>
        <v>1061801.8499999992</v>
      </c>
      <c r="W65" s="23">
        <f t="shared" si="16"/>
        <v>1293565.25</v>
      </c>
      <c r="Y65" s="23">
        <f t="shared" si="17"/>
        <v>2007145.9100000001</v>
      </c>
    </row>
    <row r="66" spans="1:25">
      <c r="A66" s="14"/>
      <c r="B66" s="15"/>
      <c r="C66" s="12" t="s">
        <v>49</v>
      </c>
      <c r="D66" s="15"/>
      <c r="E66" s="23"/>
      <c r="F66" s="23">
        <f t="shared" si="11"/>
        <v>0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T66" s="23">
        <f t="shared" si="16"/>
        <v>0</v>
      </c>
      <c r="U66" s="23">
        <f t="shared" si="16"/>
        <v>0</v>
      </c>
      <c r="V66" s="23">
        <f t="shared" si="16"/>
        <v>0</v>
      </c>
      <c r="W66" s="23">
        <f t="shared" si="16"/>
        <v>0</v>
      </c>
      <c r="Y66" s="23">
        <f t="shared" si="17"/>
        <v>0</v>
      </c>
    </row>
    <row r="67" spans="1:25">
      <c r="A67" s="14"/>
      <c r="B67" s="15"/>
      <c r="C67" s="12" t="s">
        <v>50</v>
      </c>
      <c r="D67" s="15"/>
      <c r="E67" s="23"/>
      <c r="F67" s="23">
        <f t="shared" si="11"/>
        <v>0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T67" s="23">
        <f t="shared" si="16"/>
        <v>0</v>
      </c>
      <c r="U67" s="23">
        <f t="shared" si="16"/>
        <v>0</v>
      </c>
      <c r="V67" s="23">
        <f t="shared" si="16"/>
        <v>0</v>
      </c>
      <c r="W67" s="23">
        <f t="shared" si="16"/>
        <v>0</v>
      </c>
      <c r="Y67" s="23">
        <f t="shared" si="17"/>
        <v>0</v>
      </c>
    </row>
    <row r="68" spans="1:25">
      <c r="A68" s="14"/>
      <c r="B68" s="15"/>
      <c r="C68" s="12" t="s">
        <v>51</v>
      </c>
      <c r="D68" s="15"/>
      <c r="E68" s="23"/>
      <c r="F68" s="23">
        <f t="shared" si="11"/>
        <v>0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T68" s="23">
        <f t="shared" si="16"/>
        <v>0</v>
      </c>
      <c r="U68" s="23">
        <f t="shared" si="16"/>
        <v>0</v>
      </c>
      <c r="V68" s="23">
        <f t="shared" si="16"/>
        <v>0</v>
      </c>
      <c r="W68" s="23">
        <f t="shared" si="16"/>
        <v>0</v>
      </c>
      <c r="Y68" s="23">
        <f t="shared" si="17"/>
        <v>0</v>
      </c>
    </row>
    <row r="69" spans="1:25">
      <c r="A69" s="14"/>
      <c r="B69" s="15"/>
      <c r="C69" s="12" t="s">
        <v>52</v>
      </c>
      <c r="D69" s="15"/>
      <c r="E69" s="23"/>
      <c r="F69" s="23">
        <f t="shared" si="11"/>
        <v>0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T69" s="23"/>
      <c r="U69" s="23"/>
      <c r="V69" s="23"/>
      <c r="W69" s="23"/>
      <c r="Y69" s="23"/>
    </row>
    <row r="70" spans="1:25">
      <c r="A70" s="14" t="s">
        <v>53</v>
      </c>
      <c r="B70" s="15" t="s">
        <v>54</v>
      </c>
      <c r="C70" s="15"/>
      <c r="D70" s="15"/>
      <c r="E70" s="24">
        <f>+E69+E68+E67+E66+E65+E62+E53+E44</f>
        <v>47962418.560000002</v>
      </c>
      <c r="F70" s="24">
        <f t="shared" si="11"/>
        <v>58622946.41999995</v>
      </c>
      <c r="G70" s="24">
        <f t="shared" ref="G70:R70" si="18">+G69+G68+G67+G66+G65+G62+G53+G44</f>
        <v>2075147.3900000001</v>
      </c>
      <c r="H70" s="24">
        <f t="shared" si="18"/>
        <v>3482588.5700000003</v>
      </c>
      <c r="I70" s="24">
        <f t="shared" si="18"/>
        <v>5409216.4000000004</v>
      </c>
      <c r="J70" s="24">
        <f t="shared" si="18"/>
        <v>4974077.58</v>
      </c>
      <c r="K70" s="24">
        <f t="shared" si="18"/>
        <v>5749670.9499999993</v>
      </c>
      <c r="L70" s="24">
        <f t="shared" si="18"/>
        <v>5697606.6599999992</v>
      </c>
      <c r="M70" s="24">
        <f t="shared" si="18"/>
        <v>5134565.0799999991</v>
      </c>
      <c r="N70" s="24">
        <f t="shared" si="18"/>
        <v>5251946.5399999991</v>
      </c>
      <c r="O70" s="24">
        <f t="shared" si="18"/>
        <v>5830545.3699999787</v>
      </c>
      <c r="P70" s="24">
        <f t="shared" si="18"/>
        <v>5121226.48999999</v>
      </c>
      <c r="Q70" s="24">
        <f t="shared" si="18"/>
        <v>6632511.8799999896</v>
      </c>
      <c r="R70" s="24">
        <f t="shared" si="18"/>
        <v>3263843.51</v>
      </c>
      <c r="T70" s="24">
        <f>+T69+T68+T67+T66+T65+T62+T53+T44</f>
        <v>10966952.360000001</v>
      </c>
      <c r="U70" s="24">
        <f>+U69+U68+U67+U66+U65+U62+U53+U44</f>
        <v>16421355.189999999</v>
      </c>
      <c r="V70" s="24">
        <f>+V69+V68+V67+V66+V65+V62+V53+V44</f>
        <v>16217056.989999978</v>
      </c>
      <c r="W70" s="24">
        <f>+W69+W68+W67+W66+W65+W62+W53+W44</f>
        <v>15017581.87999998</v>
      </c>
      <c r="Y70" s="24">
        <f>+Y69+Y68+Y67+Y66+Y65+Y62+Y53+Y44</f>
        <v>27388307.550000001</v>
      </c>
    </row>
    <row r="71" spans="1:25">
      <c r="A71" s="14"/>
      <c r="B71" s="15"/>
      <c r="C71" s="15"/>
      <c r="D71" s="15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T71" s="23"/>
      <c r="U71" s="23"/>
      <c r="V71" s="23"/>
      <c r="W71" s="23"/>
      <c r="Y71" s="23"/>
    </row>
    <row r="72" spans="1:25">
      <c r="A72" s="14"/>
      <c r="B72" s="15" t="s">
        <v>55</v>
      </c>
      <c r="C72" s="12"/>
      <c r="D72" s="15"/>
      <c r="E72" s="24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T72" s="24"/>
      <c r="U72" s="24"/>
      <c r="V72" s="24"/>
      <c r="W72" s="24"/>
      <c r="Y72" s="24"/>
    </row>
    <row r="73" spans="1:25" hidden="1" outlineLevel="1">
      <c r="A73" s="14"/>
      <c r="B73" s="15"/>
      <c r="C73" s="12" t="s">
        <v>13</v>
      </c>
      <c r="D73" s="15"/>
      <c r="E73" s="24">
        <f>+SUM(E74:E81)</f>
        <v>27883839.590000004</v>
      </c>
      <c r="F73" s="24">
        <f t="shared" ref="F73:F81" si="19">+SUM(G73:R73)</f>
        <v>31852826.029999983</v>
      </c>
      <c r="G73" s="24">
        <f>+G44-G118</f>
        <v>954024.64</v>
      </c>
      <c r="H73" s="24">
        <f t="shared" ref="H73:I73" si="20">+H44-H118</f>
        <v>1908784.4200000002</v>
      </c>
      <c r="I73" s="24">
        <f t="shared" si="20"/>
        <v>3054835.6500000004</v>
      </c>
      <c r="J73" s="24">
        <f>+J44-J118</f>
        <v>2896907.85</v>
      </c>
      <c r="K73" s="24">
        <f t="shared" ref="K73:R73" si="21">+K44-K118</f>
        <v>3516914.82</v>
      </c>
      <c r="L73" s="24">
        <f t="shared" si="21"/>
        <v>2790651.04</v>
      </c>
      <c r="M73" s="24">
        <f t="shared" si="21"/>
        <v>2579800.3200000003</v>
      </c>
      <c r="N73" s="24">
        <f t="shared" si="21"/>
        <v>3033211.27</v>
      </c>
      <c r="O73" s="24">
        <f t="shared" si="21"/>
        <v>3367174.1699999911</v>
      </c>
      <c r="P73" s="24">
        <f t="shared" si="21"/>
        <v>2760630.33</v>
      </c>
      <c r="Q73" s="24">
        <f t="shared" si="21"/>
        <v>3328185.0399999907</v>
      </c>
      <c r="R73" s="24">
        <f t="shared" si="21"/>
        <v>1661706.48</v>
      </c>
      <c r="T73" s="24">
        <f t="shared" ref="T73:W73" si="22">+SUMIF($G$3:$R$3,T$1,$G73:$R73)</f>
        <v>5917644.7100000009</v>
      </c>
      <c r="U73" s="24">
        <f t="shared" si="22"/>
        <v>9204473.7100000009</v>
      </c>
      <c r="V73" s="24">
        <f t="shared" si="22"/>
        <v>8980185.7599999905</v>
      </c>
      <c r="W73" s="24">
        <f t="shared" si="22"/>
        <v>7750521.8499999903</v>
      </c>
      <c r="Y73" s="23">
        <f t="shared" ref="Y73" si="23">+SUMIF($G$4:$R$4,"X",$G73:$R73)</f>
        <v>15122118.420000002</v>
      </c>
    </row>
    <row r="74" spans="1:25" hidden="1" outlineLevel="1">
      <c r="A74" s="14"/>
      <c r="B74" s="12" t="s">
        <v>56</v>
      </c>
      <c r="D74" s="12" t="s">
        <v>15</v>
      </c>
      <c r="E74" s="23">
        <f t="shared" ref="E74:E81" si="24">+E45-E119</f>
        <v>13163531.24</v>
      </c>
      <c r="F74" s="23">
        <f t="shared" si="19"/>
        <v>0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T74" s="23"/>
      <c r="U74" s="23"/>
      <c r="V74" s="23"/>
      <c r="W74" s="23"/>
      <c r="Y74" s="23"/>
    </row>
    <row r="75" spans="1:25" hidden="1" outlineLevel="1">
      <c r="A75" s="14"/>
      <c r="B75" s="15"/>
      <c r="C75" s="12"/>
      <c r="D75" s="12" t="s">
        <v>16</v>
      </c>
      <c r="E75" s="23">
        <f t="shared" si="24"/>
        <v>12268084.860000001</v>
      </c>
      <c r="F75" s="23">
        <f t="shared" si="19"/>
        <v>0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T75" s="23"/>
      <c r="U75" s="23"/>
      <c r="V75" s="23"/>
      <c r="W75" s="23"/>
      <c r="Y75" s="23"/>
    </row>
    <row r="76" spans="1:25" hidden="1" outlineLevel="1">
      <c r="A76" s="14"/>
      <c r="B76" s="15"/>
      <c r="C76" s="12"/>
      <c r="D76" s="12" t="s">
        <v>17</v>
      </c>
      <c r="E76" s="23">
        <f t="shared" si="24"/>
        <v>0</v>
      </c>
      <c r="F76" s="23">
        <f t="shared" si="19"/>
        <v>0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T76" s="23"/>
      <c r="U76" s="23"/>
      <c r="V76" s="23"/>
      <c r="W76" s="23"/>
      <c r="Y76" s="23"/>
    </row>
    <row r="77" spans="1:25" hidden="1" outlineLevel="1">
      <c r="A77" s="14"/>
      <c r="B77" s="15"/>
      <c r="C77" s="12"/>
      <c r="D77" s="12" t="s">
        <v>18</v>
      </c>
      <c r="E77" s="23">
        <f t="shared" si="24"/>
        <v>0</v>
      </c>
      <c r="F77" s="23">
        <f t="shared" si="19"/>
        <v>0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T77" s="23"/>
      <c r="U77" s="23"/>
      <c r="V77" s="23"/>
      <c r="W77" s="23"/>
      <c r="Y77" s="23"/>
    </row>
    <row r="78" spans="1:25" hidden="1" outlineLevel="1">
      <c r="A78" s="14"/>
      <c r="B78" s="15"/>
      <c r="C78" s="12"/>
      <c r="D78" s="12" t="s">
        <v>19</v>
      </c>
      <c r="E78" s="23">
        <f t="shared" si="24"/>
        <v>2012244.1900000002</v>
      </c>
      <c r="F78" s="23">
        <f t="shared" si="19"/>
        <v>0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T78" s="23"/>
      <c r="U78" s="23"/>
      <c r="V78" s="23"/>
      <c r="W78" s="23"/>
      <c r="Y78" s="23"/>
    </row>
    <row r="79" spans="1:25" hidden="1" outlineLevel="1">
      <c r="A79" s="14"/>
      <c r="B79" s="15"/>
      <c r="C79" s="12"/>
      <c r="D79" s="12" t="s">
        <v>21</v>
      </c>
      <c r="E79" s="23">
        <f t="shared" si="24"/>
        <v>0</v>
      </c>
      <c r="F79" s="23">
        <f t="shared" si="19"/>
        <v>0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T79" s="23"/>
      <c r="U79" s="23"/>
      <c r="V79" s="23"/>
      <c r="W79" s="23"/>
      <c r="Y79" s="23"/>
    </row>
    <row r="80" spans="1:25" hidden="1" outlineLevel="1">
      <c r="A80" s="14"/>
      <c r="B80" s="15"/>
      <c r="C80" s="12"/>
      <c r="D80" s="12" t="s">
        <v>24</v>
      </c>
      <c r="E80" s="23">
        <f t="shared" si="24"/>
        <v>439979.3</v>
      </c>
      <c r="F80" s="23">
        <f t="shared" si="19"/>
        <v>0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T80" s="23"/>
      <c r="U80" s="23"/>
      <c r="V80" s="23"/>
      <c r="W80" s="23"/>
      <c r="Y80" s="23"/>
    </row>
    <row r="81" spans="1:25" hidden="1" outlineLevel="1">
      <c r="A81" s="14"/>
      <c r="B81" s="15"/>
      <c r="C81" s="12"/>
      <c r="D81" s="12" t="s">
        <v>25</v>
      </c>
      <c r="E81" s="23">
        <f t="shared" si="24"/>
        <v>0</v>
      </c>
      <c r="F81" s="23">
        <f t="shared" si="19"/>
        <v>0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T81" s="23"/>
      <c r="U81" s="23"/>
      <c r="V81" s="23"/>
      <c r="W81" s="23"/>
      <c r="Y81" s="23"/>
    </row>
    <row r="82" spans="1:25" ht="16.5" customHeight="1" collapsed="1">
      <c r="A82" s="14"/>
      <c r="B82" s="15"/>
      <c r="C82" s="12" t="s">
        <v>27</v>
      </c>
      <c r="D82" s="15"/>
      <c r="E82" s="23">
        <f>+SUM(E83:E90)</f>
        <v>9198473.9299999997</v>
      </c>
      <c r="F82" s="23">
        <f t="shared" ref="F82:F94" si="25">+SUM(G82:R82)</f>
        <v>14791961.87999998</v>
      </c>
      <c r="G82" s="24">
        <f>+G53-G127</f>
        <v>455302.21</v>
      </c>
      <c r="H82" s="24">
        <f t="shared" ref="H82:I82" si="26">+H53-H127</f>
        <v>880472.37000000011</v>
      </c>
      <c r="I82" s="24">
        <f t="shared" si="26"/>
        <v>1423222.19</v>
      </c>
      <c r="J82" s="24">
        <f>+J53-J127</f>
        <v>991372.08</v>
      </c>
      <c r="K82" s="24">
        <f t="shared" ref="K82:R82" si="27">+K53-K127</f>
        <v>1184799.69</v>
      </c>
      <c r="L82" s="24">
        <f t="shared" si="27"/>
        <v>1825181.6</v>
      </c>
      <c r="M82" s="24">
        <f t="shared" si="27"/>
        <v>1610604.42</v>
      </c>
      <c r="N82" s="24">
        <f t="shared" si="27"/>
        <v>1281114.7400000002</v>
      </c>
      <c r="O82" s="24">
        <f t="shared" si="27"/>
        <v>1322726.2399999902</v>
      </c>
      <c r="P82" s="24">
        <f t="shared" si="27"/>
        <v>1208284.8899999904</v>
      </c>
      <c r="Q82" s="24">
        <f t="shared" si="27"/>
        <v>1894890.74</v>
      </c>
      <c r="R82" s="24">
        <f t="shared" si="27"/>
        <v>713990.71</v>
      </c>
      <c r="T82" s="24">
        <f t="shared" ref="T82:W94" si="28">+SUMIF($G$3:$R$3,T$1,$G82:$R82)</f>
        <v>2758996.77</v>
      </c>
      <c r="U82" s="24">
        <f t="shared" si="28"/>
        <v>4001353.37</v>
      </c>
      <c r="V82" s="24">
        <f t="shared" si="28"/>
        <v>4214445.3999999901</v>
      </c>
      <c r="W82" s="24">
        <f t="shared" si="28"/>
        <v>3817166.3399999905</v>
      </c>
      <c r="Y82" s="24">
        <f t="shared" ref="Y82" si="29">+SUMIF($G$4:$R$4,"X",$G82:$R82)</f>
        <v>6760350.1400000006</v>
      </c>
    </row>
    <row r="83" spans="1:25" hidden="1" outlineLevel="1">
      <c r="A83" s="14"/>
      <c r="B83" t="s">
        <v>57</v>
      </c>
      <c r="D83" s="12" t="s">
        <v>29</v>
      </c>
      <c r="E83" s="23">
        <f t="shared" ref="E83:E90" si="30">+E54-E128</f>
        <v>2913684.4299999997</v>
      </c>
      <c r="F83" s="23">
        <f t="shared" si="25"/>
        <v>0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T83" s="23"/>
      <c r="U83" s="23"/>
      <c r="V83" s="23"/>
      <c r="W83" s="23"/>
      <c r="Y83" s="23"/>
    </row>
    <row r="84" spans="1:25" hidden="1" outlineLevel="1">
      <c r="A84" s="14"/>
      <c r="B84" s="15"/>
      <c r="C84" s="12"/>
      <c r="D84" s="12" t="s">
        <v>30</v>
      </c>
      <c r="E84" s="23">
        <f t="shared" si="30"/>
        <v>3752290.8800000004</v>
      </c>
      <c r="F84" s="23">
        <f t="shared" si="25"/>
        <v>0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T84" s="23"/>
      <c r="U84" s="23"/>
      <c r="V84" s="23"/>
      <c r="W84" s="23"/>
      <c r="Y84" s="23"/>
    </row>
    <row r="85" spans="1:25" hidden="1" outlineLevel="1">
      <c r="A85" s="14"/>
      <c r="B85" s="15"/>
      <c r="C85" s="12"/>
      <c r="D85" s="12" t="s">
        <v>31</v>
      </c>
      <c r="E85" s="23">
        <f t="shared" si="30"/>
        <v>0</v>
      </c>
      <c r="F85" s="23">
        <f t="shared" si="25"/>
        <v>0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T85" s="23"/>
      <c r="U85" s="23"/>
      <c r="V85" s="23"/>
      <c r="W85" s="23"/>
      <c r="Y85" s="23"/>
    </row>
    <row r="86" spans="1:25" hidden="1" outlineLevel="1">
      <c r="A86" s="14"/>
      <c r="B86" s="15"/>
      <c r="C86" s="12"/>
      <c r="D86" s="12" t="s">
        <v>32</v>
      </c>
      <c r="E86" s="23">
        <f t="shared" si="30"/>
        <v>0</v>
      </c>
      <c r="F86" s="23">
        <f t="shared" si="25"/>
        <v>0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T86" s="23"/>
      <c r="U86" s="23"/>
      <c r="V86" s="23"/>
      <c r="W86" s="23"/>
      <c r="Y86" s="23"/>
    </row>
    <row r="87" spans="1:25" hidden="1" outlineLevel="1">
      <c r="A87" s="14"/>
      <c r="B87" s="15"/>
      <c r="C87" s="12"/>
      <c r="D87" s="12" t="s">
        <v>33</v>
      </c>
      <c r="E87" s="23">
        <f t="shared" si="30"/>
        <v>0</v>
      </c>
      <c r="F87" s="23">
        <f t="shared" si="25"/>
        <v>0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T87" s="23"/>
      <c r="U87" s="23"/>
      <c r="V87" s="23"/>
      <c r="W87" s="23"/>
      <c r="Y87" s="23"/>
    </row>
    <row r="88" spans="1:25" hidden="1" outlineLevel="1">
      <c r="A88" s="14"/>
      <c r="B88" s="12" t="s">
        <v>58</v>
      </c>
      <c r="D88" s="12" t="s">
        <v>36</v>
      </c>
      <c r="E88" s="23">
        <f t="shared" si="30"/>
        <v>0</v>
      </c>
      <c r="F88" s="23">
        <f t="shared" si="25"/>
        <v>0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T88" s="23"/>
      <c r="U88" s="23"/>
      <c r="V88" s="23"/>
      <c r="W88" s="23"/>
      <c r="Y88" s="23"/>
    </row>
    <row r="89" spans="1:25" hidden="1" outlineLevel="1">
      <c r="A89" s="14"/>
      <c r="B89" t="s">
        <v>59</v>
      </c>
      <c r="D89" s="12" t="s">
        <v>39</v>
      </c>
      <c r="E89" s="23">
        <f t="shared" si="30"/>
        <v>2532498.62</v>
      </c>
      <c r="F89" s="23">
        <f t="shared" si="25"/>
        <v>0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T89" s="23"/>
      <c r="U89" s="23"/>
      <c r="V89" s="23"/>
      <c r="W89" s="23"/>
      <c r="Y89" s="23"/>
    </row>
    <row r="90" spans="1:25" hidden="1" outlineLevel="1">
      <c r="A90" s="14"/>
      <c r="B90" s="15"/>
      <c r="C90" s="12"/>
      <c r="D90" s="12" t="s">
        <v>25</v>
      </c>
      <c r="E90" s="23">
        <f t="shared" si="30"/>
        <v>0</v>
      </c>
      <c r="F90" s="23">
        <f t="shared" si="25"/>
        <v>0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T90" s="23"/>
      <c r="U90" s="23"/>
      <c r="V90" s="23"/>
      <c r="W90" s="23"/>
      <c r="Y90" s="23"/>
    </row>
    <row r="91" spans="1:25" collapsed="1">
      <c r="A91" s="14"/>
      <c r="B91" s="15"/>
      <c r="C91" s="12" t="s">
        <v>42</v>
      </c>
      <c r="D91" s="15"/>
      <c r="E91" s="23">
        <f>+E92+E93</f>
        <v>2016288.9999999995</v>
      </c>
      <c r="F91" s="23">
        <f t="shared" si="25"/>
        <v>1680018.7500000002</v>
      </c>
      <c r="G91" s="24">
        <f t="shared" ref="G91:R91" si="31">+G62-G136</f>
        <v>135133.19000000003</v>
      </c>
      <c r="H91" s="24">
        <f t="shared" si="31"/>
        <v>116073.29999999999</v>
      </c>
      <c r="I91" s="24">
        <f t="shared" si="31"/>
        <v>149360.38</v>
      </c>
      <c r="J91" s="24">
        <f t="shared" si="31"/>
        <v>187949.12999999995</v>
      </c>
      <c r="K91" s="24">
        <f t="shared" si="31"/>
        <v>126208.27999999997</v>
      </c>
      <c r="L91" s="24">
        <f t="shared" si="31"/>
        <v>153994.58999999988</v>
      </c>
      <c r="M91" s="24">
        <f t="shared" si="31"/>
        <v>102174.41000000003</v>
      </c>
      <c r="N91" s="24">
        <f t="shared" si="31"/>
        <v>130648.7799999998</v>
      </c>
      <c r="O91" s="24">
        <f t="shared" si="31"/>
        <v>133426.26999999979</v>
      </c>
      <c r="P91" s="24">
        <f t="shared" si="31"/>
        <v>155208.45000000022</v>
      </c>
      <c r="Q91" s="24">
        <f t="shared" si="31"/>
        <v>172058.70000000036</v>
      </c>
      <c r="R91" s="24">
        <f t="shared" si="31"/>
        <v>117783.27000000016</v>
      </c>
      <c r="T91" s="23">
        <f t="shared" si="28"/>
        <v>400566.87</v>
      </c>
      <c r="U91" s="23">
        <f t="shared" si="28"/>
        <v>468151.99999999977</v>
      </c>
      <c r="V91" s="23">
        <f t="shared" si="28"/>
        <v>366249.45999999961</v>
      </c>
      <c r="W91" s="23">
        <f t="shared" si="28"/>
        <v>445050.42000000074</v>
      </c>
      <c r="Y91" s="24">
        <f t="shared" ref="Y91:Y93" si="32">+SUMIF($G$4:$R$4,"X",$G91:$R91)</f>
        <v>868718.86999999988</v>
      </c>
    </row>
    <row r="92" spans="1:25" hidden="1" outlineLevel="1">
      <c r="A92" s="14"/>
      <c r="C92" s="12"/>
      <c r="D92" s="12" t="s">
        <v>44</v>
      </c>
      <c r="E92" s="23">
        <f>+E63*(1-E137)</f>
        <v>1077448.96</v>
      </c>
      <c r="F92" s="23">
        <f t="shared" si="25"/>
        <v>902685.87</v>
      </c>
      <c r="G92" s="23">
        <f>+(1-G137)*G63</f>
        <v>50895.210000000028</v>
      </c>
      <c r="H92" s="23">
        <f t="shared" ref="H92:R93" si="33">+(1-H137)*H63</f>
        <v>58524.729999999981</v>
      </c>
      <c r="I92" s="23">
        <f t="shared" si="33"/>
        <v>69595.75999999998</v>
      </c>
      <c r="J92" s="23">
        <f t="shared" si="33"/>
        <v>109922.59999999993</v>
      </c>
      <c r="K92" s="23">
        <f t="shared" si="33"/>
        <v>87760.9</v>
      </c>
      <c r="L92" s="23">
        <f t="shared" si="33"/>
        <v>85406.669999999896</v>
      </c>
      <c r="M92" s="23">
        <f t="shared" si="33"/>
        <v>60910.460000000006</v>
      </c>
      <c r="N92" s="23">
        <f t="shared" si="33"/>
        <v>65352.499999999753</v>
      </c>
      <c r="O92" s="23">
        <f t="shared" si="33"/>
        <v>77352.169999999809</v>
      </c>
      <c r="P92" s="23">
        <f t="shared" si="33"/>
        <v>78294.220000000132</v>
      </c>
      <c r="Q92" s="23">
        <f t="shared" si="33"/>
        <v>96971.280000000377</v>
      </c>
      <c r="R92" s="23">
        <f t="shared" si="33"/>
        <v>61699.370000000141</v>
      </c>
      <c r="T92" s="23">
        <f t="shared" si="28"/>
        <v>179015.69999999998</v>
      </c>
      <c r="U92" s="23">
        <f t="shared" si="28"/>
        <v>283090.16999999981</v>
      </c>
      <c r="V92" s="23">
        <f t="shared" si="28"/>
        <v>203615.12999999957</v>
      </c>
      <c r="W92" s="23">
        <f t="shared" si="28"/>
        <v>236964.87000000066</v>
      </c>
      <c r="Y92" s="23">
        <f t="shared" si="32"/>
        <v>462105.86999999988</v>
      </c>
    </row>
    <row r="93" spans="1:25" hidden="1" outlineLevel="1">
      <c r="A93" s="14"/>
      <c r="C93" s="12"/>
      <c r="D93" s="12" t="s">
        <v>46</v>
      </c>
      <c r="E93" s="23">
        <f>+E64*(1-E138)</f>
        <v>938840.03999999969</v>
      </c>
      <c r="F93" s="23">
        <f t="shared" si="25"/>
        <v>777332.88000000024</v>
      </c>
      <c r="G93" s="23">
        <f>+(1-G138)*G64</f>
        <v>84237.98</v>
      </c>
      <c r="H93" s="23">
        <f t="shared" si="33"/>
        <v>57548.57</v>
      </c>
      <c r="I93" s="23">
        <f t="shared" si="33"/>
        <v>79764.62000000001</v>
      </c>
      <c r="J93" s="23">
        <f t="shared" si="33"/>
        <v>78026.53</v>
      </c>
      <c r="K93" s="23">
        <f t="shared" si="33"/>
        <v>38447.379999999997</v>
      </c>
      <c r="L93" s="23">
        <f t="shared" si="33"/>
        <v>68587.920000000013</v>
      </c>
      <c r="M93" s="23">
        <f t="shared" si="33"/>
        <v>41263.950000000004</v>
      </c>
      <c r="N93" s="23">
        <f t="shared" si="33"/>
        <v>65296.280000000064</v>
      </c>
      <c r="O93" s="23">
        <f t="shared" si="33"/>
        <v>56074.100000000006</v>
      </c>
      <c r="P93" s="23">
        <f t="shared" si="33"/>
        <v>76914.230000000069</v>
      </c>
      <c r="Q93" s="23">
        <f t="shared" si="33"/>
        <v>75087.42</v>
      </c>
      <c r="R93" s="23">
        <f t="shared" si="33"/>
        <v>56083.89999999998</v>
      </c>
      <c r="T93" s="23">
        <f t="shared" si="28"/>
        <v>221551.16999999998</v>
      </c>
      <c r="U93" s="23">
        <f t="shared" si="28"/>
        <v>185061.83000000002</v>
      </c>
      <c r="V93" s="23">
        <f t="shared" si="28"/>
        <v>162634.33000000007</v>
      </c>
      <c r="W93" s="23">
        <f t="shared" si="28"/>
        <v>208085.55000000005</v>
      </c>
      <c r="Y93" s="23">
        <f t="shared" si="32"/>
        <v>406613</v>
      </c>
    </row>
    <row r="94" spans="1:25" collapsed="1">
      <c r="A94" s="14"/>
      <c r="B94" t="s">
        <v>60</v>
      </c>
      <c r="C94" s="12" t="s">
        <v>48</v>
      </c>
      <c r="D94" s="15"/>
      <c r="E94" s="23">
        <f>+E65-E139</f>
        <v>3230945.4600000009</v>
      </c>
      <c r="F94" s="23">
        <f t="shared" si="25"/>
        <v>3139461.78</v>
      </c>
      <c r="G94" s="24">
        <f t="shared" ref="G94:R94" si="34">+G65-G139</f>
        <v>233268.02999999994</v>
      </c>
      <c r="H94" s="24">
        <f t="shared" si="34"/>
        <v>192720.08000000002</v>
      </c>
      <c r="I94" s="24">
        <f t="shared" si="34"/>
        <v>211263.28999999998</v>
      </c>
      <c r="J94" s="24">
        <f t="shared" si="34"/>
        <v>256935.77999999994</v>
      </c>
      <c r="K94" s="24">
        <f t="shared" si="34"/>
        <v>236019.31000000003</v>
      </c>
      <c r="L94" s="24">
        <f t="shared" si="34"/>
        <v>306318.13</v>
      </c>
      <c r="M94" s="24">
        <f t="shared" si="34"/>
        <v>231820.41999999902</v>
      </c>
      <c r="N94" s="24">
        <f t="shared" si="34"/>
        <v>235021.77000000002</v>
      </c>
      <c r="O94" s="24">
        <f t="shared" si="34"/>
        <v>306928.450000001</v>
      </c>
      <c r="P94" s="24">
        <f t="shared" si="34"/>
        <v>301165.12</v>
      </c>
      <c r="Q94" s="24">
        <f t="shared" si="34"/>
        <v>362346.73</v>
      </c>
      <c r="R94" s="24">
        <f t="shared" si="34"/>
        <v>265654.67</v>
      </c>
      <c r="T94" s="23">
        <f t="shared" si="28"/>
        <v>637251.39999999991</v>
      </c>
      <c r="U94" s="23">
        <f t="shared" si="28"/>
        <v>799273.22</v>
      </c>
      <c r="V94" s="23">
        <f t="shared" si="28"/>
        <v>773770.64</v>
      </c>
      <c r="W94" s="23">
        <f t="shared" si="28"/>
        <v>929166.52</v>
      </c>
      <c r="Y94" s="23">
        <f>+SUMIF($G$4:$R$4,"X",$G94:$R94)</f>
        <v>1436524.6199999996</v>
      </c>
    </row>
    <row r="95" spans="1:25">
      <c r="A95" s="14"/>
      <c r="B95" s="15" t="s">
        <v>61</v>
      </c>
      <c r="C95" s="12"/>
      <c r="D95" s="15"/>
      <c r="E95" s="24">
        <f>+E94+E91+E82+E73</f>
        <v>42329547.980000004</v>
      </c>
      <c r="F95" s="23">
        <f>+SUM(G95:R95)</f>
        <v>51464268.439999968</v>
      </c>
      <c r="G95" s="24">
        <f t="shared" ref="G95:R95" si="35">+G94+G91+G82+G73</f>
        <v>1777728.0699999998</v>
      </c>
      <c r="H95" s="24">
        <f t="shared" si="35"/>
        <v>3098050.17</v>
      </c>
      <c r="I95" s="24">
        <f t="shared" si="35"/>
        <v>4838681.51</v>
      </c>
      <c r="J95" s="24">
        <f t="shared" si="35"/>
        <v>4333164.84</v>
      </c>
      <c r="K95" s="24">
        <f t="shared" si="35"/>
        <v>5063942.0999999996</v>
      </c>
      <c r="L95" s="24">
        <f t="shared" si="35"/>
        <v>5076145.3599999994</v>
      </c>
      <c r="M95" s="24">
        <f t="shared" si="35"/>
        <v>4524399.5699999994</v>
      </c>
      <c r="N95" s="24">
        <f t="shared" si="35"/>
        <v>4679996.5600000005</v>
      </c>
      <c r="O95" s="24">
        <f t="shared" si="35"/>
        <v>5130255.1299999822</v>
      </c>
      <c r="P95" s="24">
        <f t="shared" si="35"/>
        <v>4425288.7899999907</v>
      </c>
      <c r="Q95" s="24">
        <f t="shared" si="35"/>
        <v>5757481.2099999916</v>
      </c>
      <c r="R95" s="24">
        <f t="shared" si="35"/>
        <v>2759135.13</v>
      </c>
      <c r="T95" s="24">
        <f>+T94+T91+T82+T73</f>
        <v>9714459.75</v>
      </c>
      <c r="U95" s="24">
        <f>+U94+U91+U82+U73</f>
        <v>14473252.300000001</v>
      </c>
      <c r="V95" s="24">
        <f>+V94+V91+V82+V73</f>
        <v>14334651.259999979</v>
      </c>
      <c r="W95" s="24">
        <f>+W94+W91+W82+W73</f>
        <v>12941905.129999982</v>
      </c>
      <c r="Y95" s="24">
        <f>+Y94+Y91+Y82+Y73</f>
        <v>24187712.050000001</v>
      </c>
    </row>
    <row r="96" spans="1:25" hidden="1" outlineLevel="1">
      <c r="A96" s="14"/>
      <c r="B96" s="15"/>
      <c r="C96" s="15"/>
      <c r="D96" s="15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T96" s="23"/>
      <c r="U96" s="23"/>
      <c r="V96" s="23"/>
      <c r="W96" s="23"/>
      <c r="Y96" s="23"/>
    </row>
    <row r="97" spans="1:25" hidden="1" outlineLevel="1">
      <c r="A97" s="14"/>
      <c r="B97" s="15" t="s">
        <v>62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T97" s="12"/>
      <c r="U97" s="12"/>
      <c r="V97" s="12"/>
      <c r="W97" s="12"/>
      <c r="Y97" s="12"/>
    </row>
    <row r="98" spans="1:25" hidden="1" outlineLevel="1">
      <c r="A98" s="14"/>
      <c r="B98" s="15"/>
      <c r="C98" s="12" t="s">
        <v>13</v>
      </c>
      <c r="D98" s="12"/>
      <c r="E98" s="26">
        <f>+IFERROR((E99*E6+E7*E100+E101*E8+E9*E102+E103*E10)/E5,0)</f>
        <v>634.95307598039039</v>
      </c>
      <c r="F98" s="26"/>
      <c r="G98" s="26">
        <f t="shared" ref="G98:L98" si="36">+SUM(G119:G123)/G5</f>
        <v>1331.561363636368</v>
      </c>
      <c r="H98" s="26">
        <f t="shared" si="36"/>
        <v>1492.3065306122471</v>
      </c>
      <c r="I98" s="26">
        <f t="shared" si="36"/>
        <v>1567.2698717948697</v>
      </c>
      <c r="J98" s="26">
        <f t="shared" si="36"/>
        <v>1507.4286764705873</v>
      </c>
      <c r="K98" s="26">
        <f t="shared" si="36"/>
        <v>1822.5993103448282</v>
      </c>
      <c r="L98" s="26">
        <f t="shared" si="36"/>
        <v>1753.0951562499981</v>
      </c>
      <c r="M98" s="26">
        <f t="shared" ref="M98:N98" si="37">+SUM(M119:M123)/M5</f>
        <v>1912.0244776119371</v>
      </c>
      <c r="N98" s="26">
        <f t="shared" si="37"/>
        <v>1747.5280519480516</v>
      </c>
      <c r="O98" s="26">
        <f t="shared" ref="O98:R98" si="38">+SUM(O119:O123)/O5</f>
        <v>1768.2289010988891</v>
      </c>
      <c r="P98" s="26">
        <f t="shared" si="38"/>
        <v>2030.7797368421043</v>
      </c>
      <c r="Q98" s="26">
        <f t="shared" si="38"/>
        <v>2476.9281012658089</v>
      </c>
      <c r="R98" s="26">
        <f t="shared" si="38"/>
        <v>2480.2113513513514</v>
      </c>
      <c r="T98" s="26">
        <f t="shared" ref="T98:W98" si="39">+SUM(T119:T123)/T5</f>
        <v>1507.8148993288594</v>
      </c>
      <c r="U98" s="26">
        <f t="shared" si="39"/>
        <v>1704.4263926940632</v>
      </c>
      <c r="V98" s="26">
        <f t="shared" si="39"/>
        <v>1802.4431063829732</v>
      </c>
      <c r="W98" s="26">
        <f t="shared" si="39"/>
        <v>2300.9604166666604</v>
      </c>
      <c r="Y98" s="26">
        <f t="shared" ref="Y98" si="40">+SUM(Y119:Y123)/Y5</f>
        <v>1624.8201086956519</v>
      </c>
    </row>
    <row r="99" spans="1:25" hidden="1" outlineLevel="1">
      <c r="A99" s="14"/>
      <c r="B99" t="s">
        <v>63</v>
      </c>
      <c r="C99" s="12"/>
      <c r="D99" s="12" t="s">
        <v>15</v>
      </c>
      <c r="E99" s="23">
        <v>569.25511312217145</v>
      </c>
      <c r="F99" s="23"/>
      <c r="G99" s="23">
        <f t="shared" ref="G99:R106" si="41">+IFERROR(G119/G6,0)</f>
        <v>590.46000000000072</v>
      </c>
      <c r="H99" s="23">
        <f t="shared" si="41"/>
        <v>1396.2839999999987</v>
      </c>
      <c r="I99" s="23">
        <f t="shared" si="41"/>
        <v>1097.7471874999956</v>
      </c>
      <c r="J99" s="23">
        <f t="shared" si="41"/>
        <v>494.60083333333336</v>
      </c>
      <c r="K99" s="23">
        <f t="shared" si="41"/>
        <v>1020.8359999999963</v>
      </c>
      <c r="L99" s="23">
        <f t="shared" si="41"/>
        <v>1164.0582608695609</v>
      </c>
      <c r="M99" s="23">
        <f t="shared" si="41"/>
        <v>1259.8541666666667</v>
      </c>
      <c r="N99" s="23">
        <f t="shared" si="41"/>
        <v>1070.9170833333292</v>
      </c>
      <c r="O99" s="23">
        <f t="shared" si="41"/>
        <v>1269.0222857142828</v>
      </c>
      <c r="P99" s="23">
        <f t="shared" si="41"/>
        <v>1031.307</v>
      </c>
      <c r="Q99" s="23">
        <f t="shared" si="41"/>
        <v>1968.0977777777666</v>
      </c>
      <c r="R99" s="23">
        <f t="shared" si="41"/>
        <v>1136.798</v>
      </c>
      <c r="T99" s="23">
        <f t="shared" ref="T99:W106" si="42">+IFERROR(T119/T6,0)</f>
        <v>1114.9146296296267</v>
      </c>
      <c r="U99" s="23">
        <f>+IFERROR(U119/U6,0)</f>
        <v>891.1758333333305</v>
      </c>
      <c r="V99" s="23">
        <f t="shared" si="42"/>
        <v>1209.0878313252988</v>
      </c>
      <c r="W99" s="23">
        <f t="shared" si="42"/>
        <v>1294.794411764703</v>
      </c>
      <c r="Y99" s="23">
        <f t="shared" ref="Y99:Y106" si="43">+IFERROR(Y119/Y6,0)</f>
        <v>987.06388888888603</v>
      </c>
    </row>
    <row r="100" spans="1:25" hidden="1" outlineLevel="1">
      <c r="A100" s="14"/>
      <c r="B100" s="15"/>
      <c r="C100" s="12"/>
      <c r="D100" s="12" t="s">
        <v>16</v>
      </c>
      <c r="E100" s="23">
        <v>802.45999999999594</v>
      </c>
      <c r="F100" s="23"/>
      <c r="G100" s="23">
        <f t="shared" si="41"/>
        <v>1549.7276923076984</v>
      </c>
      <c r="H100" s="23">
        <f t="shared" si="41"/>
        <v>2079.4923809523848</v>
      </c>
      <c r="I100" s="23">
        <f t="shared" si="41"/>
        <v>2171.0772972972968</v>
      </c>
      <c r="J100" s="23">
        <f t="shared" si="41"/>
        <v>2167.9160975609743</v>
      </c>
      <c r="K100" s="23">
        <f t="shared" si="41"/>
        <v>2126.4851724137952</v>
      </c>
      <c r="L100" s="23">
        <f t="shared" si="41"/>
        <v>2323.7590624999998</v>
      </c>
      <c r="M100" s="23">
        <f t="shared" si="41"/>
        <v>2440.6305405405351</v>
      </c>
      <c r="N100" s="23">
        <f t="shared" si="41"/>
        <v>2067.4384615384638</v>
      </c>
      <c r="O100" s="23">
        <f t="shared" si="41"/>
        <v>2305.1553061224286</v>
      </c>
      <c r="P100" s="23">
        <f t="shared" si="41"/>
        <v>2464.8319999999999</v>
      </c>
      <c r="Q100" s="23">
        <f t="shared" si="41"/>
        <v>2649.8561818181638</v>
      </c>
      <c r="R100" s="23">
        <f t="shared" si="41"/>
        <v>2865.0296296296297</v>
      </c>
      <c r="T100" s="23">
        <f t="shared" si="42"/>
        <v>2030.2205633802837</v>
      </c>
      <c r="U100" s="23">
        <f t="shared" si="42"/>
        <v>2187.6411450381684</v>
      </c>
      <c r="V100" s="23">
        <f t="shared" si="42"/>
        <v>2271.0883199999912</v>
      </c>
      <c r="W100" s="23">
        <f t="shared" si="42"/>
        <v>2630.0419685039292</v>
      </c>
      <c r="Y100" s="23">
        <f t="shared" si="43"/>
        <v>2132.3101485148522</v>
      </c>
    </row>
    <row r="101" spans="1:25" hidden="1" outlineLevel="1">
      <c r="A101" s="14"/>
      <c r="B101" s="15"/>
      <c r="C101" s="12"/>
      <c r="D101" s="12" t="s">
        <v>17</v>
      </c>
      <c r="E101" s="23">
        <v>0</v>
      </c>
      <c r="F101" s="23"/>
      <c r="G101" s="23">
        <f t="shared" si="41"/>
        <v>0</v>
      </c>
      <c r="H101" s="23">
        <f t="shared" si="41"/>
        <v>0</v>
      </c>
      <c r="I101" s="23">
        <f t="shared" si="41"/>
        <v>0</v>
      </c>
      <c r="J101" s="23">
        <f t="shared" si="41"/>
        <v>0</v>
      </c>
      <c r="K101" s="23">
        <f t="shared" si="41"/>
        <v>0</v>
      </c>
      <c r="L101" s="23">
        <f t="shared" si="41"/>
        <v>0</v>
      </c>
      <c r="M101" s="23">
        <f t="shared" si="41"/>
        <v>0</v>
      </c>
      <c r="N101" s="23">
        <f t="shared" si="41"/>
        <v>0</v>
      </c>
      <c r="O101" s="23">
        <f t="shared" si="41"/>
        <v>0</v>
      </c>
      <c r="P101" s="23">
        <f t="shared" si="41"/>
        <v>0</v>
      </c>
      <c r="Q101" s="23">
        <f t="shared" si="41"/>
        <v>0</v>
      </c>
      <c r="R101" s="23">
        <f t="shared" si="41"/>
        <v>0</v>
      </c>
      <c r="T101" s="23">
        <f t="shared" si="42"/>
        <v>0</v>
      </c>
      <c r="U101" s="23">
        <f t="shared" si="42"/>
        <v>0</v>
      </c>
      <c r="V101" s="23">
        <f t="shared" si="42"/>
        <v>0</v>
      </c>
      <c r="W101" s="23">
        <f t="shared" si="42"/>
        <v>0</v>
      </c>
      <c r="Y101" s="23">
        <f t="shared" si="43"/>
        <v>0</v>
      </c>
    </row>
    <row r="102" spans="1:25" hidden="1" outlineLevel="1">
      <c r="A102" s="14"/>
      <c r="B102" s="15"/>
      <c r="C102" s="12"/>
      <c r="D102" s="12" t="s">
        <v>18</v>
      </c>
      <c r="E102" s="23">
        <v>0</v>
      </c>
      <c r="F102" s="23"/>
      <c r="G102" s="23">
        <f t="shared" si="41"/>
        <v>0</v>
      </c>
      <c r="H102" s="23">
        <f t="shared" si="41"/>
        <v>0</v>
      </c>
      <c r="I102" s="23">
        <f t="shared" si="41"/>
        <v>0</v>
      </c>
      <c r="J102" s="23">
        <f t="shared" si="41"/>
        <v>0</v>
      </c>
      <c r="K102" s="23">
        <f t="shared" si="41"/>
        <v>0</v>
      </c>
      <c r="L102" s="23">
        <f t="shared" si="41"/>
        <v>0</v>
      </c>
      <c r="M102" s="23">
        <f t="shared" si="41"/>
        <v>0</v>
      </c>
      <c r="N102" s="23">
        <f t="shared" si="41"/>
        <v>0</v>
      </c>
      <c r="O102" s="23">
        <f t="shared" si="41"/>
        <v>0</v>
      </c>
      <c r="P102" s="23">
        <f t="shared" si="41"/>
        <v>0</v>
      </c>
      <c r="Q102" s="23">
        <f t="shared" si="41"/>
        <v>0</v>
      </c>
      <c r="R102" s="23">
        <f t="shared" si="41"/>
        <v>0</v>
      </c>
      <c r="T102" s="23">
        <f t="shared" si="42"/>
        <v>0</v>
      </c>
      <c r="U102" s="23">
        <f t="shared" si="42"/>
        <v>0</v>
      </c>
      <c r="V102" s="23">
        <f t="shared" si="42"/>
        <v>0</v>
      </c>
      <c r="W102" s="23">
        <f t="shared" si="42"/>
        <v>0</v>
      </c>
      <c r="Y102" s="23">
        <f t="shared" si="43"/>
        <v>0</v>
      </c>
    </row>
    <row r="103" spans="1:25" hidden="1" outlineLevel="1">
      <c r="A103" s="14"/>
      <c r="B103" s="15"/>
      <c r="C103" s="12"/>
      <c r="D103" s="12" t="s">
        <v>19</v>
      </c>
      <c r="E103" s="23">
        <v>285.3970769230778</v>
      </c>
      <c r="F103" s="23"/>
      <c r="G103" s="23">
        <f t="shared" si="41"/>
        <v>2507.3350000000064</v>
      </c>
      <c r="H103" s="23">
        <f t="shared" si="41"/>
        <v>654.5707692307725</v>
      </c>
      <c r="I103" s="23">
        <f t="shared" si="41"/>
        <v>754.3644444444443</v>
      </c>
      <c r="J103" s="23">
        <f t="shared" si="41"/>
        <v>583.3900000000001</v>
      </c>
      <c r="K103" s="23">
        <f t="shared" si="41"/>
        <v>2427.2750000000015</v>
      </c>
      <c r="L103" s="23">
        <f t="shared" si="41"/>
        <v>1229.3844444444444</v>
      </c>
      <c r="M103" s="23">
        <f t="shared" si="41"/>
        <v>1260.9683333333317</v>
      </c>
      <c r="N103" s="23">
        <f t="shared" si="41"/>
        <v>2016.2535714285714</v>
      </c>
      <c r="O103" s="23">
        <f t="shared" si="41"/>
        <v>505.77714285714285</v>
      </c>
      <c r="P103" s="23">
        <f t="shared" si="41"/>
        <v>2072.3345454545361</v>
      </c>
      <c r="Q103" s="23">
        <f t="shared" si="41"/>
        <v>2148.1566666666668</v>
      </c>
      <c r="R103" s="23">
        <f t="shared" si="41"/>
        <v>1745.6059999999979</v>
      </c>
      <c r="T103" s="23">
        <f t="shared" si="42"/>
        <v>846.3904166666689</v>
      </c>
      <c r="U103" s="23">
        <f t="shared" si="42"/>
        <v>1407.7331250000002</v>
      </c>
      <c r="V103" s="23">
        <f t="shared" si="42"/>
        <v>1456.807407407407</v>
      </c>
      <c r="W103" s="23">
        <f t="shared" si="42"/>
        <v>2056.3245161290288</v>
      </c>
      <c r="Y103" s="23">
        <f t="shared" si="43"/>
        <v>1070.9275000000016</v>
      </c>
    </row>
    <row r="104" spans="1:25" hidden="1" outlineLevel="1">
      <c r="A104" s="14"/>
      <c r="B104" s="15"/>
      <c r="C104" s="12"/>
      <c r="D104" s="12" t="s">
        <v>21</v>
      </c>
      <c r="E104" s="23">
        <v>1</v>
      </c>
      <c r="F104" s="23"/>
      <c r="G104" s="23">
        <f t="shared" si="41"/>
        <v>1</v>
      </c>
      <c r="H104" s="23">
        <f t="shared" si="41"/>
        <v>1</v>
      </c>
      <c r="I104" s="23">
        <f t="shared" si="41"/>
        <v>1</v>
      </c>
      <c r="J104" s="23">
        <f t="shared" si="41"/>
        <v>1</v>
      </c>
      <c r="K104" s="23">
        <f t="shared" si="41"/>
        <v>1</v>
      </c>
      <c r="L104" s="23">
        <f t="shared" si="41"/>
        <v>1</v>
      </c>
      <c r="M104" s="23">
        <f t="shared" si="41"/>
        <v>1</v>
      </c>
      <c r="N104" s="23">
        <f t="shared" si="41"/>
        <v>1</v>
      </c>
      <c r="O104" s="23">
        <f t="shared" si="41"/>
        <v>1</v>
      </c>
      <c r="P104" s="23">
        <f t="shared" si="41"/>
        <v>1</v>
      </c>
      <c r="Q104" s="23">
        <f t="shared" si="41"/>
        <v>1</v>
      </c>
      <c r="R104" s="23">
        <f t="shared" si="41"/>
        <v>1</v>
      </c>
      <c r="T104" s="23">
        <f t="shared" si="42"/>
        <v>1</v>
      </c>
      <c r="U104" s="23">
        <f t="shared" si="42"/>
        <v>1</v>
      </c>
      <c r="V104" s="23">
        <f t="shared" si="42"/>
        <v>1</v>
      </c>
      <c r="W104" s="23">
        <f t="shared" si="42"/>
        <v>1</v>
      </c>
      <c r="Y104" s="23">
        <f t="shared" si="43"/>
        <v>1</v>
      </c>
    </row>
    <row r="105" spans="1:25" hidden="1" outlineLevel="1">
      <c r="A105" s="14"/>
      <c r="B105" t="s">
        <v>64</v>
      </c>
      <c r="C105" s="12"/>
      <c r="D105" s="12" t="s">
        <v>24</v>
      </c>
      <c r="E105" s="23">
        <v>1007.8818181818192</v>
      </c>
      <c r="F105" s="23"/>
      <c r="G105" s="23">
        <f t="shared" si="41"/>
        <v>0</v>
      </c>
      <c r="H105" s="23">
        <f t="shared" si="41"/>
        <v>1210.7133333333331</v>
      </c>
      <c r="I105" s="23">
        <f t="shared" si="41"/>
        <v>1019.75</v>
      </c>
      <c r="J105" s="23">
        <f t="shared" si="41"/>
        <v>2675.0880000000002</v>
      </c>
      <c r="K105" s="23">
        <f t="shared" si="41"/>
        <v>2789.6125000000029</v>
      </c>
      <c r="L105" s="23">
        <f t="shared" si="41"/>
        <v>1036</v>
      </c>
      <c r="M105" s="23">
        <f t="shared" si="41"/>
        <v>0</v>
      </c>
      <c r="N105" s="23">
        <f t="shared" si="41"/>
        <v>983.900000000001</v>
      </c>
      <c r="O105" s="23">
        <f t="shared" si="41"/>
        <v>0</v>
      </c>
      <c r="P105" s="23">
        <f t="shared" si="41"/>
        <v>0</v>
      </c>
      <c r="Q105" s="23">
        <f t="shared" si="41"/>
        <v>1097.8799999999901</v>
      </c>
      <c r="R105" s="23">
        <f t="shared" si="41"/>
        <v>2063.71</v>
      </c>
      <c r="T105" s="23">
        <f t="shared" si="42"/>
        <v>836.42374999999993</v>
      </c>
      <c r="U105" s="23">
        <f t="shared" si="42"/>
        <v>2556.9890000000014</v>
      </c>
      <c r="V105" s="23">
        <f t="shared" si="42"/>
        <v>707.900000000001</v>
      </c>
      <c r="W105" s="23">
        <f t="shared" si="42"/>
        <v>1580.7949999999951</v>
      </c>
      <c r="Y105" s="23">
        <f t="shared" si="43"/>
        <v>1792.293333333334</v>
      </c>
    </row>
    <row r="106" spans="1:25" hidden="1" outlineLevel="1">
      <c r="A106" s="14"/>
      <c r="B106" t="s">
        <v>65</v>
      </c>
      <c r="C106" s="12"/>
      <c r="D106" s="12" t="s">
        <v>25</v>
      </c>
      <c r="E106" s="23">
        <v>690.89797794117658</v>
      </c>
      <c r="F106" s="23"/>
      <c r="G106" s="23">
        <f t="shared" si="41"/>
        <v>754.20090909090902</v>
      </c>
      <c r="H106" s="23">
        <f t="shared" si="41"/>
        <v>668.48224489795916</v>
      </c>
      <c r="I106" s="23">
        <f t="shared" si="41"/>
        <v>686.90871794871805</v>
      </c>
      <c r="J106" s="23">
        <f t="shared" si="41"/>
        <v>871.99249999999995</v>
      </c>
      <c r="K106" s="23">
        <f t="shared" si="41"/>
        <v>783.31712643678156</v>
      </c>
      <c r="L106" s="23">
        <f t="shared" si="41"/>
        <v>931.61109375000001</v>
      </c>
      <c r="M106" s="23">
        <f t="shared" si="41"/>
        <v>850.78492537313423</v>
      </c>
      <c r="N106" s="23">
        <f t="shared" si="41"/>
        <v>944.01792207792209</v>
      </c>
      <c r="O106" s="23">
        <f t="shared" si="41"/>
        <v>877.92285714285708</v>
      </c>
      <c r="P106" s="23">
        <f t="shared" si="41"/>
        <v>717.78513157894736</v>
      </c>
      <c r="Q106" s="23">
        <f t="shared" si="41"/>
        <v>873.94113924050509</v>
      </c>
      <c r="R106" s="23">
        <f t="shared" si="41"/>
        <v>1019.2591891891891</v>
      </c>
      <c r="T106" s="23">
        <f t="shared" si="42"/>
        <v>690.78476510067105</v>
      </c>
      <c r="U106" s="23">
        <f t="shared" si="42"/>
        <v>854.18808219178084</v>
      </c>
      <c r="V106" s="23">
        <f t="shared" si="42"/>
        <v>891.84234042553192</v>
      </c>
      <c r="W106" s="23">
        <f t="shared" si="42"/>
        <v>840.1333854166661</v>
      </c>
      <c r="Y106" s="23">
        <f t="shared" si="43"/>
        <v>788.02750000000003</v>
      </c>
    </row>
    <row r="107" spans="1:25" hidden="1" outlineLevel="1">
      <c r="A107" s="14"/>
      <c r="B107" s="15"/>
      <c r="C107" s="12" t="s">
        <v>27</v>
      </c>
      <c r="D107" s="12"/>
      <c r="E107" s="24">
        <f>+IFERROR((E108*E15+E16*E109+E110*E17+E111*E18+E19*E112)/E14,0)</f>
        <v>566.8649736842101</v>
      </c>
      <c r="F107" s="23"/>
      <c r="G107" s="24">
        <f t="shared" ref="G107:L107" si="44">+SUM(G128:G132)/G14</f>
        <v>1025.4639999999995</v>
      </c>
      <c r="H107" s="24">
        <f t="shared" si="44"/>
        <v>765.23066666666568</v>
      </c>
      <c r="I107" s="24">
        <f t="shared" si="44"/>
        <v>932.81976190476246</v>
      </c>
      <c r="J107" s="24">
        <f t="shared" si="44"/>
        <v>993.42707317073177</v>
      </c>
      <c r="K107" s="24">
        <f t="shared" si="44"/>
        <v>1272.0456410256429</v>
      </c>
      <c r="L107" s="24">
        <f t="shared" si="44"/>
        <v>848.28594594594597</v>
      </c>
      <c r="M107" s="24">
        <f t="shared" ref="M107:N107" si="45">+SUM(M128:M132)/M14</f>
        <v>1630.2373170731707</v>
      </c>
      <c r="N107" s="24">
        <f t="shared" si="45"/>
        <v>1001.9182051282027</v>
      </c>
      <c r="O107" s="24">
        <f t="shared" ref="O107:R107" si="46">+SUM(O128:O132)/O14</f>
        <v>1504.9536842105263</v>
      </c>
      <c r="P107" s="24">
        <f t="shared" si="46"/>
        <v>1295.6914705882323</v>
      </c>
      <c r="Q107" s="24">
        <f t="shared" si="46"/>
        <v>1806.9647222222195</v>
      </c>
      <c r="R107" s="24">
        <f t="shared" si="46"/>
        <v>2054.4645</v>
      </c>
      <c r="T107" s="24">
        <f t="shared" ref="T107:W107" si="47">+SUM(T128:T132)/T14</f>
        <v>891.00356321839058</v>
      </c>
      <c r="U107" s="24">
        <f t="shared" si="47"/>
        <v>1040.400598290599</v>
      </c>
      <c r="V107" s="24">
        <f t="shared" si="47"/>
        <v>1382.2269491525417</v>
      </c>
      <c r="W107" s="24">
        <f t="shared" si="47"/>
        <v>1668.8169999999977</v>
      </c>
      <c r="Y107" s="24">
        <f t="shared" ref="Y107" si="48">+SUM(Y128:Y132)/Y14</f>
        <v>976.68715686274538</v>
      </c>
    </row>
    <row r="108" spans="1:25" hidden="1" outlineLevel="1">
      <c r="A108" s="14"/>
      <c r="B108" t="s">
        <v>66</v>
      </c>
      <c r="C108" s="12"/>
      <c r="D108" s="12" t="s">
        <v>29</v>
      </c>
      <c r="E108" s="23">
        <v>549.64029761904806</v>
      </c>
      <c r="F108" s="23"/>
      <c r="G108" s="23">
        <f t="shared" ref="G108:R115" si="49">+IFERROR(G128/G15,0)</f>
        <v>1047.6399999999994</v>
      </c>
      <c r="H108" s="23">
        <f t="shared" si="49"/>
        <v>765.23066666666568</v>
      </c>
      <c r="I108" s="23">
        <f t="shared" si="49"/>
        <v>932.81976190476246</v>
      </c>
      <c r="J108" s="23">
        <f t="shared" si="49"/>
        <v>1005.626153846154</v>
      </c>
      <c r="K108" s="23">
        <f t="shared" si="49"/>
        <v>1319.4100000000019</v>
      </c>
      <c r="L108" s="23">
        <f t="shared" si="49"/>
        <v>870.74722222222226</v>
      </c>
      <c r="M108" s="23">
        <f t="shared" si="49"/>
        <v>1663.4257499999999</v>
      </c>
      <c r="N108" s="23">
        <f t="shared" si="49"/>
        <v>1016.9182051282027</v>
      </c>
      <c r="O108" s="23">
        <f t="shared" si="49"/>
        <v>1430.5171428571427</v>
      </c>
      <c r="P108" s="23">
        <f t="shared" si="49"/>
        <v>1315.2084848484819</v>
      </c>
      <c r="Q108" s="23">
        <f t="shared" si="49"/>
        <v>1793.0062857142827</v>
      </c>
      <c r="R108" s="23">
        <f t="shared" si="49"/>
        <v>2072.7063157894736</v>
      </c>
      <c r="T108" s="23">
        <f t="shared" ref="T108:W115" si="50">+IFERROR(T128/T15,0)</f>
        <v>893.05011627906958</v>
      </c>
      <c r="U108" s="23">
        <f t="shared" si="50"/>
        <v>1068.1761061946909</v>
      </c>
      <c r="V108" s="23">
        <f t="shared" si="50"/>
        <v>1370.7450877192975</v>
      </c>
      <c r="W108" s="23">
        <f t="shared" si="50"/>
        <v>1672.8565517241354</v>
      </c>
      <c r="Y108" s="23">
        <f t="shared" ref="Y108:Y115" si="51">+IFERROR(Y128/Y15,0)</f>
        <v>992.49351758794</v>
      </c>
    </row>
    <row r="109" spans="1:25" hidden="1" outlineLevel="1">
      <c r="A109" s="14"/>
      <c r="C109" s="12"/>
      <c r="D109" s="12" t="s">
        <v>30</v>
      </c>
      <c r="E109" s="23">
        <v>580.51471698113096</v>
      </c>
      <c r="F109" s="23"/>
      <c r="G109" s="23">
        <f t="shared" si="49"/>
        <v>715</v>
      </c>
      <c r="H109" s="23">
        <f t="shared" si="49"/>
        <v>0</v>
      </c>
      <c r="I109" s="23">
        <f t="shared" si="49"/>
        <v>0</v>
      </c>
      <c r="J109" s="23">
        <f t="shared" si="49"/>
        <v>755.54499999999996</v>
      </c>
      <c r="K109" s="23">
        <f t="shared" si="49"/>
        <v>-527.79999999999995</v>
      </c>
      <c r="L109" s="23">
        <f t="shared" si="49"/>
        <v>39.68</v>
      </c>
      <c r="M109" s="23">
        <f t="shared" si="49"/>
        <v>302.7</v>
      </c>
      <c r="N109" s="23">
        <f t="shared" si="49"/>
        <v>0</v>
      </c>
      <c r="O109" s="23">
        <f t="shared" si="49"/>
        <v>2373.38</v>
      </c>
      <c r="P109" s="23">
        <f t="shared" si="49"/>
        <v>651.63</v>
      </c>
      <c r="Q109" s="23">
        <f t="shared" si="49"/>
        <v>2295.5100000000002</v>
      </c>
      <c r="R109" s="23">
        <f t="shared" si="49"/>
        <v>1707.87</v>
      </c>
      <c r="T109" s="23">
        <f t="shared" si="50"/>
        <v>715</v>
      </c>
      <c r="U109" s="23">
        <f t="shared" si="50"/>
        <v>255.74249999999998</v>
      </c>
      <c r="V109" s="23">
        <f t="shared" si="50"/>
        <v>1709.46</v>
      </c>
      <c r="W109" s="23">
        <f t="shared" si="50"/>
        <v>1551.67</v>
      </c>
      <c r="Y109" s="23">
        <f t="shared" si="51"/>
        <v>347.59400000000005</v>
      </c>
    </row>
    <row r="110" spans="1:25" hidden="1" outlineLevel="1">
      <c r="A110" s="14"/>
      <c r="C110" s="12"/>
      <c r="D110" s="12" t="s">
        <v>31</v>
      </c>
      <c r="E110" s="23">
        <v>0</v>
      </c>
      <c r="F110" s="23"/>
      <c r="G110" s="23">
        <f t="shared" si="49"/>
        <v>0</v>
      </c>
      <c r="H110" s="23">
        <f t="shared" si="49"/>
        <v>0</v>
      </c>
      <c r="I110" s="23">
        <f t="shared" si="49"/>
        <v>0</v>
      </c>
      <c r="J110" s="23">
        <f t="shared" si="49"/>
        <v>0</v>
      </c>
      <c r="K110" s="23">
        <f t="shared" si="49"/>
        <v>0</v>
      </c>
      <c r="L110" s="23">
        <f t="shared" si="49"/>
        <v>0</v>
      </c>
      <c r="M110" s="23">
        <f t="shared" si="49"/>
        <v>0</v>
      </c>
      <c r="N110" s="23">
        <f t="shared" si="49"/>
        <v>0</v>
      </c>
      <c r="O110" s="23">
        <f t="shared" si="49"/>
        <v>0</v>
      </c>
      <c r="P110" s="23">
        <f t="shared" si="49"/>
        <v>0</v>
      </c>
      <c r="Q110" s="23">
        <f t="shared" si="49"/>
        <v>0</v>
      </c>
      <c r="R110" s="23">
        <f t="shared" si="49"/>
        <v>0</v>
      </c>
      <c r="T110" s="23">
        <f t="shared" si="50"/>
        <v>0</v>
      </c>
      <c r="U110" s="23">
        <f t="shared" si="50"/>
        <v>0</v>
      </c>
      <c r="V110" s="23">
        <f t="shared" si="50"/>
        <v>0</v>
      </c>
      <c r="W110" s="23">
        <f t="shared" si="50"/>
        <v>0</v>
      </c>
      <c r="Y110" s="23">
        <f t="shared" si="51"/>
        <v>0</v>
      </c>
    </row>
    <row r="111" spans="1:25" hidden="1" outlineLevel="1">
      <c r="A111" s="14"/>
      <c r="B111" s="15"/>
      <c r="C111" s="12"/>
      <c r="D111" s="12" t="s">
        <v>32</v>
      </c>
      <c r="E111" s="23">
        <v>0</v>
      </c>
      <c r="F111" s="23"/>
      <c r="G111" s="23">
        <f t="shared" si="49"/>
        <v>0</v>
      </c>
      <c r="H111" s="23">
        <f t="shared" si="49"/>
        <v>0</v>
      </c>
      <c r="I111" s="23">
        <f t="shared" si="49"/>
        <v>0</v>
      </c>
      <c r="J111" s="23">
        <f t="shared" si="49"/>
        <v>0</v>
      </c>
      <c r="K111" s="23">
        <f t="shared" si="49"/>
        <v>0</v>
      </c>
      <c r="L111" s="23">
        <f t="shared" si="49"/>
        <v>0</v>
      </c>
      <c r="M111" s="23">
        <f t="shared" si="49"/>
        <v>0</v>
      </c>
      <c r="N111" s="23">
        <f t="shared" si="49"/>
        <v>0</v>
      </c>
      <c r="O111" s="23">
        <f t="shared" si="49"/>
        <v>0</v>
      </c>
      <c r="P111" s="23">
        <f t="shared" si="49"/>
        <v>0</v>
      </c>
      <c r="Q111" s="23">
        <f t="shared" si="49"/>
        <v>0</v>
      </c>
      <c r="R111" s="23">
        <f t="shared" si="49"/>
        <v>0</v>
      </c>
      <c r="T111" s="23">
        <f t="shared" si="50"/>
        <v>0</v>
      </c>
      <c r="U111" s="23">
        <f t="shared" si="50"/>
        <v>0</v>
      </c>
      <c r="V111" s="23">
        <f t="shared" si="50"/>
        <v>0</v>
      </c>
      <c r="W111" s="23">
        <f t="shared" si="50"/>
        <v>0</v>
      </c>
      <c r="Y111" s="23">
        <f t="shared" si="51"/>
        <v>0</v>
      </c>
    </row>
    <row r="112" spans="1:25" hidden="1" outlineLevel="1">
      <c r="A112" s="14"/>
      <c r="B112" s="15"/>
      <c r="C112" s="12"/>
      <c r="D112" s="12" t="s">
        <v>33</v>
      </c>
      <c r="E112" s="23">
        <v>0</v>
      </c>
      <c r="F112" s="23"/>
      <c r="G112" s="23">
        <f t="shared" si="49"/>
        <v>0</v>
      </c>
      <c r="H112" s="23">
        <f t="shared" si="49"/>
        <v>0</v>
      </c>
      <c r="I112" s="23">
        <f t="shared" si="49"/>
        <v>0</v>
      </c>
      <c r="J112" s="23">
        <f t="shared" si="49"/>
        <v>0</v>
      </c>
      <c r="K112" s="23">
        <f t="shared" si="49"/>
        <v>0</v>
      </c>
      <c r="L112" s="23">
        <f t="shared" si="49"/>
        <v>0</v>
      </c>
      <c r="M112" s="23">
        <f t="shared" si="49"/>
        <v>0</v>
      </c>
      <c r="N112" s="23">
        <f t="shared" si="49"/>
        <v>0</v>
      </c>
      <c r="O112" s="23">
        <f t="shared" si="49"/>
        <v>0</v>
      </c>
      <c r="P112" s="23">
        <f t="shared" si="49"/>
        <v>0</v>
      </c>
      <c r="Q112" s="23">
        <f t="shared" si="49"/>
        <v>0</v>
      </c>
      <c r="R112" s="23">
        <f t="shared" si="49"/>
        <v>0</v>
      </c>
      <c r="T112" s="23">
        <f t="shared" si="50"/>
        <v>0</v>
      </c>
      <c r="U112" s="23">
        <f t="shared" si="50"/>
        <v>0</v>
      </c>
      <c r="V112" s="23">
        <f t="shared" si="50"/>
        <v>0</v>
      </c>
      <c r="W112" s="23">
        <f t="shared" si="50"/>
        <v>0</v>
      </c>
      <c r="Y112" s="23">
        <f t="shared" si="51"/>
        <v>0</v>
      </c>
    </row>
    <row r="113" spans="1:25" hidden="1" outlineLevel="1">
      <c r="A113" s="14"/>
      <c r="B113" t="s">
        <v>67</v>
      </c>
      <c r="D113" s="12" t="s">
        <v>36</v>
      </c>
      <c r="E113" s="23">
        <v>0</v>
      </c>
      <c r="F113" s="23"/>
      <c r="G113" s="23">
        <f t="shared" si="49"/>
        <v>0</v>
      </c>
      <c r="H113" s="23">
        <f t="shared" si="49"/>
        <v>0</v>
      </c>
      <c r="I113" s="23">
        <f t="shared" si="49"/>
        <v>0</v>
      </c>
      <c r="J113" s="23">
        <f t="shared" si="49"/>
        <v>0</v>
      </c>
      <c r="K113" s="23">
        <f t="shared" si="49"/>
        <v>0</v>
      </c>
      <c r="L113" s="23">
        <f t="shared" si="49"/>
        <v>0</v>
      </c>
      <c r="M113" s="23">
        <f t="shared" si="49"/>
        <v>0</v>
      </c>
      <c r="N113" s="23">
        <f t="shared" si="49"/>
        <v>0</v>
      </c>
      <c r="O113" s="23">
        <f t="shared" si="49"/>
        <v>0</v>
      </c>
      <c r="P113" s="23">
        <f t="shared" si="49"/>
        <v>0</v>
      </c>
      <c r="Q113" s="23">
        <f t="shared" si="49"/>
        <v>0</v>
      </c>
      <c r="R113" s="23">
        <f t="shared" si="49"/>
        <v>0</v>
      </c>
      <c r="T113" s="23">
        <f t="shared" si="50"/>
        <v>0</v>
      </c>
      <c r="U113" s="23">
        <f t="shared" si="50"/>
        <v>0</v>
      </c>
      <c r="V113" s="23">
        <f t="shared" si="50"/>
        <v>0</v>
      </c>
      <c r="W113" s="23">
        <f t="shared" si="50"/>
        <v>0</v>
      </c>
      <c r="Y113" s="23">
        <f t="shared" si="51"/>
        <v>0</v>
      </c>
    </row>
    <row r="114" spans="1:25" hidden="1" outlineLevel="1">
      <c r="A114" s="14"/>
      <c r="B114" t="s">
        <v>68</v>
      </c>
      <c r="C114" s="12"/>
      <c r="D114" s="12" t="s">
        <v>39</v>
      </c>
      <c r="E114" s="23">
        <v>81.097453416148724</v>
      </c>
      <c r="F114" s="23"/>
      <c r="G114" s="23">
        <f t="shared" si="49"/>
        <v>-41.210000000000583</v>
      </c>
      <c r="H114" s="23">
        <f t="shared" si="49"/>
        <v>116.85521739130364</v>
      </c>
      <c r="I114" s="23">
        <f t="shared" si="49"/>
        <v>121.56244897959297</v>
      </c>
      <c r="J114" s="23">
        <f t="shared" si="49"/>
        <v>340.51159999999913</v>
      </c>
      <c r="K114" s="23">
        <f t="shared" si="49"/>
        <v>611.62902439024344</v>
      </c>
      <c r="L114" s="23">
        <f t="shared" si="49"/>
        <v>230.93680851063831</v>
      </c>
      <c r="M114" s="23">
        <f t="shared" si="49"/>
        <v>124.07803278688525</v>
      </c>
      <c r="N114" s="23">
        <f t="shared" si="49"/>
        <v>277.83571428571429</v>
      </c>
      <c r="O114" s="23">
        <f t="shared" si="49"/>
        <v>502.51607843137253</v>
      </c>
      <c r="P114" s="23">
        <f t="shared" si="49"/>
        <v>458.33090909090606</v>
      </c>
      <c r="Q114" s="23">
        <f t="shared" si="49"/>
        <v>432.92848484848486</v>
      </c>
      <c r="R114" s="23">
        <f t="shared" si="49"/>
        <v>114.98157894736948</v>
      </c>
      <c r="T114" s="23">
        <f t="shared" si="50"/>
        <v>85.000326086956832</v>
      </c>
      <c r="U114" s="23">
        <f t="shared" si="50"/>
        <v>393.3062831858403</v>
      </c>
      <c r="V114" s="23">
        <f t="shared" si="50"/>
        <v>291.9818367346939</v>
      </c>
      <c r="W114" s="23">
        <f t="shared" si="50"/>
        <v>388.83771186440612</v>
      </c>
      <c r="Y114" s="23">
        <f t="shared" si="51"/>
        <v>254.94458536585358</v>
      </c>
    </row>
    <row r="115" spans="1:25" hidden="1" outlineLevel="1">
      <c r="A115" s="14"/>
      <c r="B115" t="s">
        <v>69</v>
      </c>
      <c r="C115" s="12"/>
      <c r="D115" s="12" t="s">
        <v>25</v>
      </c>
      <c r="E115" s="23">
        <v>1248.2379473684209</v>
      </c>
      <c r="F115" s="23"/>
      <c r="G115" s="23">
        <f t="shared" si="49"/>
        <v>1705.0093333333332</v>
      </c>
      <c r="H115" s="23">
        <f t="shared" si="49"/>
        <v>1627.6183333333333</v>
      </c>
      <c r="I115" s="23">
        <f t="shared" si="49"/>
        <v>1663.3257142857142</v>
      </c>
      <c r="J115" s="23">
        <f t="shared" si="49"/>
        <v>1509.3251219512194</v>
      </c>
      <c r="K115" s="23">
        <f t="shared" si="49"/>
        <v>2127.0548717948718</v>
      </c>
      <c r="L115" s="23">
        <f t="shared" si="49"/>
        <v>2251.0986486486486</v>
      </c>
      <c r="M115" s="23">
        <f t="shared" si="49"/>
        <v>2529.6763414634147</v>
      </c>
      <c r="N115" s="23">
        <f t="shared" si="49"/>
        <v>1701.1679487179488</v>
      </c>
      <c r="O115" s="23">
        <f t="shared" si="49"/>
        <v>2240.5018421052605</v>
      </c>
      <c r="P115" s="23">
        <f t="shared" si="49"/>
        <v>2388.7441176470588</v>
      </c>
      <c r="Q115" s="23">
        <f t="shared" si="49"/>
        <v>2467.8380555555555</v>
      </c>
      <c r="R115" s="23">
        <f t="shared" si="49"/>
        <v>2193.5455000000002</v>
      </c>
      <c r="T115" s="23">
        <f t="shared" si="50"/>
        <v>1658.1996551724137</v>
      </c>
      <c r="U115" s="23">
        <f t="shared" si="50"/>
        <v>1949.8129914529914</v>
      </c>
      <c r="V115" s="23">
        <f t="shared" si="50"/>
        <v>2162.7233050847449</v>
      </c>
      <c r="W115" s="23">
        <f t="shared" si="50"/>
        <v>2377.0042222222223</v>
      </c>
      <c r="Y115" s="23">
        <f t="shared" si="51"/>
        <v>1825.4484803921569</v>
      </c>
    </row>
    <row r="116" spans="1:25" hidden="1" outlineLevel="1">
      <c r="A116" s="14"/>
      <c r="B116" s="15"/>
      <c r="C116" s="12"/>
      <c r="D116" s="12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T116" s="23"/>
      <c r="U116" s="23"/>
      <c r="V116" s="23"/>
      <c r="W116" s="23"/>
      <c r="Y116" s="23"/>
    </row>
    <row r="117" spans="1:25" hidden="1" outlineLevel="1">
      <c r="A117" s="14"/>
      <c r="B117" s="15" t="s">
        <v>70</v>
      </c>
      <c r="C117" s="15"/>
      <c r="D117" s="15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T117" s="23"/>
      <c r="U117" s="23"/>
      <c r="V117" s="23"/>
      <c r="W117" s="23"/>
      <c r="Y117" s="23"/>
    </row>
    <row r="118" spans="1:25" hidden="1" outlineLevel="1">
      <c r="A118" s="14" t="s">
        <v>71</v>
      </c>
      <c r="B118" s="15"/>
      <c r="C118" s="12" t="s">
        <v>13</v>
      </c>
      <c r="D118" s="15"/>
      <c r="E118" s="23">
        <f>+SUM(E119:E126)</f>
        <v>1155942.2799999989</v>
      </c>
      <c r="F118" s="23">
        <f t="shared" ref="F118:F136" si="52">+SUM(G118:R118)</f>
        <v>2236198.4599999972</v>
      </c>
      <c r="G118" s="23">
        <f t="shared" ref="G118:R118" si="53">+SUM(G119:G126)</f>
        <v>46785.320000000094</v>
      </c>
      <c r="H118" s="23">
        <f t="shared" si="53"/>
        <v>110498.6400000001</v>
      </c>
      <c r="I118" s="23">
        <f t="shared" si="53"/>
        <v>185769.54999999984</v>
      </c>
      <c r="J118" s="23">
        <f t="shared" si="53"/>
        <v>185563.0499999999</v>
      </c>
      <c r="K118" s="23">
        <f t="shared" si="53"/>
        <v>244015.17000000007</v>
      </c>
      <c r="L118" s="23">
        <f t="shared" si="53"/>
        <v>180742.11999999988</v>
      </c>
      <c r="M118" s="23">
        <f t="shared" si="53"/>
        <v>190449.34999999977</v>
      </c>
      <c r="N118" s="23">
        <f t="shared" si="53"/>
        <v>216225.12999999998</v>
      </c>
      <c r="O118" s="23">
        <f t="shared" si="53"/>
        <v>246252.40999999893</v>
      </c>
      <c r="P118" s="23">
        <f t="shared" si="53"/>
        <v>214201.53999999992</v>
      </c>
      <c r="Q118" s="23">
        <f t="shared" si="53"/>
        <v>273139.97999999882</v>
      </c>
      <c r="R118" s="23">
        <f t="shared" si="53"/>
        <v>142556.20000000001</v>
      </c>
      <c r="T118" s="23">
        <f>+SUM(T119:T126)</f>
        <v>343053.51000000007</v>
      </c>
      <c r="U118" s="23">
        <f>+SUM(U119:U126)</f>
        <v>610320.33999999985</v>
      </c>
      <c r="V118" s="23">
        <f>+SUM(V119:V126)</f>
        <v>652926.88999999873</v>
      </c>
      <c r="W118" s="23">
        <f>+SUM(W119:W126)</f>
        <v>629897.71999999869</v>
      </c>
      <c r="Y118" s="23">
        <f>+SUM(Y119:Y126)</f>
        <v>953373.85</v>
      </c>
    </row>
    <row r="119" spans="1:25" hidden="1" outlineLevel="1">
      <c r="A119" s="14"/>
      <c r="B119" s="15"/>
      <c r="C119" s="12"/>
      <c r="D119" s="12" t="s">
        <v>15</v>
      </c>
      <c r="E119" s="23">
        <f t="shared" ref="E119:E126" si="54">+E99*E6</f>
        <v>251610.75999999978</v>
      </c>
      <c r="F119" s="23">
        <f t="shared" si="52"/>
        <v>268747.34999999934</v>
      </c>
      <c r="G119" s="23">
        <v>4133.2200000000048</v>
      </c>
      <c r="H119" s="23">
        <v>20944.25999999998</v>
      </c>
      <c r="I119" s="23">
        <v>35127.909999999858</v>
      </c>
      <c r="J119" s="23">
        <f>11384.11+486.31</f>
        <v>11870.42</v>
      </c>
      <c r="K119" s="23">
        <v>25520.899999999907</v>
      </c>
      <c r="L119" s="23">
        <v>26773.339999999898</v>
      </c>
      <c r="M119" s="23">
        <v>30236.5</v>
      </c>
      <c r="N119" s="23">
        <v>25702.0099999999</v>
      </c>
      <c r="O119" s="23">
        <v>44415.779999999897</v>
      </c>
      <c r="P119" s="23">
        <v>20626.14</v>
      </c>
      <c r="Q119" s="23">
        <v>17712.879999999899</v>
      </c>
      <c r="R119" s="23">
        <v>5683.99</v>
      </c>
      <c r="T119" s="23">
        <f t="shared" ref="T119:W134" si="55">+SUMIF($G$3:$R$3,T$1,$G119:$R119)</f>
        <v>60205.389999999839</v>
      </c>
      <c r="U119" s="23">
        <f t="shared" si="55"/>
        <v>64164.6599999998</v>
      </c>
      <c r="V119" s="23">
        <f t="shared" si="55"/>
        <v>100354.2899999998</v>
      </c>
      <c r="W119" s="23">
        <f t="shared" si="55"/>
        <v>44023.0099999999</v>
      </c>
      <c r="Y119" s="23">
        <f t="shared" ref="Y119:Y126" si="56">+SUMIF($G$4:$R$4,"X",$G119:$R119)</f>
        <v>124370.04999999964</v>
      </c>
    </row>
    <row r="120" spans="1:25" hidden="1" outlineLevel="1">
      <c r="A120" s="14"/>
      <c r="B120" s="15"/>
      <c r="C120" s="12"/>
      <c r="D120" s="12" t="s">
        <v>16</v>
      </c>
      <c r="E120" s="23">
        <f t="shared" si="54"/>
        <v>247960.13999999873</v>
      </c>
      <c r="F120" s="23">
        <f t="shared" si="52"/>
        <v>1048628.0199999979</v>
      </c>
      <c r="G120" s="23">
        <v>20146.460000000079</v>
      </c>
      <c r="H120" s="23">
        <v>43669.340000000084</v>
      </c>
      <c r="I120" s="23">
        <v>80329.859999999986</v>
      </c>
      <c r="J120" s="23">
        <v>88884.559999999939</v>
      </c>
      <c r="K120" s="23">
        <v>123336.14000000013</v>
      </c>
      <c r="L120" s="23">
        <v>74360.289999999994</v>
      </c>
      <c r="M120" s="23">
        <v>90303.329999999798</v>
      </c>
      <c r="N120" s="23">
        <v>80630.100000000093</v>
      </c>
      <c r="O120" s="23">
        <v>112952.609999999</v>
      </c>
      <c r="P120" s="23">
        <v>110917.44</v>
      </c>
      <c r="Q120" s="23">
        <v>145742.08999999901</v>
      </c>
      <c r="R120" s="23">
        <v>77355.8</v>
      </c>
      <c r="T120" s="23">
        <f t="shared" si="55"/>
        <v>144145.66000000015</v>
      </c>
      <c r="U120" s="23">
        <f t="shared" si="55"/>
        <v>286580.99000000005</v>
      </c>
      <c r="V120" s="23">
        <f t="shared" si="55"/>
        <v>283886.03999999887</v>
      </c>
      <c r="W120" s="23">
        <f t="shared" si="55"/>
        <v>334015.32999999903</v>
      </c>
      <c r="Y120" s="23">
        <f t="shared" si="56"/>
        <v>430726.6500000002</v>
      </c>
    </row>
    <row r="121" spans="1:25" hidden="1" outlineLevel="1">
      <c r="A121" s="14"/>
      <c r="B121" s="15"/>
      <c r="C121" s="12"/>
      <c r="D121" s="12" t="s">
        <v>17</v>
      </c>
      <c r="E121" s="23">
        <f t="shared" si="54"/>
        <v>0</v>
      </c>
      <c r="F121" s="23">
        <f t="shared" si="52"/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T121" s="23">
        <f t="shared" si="55"/>
        <v>0</v>
      </c>
      <c r="U121" s="23">
        <f t="shared" si="55"/>
        <v>0</v>
      </c>
      <c r="V121" s="23">
        <f t="shared" si="55"/>
        <v>0</v>
      </c>
      <c r="W121" s="23">
        <f t="shared" si="55"/>
        <v>0</v>
      </c>
      <c r="Y121" s="23">
        <f t="shared" si="56"/>
        <v>0</v>
      </c>
    </row>
    <row r="122" spans="1:25" hidden="1" outlineLevel="1">
      <c r="A122" s="14"/>
      <c r="B122" s="15"/>
      <c r="C122" s="12"/>
      <c r="D122" s="12" t="s">
        <v>18</v>
      </c>
      <c r="E122" s="23">
        <f t="shared" si="54"/>
        <v>0</v>
      </c>
      <c r="F122" s="23">
        <f t="shared" si="52"/>
        <v>0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T122" s="23">
        <f t="shared" si="55"/>
        <v>0</v>
      </c>
      <c r="U122" s="23">
        <f t="shared" si="55"/>
        <v>0</v>
      </c>
      <c r="V122" s="23">
        <f t="shared" si="55"/>
        <v>0</v>
      </c>
      <c r="W122" s="23">
        <f t="shared" si="55"/>
        <v>0</v>
      </c>
      <c r="Y122" s="23">
        <f t="shared" si="56"/>
        <v>0</v>
      </c>
    </row>
    <row r="123" spans="1:25" hidden="1" outlineLevel="1">
      <c r="A123" s="14"/>
      <c r="B123" s="15"/>
      <c r="C123" s="12"/>
      <c r="D123" s="12" t="s">
        <v>19</v>
      </c>
      <c r="E123" s="23">
        <f t="shared" si="54"/>
        <v>18550.810000000056</v>
      </c>
      <c r="F123" s="23">
        <f t="shared" si="52"/>
        <v>145916.95999999996</v>
      </c>
      <c r="G123" s="23">
        <v>5014.6700000000128</v>
      </c>
      <c r="H123" s="23">
        <v>8509.4200000000419</v>
      </c>
      <c r="I123" s="23">
        <v>6789.2799999999988</v>
      </c>
      <c r="J123" s="23">
        <f>3125.03-1374.86</f>
        <v>1750.1700000000003</v>
      </c>
      <c r="K123" s="23">
        <v>9709.1000000000058</v>
      </c>
      <c r="L123" s="23">
        <v>11064.46</v>
      </c>
      <c r="M123" s="23">
        <v>7565.8099999999904</v>
      </c>
      <c r="N123" s="23">
        <v>28227.55</v>
      </c>
      <c r="O123" s="23">
        <v>3540.44</v>
      </c>
      <c r="P123" s="23">
        <v>22795.679999999898</v>
      </c>
      <c r="Q123" s="23">
        <v>32222.35</v>
      </c>
      <c r="R123" s="23">
        <v>8728.0299999999897</v>
      </c>
      <c r="T123" s="23">
        <f t="shared" si="55"/>
        <v>20313.370000000054</v>
      </c>
      <c r="U123" s="23">
        <f t="shared" si="55"/>
        <v>22523.730000000003</v>
      </c>
      <c r="V123" s="23">
        <f t="shared" si="55"/>
        <v>39333.799999999988</v>
      </c>
      <c r="W123" s="23">
        <f t="shared" si="55"/>
        <v>63746.059999999889</v>
      </c>
      <c r="Y123" s="23">
        <f t="shared" si="56"/>
        <v>42837.100000000064</v>
      </c>
    </row>
    <row r="124" spans="1:25" hidden="1" outlineLevel="1">
      <c r="A124" s="14" t="s">
        <v>72</v>
      </c>
      <c r="B124" s="15"/>
      <c r="C124" s="12"/>
      <c r="D124" s="12" t="s">
        <v>21</v>
      </c>
      <c r="E124" s="23">
        <f t="shared" si="54"/>
        <v>62961.120000000112</v>
      </c>
      <c r="F124" s="23">
        <f t="shared" si="52"/>
        <v>75892.679999999964</v>
      </c>
      <c r="G124" s="23">
        <v>898.55000000000291</v>
      </c>
      <c r="H124" s="23">
        <v>987.85000000000582</v>
      </c>
      <c r="I124" s="23">
        <v>6884.3699999999953</v>
      </c>
      <c r="J124" s="23">
        <v>10386.969999999972</v>
      </c>
      <c r="K124" s="23">
        <v>6141.9900000000198</v>
      </c>
      <c r="L124" s="23">
        <v>7884.9199999999801</v>
      </c>
      <c r="M124" s="23">
        <v>5617.1199999999899</v>
      </c>
      <c r="N124" s="23">
        <v>7992.19</v>
      </c>
      <c r="O124" s="23">
        <v>5452.6</v>
      </c>
      <c r="P124" s="23">
        <v>5310.6100000000097</v>
      </c>
      <c r="Q124" s="23">
        <v>7323.4299999999903</v>
      </c>
      <c r="R124" s="23">
        <v>11012.08</v>
      </c>
      <c r="T124" s="23">
        <f t="shared" si="55"/>
        <v>8770.7700000000041</v>
      </c>
      <c r="U124" s="23">
        <f t="shared" si="55"/>
        <v>24413.879999999972</v>
      </c>
      <c r="V124" s="23">
        <f t="shared" si="55"/>
        <v>19061.909999999989</v>
      </c>
      <c r="W124" s="23">
        <f t="shared" si="55"/>
        <v>23646.120000000003</v>
      </c>
      <c r="Y124" s="23">
        <f t="shared" si="56"/>
        <v>33184.64999999998</v>
      </c>
    </row>
    <row r="125" spans="1:25" hidden="1" outlineLevel="1">
      <c r="A125" s="14" t="s">
        <v>73</v>
      </c>
      <c r="B125" s="54">
        <f>+F125/F12</f>
        <v>1720.5128571428572</v>
      </c>
      <c r="C125" s="12"/>
      <c r="D125" s="12" t="s">
        <v>24</v>
      </c>
      <c r="E125" s="23">
        <f t="shared" si="54"/>
        <v>11086.700000000012</v>
      </c>
      <c r="F125" s="23">
        <f t="shared" si="52"/>
        <v>36130.770000000004</v>
      </c>
      <c r="G125" s="23">
        <v>0</v>
      </c>
      <c r="H125" s="23">
        <v>3632.1399999999994</v>
      </c>
      <c r="I125" s="23">
        <v>3059.25</v>
      </c>
      <c r="J125" s="23">
        <f>12000.58+1374.86</f>
        <v>13375.44</v>
      </c>
      <c r="K125" s="23">
        <v>11158.450000000012</v>
      </c>
      <c r="L125" s="23">
        <v>1036</v>
      </c>
      <c r="M125" s="23">
        <v>-276</v>
      </c>
      <c r="N125" s="23">
        <v>983.900000000001</v>
      </c>
      <c r="O125" s="23">
        <v>0</v>
      </c>
      <c r="P125" s="23">
        <v>0</v>
      </c>
      <c r="Q125" s="23">
        <v>1097.8799999999901</v>
      </c>
      <c r="R125" s="23">
        <v>2063.71</v>
      </c>
      <c r="T125" s="23">
        <f t="shared" si="55"/>
        <v>6691.3899999999994</v>
      </c>
      <c r="U125" s="23">
        <f t="shared" si="55"/>
        <v>25569.890000000014</v>
      </c>
      <c r="V125" s="23">
        <f t="shared" si="55"/>
        <v>707.900000000001</v>
      </c>
      <c r="W125" s="23">
        <f t="shared" si="55"/>
        <v>3161.5899999999901</v>
      </c>
      <c r="Y125" s="23">
        <f t="shared" si="56"/>
        <v>32261.280000000013</v>
      </c>
    </row>
    <row r="126" spans="1:25" hidden="1" outlineLevel="1">
      <c r="A126" s="14" t="s">
        <v>74</v>
      </c>
      <c r="B126" s="15"/>
      <c r="C126" s="12"/>
      <c r="D126" s="12" t="s">
        <v>25</v>
      </c>
      <c r="E126" s="23">
        <f t="shared" si="54"/>
        <v>563772.75000000012</v>
      </c>
      <c r="F126" s="23">
        <f t="shared" si="52"/>
        <v>660882.67999999982</v>
      </c>
      <c r="G126" s="23">
        <v>16592.419999999998</v>
      </c>
      <c r="H126" s="23">
        <v>32755.629999999997</v>
      </c>
      <c r="I126" s="23">
        <v>53578.880000000005</v>
      </c>
      <c r="J126" s="23">
        <v>59295.49</v>
      </c>
      <c r="K126" s="23">
        <v>68148.59</v>
      </c>
      <c r="L126" s="23">
        <v>59623.11</v>
      </c>
      <c r="M126" s="23">
        <v>57002.59</v>
      </c>
      <c r="N126" s="23">
        <v>72689.38</v>
      </c>
      <c r="O126" s="23">
        <v>79890.98</v>
      </c>
      <c r="P126" s="23">
        <v>54551.67</v>
      </c>
      <c r="Q126" s="23">
        <v>69041.349999999904</v>
      </c>
      <c r="R126" s="23">
        <v>37712.589999999997</v>
      </c>
      <c r="T126" s="23">
        <f t="shared" si="55"/>
        <v>102926.93</v>
      </c>
      <c r="U126" s="23">
        <f t="shared" si="55"/>
        <v>187067.19</v>
      </c>
      <c r="V126" s="23">
        <f t="shared" si="55"/>
        <v>209582.95</v>
      </c>
      <c r="W126" s="23">
        <f t="shared" si="55"/>
        <v>161305.6099999999</v>
      </c>
      <c r="Y126" s="23">
        <f t="shared" si="56"/>
        <v>289994.12</v>
      </c>
    </row>
    <row r="127" spans="1:25" hidden="1" outlineLevel="1">
      <c r="A127" s="14" t="s">
        <v>75</v>
      </c>
      <c r="B127" s="15"/>
      <c r="C127" s="12" t="s">
        <v>27</v>
      </c>
      <c r="D127" s="15"/>
      <c r="E127" s="23">
        <f>+SUM(E128:E135)</f>
        <v>715852.48999999964</v>
      </c>
      <c r="F127" s="23">
        <f t="shared" si="52"/>
        <v>1495131.5299999996</v>
      </c>
      <c r="G127" s="23">
        <f t="shared" ref="G127:K127" si="57">+SUM(G128:G135)</f>
        <v>40132.89999999998</v>
      </c>
      <c r="H127" s="23">
        <f t="shared" si="57"/>
        <v>74473.139999999956</v>
      </c>
      <c r="I127" s="23">
        <f t="shared" si="57"/>
        <v>114994.67000000007</v>
      </c>
      <c r="J127" s="23">
        <f t="shared" si="57"/>
        <v>111125.62999999998</v>
      </c>
      <c r="K127" s="23">
        <f t="shared" si="57"/>
        <v>157641.71000000005</v>
      </c>
      <c r="L127" s="23">
        <f t="shared" ref="L127:R127" si="58">+SUM(L128:L135)</f>
        <v>125531.26</v>
      </c>
      <c r="M127" s="23">
        <f t="shared" si="58"/>
        <v>178125.21999999997</v>
      </c>
      <c r="N127" s="23">
        <f t="shared" si="58"/>
        <v>115144.6099999999</v>
      </c>
      <c r="O127" s="23">
        <f t="shared" si="58"/>
        <v>167955.62999999989</v>
      </c>
      <c r="P127" s="23">
        <f t="shared" si="58"/>
        <v>140395.72999999981</v>
      </c>
      <c r="Q127" s="23">
        <f t="shared" si="58"/>
        <v>182466.17999999988</v>
      </c>
      <c r="R127" s="23">
        <f t="shared" si="58"/>
        <v>87144.850000000035</v>
      </c>
      <c r="T127" s="24">
        <f>+SUM(T128:T135)</f>
        <v>229600.71000000002</v>
      </c>
      <c r="U127" s="24">
        <f>+SUM(U128:U135)</f>
        <v>394298.60000000003</v>
      </c>
      <c r="V127" s="24">
        <f>+SUM(V128:V135)</f>
        <v>461225.45999999985</v>
      </c>
      <c r="W127" s="24">
        <f>+SUM(W128:W135)</f>
        <v>410006.75999999972</v>
      </c>
      <c r="Y127" s="24">
        <f>+SUM(Y128:Y135)</f>
        <v>623899.31000000006</v>
      </c>
    </row>
    <row r="128" spans="1:25" hidden="1" outlineLevel="1">
      <c r="A128" s="14"/>
      <c r="B128" s="15"/>
      <c r="C128" s="12"/>
      <c r="D128" s="12" t="s">
        <v>29</v>
      </c>
      <c r="E128" s="23">
        <f t="shared" ref="E128:E135" si="59">+E108*E15</f>
        <v>92339.57000000008</v>
      </c>
      <c r="F128" s="23">
        <f t="shared" si="52"/>
        <v>499309.66999999969</v>
      </c>
      <c r="G128" s="23">
        <v>14666.959999999992</v>
      </c>
      <c r="H128" s="23">
        <v>22956.919999999969</v>
      </c>
      <c r="I128" s="23">
        <v>39178.430000000022</v>
      </c>
      <c r="J128" s="23">
        <f>39705.73-486.31</f>
        <v>39219.420000000006</v>
      </c>
      <c r="K128" s="23">
        <v>50137.580000000075</v>
      </c>
      <c r="L128" s="23">
        <v>31346.9</v>
      </c>
      <c r="M128" s="23">
        <v>66537.03</v>
      </c>
      <c r="N128" s="23">
        <v>39659.809999999903</v>
      </c>
      <c r="O128" s="23">
        <v>50068.1</v>
      </c>
      <c r="P128" s="23">
        <v>43401.879999999903</v>
      </c>
      <c r="Q128" s="23">
        <v>62755.219999999899</v>
      </c>
      <c r="R128" s="23">
        <v>39381.42</v>
      </c>
      <c r="T128" s="23">
        <f t="shared" si="55"/>
        <v>76802.309999999983</v>
      </c>
      <c r="U128" s="23">
        <f t="shared" si="55"/>
        <v>120703.90000000008</v>
      </c>
      <c r="V128" s="23">
        <f t="shared" si="55"/>
        <v>156264.93999999992</v>
      </c>
      <c r="W128" s="23">
        <f t="shared" si="55"/>
        <v>145538.51999999979</v>
      </c>
      <c r="Y128" s="23">
        <f t="shared" ref="Y128:Y136" si="60">+SUMIF($G$4:$R$4,"X",$G128:$R128)</f>
        <v>197506.21000000005</v>
      </c>
    </row>
    <row r="129" spans="1:25" hidden="1" outlineLevel="1">
      <c r="A129" s="14"/>
      <c r="B129" s="15"/>
      <c r="C129" s="12"/>
      <c r="D129" s="12" t="s">
        <v>30</v>
      </c>
      <c r="E129" s="23">
        <f t="shared" si="59"/>
        <v>123069.11999999976</v>
      </c>
      <c r="F129" s="23">
        <f t="shared" si="52"/>
        <v>13230.82</v>
      </c>
      <c r="G129" s="23">
        <v>715</v>
      </c>
      <c r="H129" s="23">
        <v>0</v>
      </c>
      <c r="I129" s="23">
        <v>0</v>
      </c>
      <c r="J129" s="23">
        <f>1511.09</f>
        <v>1511.09</v>
      </c>
      <c r="K129" s="23">
        <f>-434-93.8</f>
        <v>-527.79999999999995</v>
      </c>
      <c r="L129" s="23">
        <v>39.68</v>
      </c>
      <c r="M129" s="23">
        <v>302.7</v>
      </c>
      <c r="N129" s="23">
        <v>-585</v>
      </c>
      <c r="O129" s="23">
        <v>7120.14</v>
      </c>
      <c r="P129" s="23">
        <v>651.63</v>
      </c>
      <c r="Q129" s="23">
        <v>2295.5100000000002</v>
      </c>
      <c r="R129" s="23">
        <v>1707.87</v>
      </c>
      <c r="T129" s="23">
        <f t="shared" si="55"/>
        <v>715</v>
      </c>
      <c r="U129" s="23">
        <f t="shared" si="55"/>
        <v>1022.9699999999999</v>
      </c>
      <c r="V129" s="23">
        <f t="shared" si="55"/>
        <v>6837.84</v>
      </c>
      <c r="W129" s="23">
        <f t="shared" si="55"/>
        <v>4655.01</v>
      </c>
      <c r="Y129" s="23">
        <f t="shared" si="60"/>
        <v>1737.9700000000003</v>
      </c>
    </row>
    <row r="130" spans="1:25" hidden="1" outlineLevel="1">
      <c r="A130" s="14"/>
      <c r="B130" s="15"/>
      <c r="C130" s="12"/>
      <c r="D130" s="12" t="s">
        <v>31</v>
      </c>
      <c r="E130" s="23">
        <f t="shared" si="59"/>
        <v>0</v>
      </c>
      <c r="F130" s="23">
        <f t="shared" si="52"/>
        <v>0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T130" s="23">
        <f t="shared" si="55"/>
        <v>0</v>
      </c>
      <c r="U130" s="23">
        <f t="shared" si="55"/>
        <v>0</v>
      </c>
      <c r="V130" s="23">
        <f t="shared" si="55"/>
        <v>0</v>
      </c>
      <c r="W130" s="23">
        <f t="shared" si="55"/>
        <v>0</v>
      </c>
      <c r="Y130" s="23">
        <f t="shared" si="60"/>
        <v>0</v>
      </c>
    </row>
    <row r="131" spans="1:25" hidden="1" outlineLevel="1">
      <c r="A131" s="14"/>
      <c r="B131" s="15"/>
      <c r="C131" s="12"/>
      <c r="D131" s="12" t="s">
        <v>32</v>
      </c>
      <c r="E131" s="23">
        <f t="shared" si="59"/>
        <v>0</v>
      </c>
      <c r="F131" s="23">
        <f t="shared" si="52"/>
        <v>0</v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T131" s="23">
        <f t="shared" si="55"/>
        <v>0</v>
      </c>
      <c r="U131" s="23">
        <f t="shared" si="55"/>
        <v>0</v>
      </c>
      <c r="V131" s="23">
        <f t="shared" si="55"/>
        <v>0</v>
      </c>
      <c r="W131" s="23">
        <f t="shared" si="55"/>
        <v>0</v>
      </c>
      <c r="Y131" s="23">
        <f t="shared" si="60"/>
        <v>0</v>
      </c>
    </row>
    <row r="132" spans="1:25" hidden="1" outlineLevel="1">
      <c r="A132" s="14"/>
      <c r="B132" s="15"/>
      <c r="C132" s="12"/>
      <c r="D132" s="12" t="s">
        <v>33</v>
      </c>
      <c r="E132" s="23">
        <f t="shared" si="59"/>
        <v>0</v>
      </c>
      <c r="F132" s="23">
        <f t="shared" si="52"/>
        <v>0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T132" s="23">
        <f t="shared" si="55"/>
        <v>0</v>
      </c>
      <c r="U132" s="23">
        <f t="shared" si="55"/>
        <v>0</v>
      </c>
      <c r="V132" s="23">
        <f t="shared" si="55"/>
        <v>0</v>
      </c>
      <c r="W132" s="23">
        <f t="shared" si="55"/>
        <v>0</v>
      </c>
      <c r="Y132" s="23">
        <f t="shared" si="60"/>
        <v>0</v>
      </c>
    </row>
    <row r="133" spans="1:25" hidden="1" outlineLevel="1">
      <c r="A133" s="14" t="s">
        <v>76</v>
      </c>
      <c r="B133" s="15"/>
      <c r="C133" s="12"/>
      <c r="D133" s="12" t="s">
        <v>36</v>
      </c>
      <c r="E133" s="23">
        <f t="shared" si="59"/>
        <v>0</v>
      </c>
      <c r="F133" s="23">
        <f t="shared" si="52"/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T133" s="23">
        <f t="shared" si="55"/>
        <v>0</v>
      </c>
      <c r="U133" s="23">
        <f t="shared" si="55"/>
        <v>0</v>
      </c>
      <c r="V133" s="23">
        <f t="shared" si="55"/>
        <v>0</v>
      </c>
      <c r="W133" s="23">
        <f t="shared" si="55"/>
        <v>0</v>
      </c>
      <c r="Y133" s="23">
        <f t="shared" si="60"/>
        <v>0</v>
      </c>
    </row>
    <row r="134" spans="1:25" hidden="1" outlineLevel="1">
      <c r="A134" s="14" t="s">
        <v>77</v>
      </c>
      <c r="B134" s="15"/>
      <c r="C134" s="12"/>
      <c r="D134" s="12" t="s">
        <v>39</v>
      </c>
      <c r="E134" s="23">
        <f t="shared" si="59"/>
        <v>26113.379999999888</v>
      </c>
      <c r="F134" s="23">
        <f t="shared" si="52"/>
        <v>141067.81999999992</v>
      </c>
      <c r="G134" s="23">
        <v>-824.20000000001164</v>
      </c>
      <c r="H134" s="23">
        <v>2687.6699999999837</v>
      </c>
      <c r="I134" s="23">
        <v>5956.5600000000559</v>
      </c>
      <c r="J134" s="23">
        <v>8512.789999999979</v>
      </c>
      <c r="K134" s="23">
        <v>25076.789999999979</v>
      </c>
      <c r="L134" s="23">
        <v>10854.03</v>
      </c>
      <c r="M134" s="23">
        <v>7568.76</v>
      </c>
      <c r="N134" s="23">
        <v>9724.25</v>
      </c>
      <c r="O134" s="23">
        <v>25628.32</v>
      </c>
      <c r="P134" s="23">
        <v>15124.9199999999</v>
      </c>
      <c r="Q134" s="23">
        <v>28573.279999999999</v>
      </c>
      <c r="R134" s="23">
        <v>2184.6500000000201</v>
      </c>
      <c r="T134" s="23">
        <f t="shared" si="55"/>
        <v>7820.0300000000279</v>
      </c>
      <c r="U134" s="23">
        <f t="shared" si="55"/>
        <v>44443.609999999957</v>
      </c>
      <c r="V134" s="23">
        <f t="shared" si="55"/>
        <v>42921.33</v>
      </c>
      <c r="W134" s="23">
        <f t="shared" si="55"/>
        <v>45882.849999999919</v>
      </c>
      <c r="Y134" s="23">
        <f t="shared" si="60"/>
        <v>52263.639999999985</v>
      </c>
    </row>
    <row r="135" spans="1:25" hidden="1" outlineLevel="1">
      <c r="A135" s="14" t="s">
        <v>78</v>
      </c>
      <c r="B135" s="15"/>
      <c r="C135" s="12"/>
      <c r="D135" s="12" t="s">
        <v>25</v>
      </c>
      <c r="E135" s="23">
        <f t="shared" si="59"/>
        <v>474330.41999999993</v>
      </c>
      <c r="F135" s="23">
        <f t="shared" si="52"/>
        <v>841523.22000000009</v>
      </c>
      <c r="G135" s="23">
        <v>25575.14</v>
      </c>
      <c r="H135" s="23">
        <v>48828.55</v>
      </c>
      <c r="I135" s="23">
        <v>69859.679999999993</v>
      </c>
      <c r="J135" s="23">
        <v>61882.329999999994</v>
      </c>
      <c r="K135" s="23">
        <v>82955.14</v>
      </c>
      <c r="L135" s="23">
        <v>83290.649999999994</v>
      </c>
      <c r="M135" s="23">
        <v>103716.73</v>
      </c>
      <c r="N135" s="23">
        <v>66345.55</v>
      </c>
      <c r="O135" s="23">
        <v>85139.069999999905</v>
      </c>
      <c r="P135" s="23">
        <v>81217.3</v>
      </c>
      <c r="Q135" s="23">
        <v>88842.17</v>
      </c>
      <c r="R135" s="23">
        <v>43870.91</v>
      </c>
      <c r="T135" s="23">
        <f t="shared" ref="T135:W136" si="61">+SUMIF($G$3:$R$3,T$1,$G135:$R135)</f>
        <v>144263.37</v>
      </c>
      <c r="U135" s="23">
        <f t="shared" si="61"/>
        <v>228128.12</v>
      </c>
      <c r="V135" s="23">
        <f t="shared" si="61"/>
        <v>255201.34999999992</v>
      </c>
      <c r="W135" s="23">
        <f t="shared" si="61"/>
        <v>213930.38</v>
      </c>
      <c r="Y135" s="23">
        <f t="shared" si="60"/>
        <v>372391.49</v>
      </c>
    </row>
    <row r="136" spans="1:25" hidden="1" outlineLevel="1">
      <c r="A136" s="14" t="s">
        <v>79</v>
      </c>
      <c r="B136" s="15" t="s">
        <v>80</v>
      </c>
      <c r="C136" s="12" t="s">
        <v>42</v>
      </c>
      <c r="D136" s="15"/>
      <c r="E136" s="23">
        <f>+E63*E137+E64*E138</f>
        <v>2296587.5100000002</v>
      </c>
      <c r="F136" s="23">
        <f t="shared" si="52"/>
        <v>2204296.7599999965</v>
      </c>
      <c r="G136" s="23">
        <f t="shared" ref="G136:R136" si="62">+G63*G137+G138*G64</f>
        <v>127485.07999999999</v>
      </c>
      <c r="H136" s="23">
        <f t="shared" si="62"/>
        <v>126284.26000000001</v>
      </c>
      <c r="I136" s="23">
        <f t="shared" si="62"/>
        <v>182673.64</v>
      </c>
      <c r="J136" s="23">
        <f t="shared" si="62"/>
        <v>234949.17000000004</v>
      </c>
      <c r="K136" s="23">
        <f t="shared" si="62"/>
        <v>185471.89</v>
      </c>
      <c r="L136" s="23">
        <f t="shared" si="62"/>
        <v>195837.00999999911</v>
      </c>
      <c r="M136" s="23">
        <f t="shared" si="62"/>
        <v>148824.15999999997</v>
      </c>
      <c r="N136" s="23">
        <f t="shared" si="62"/>
        <v>154789.75999999919</v>
      </c>
      <c r="O136" s="23">
        <f t="shared" si="62"/>
        <v>176608.24999999919</v>
      </c>
      <c r="P136" s="23">
        <f t="shared" si="62"/>
        <v>222491.1299999998</v>
      </c>
      <c r="Q136" s="23">
        <f t="shared" si="62"/>
        <v>282276.63999999949</v>
      </c>
      <c r="R136" s="23">
        <f t="shared" si="62"/>
        <v>166605.76999999976</v>
      </c>
      <c r="T136" s="23">
        <f t="shared" si="61"/>
        <v>436442.98</v>
      </c>
      <c r="U136" s="23">
        <f t="shared" si="61"/>
        <v>616258.06999999913</v>
      </c>
      <c r="V136" s="23">
        <f t="shared" si="61"/>
        <v>480222.16999999835</v>
      </c>
      <c r="W136" s="23">
        <f t="shared" si="61"/>
        <v>671373.53999999911</v>
      </c>
      <c r="Y136" s="23">
        <f t="shared" si="60"/>
        <v>1052701.0499999991</v>
      </c>
    </row>
    <row r="137" spans="1:25" hidden="1" outlineLevel="1">
      <c r="A137" s="14"/>
      <c r="B137" s="15" t="s">
        <v>81</v>
      </c>
      <c r="C137" s="12" t="s">
        <v>81</v>
      </c>
      <c r="D137" s="12" t="s">
        <v>82</v>
      </c>
      <c r="E137" s="27">
        <v>0.65188107050436594</v>
      </c>
      <c r="F137" s="23"/>
      <c r="G137" s="27">
        <v>0.67984665161363966</v>
      </c>
      <c r="H137" s="27">
        <v>0.65315161732842963</v>
      </c>
      <c r="I137" s="27">
        <v>0.69742624913292783</v>
      </c>
      <c r="J137" s="27">
        <v>0.6624307726135632</v>
      </c>
      <c r="K137" s="27">
        <v>0.66583561771209943</v>
      </c>
      <c r="L137" s="27">
        <v>0.67292381435716997</v>
      </c>
      <c r="M137" s="27">
        <v>0.68953193278343194</v>
      </c>
      <c r="N137" s="27">
        <v>0.67023111247151301</v>
      </c>
      <c r="O137" s="27">
        <v>0.67610281594216104</v>
      </c>
      <c r="P137" s="27">
        <v>0.71785689755315896</v>
      </c>
      <c r="Q137" s="27">
        <v>0.72769202450318105</v>
      </c>
      <c r="R137" s="27">
        <v>0.71081469861873403</v>
      </c>
      <c r="T137" s="27"/>
      <c r="U137" s="27"/>
      <c r="V137" s="27"/>
      <c r="W137" s="27"/>
      <c r="Y137" s="27"/>
    </row>
    <row r="138" spans="1:25" hidden="1" outlineLevel="1">
      <c r="A138" s="14"/>
      <c r="B138" s="15" t="s">
        <v>83</v>
      </c>
      <c r="C138" s="12" t="s">
        <v>83</v>
      </c>
      <c r="D138" s="12" t="s">
        <v>84</v>
      </c>
      <c r="E138" s="27">
        <v>0.22907925664173323</v>
      </c>
      <c r="F138" s="23"/>
      <c r="G138" s="27">
        <v>0.18726017135868583</v>
      </c>
      <c r="H138" s="27">
        <v>0.21835208225721078</v>
      </c>
      <c r="I138" s="27">
        <v>0.21815849154104519</v>
      </c>
      <c r="J138" s="27">
        <v>0.19782324185116454</v>
      </c>
      <c r="K138" s="27">
        <v>0.21619522370436095</v>
      </c>
      <c r="L138" s="27">
        <v>0.22682954653569901</v>
      </c>
      <c r="M138" s="27">
        <v>0.24713790179209999</v>
      </c>
      <c r="N138" s="27">
        <v>0.25172036767032302</v>
      </c>
      <c r="O138" s="27">
        <v>0.21263560752719801</v>
      </c>
      <c r="P138" s="27">
        <v>0.23240302622759801</v>
      </c>
      <c r="Q138" s="27">
        <v>0.235568531462337</v>
      </c>
      <c r="R138" s="27">
        <v>0.21045522228264699</v>
      </c>
      <c r="T138" s="27"/>
      <c r="U138" s="27"/>
      <c r="V138" s="27"/>
      <c r="W138" s="27"/>
      <c r="Y138" s="27"/>
    </row>
    <row r="139" spans="1:25" hidden="1" outlineLevel="1">
      <c r="A139" s="14" t="s">
        <v>85</v>
      </c>
      <c r="B139" s="15" t="s">
        <v>85</v>
      </c>
      <c r="C139" s="12" t="s">
        <v>48</v>
      </c>
      <c r="D139" s="15"/>
      <c r="E139" s="28">
        <f>+E140*E65</f>
        <v>1464488.3</v>
      </c>
      <c r="F139" s="23">
        <f>+SUM(G139:R139)</f>
        <v>1223051.2299999991</v>
      </c>
      <c r="G139" s="28">
        <f t="shared" ref="G139:R139" si="63">+IFERROR(G140*G65,0)</f>
        <v>83016.01999999999</v>
      </c>
      <c r="H139" s="28">
        <f t="shared" si="63"/>
        <v>73282.359999999986</v>
      </c>
      <c r="I139" s="28">
        <f t="shared" si="63"/>
        <v>87097.02999999997</v>
      </c>
      <c r="J139" s="28">
        <f t="shared" si="63"/>
        <v>109274.89000000004</v>
      </c>
      <c r="K139" s="28">
        <f t="shared" si="63"/>
        <v>98600.079999999987</v>
      </c>
      <c r="L139" s="28">
        <f t="shared" si="63"/>
        <v>119350.91</v>
      </c>
      <c r="M139" s="28">
        <f t="shared" si="63"/>
        <v>92766.78</v>
      </c>
      <c r="N139" s="28">
        <f t="shared" si="63"/>
        <v>85790.48</v>
      </c>
      <c r="O139" s="28">
        <f t="shared" si="63"/>
        <v>109473.94999999899</v>
      </c>
      <c r="P139" s="28">
        <f t="shared" si="63"/>
        <v>118849.29999999999</v>
      </c>
      <c r="Q139" s="28">
        <f t="shared" si="63"/>
        <v>137147.87</v>
      </c>
      <c r="R139" s="28">
        <f t="shared" si="63"/>
        <v>108401.56</v>
      </c>
      <c r="T139" s="23">
        <f>+SUMIF($G$3:$R$3,T$1,$G139:$R139)</f>
        <v>243395.40999999995</v>
      </c>
      <c r="U139" s="23">
        <f>+SUMIF($G$3:$R$3,U$1,$G139:$R139)</f>
        <v>327225.88</v>
      </c>
      <c r="V139" s="23">
        <f>+SUMIF($G$3:$R$3,V$1,$G139:$R139)</f>
        <v>288031.20999999903</v>
      </c>
      <c r="W139" s="23">
        <f>+SUMIF($G$3:$R$3,W$1,$G139:$R139)</f>
        <v>364398.73</v>
      </c>
      <c r="Y139" s="23">
        <f>+SUMIF($G$4:$R$4,"X",$G139:$R139)</f>
        <v>570621.29</v>
      </c>
    </row>
    <row r="140" spans="1:25" hidden="1" outlineLevel="1">
      <c r="A140" s="22"/>
      <c r="B140" s="15"/>
      <c r="D140" s="12" t="s">
        <v>86</v>
      </c>
      <c r="E140" s="29">
        <v>0.31189627515903873</v>
      </c>
      <c r="G140" s="30">
        <v>0.26247298907421984</v>
      </c>
      <c r="H140" s="30">
        <v>0.27549506688735631</v>
      </c>
      <c r="I140" s="30">
        <v>0.29191894552197822</v>
      </c>
      <c r="J140" s="31">
        <v>0.29839351758920635</v>
      </c>
      <c r="K140" s="31">
        <v>0.29466337859261527</v>
      </c>
      <c r="L140" s="31">
        <v>0.28038428634603074</v>
      </c>
      <c r="M140" s="31">
        <v>0.28579925517703803</v>
      </c>
      <c r="N140" s="31">
        <v>0.26741647178373018</v>
      </c>
      <c r="O140" s="31">
        <v>0.26290422437526534</v>
      </c>
      <c r="P140" s="31">
        <v>0.28296480868442564</v>
      </c>
      <c r="Q140" s="31">
        <v>0.27457327867007975</v>
      </c>
      <c r="R140" s="31">
        <v>0.28980017255694418</v>
      </c>
      <c r="T140" s="29">
        <f>+IFERROR(T139/T65,0)</f>
        <v>0.27638254886768959</v>
      </c>
      <c r="U140" s="29">
        <f t="shared" ref="U140:W140" si="64">+IFERROR(U139/U65,0)</f>
        <v>0.29048037410771121</v>
      </c>
      <c r="V140" s="29">
        <f t="shared" si="64"/>
        <v>0.27126644203906713</v>
      </c>
      <c r="W140" s="29">
        <f t="shared" si="64"/>
        <v>0.28170108156507762</v>
      </c>
      <c r="Y140" s="29">
        <f>+IFERROR(Y139/Y65,0)</f>
        <v>0.28429487221484562</v>
      </c>
    </row>
    <row r="141" spans="1:25" collapsed="1">
      <c r="A141" s="22"/>
    </row>
    <row r="142" spans="1:25">
      <c r="A142" s="22"/>
      <c r="B142" s="15" t="s">
        <v>87</v>
      </c>
      <c r="E142" s="24">
        <f>+E139+E136+E127+E118</f>
        <v>5632870.5799999982</v>
      </c>
      <c r="F142" s="24">
        <f>+SUM(G142:R142)</f>
        <v>7158677.9799999921</v>
      </c>
      <c r="G142" s="24">
        <f t="shared" ref="G142:R142" si="65">+IFERROR(G139+G136+G127+G118,0)</f>
        <v>297419.32000000007</v>
      </c>
      <c r="H142" s="24">
        <f t="shared" si="65"/>
        <v>384538.4</v>
      </c>
      <c r="I142" s="24">
        <f t="shared" si="65"/>
        <v>570534.8899999999</v>
      </c>
      <c r="J142" s="24">
        <f t="shared" si="65"/>
        <v>640912.74</v>
      </c>
      <c r="K142" s="24">
        <f t="shared" si="65"/>
        <v>685728.85000000009</v>
      </c>
      <c r="L142" s="24">
        <f t="shared" si="65"/>
        <v>621461.299999999</v>
      </c>
      <c r="M142" s="24">
        <f t="shared" si="65"/>
        <v>610165.50999999966</v>
      </c>
      <c r="N142" s="24">
        <f t="shared" si="65"/>
        <v>571949.97999999905</v>
      </c>
      <c r="O142" s="24">
        <f t="shared" si="65"/>
        <v>700290.23999999696</v>
      </c>
      <c r="P142" s="24">
        <f t="shared" si="65"/>
        <v>695937.69999999949</v>
      </c>
      <c r="Q142" s="24">
        <f t="shared" si="65"/>
        <v>875030.66999999818</v>
      </c>
      <c r="R142" s="24">
        <f t="shared" si="65"/>
        <v>504708.37999999977</v>
      </c>
      <c r="T142" s="24">
        <f>+T139+T136+T127+T118</f>
        <v>1252492.6099999999</v>
      </c>
      <c r="U142" s="24">
        <f>+U139+U136+U127+U118</f>
        <v>1948102.889999999</v>
      </c>
      <c r="V142" s="24">
        <f>+V139+V136+V127+V118</f>
        <v>1882405.7299999958</v>
      </c>
      <c r="W142" s="24">
        <f>+W139+W136+W127+W118</f>
        <v>2075676.7499999977</v>
      </c>
      <c r="Y142" s="24">
        <f>+Y139+Y136+Y127+Y118</f>
        <v>3200595.4999999995</v>
      </c>
    </row>
    <row r="143" spans="1:25">
      <c r="A143" s="14"/>
      <c r="B143" s="32" t="s">
        <v>88</v>
      </c>
      <c r="C143" s="32"/>
      <c r="D143" s="32"/>
      <c r="E143" s="33">
        <f t="shared" ref="E143:R143" si="66">IF(E142=0,0,E142/E70)</f>
        <v>0.11744342235271961</v>
      </c>
      <c r="F143" s="33">
        <f t="shared" si="66"/>
        <v>0.12211392325305778</v>
      </c>
      <c r="G143" s="33">
        <f t="shared" si="66"/>
        <v>0.14332443152387361</v>
      </c>
      <c r="H143" s="33">
        <f t="shared" si="66"/>
        <v>0.11041740713000732</v>
      </c>
      <c r="I143" s="33">
        <f t="shared" si="66"/>
        <v>0.10547459147687267</v>
      </c>
      <c r="J143" s="33">
        <f t="shared" si="66"/>
        <v>0.12885057172751213</v>
      </c>
      <c r="K143" s="33">
        <f t="shared" si="66"/>
        <v>0.11926401631731641</v>
      </c>
      <c r="L143" s="33">
        <f t="shared" si="66"/>
        <v>0.109074096736611</v>
      </c>
      <c r="M143" s="33">
        <f t="shared" si="66"/>
        <v>0.11883489652837349</v>
      </c>
      <c r="N143" s="33">
        <f t="shared" si="66"/>
        <v>0.10890247561430798</v>
      </c>
      <c r="O143" s="33">
        <f t="shared" si="66"/>
        <v>0.1201071590323633</v>
      </c>
      <c r="P143" s="33">
        <f t="shared" si="66"/>
        <v>0.13589277907527203</v>
      </c>
      <c r="Q143" s="33">
        <f t="shared" si="66"/>
        <v>0.13193050925978886</v>
      </c>
      <c r="R143" s="33">
        <f t="shared" si="66"/>
        <v>0.15463620680759899</v>
      </c>
      <c r="T143" s="33">
        <f>IF(T142=0,0,T142/T70)</f>
        <v>0.11420607739377467</v>
      </c>
      <c r="U143" s="33">
        <f>IF(U142=0,0,U142/U70)</f>
        <v>0.11863228506172997</v>
      </c>
      <c r="V143" s="33">
        <f>IF(V142=0,0,V142/V70)</f>
        <v>0.11607566842496483</v>
      </c>
      <c r="W143" s="33">
        <f>IF(W142=0,0,W142/W70)</f>
        <v>0.13821644300566985</v>
      </c>
      <c r="Y143" s="33">
        <f>IF(Y142=0,0,Y142/Y70)</f>
        <v>0.11685992258400792</v>
      </c>
    </row>
    <row r="144" spans="1:25">
      <c r="A144" s="14"/>
      <c r="B144" s="32"/>
      <c r="C144" s="32"/>
      <c r="D144" s="32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T144" s="33"/>
      <c r="U144" s="33"/>
      <c r="V144" s="33"/>
      <c r="W144" s="33"/>
      <c r="Y144" s="33"/>
    </row>
    <row r="145" spans="1:25">
      <c r="A145" s="14"/>
      <c r="B145" s="15" t="s">
        <v>89</v>
      </c>
      <c r="C145" s="34"/>
      <c r="D145" s="32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T145" s="33"/>
      <c r="U145" s="33"/>
      <c r="V145" s="33"/>
      <c r="W145" s="33"/>
      <c r="Y145" s="33"/>
    </row>
    <row r="146" spans="1:25">
      <c r="A146" s="14" t="s">
        <v>90</v>
      </c>
      <c r="B146" s="12"/>
      <c r="C146" s="12" t="s">
        <v>91</v>
      </c>
      <c r="D146" s="34"/>
      <c r="E146" s="23">
        <f>+SUM(E147:E152)</f>
        <v>1912537.03</v>
      </c>
      <c r="F146" s="23">
        <f>+SUM(G146:R146)</f>
        <v>2025085.5699999994</v>
      </c>
      <c r="G146" s="23">
        <f t="shared" ref="G146:R146" si="67">+SUM(G147:G152)</f>
        <v>89489.959999999992</v>
      </c>
      <c r="H146" s="23">
        <f t="shared" si="67"/>
        <v>121801.01</v>
      </c>
      <c r="I146" s="23">
        <f t="shared" si="67"/>
        <v>171624.69999999998</v>
      </c>
      <c r="J146" s="23">
        <f t="shared" si="67"/>
        <v>162253.56</v>
      </c>
      <c r="K146" s="23">
        <f t="shared" si="67"/>
        <v>184412.32</v>
      </c>
      <c r="L146" s="23">
        <f t="shared" si="67"/>
        <v>171831.81999999977</v>
      </c>
      <c r="M146" s="23">
        <f t="shared" si="67"/>
        <v>186126.87999999989</v>
      </c>
      <c r="N146" s="23">
        <f t="shared" si="67"/>
        <v>182368.84999999989</v>
      </c>
      <c r="O146" s="23">
        <f t="shared" si="67"/>
        <v>195065.22</v>
      </c>
      <c r="P146" s="23">
        <f t="shared" si="67"/>
        <v>190145.49</v>
      </c>
      <c r="Q146" s="23">
        <f t="shared" si="67"/>
        <v>235990.97999999978</v>
      </c>
      <c r="R146" s="23">
        <f t="shared" si="67"/>
        <v>133974.78</v>
      </c>
      <c r="T146" s="23">
        <f>+SUM(T147:T152)</f>
        <v>382915.67000000004</v>
      </c>
      <c r="U146" s="23">
        <f>+SUM(U147:U152)</f>
        <v>518497.69999999984</v>
      </c>
      <c r="V146" s="23">
        <f>+SUM(V147:V152)</f>
        <v>563560.94999999972</v>
      </c>
      <c r="W146" s="23">
        <f>+SUM(W147:W152)</f>
        <v>560111.24999999977</v>
      </c>
      <c r="Y146" s="23">
        <f>+SUM(Y147:Y152)</f>
        <v>901413.36999999965</v>
      </c>
    </row>
    <row r="147" spans="1:25" hidden="1" outlineLevel="1">
      <c r="A147" s="14"/>
      <c r="B147" t="s">
        <v>92</v>
      </c>
      <c r="C147" s="12"/>
      <c r="D147" s="34" t="s">
        <v>93</v>
      </c>
      <c r="E147" s="23">
        <v>511371.93000000005</v>
      </c>
      <c r="F147" s="23">
        <f t="shared" ref="F147:F152" si="68">+SUM(G147:R147)</f>
        <v>735672.44999999984</v>
      </c>
      <c r="G147" s="23">
        <v>27313.18</v>
      </c>
      <c r="H147" s="23">
        <v>39693.89</v>
      </c>
      <c r="I147" s="23">
        <v>61571.08</v>
      </c>
      <c r="J147" s="23">
        <v>59114.630000000005</v>
      </c>
      <c r="K147" s="23">
        <v>72046.05</v>
      </c>
      <c r="L147" s="23">
        <v>58637.75</v>
      </c>
      <c r="M147" s="23">
        <v>64400.35</v>
      </c>
      <c r="N147" s="23">
        <v>66628.5</v>
      </c>
      <c r="O147" s="23">
        <v>77259.56</v>
      </c>
      <c r="P147" s="23">
        <v>64192.74</v>
      </c>
      <c r="Q147" s="23">
        <v>89089.769999999902</v>
      </c>
      <c r="R147" s="23">
        <v>55724.95</v>
      </c>
      <c r="T147" s="23">
        <f t="shared" ref="T147:W152" si="69">+SUMIF($G$3:$R$3,T$1,$G147:$R147)</f>
        <v>128578.15000000001</v>
      </c>
      <c r="U147" s="23">
        <f t="shared" si="69"/>
        <v>189798.43</v>
      </c>
      <c r="V147" s="23">
        <f t="shared" si="69"/>
        <v>208288.41</v>
      </c>
      <c r="W147" s="23">
        <f t="shared" si="69"/>
        <v>209007.4599999999</v>
      </c>
      <c r="Y147" s="23">
        <f t="shared" ref="Y147:Y152" si="70">+SUMIF($G$4:$R$4,"X",$G147:$R147)</f>
        <v>318376.58</v>
      </c>
    </row>
    <row r="148" spans="1:25" hidden="1" outlineLevel="1">
      <c r="A148" s="14"/>
      <c r="B148" s="12"/>
      <c r="C148" s="12"/>
      <c r="D148" s="34" t="s">
        <v>94</v>
      </c>
      <c r="E148" s="23">
        <v>335215.51</v>
      </c>
      <c r="F148" s="23">
        <f t="shared" si="68"/>
        <v>455378.20999999985</v>
      </c>
      <c r="G148" s="23">
        <v>12286.67</v>
      </c>
      <c r="H148" s="23">
        <v>23174.97</v>
      </c>
      <c r="I148" s="23">
        <v>38193.18</v>
      </c>
      <c r="J148" s="23">
        <v>39231.949999999997</v>
      </c>
      <c r="K148" s="23">
        <v>45193.8</v>
      </c>
      <c r="L148" s="23">
        <v>42874.479999999901</v>
      </c>
      <c r="M148" s="23">
        <v>49218.59</v>
      </c>
      <c r="N148" s="23">
        <v>40714.300000000003</v>
      </c>
      <c r="O148" s="23">
        <v>48740.03</v>
      </c>
      <c r="P148" s="23">
        <v>40730.36</v>
      </c>
      <c r="Q148" s="23">
        <v>50768.92</v>
      </c>
      <c r="R148" s="23">
        <v>24250.959999999999</v>
      </c>
      <c r="T148" s="23">
        <f t="shared" si="69"/>
        <v>73654.820000000007</v>
      </c>
      <c r="U148" s="23">
        <f t="shared" si="69"/>
        <v>127300.22999999989</v>
      </c>
      <c r="V148" s="23">
        <f t="shared" si="69"/>
        <v>138672.91999999998</v>
      </c>
      <c r="W148" s="23">
        <f t="shared" si="69"/>
        <v>115750.23999999999</v>
      </c>
      <c r="Y148" s="23">
        <f t="shared" si="70"/>
        <v>200955.0499999999</v>
      </c>
    </row>
    <row r="149" spans="1:25" hidden="1" outlineLevel="1">
      <c r="A149" s="14"/>
      <c r="B149" s="12" t="s">
        <v>95</v>
      </c>
      <c r="C149" s="12"/>
      <c r="D149" s="34" t="s">
        <v>96</v>
      </c>
      <c r="E149" s="23">
        <v>218260.23</v>
      </c>
      <c r="F149" s="23">
        <f t="shared" si="68"/>
        <v>209571.60999999993</v>
      </c>
      <c r="G149" s="23">
        <v>7437.68</v>
      </c>
      <c r="H149" s="23">
        <v>12471.369999999999</v>
      </c>
      <c r="I149" s="23">
        <v>15644.150000000001</v>
      </c>
      <c r="J149" s="23">
        <v>23454.129999999997</v>
      </c>
      <c r="K149" s="23">
        <v>14583.66</v>
      </c>
      <c r="L149" s="23">
        <v>16890.6699999999</v>
      </c>
      <c r="M149" s="23">
        <v>22475.82</v>
      </c>
      <c r="N149" s="23">
        <v>19395.599999999999</v>
      </c>
      <c r="O149" s="23">
        <v>19270.48</v>
      </c>
      <c r="P149" s="23">
        <v>23621.45</v>
      </c>
      <c r="Q149" s="23">
        <v>25040.44</v>
      </c>
      <c r="R149" s="23">
        <v>9286.16</v>
      </c>
      <c r="T149" s="23">
        <f t="shared" si="69"/>
        <v>35553.199999999997</v>
      </c>
      <c r="U149" s="23">
        <f t="shared" si="69"/>
        <v>54928.45999999989</v>
      </c>
      <c r="V149" s="23">
        <f t="shared" si="69"/>
        <v>61141.899999999994</v>
      </c>
      <c r="W149" s="23">
        <f t="shared" si="69"/>
        <v>57948.05</v>
      </c>
      <c r="Y149" s="23">
        <f t="shared" si="70"/>
        <v>90481.659999999887</v>
      </c>
    </row>
    <row r="150" spans="1:25" hidden="1" outlineLevel="1">
      <c r="A150" s="14"/>
      <c r="B150" t="s">
        <v>97</v>
      </c>
      <c r="C150" s="12"/>
      <c r="D150" s="34" t="s">
        <v>98</v>
      </c>
      <c r="E150" s="23">
        <v>118086.44</v>
      </c>
      <c r="F150" s="23">
        <f t="shared" si="68"/>
        <v>79995.719999999958</v>
      </c>
      <c r="G150" s="23">
        <v>2774.71</v>
      </c>
      <c r="H150" s="23">
        <v>2306.12</v>
      </c>
      <c r="I150" s="23">
        <v>5766.95</v>
      </c>
      <c r="J150" s="23">
        <v>2586.0699999999997</v>
      </c>
      <c r="K150" s="23">
        <v>5775.67</v>
      </c>
      <c r="L150" s="23">
        <v>6495.78999999999</v>
      </c>
      <c r="M150" s="23">
        <v>6725.8600000000006</v>
      </c>
      <c r="N150" s="23">
        <v>2750.4899999999902</v>
      </c>
      <c r="O150" s="23">
        <v>7111.2399999999889</v>
      </c>
      <c r="P150" s="23">
        <v>11644.76</v>
      </c>
      <c r="Q150" s="23">
        <v>15589.86</v>
      </c>
      <c r="R150" s="23">
        <v>10468.200000000001</v>
      </c>
      <c r="T150" s="23">
        <f t="shared" si="69"/>
        <v>10847.779999999999</v>
      </c>
      <c r="U150" s="23">
        <f t="shared" si="69"/>
        <v>14857.52999999999</v>
      </c>
      <c r="V150" s="23">
        <f t="shared" si="69"/>
        <v>16587.589999999982</v>
      </c>
      <c r="W150" s="23">
        <f t="shared" si="69"/>
        <v>37702.820000000007</v>
      </c>
      <c r="Y150" s="23">
        <f t="shared" si="70"/>
        <v>25705.309999999987</v>
      </c>
    </row>
    <row r="151" spans="1:25" hidden="1" outlineLevel="1">
      <c r="A151" s="14"/>
      <c r="B151" s="12"/>
      <c r="C151" s="12"/>
      <c r="D151" s="34" t="s">
        <v>99</v>
      </c>
      <c r="E151" s="23">
        <v>397206.21</v>
      </c>
      <c r="F151" s="23">
        <f t="shared" si="68"/>
        <v>280094.20999999979</v>
      </c>
      <c r="G151" s="23">
        <v>21544.989999999998</v>
      </c>
      <c r="H151" s="23">
        <v>25818.58</v>
      </c>
      <c r="I151" s="23">
        <v>26467.94</v>
      </c>
      <c r="J151" s="23">
        <v>20478.59</v>
      </c>
      <c r="K151" s="23">
        <v>21937.58</v>
      </c>
      <c r="L151" s="23">
        <v>21403.91</v>
      </c>
      <c r="M151" s="23">
        <v>21593.690000000002</v>
      </c>
      <c r="N151" s="23">
        <v>26103.889999999898</v>
      </c>
      <c r="O151" s="23">
        <v>18019.980000000003</v>
      </c>
      <c r="P151" s="23">
        <v>28285.4</v>
      </c>
      <c r="Q151" s="23">
        <v>32302.049999999901</v>
      </c>
      <c r="R151" s="23">
        <v>16137.61</v>
      </c>
      <c r="T151" s="23">
        <f t="shared" si="69"/>
        <v>73831.509999999995</v>
      </c>
      <c r="U151" s="23">
        <f t="shared" si="69"/>
        <v>63820.08</v>
      </c>
      <c r="V151" s="23">
        <f t="shared" si="69"/>
        <v>65717.55999999991</v>
      </c>
      <c r="W151" s="23">
        <f t="shared" si="69"/>
        <v>76725.05999999991</v>
      </c>
      <c r="Y151" s="23">
        <f t="shared" si="70"/>
        <v>137651.59</v>
      </c>
    </row>
    <row r="152" spans="1:25" hidden="1" outlineLevel="1">
      <c r="A152" s="14"/>
      <c r="B152" s="12"/>
      <c r="C152" s="12"/>
      <c r="D152" s="34" t="s">
        <v>100</v>
      </c>
      <c r="E152" s="23">
        <v>332396.70999999996</v>
      </c>
      <c r="F152" s="23">
        <f t="shared" si="68"/>
        <v>264373.36999999988</v>
      </c>
      <c r="G152" s="23">
        <v>18132.73</v>
      </c>
      <c r="H152" s="23">
        <v>18336.079999999998</v>
      </c>
      <c r="I152" s="23">
        <v>23981.399999999998</v>
      </c>
      <c r="J152" s="23">
        <v>17388.189999999999</v>
      </c>
      <c r="K152" s="23">
        <v>24875.559999999998</v>
      </c>
      <c r="L152" s="23">
        <v>25529.22</v>
      </c>
      <c r="M152" s="23">
        <v>21712.569999999901</v>
      </c>
      <c r="N152" s="23">
        <v>26776.07</v>
      </c>
      <c r="O152" s="23">
        <v>24663.93</v>
      </c>
      <c r="P152" s="23">
        <v>21670.78</v>
      </c>
      <c r="Q152" s="23">
        <v>23199.94</v>
      </c>
      <c r="R152" s="23">
        <v>18106.900000000001</v>
      </c>
      <c r="T152" s="23">
        <f t="shared" si="69"/>
        <v>60450.209999999992</v>
      </c>
      <c r="U152" s="23">
        <f t="shared" si="69"/>
        <v>67792.97</v>
      </c>
      <c r="V152" s="23">
        <f t="shared" si="69"/>
        <v>73152.569999999891</v>
      </c>
      <c r="W152" s="23">
        <f t="shared" si="69"/>
        <v>62977.62</v>
      </c>
      <c r="Y152" s="23">
        <f t="shared" si="70"/>
        <v>128243.18</v>
      </c>
    </row>
    <row r="153" spans="1:25" collapsed="1">
      <c r="A153" s="14" t="s">
        <v>101</v>
      </c>
      <c r="B153" s="12"/>
      <c r="C153" s="12" t="s">
        <v>102</v>
      </c>
      <c r="D153" s="34"/>
      <c r="E153" s="23">
        <f>+SUM(E154:E166)</f>
        <v>4763707.9600000009</v>
      </c>
      <c r="F153" s="23">
        <f>+SUM(G153:R153)</f>
        <v>4372997.419999999</v>
      </c>
      <c r="G153" s="23">
        <f t="shared" ref="G153:R153" si="71">+SUM(G154:G166)</f>
        <v>301702.52</v>
      </c>
      <c r="H153" s="23">
        <f t="shared" si="71"/>
        <v>321670.74</v>
      </c>
      <c r="I153" s="23">
        <f t="shared" si="71"/>
        <v>381359.08</v>
      </c>
      <c r="J153" s="23">
        <f t="shared" si="71"/>
        <v>377147.22000000003</v>
      </c>
      <c r="K153" s="23">
        <f t="shared" si="71"/>
        <v>366767.99</v>
      </c>
      <c r="L153" s="23">
        <f t="shared" si="71"/>
        <v>379517</v>
      </c>
      <c r="M153" s="23">
        <f t="shared" si="71"/>
        <v>339085.89999999979</v>
      </c>
      <c r="N153" s="23">
        <f t="shared" si="71"/>
        <v>322834.01999999979</v>
      </c>
      <c r="O153" s="23">
        <f t="shared" si="71"/>
        <v>372139.90999999986</v>
      </c>
      <c r="P153" s="23">
        <f t="shared" si="71"/>
        <v>372482.45999999996</v>
      </c>
      <c r="Q153" s="23">
        <f t="shared" si="71"/>
        <v>400716.60000000003</v>
      </c>
      <c r="R153" s="23">
        <f t="shared" si="71"/>
        <v>437573.97999999981</v>
      </c>
      <c r="T153" s="23">
        <f>+SUM(T154:T166)</f>
        <v>1004732.3399999999</v>
      </c>
      <c r="U153" s="23">
        <f>+SUM(U154:U166)</f>
        <v>1123432.2100000002</v>
      </c>
      <c r="V153" s="23">
        <f>+SUM(V154:V166)</f>
        <v>1034059.8299999995</v>
      </c>
      <c r="W153" s="23">
        <f>+SUM(W154:W166)</f>
        <v>1210773.04</v>
      </c>
      <c r="Y153" s="23">
        <f>+SUM(Y154:Y166)</f>
        <v>2128164.5499999998</v>
      </c>
    </row>
    <row r="154" spans="1:25" hidden="1" outlineLevel="1">
      <c r="A154" s="14"/>
      <c r="B154" s="12"/>
      <c r="C154" s="12"/>
      <c r="D154" s="34" t="s">
        <v>103</v>
      </c>
      <c r="E154" s="23">
        <v>108003.37</v>
      </c>
      <c r="F154" s="23">
        <f t="shared" ref="F154:F165" si="72">+SUM(G154:R154)</f>
        <v>67828.149999999994</v>
      </c>
      <c r="G154" s="23">
        <v>2916.67</v>
      </c>
      <c r="H154" s="23">
        <v>2916.67</v>
      </c>
      <c r="I154" s="23">
        <v>2916.67</v>
      </c>
      <c r="J154" s="23">
        <v>2916.67</v>
      </c>
      <c r="K154" s="23">
        <v>2336.25</v>
      </c>
      <c r="L154" s="23">
        <v>2336.25</v>
      </c>
      <c r="M154" s="23">
        <v>2336.25</v>
      </c>
      <c r="N154" s="23">
        <v>2336.25</v>
      </c>
      <c r="O154" s="23">
        <v>11182.41</v>
      </c>
      <c r="P154" s="23">
        <v>13393.95</v>
      </c>
      <c r="Q154" s="23">
        <v>11182.41</v>
      </c>
      <c r="R154" s="23">
        <v>11057.7</v>
      </c>
      <c r="T154" s="23">
        <f t="shared" ref="T154:W169" si="73">+SUMIF($G$3:$R$3,T$1,$G154:$R154)</f>
        <v>8750.01</v>
      </c>
      <c r="U154" s="23">
        <f t="shared" si="73"/>
        <v>7589.17</v>
      </c>
      <c r="V154" s="23">
        <f t="shared" si="73"/>
        <v>15854.91</v>
      </c>
      <c r="W154" s="23">
        <f t="shared" si="73"/>
        <v>35634.06</v>
      </c>
      <c r="Y154" s="23">
        <f t="shared" ref="Y154:Y167" si="74">+SUMIF($G$4:$R$4,"X",$G154:$R154)</f>
        <v>16339.18</v>
      </c>
    </row>
    <row r="155" spans="1:25" hidden="1" outlineLevel="1">
      <c r="A155" s="14"/>
      <c r="B155" s="35" t="s">
        <v>104</v>
      </c>
      <c r="C155" s="12"/>
      <c r="D155" s="34" t="s">
        <v>105</v>
      </c>
      <c r="E155" s="23">
        <v>608198.14</v>
      </c>
      <c r="F155" s="23">
        <f t="shared" si="72"/>
        <v>549294.62000000011</v>
      </c>
      <c r="G155" s="23">
        <v>34687.1</v>
      </c>
      <c r="H155" s="23">
        <v>48577.740000000005</v>
      </c>
      <c r="I155" s="23">
        <v>66586.930000000008</v>
      </c>
      <c r="J155" s="23">
        <v>52734.41</v>
      </c>
      <c r="K155" s="23">
        <v>45947.850000000006</v>
      </c>
      <c r="L155" s="23">
        <v>59639.14</v>
      </c>
      <c r="M155" s="23">
        <v>34199.57</v>
      </c>
      <c r="N155" s="23">
        <v>41305.11</v>
      </c>
      <c r="O155" s="23">
        <v>43261.47</v>
      </c>
      <c r="P155" s="23">
        <v>40235.339999999997</v>
      </c>
      <c r="Q155" s="23">
        <v>40718.9</v>
      </c>
      <c r="R155" s="23">
        <v>41401.06</v>
      </c>
      <c r="T155" s="23">
        <f t="shared" si="73"/>
        <v>149851.77000000002</v>
      </c>
      <c r="U155" s="23">
        <f t="shared" si="73"/>
        <v>158321.40000000002</v>
      </c>
      <c r="V155" s="23">
        <f t="shared" si="73"/>
        <v>118766.15</v>
      </c>
      <c r="W155" s="23">
        <f t="shared" si="73"/>
        <v>122355.29999999999</v>
      </c>
      <c r="Y155" s="23">
        <f t="shared" si="74"/>
        <v>308173.17000000004</v>
      </c>
    </row>
    <row r="156" spans="1:25" hidden="1" outlineLevel="1">
      <c r="A156" s="14"/>
      <c r="B156" s="12" t="s">
        <v>106</v>
      </c>
      <c r="C156" s="12"/>
      <c r="D156" s="34" t="s">
        <v>107</v>
      </c>
      <c r="E156" s="23">
        <v>1220099.97</v>
      </c>
      <c r="F156" s="23">
        <f t="shared" si="72"/>
        <v>1224959.3399999999</v>
      </c>
      <c r="G156" s="23">
        <v>95831.34</v>
      </c>
      <c r="H156" s="23">
        <v>79631.14</v>
      </c>
      <c r="I156" s="23">
        <v>104177</v>
      </c>
      <c r="J156" s="23">
        <v>110280.64</v>
      </c>
      <c r="K156" s="23">
        <v>103430.95999999999</v>
      </c>
      <c r="L156" s="23">
        <v>107405.66</v>
      </c>
      <c r="M156" s="23">
        <v>93598.579999999798</v>
      </c>
      <c r="N156" s="23">
        <v>87329.879999999903</v>
      </c>
      <c r="O156" s="23">
        <v>102726.76000000001</v>
      </c>
      <c r="P156" s="23">
        <v>120036.43</v>
      </c>
      <c r="Q156" s="23">
        <v>125108.57999999999</v>
      </c>
      <c r="R156" s="23">
        <v>95402.37</v>
      </c>
      <c r="T156" s="23">
        <f t="shared" si="73"/>
        <v>279639.48</v>
      </c>
      <c r="U156" s="23">
        <f t="shared" si="73"/>
        <v>321117.26</v>
      </c>
      <c r="V156" s="23">
        <f t="shared" si="73"/>
        <v>283655.21999999974</v>
      </c>
      <c r="W156" s="23">
        <f t="shared" si="73"/>
        <v>340547.38</v>
      </c>
      <c r="Y156" s="23">
        <f t="shared" si="74"/>
        <v>600756.74</v>
      </c>
    </row>
    <row r="157" spans="1:25" hidden="1" outlineLevel="1">
      <c r="A157" s="14"/>
      <c r="B157" s="12"/>
      <c r="C157" s="55">
        <f>+F157/SUM($F$154:$F$156,$F$147:$F$148,$F$92:$F$93)</f>
        <v>9.7083802219878529E-2</v>
      </c>
      <c r="D157" s="34" t="s">
        <v>108</v>
      </c>
      <c r="E157" s="23">
        <v>447998.2</v>
      </c>
      <c r="F157" s="23">
        <f t="shared" si="72"/>
        <v>457570.66999999981</v>
      </c>
      <c r="G157" s="23">
        <v>22034.920000000002</v>
      </c>
      <c r="H157" s="23">
        <v>32542.21</v>
      </c>
      <c r="I157" s="23">
        <v>35773.25</v>
      </c>
      <c r="J157" s="23">
        <f>34661.59-996.74</f>
        <v>33664.85</v>
      </c>
      <c r="K157" s="23">
        <v>36353.65</v>
      </c>
      <c r="L157" s="23">
        <v>39441.65</v>
      </c>
      <c r="M157" s="23">
        <v>38214.21</v>
      </c>
      <c r="N157" s="23">
        <v>28558.42</v>
      </c>
      <c r="O157" s="23">
        <v>49494.959999999897</v>
      </c>
      <c r="P157" s="23">
        <v>33777.35</v>
      </c>
      <c r="Q157" s="23">
        <v>42344.29</v>
      </c>
      <c r="R157" s="23">
        <v>65370.91</v>
      </c>
      <c r="T157" s="23">
        <f t="shared" si="73"/>
        <v>90350.38</v>
      </c>
      <c r="U157" s="23">
        <f t="shared" si="73"/>
        <v>109460.15</v>
      </c>
      <c r="V157" s="23">
        <f t="shared" si="73"/>
        <v>116267.58999999991</v>
      </c>
      <c r="W157" s="23">
        <f t="shared" si="73"/>
        <v>141492.54999999999</v>
      </c>
      <c r="Y157" s="23">
        <f t="shared" si="74"/>
        <v>199810.53</v>
      </c>
    </row>
    <row r="158" spans="1:25" hidden="1" outlineLevel="1">
      <c r="A158" s="14"/>
      <c r="B158" s="12"/>
      <c r="C158" s="55">
        <f>+F158/SUM($F$154:$F$156,$F$147:$F$148,$F$92:$F$93)</f>
        <v>6.5283313870630674E-2</v>
      </c>
      <c r="D158" s="34" t="s">
        <v>109</v>
      </c>
      <c r="E158" s="23">
        <v>305795.42</v>
      </c>
      <c r="F158" s="23">
        <f t="shared" si="72"/>
        <v>307690.15000000002</v>
      </c>
      <c r="G158" s="23">
        <v>18505.86</v>
      </c>
      <c r="H158" s="23">
        <v>17894.46</v>
      </c>
      <c r="I158" s="23">
        <v>30700.16</v>
      </c>
      <c r="J158" s="23">
        <v>29298.3</v>
      </c>
      <c r="K158" s="23">
        <v>27796.020000000004</v>
      </c>
      <c r="L158" s="23">
        <v>29323.11</v>
      </c>
      <c r="M158" s="23">
        <v>26415.07</v>
      </c>
      <c r="N158" s="23">
        <v>24548.66</v>
      </c>
      <c r="O158" s="23">
        <v>25087.85</v>
      </c>
      <c r="P158" s="23">
        <v>23832.69</v>
      </c>
      <c r="Q158" s="23">
        <v>26079.45</v>
      </c>
      <c r="R158" s="23">
        <v>28208.52</v>
      </c>
      <c r="T158" s="23">
        <f t="shared" si="73"/>
        <v>67100.479999999996</v>
      </c>
      <c r="U158" s="23">
        <f t="shared" si="73"/>
        <v>86417.430000000008</v>
      </c>
      <c r="V158" s="23">
        <f t="shared" si="73"/>
        <v>76051.579999999987</v>
      </c>
      <c r="W158" s="23">
        <f t="shared" si="73"/>
        <v>78120.66</v>
      </c>
      <c r="Y158" s="23">
        <f t="shared" si="74"/>
        <v>153517.91</v>
      </c>
    </row>
    <row r="159" spans="1:25" hidden="1" outlineLevel="1">
      <c r="A159" s="14"/>
      <c r="B159" s="12"/>
      <c r="C159" s="55">
        <f>+F159/SUM($F$154:$F$156,$F$147:$F$148,$F$92:$F$93)</f>
        <v>8.1881751172726988E-2</v>
      </c>
      <c r="D159" s="34" t="s">
        <v>110</v>
      </c>
      <c r="E159" s="23">
        <v>448732.34</v>
      </c>
      <c r="F159" s="23">
        <f t="shared" si="72"/>
        <v>385921.09999999992</v>
      </c>
      <c r="G159" s="23">
        <v>31766.530000000002</v>
      </c>
      <c r="H159" s="23">
        <v>31079.000000000004</v>
      </c>
      <c r="I159" s="23">
        <v>20259.45</v>
      </c>
      <c r="J159" s="23">
        <v>37434.42</v>
      </c>
      <c r="K159" s="23">
        <v>35128.960000000006</v>
      </c>
      <c r="L159" s="23">
        <v>37071.050000000003</v>
      </c>
      <c r="M159" s="23">
        <v>33759.730000000003</v>
      </c>
      <c r="N159" s="23">
        <v>31636.729999999901</v>
      </c>
      <c r="O159" s="23">
        <v>31979.82</v>
      </c>
      <c r="P159" s="23">
        <v>30346.79</v>
      </c>
      <c r="Q159" s="23">
        <v>33433.660000000003</v>
      </c>
      <c r="R159" s="23">
        <v>32024.959999999999</v>
      </c>
      <c r="T159" s="23">
        <f t="shared" si="73"/>
        <v>83104.98000000001</v>
      </c>
      <c r="U159" s="23">
        <f t="shared" si="73"/>
        <v>109634.43000000001</v>
      </c>
      <c r="V159" s="23">
        <f t="shared" si="73"/>
        <v>97376.279999999912</v>
      </c>
      <c r="W159" s="23">
        <f t="shared" si="73"/>
        <v>95805.41</v>
      </c>
      <c r="Y159" s="23">
        <f t="shared" si="74"/>
        <v>192739.41000000003</v>
      </c>
    </row>
    <row r="160" spans="1:25" hidden="1" outlineLevel="1">
      <c r="A160" s="14"/>
      <c r="B160" s="12"/>
      <c r="C160" s="55">
        <f>+F160/SUM($F$154:$F$156,$F$147:$F$148,$F$92:$F$93)</f>
        <v>3.5977981883340747E-2</v>
      </c>
      <c r="D160" s="34" t="s">
        <v>111</v>
      </c>
      <c r="E160" s="23">
        <v>42796.93</v>
      </c>
      <c r="F160" s="23">
        <f t="shared" si="72"/>
        <v>169569.67999999988</v>
      </c>
      <c r="G160" s="23">
        <v>5020.3100000000004</v>
      </c>
      <c r="H160" s="23">
        <v>11682.45</v>
      </c>
      <c r="I160" s="23">
        <v>19005.469999999998</v>
      </c>
      <c r="J160" s="23">
        <f>10260.51+996.74</f>
        <v>11257.25</v>
      </c>
      <c r="K160" s="23">
        <v>10120.39</v>
      </c>
      <c r="L160" s="23">
        <v>10664.26</v>
      </c>
      <c r="M160" s="23">
        <v>9241.53999999999</v>
      </c>
      <c r="N160" s="23">
        <v>8326.2199999999903</v>
      </c>
      <c r="O160" s="23">
        <v>8860.86</v>
      </c>
      <c r="P160" s="23">
        <v>8450.5999999999894</v>
      </c>
      <c r="Q160" s="23">
        <v>9021.27</v>
      </c>
      <c r="R160" s="23">
        <v>57919.059999999903</v>
      </c>
      <c r="T160" s="23">
        <f t="shared" si="73"/>
        <v>35708.229999999996</v>
      </c>
      <c r="U160" s="23">
        <f t="shared" si="73"/>
        <v>32041.9</v>
      </c>
      <c r="V160" s="23">
        <f t="shared" si="73"/>
        <v>26428.619999999981</v>
      </c>
      <c r="W160" s="23">
        <f t="shared" si="73"/>
        <v>75390.929999999891</v>
      </c>
      <c r="Y160" s="23">
        <f t="shared" si="74"/>
        <v>67750.12999999999</v>
      </c>
    </row>
    <row r="161" spans="1:25" hidden="1" outlineLevel="1">
      <c r="A161" s="14"/>
      <c r="B161" s="12"/>
      <c r="C161" s="12"/>
      <c r="D161" s="34" t="s">
        <v>112</v>
      </c>
      <c r="E161" s="23">
        <v>341124.37</v>
      </c>
      <c r="F161" s="23">
        <f t="shared" si="72"/>
        <v>227600.19999999998</v>
      </c>
      <c r="G161" s="23">
        <v>11966.5</v>
      </c>
      <c r="H161" s="23">
        <v>13337.6</v>
      </c>
      <c r="I161" s="23">
        <v>22264.709999999995</v>
      </c>
      <c r="J161" s="23">
        <v>17876.27</v>
      </c>
      <c r="K161" s="23">
        <v>22024.380000000005</v>
      </c>
      <c r="L161" s="23">
        <v>16437.799999999988</v>
      </c>
      <c r="M161" s="23">
        <v>21030.239999999998</v>
      </c>
      <c r="N161" s="23">
        <v>17015.779999999992</v>
      </c>
      <c r="O161" s="23">
        <v>19592.39999999998</v>
      </c>
      <c r="P161" s="23">
        <v>19329.529999999988</v>
      </c>
      <c r="Q161" s="23">
        <v>22695.739999999991</v>
      </c>
      <c r="R161" s="23">
        <v>24029.25</v>
      </c>
      <c r="T161" s="23">
        <f t="shared" si="73"/>
        <v>47568.81</v>
      </c>
      <c r="U161" s="23">
        <f t="shared" si="73"/>
        <v>56338.45</v>
      </c>
      <c r="V161" s="23">
        <f t="shared" si="73"/>
        <v>57638.419999999969</v>
      </c>
      <c r="W161" s="23">
        <f t="shared" si="73"/>
        <v>66054.519999999975</v>
      </c>
      <c r="Y161" s="23">
        <f t="shared" si="74"/>
        <v>103907.26</v>
      </c>
    </row>
    <row r="162" spans="1:25" hidden="1" outlineLevel="1">
      <c r="A162" s="14"/>
      <c r="B162" s="12"/>
      <c r="C162" s="12"/>
      <c r="D162" s="34" t="s">
        <v>49</v>
      </c>
      <c r="E162" s="23">
        <v>354707.67</v>
      </c>
      <c r="F162" s="23">
        <f t="shared" si="72"/>
        <v>312000</v>
      </c>
      <c r="G162" s="23">
        <v>26000</v>
      </c>
      <c r="H162" s="23">
        <v>26000</v>
      </c>
      <c r="I162" s="23">
        <v>26000</v>
      </c>
      <c r="J162" s="23">
        <v>26000</v>
      </c>
      <c r="K162" s="23">
        <v>26000</v>
      </c>
      <c r="L162" s="23">
        <v>26000</v>
      </c>
      <c r="M162" s="23">
        <v>26000</v>
      </c>
      <c r="N162" s="23">
        <v>26000</v>
      </c>
      <c r="O162" s="23">
        <v>26000</v>
      </c>
      <c r="P162" s="23">
        <v>26000</v>
      </c>
      <c r="Q162" s="23">
        <v>26000</v>
      </c>
      <c r="R162" s="23">
        <v>26000</v>
      </c>
      <c r="T162" s="23">
        <f t="shared" si="73"/>
        <v>78000</v>
      </c>
      <c r="U162" s="23">
        <f t="shared" si="73"/>
        <v>78000</v>
      </c>
      <c r="V162" s="23">
        <f t="shared" si="73"/>
        <v>78000</v>
      </c>
      <c r="W162" s="23">
        <f t="shared" si="73"/>
        <v>78000</v>
      </c>
      <c r="Y162" s="23">
        <f t="shared" si="74"/>
        <v>156000</v>
      </c>
    </row>
    <row r="163" spans="1:25" hidden="1" outlineLevel="1">
      <c r="A163" s="14"/>
      <c r="B163" s="12"/>
      <c r="C163" s="12"/>
      <c r="D163" s="34" t="s">
        <v>113</v>
      </c>
      <c r="E163" s="23">
        <v>238777.62999999998</v>
      </c>
      <c r="F163" s="23">
        <f t="shared" si="72"/>
        <v>197195.2</v>
      </c>
      <c r="G163" s="23">
        <v>17343.57</v>
      </c>
      <c r="H163" s="23">
        <v>17105.12</v>
      </c>
      <c r="I163" s="23">
        <v>16655.149999999998</v>
      </c>
      <c r="J163" s="23">
        <v>14013.07</v>
      </c>
      <c r="K163" s="23">
        <v>17024.350000000002</v>
      </c>
      <c r="L163" s="23">
        <v>15901.68</v>
      </c>
      <c r="M163" s="23">
        <v>17076.88</v>
      </c>
      <c r="N163" s="23">
        <v>16763.32</v>
      </c>
      <c r="O163" s="23">
        <v>15644.72</v>
      </c>
      <c r="P163" s="23">
        <v>16093.13</v>
      </c>
      <c r="Q163" s="23">
        <v>15689.12</v>
      </c>
      <c r="R163" s="23">
        <v>17885.09</v>
      </c>
      <c r="T163" s="23">
        <f t="shared" si="73"/>
        <v>51103.839999999997</v>
      </c>
      <c r="U163" s="23">
        <f t="shared" si="73"/>
        <v>46939.100000000006</v>
      </c>
      <c r="V163" s="23">
        <f t="shared" si="73"/>
        <v>49484.92</v>
      </c>
      <c r="W163" s="23">
        <f t="shared" si="73"/>
        <v>49667.34</v>
      </c>
      <c r="Y163" s="23">
        <f t="shared" si="74"/>
        <v>98042.94</v>
      </c>
    </row>
    <row r="164" spans="1:25" hidden="1" outlineLevel="1">
      <c r="A164" s="14"/>
      <c r="B164" s="12"/>
      <c r="C164" s="12"/>
      <c r="D164" s="34" t="s">
        <v>114</v>
      </c>
      <c r="E164" s="23">
        <v>473696.93999999994</v>
      </c>
      <c r="F164" s="23">
        <f t="shared" si="72"/>
        <v>287941.95999999985</v>
      </c>
      <c r="G164" s="23">
        <v>20108.509999999998</v>
      </c>
      <c r="H164" s="23">
        <v>25224.989999999998</v>
      </c>
      <c r="I164" s="23">
        <v>20735.849999999999</v>
      </c>
      <c r="J164" s="23">
        <v>28696.14</v>
      </c>
      <c r="K164" s="23">
        <v>24619.39</v>
      </c>
      <c r="L164" s="23">
        <v>22952.139999999989</v>
      </c>
      <c r="M164" s="23">
        <v>22391.10999999999</v>
      </c>
      <c r="N164" s="23">
        <v>21872.529999999992</v>
      </c>
      <c r="O164" s="23">
        <v>21620.760000000002</v>
      </c>
      <c r="P164" s="23">
        <v>23977.26999999999</v>
      </c>
      <c r="Q164" s="23">
        <v>31556.599999999988</v>
      </c>
      <c r="R164" s="23">
        <v>24186.669999999889</v>
      </c>
      <c r="T164" s="23">
        <f t="shared" si="73"/>
        <v>66069.350000000006</v>
      </c>
      <c r="U164" s="23">
        <f t="shared" si="73"/>
        <v>76267.669999999984</v>
      </c>
      <c r="V164" s="23">
        <f t="shared" si="73"/>
        <v>65884.399999999994</v>
      </c>
      <c r="W164" s="23">
        <f t="shared" si="73"/>
        <v>79720.539999999863</v>
      </c>
      <c r="Y164" s="23">
        <f t="shared" si="74"/>
        <v>142337.01999999999</v>
      </c>
    </row>
    <row r="165" spans="1:25" hidden="1" outlineLevel="1">
      <c r="A165" s="14"/>
      <c r="B165" s="12"/>
      <c r="C165" s="12"/>
      <c r="D165" s="34" t="s">
        <v>115</v>
      </c>
      <c r="E165" s="23">
        <v>173776.98</v>
      </c>
      <c r="F165" s="23">
        <f t="shared" si="72"/>
        <v>185426.35</v>
      </c>
      <c r="G165" s="23">
        <v>15521.210000000001</v>
      </c>
      <c r="H165" s="23">
        <v>15679.36</v>
      </c>
      <c r="I165" s="23">
        <v>16284.440000000002</v>
      </c>
      <c r="J165" s="23">
        <f>12975.4-0.2</f>
        <v>12975.199999999999</v>
      </c>
      <c r="K165" s="23">
        <v>15985.789999999999</v>
      </c>
      <c r="L165" s="23">
        <v>12344.26</v>
      </c>
      <c r="M165" s="23">
        <v>14822.720000000001</v>
      </c>
      <c r="N165" s="23">
        <v>17141.120000000003</v>
      </c>
      <c r="O165" s="23">
        <v>16687.900000000001</v>
      </c>
      <c r="P165" s="23">
        <v>17009.38</v>
      </c>
      <c r="Q165" s="23">
        <f>16746.58+140</f>
        <v>16886.580000000002</v>
      </c>
      <c r="R165" s="23">
        <v>14088.38999999999</v>
      </c>
      <c r="T165" s="23">
        <f t="shared" si="73"/>
        <v>47485.01</v>
      </c>
      <c r="U165" s="23">
        <f t="shared" si="73"/>
        <v>41305.25</v>
      </c>
      <c r="V165" s="23">
        <f t="shared" si="73"/>
        <v>48651.740000000005</v>
      </c>
      <c r="W165" s="23">
        <f t="shared" si="73"/>
        <v>47984.35</v>
      </c>
      <c r="Y165" s="23">
        <f t="shared" si="74"/>
        <v>88790.26</v>
      </c>
    </row>
    <row r="166" spans="1:25" hidden="1" outlineLevel="1">
      <c r="A166" s="14"/>
      <c r="B166" s="12"/>
      <c r="C166" s="12"/>
      <c r="D166" s="34" t="s">
        <v>116</v>
      </c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T166" s="23">
        <f t="shared" si="73"/>
        <v>0</v>
      </c>
      <c r="U166" s="23">
        <f t="shared" si="73"/>
        <v>0</v>
      </c>
      <c r="V166" s="23">
        <f t="shared" si="73"/>
        <v>0</v>
      </c>
      <c r="W166" s="23">
        <f t="shared" si="73"/>
        <v>0</v>
      </c>
      <c r="Y166" s="23">
        <f t="shared" si="74"/>
        <v>0</v>
      </c>
    </row>
    <row r="167" spans="1:25" collapsed="1">
      <c r="A167" s="14"/>
      <c r="B167" s="12"/>
      <c r="C167" s="12" t="s">
        <v>117</v>
      </c>
      <c r="D167" s="34"/>
      <c r="E167" s="23"/>
      <c r="F167" s="23">
        <f>+SUM(G167:R167)</f>
        <v>0</v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T167" s="23">
        <f t="shared" si="73"/>
        <v>0</v>
      </c>
      <c r="U167" s="23">
        <f t="shared" si="73"/>
        <v>0</v>
      </c>
      <c r="V167" s="23">
        <f t="shared" si="73"/>
        <v>0</v>
      </c>
      <c r="W167" s="23">
        <f t="shared" si="73"/>
        <v>0</v>
      </c>
      <c r="Y167" s="23">
        <f t="shared" si="74"/>
        <v>0</v>
      </c>
    </row>
    <row r="168" spans="1:25">
      <c r="A168" s="22"/>
      <c r="B168" s="15" t="s">
        <v>118</v>
      </c>
      <c r="C168" s="34"/>
      <c r="D168" s="15"/>
      <c r="E168" s="36">
        <f>+E153+E146</f>
        <v>6676244.9900000012</v>
      </c>
      <c r="F168" s="37">
        <f>+SUM(G168:R168)</f>
        <v>6398082.9899999993</v>
      </c>
      <c r="G168" s="36">
        <f t="shared" ref="G168:R168" si="75">+G153+G146</f>
        <v>391192.48</v>
      </c>
      <c r="H168" s="36">
        <f t="shared" si="75"/>
        <v>443471.75</v>
      </c>
      <c r="I168" s="36">
        <f t="shared" si="75"/>
        <v>552983.78</v>
      </c>
      <c r="J168" s="36">
        <f t="shared" si="75"/>
        <v>539400.78</v>
      </c>
      <c r="K168" s="36">
        <f t="shared" si="75"/>
        <v>551180.31000000006</v>
      </c>
      <c r="L168" s="36">
        <f t="shared" si="75"/>
        <v>551348.81999999983</v>
      </c>
      <c r="M168" s="36">
        <f t="shared" si="75"/>
        <v>525212.77999999968</v>
      </c>
      <c r="N168" s="36">
        <f t="shared" si="75"/>
        <v>505202.86999999965</v>
      </c>
      <c r="O168" s="36">
        <f t="shared" si="75"/>
        <v>567205.12999999989</v>
      </c>
      <c r="P168" s="36">
        <f t="shared" si="75"/>
        <v>562627.94999999995</v>
      </c>
      <c r="Q168" s="36">
        <f t="shared" si="75"/>
        <v>636707.57999999984</v>
      </c>
      <c r="R168" s="36">
        <f t="shared" si="75"/>
        <v>571548.75999999978</v>
      </c>
      <c r="T168" s="36">
        <f>+T153+T146</f>
        <v>1387648.0099999998</v>
      </c>
      <c r="U168" s="36">
        <f>+U153+U146</f>
        <v>1641929.9100000001</v>
      </c>
      <c r="V168" s="36">
        <f>+V153+V146</f>
        <v>1597620.7799999993</v>
      </c>
      <c r="W168" s="36">
        <f>+W153+W146</f>
        <v>1770884.2899999998</v>
      </c>
      <c r="Y168" s="36">
        <f>+Y153+Y146</f>
        <v>3029577.9199999995</v>
      </c>
    </row>
    <row r="169" spans="1:25">
      <c r="A169" s="22" t="s">
        <v>119</v>
      </c>
      <c r="B169" s="15" t="s">
        <v>120</v>
      </c>
      <c r="C169" s="34"/>
      <c r="D169" s="15"/>
      <c r="E169" s="38">
        <v>1834019.86</v>
      </c>
      <c r="F169" s="39">
        <f>+SUM(G169:R169)</f>
        <v>1546993.18</v>
      </c>
      <c r="G169" s="38">
        <v>79165.540000000008</v>
      </c>
      <c r="H169" s="38">
        <v>193545.41</v>
      </c>
      <c r="I169" s="38">
        <v>234259.09</v>
      </c>
      <c r="J169" s="38">
        <v>109415.24</v>
      </c>
      <c r="K169" s="38">
        <v>147858.66999999998</v>
      </c>
      <c r="L169" s="38">
        <v>115675.19</v>
      </c>
      <c r="M169" s="38">
        <v>93390.47</v>
      </c>
      <c r="N169" s="38">
        <v>155191.12</v>
      </c>
      <c r="O169" s="38">
        <v>124978.42</v>
      </c>
      <c r="P169" s="38">
        <v>90581.459999999905</v>
      </c>
      <c r="Q169" s="38">
        <v>120463.24</v>
      </c>
      <c r="R169" s="38">
        <v>82469.33</v>
      </c>
      <c r="T169" s="38">
        <f t="shared" si="73"/>
        <v>506970.04000000004</v>
      </c>
      <c r="U169" s="38">
        <f t="shared" si="73"/>
        <v>372949.1</v>
      </c>
      <c r="V169" s="38">
        <f t="shared" si="73"/>
        <v>373560.01</v>
      </c>
      <c r="W169" s="38">
        <f t="shared" si="73"/>
        <v>293514.02999999991</v>
      </c>
      <c r="Y169" s="38">
        <f>+SUMIF($G$4:$R$4,"X",$G169:$R169)</f>
        <v>879919.1399999999</v>
      </c>
    </row>
    <row r="170" spans="1:25">
      <c r="A170" s="1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T170" s="12"/>
      <c r="U170" s="12"/>
      <c r="V170" s="12"/>
      <c r="W170" s="12"/>
      <c r="Y170" s="12"/>
    </row>
    <row r="171" spans="1:25">
      <c r="A171" s="14"/>
      <c r="B171" s="15" t="s">
        <v>121</v>
      </c>
      <c r="C171" s="15"/>
      <c r="D171" s="15"/>
      <c r="E171" s="40">
        <f t="shared" ref="E171:R171" si="76">-E168+E169+E142</f>
        <v>790645.44999999739</v>
      </c>
      <c r="F171" s="40">
        <f t="shared" si="76"/>
        <v>2307588.1699999925</v>
      </c>
      <c r="G171" s="40">
        <f t="shared" si="76"/>
        <v>-14607.619999999879</v>
      </c>
      <c r="H171" s="40">
        <f t="shared" si="76"/>
        <v>134612.06000000003</v>
      </c>
      <c r="I171" s="40">
        <f t="shared" si="76"/>
        <v>251810.19999999984</v>
      </c>
      <c r="J171" s="40">
        <f t="shared" si="76"/>
        <v>210927.19999999995</v>
      </c>
      <c r="K171" s="40">
        <f t="shared" si="76"/>
        <v>282407.21000000002</v>
      </c>
      <c r="L171" s="40">
        <f t="shared" si="76"/>
        <v>185787.66999999917</v>
      </c>
      <c r="M171" s="40">
        <f t="shared" si="76"/>
        <v>178343.19999999995</v>
      </c>
      <c r="N171" s="40">
        <f t="shared" si="76"/>
        <v>221938.2299999994</v>
      </c>
      <c r="O171" s="40">
        <f t="shared" si="76"/>
        <v>258063.52999999706</v>
      </c>
      <c r="P171" s="40">
        <f t="shared" si="76"/>
        <v>223891.20999999944</v>
      </c>
      <c r="Q171" s="40">
        <f t="shared" si="76"/>
        <v>358786.32999999833</v>
      </c>
      <c r="R171" s="40">
        <f t="shared" si="76"/>
        <v>15628.950000000012</v>
      </c>
      <c r="T171" s="40">
        <f>-T168+T169+T142</f>
        <v>371814.64000000013</v>
      </c>
      <c r="U171" s="40">
        <f>-U168+U169+U142</f>
        <v>679122.07999999891</v>
      </c>
      <c r="V171" s="40">
        <f>-V168+V169+V142</f>
        <v>658344.95999999647</v>
      </c>
      <c r="W171" s="40">
        <f>-W168+W169+W142</f>
        <v>598306.4899999979</v>
      </c>
      <c r="Y171" s="40">
        <f>-Y168+Y169+Y142</f>
        <v>1050936.7200000002</v>
      </c>
    </row>
    <row r="172" spans="1:25">
      <c r="A172" s="14"/>
      <c r="B172" s="32" t="s">
        <v>122</v>
      </c>
      <c r="C172" s="32"/>
      <c r="D172" s="32"/>
      <c r="E172" s="33">
        <f t="shared" ref="E172:R172" si="77">IFERROR(E171/E70,0)</f>
        <v>1.6484686838944874E-2</v>
      </c>
      <c r="F172" s="33">
        <f t="shared" si="77"/>
        <v>3.9363223974916588E-2</v>
      </c>
      <c r="G172" s="33">
        <f t="shared" si="77"/>
        <v>-7.039316855464362E-3</v>
      </c>
      <c r="H172" s="33">
        <f t="shared" si="77"/>
        <v>3.8652874806856675E-2</v>
      </c>
      <c r="I172" s="33">
        <f t="shared" si="77"/>
        <v>4.6552066210551274E-2</v>
      </c>
      <c r="J172" s="33">
        <f t="shared" si="77"/>
        <v>4.2405289545162254E-2</v>
      </c>
      <c r="K172" s="33">
        <f t="shared" si="77"/>
        <v>4.9117108171207617E-2</v>
      </c>
      <c r="L172" s="33">
        <f t="shared" si="77"/>
        <v>3.2608019662768224E-2</v>
      </c>
      <c r="M172" s="33">
        <f t="shared" si="77"/>
        <v>3.4733847408941594E-2</v>
      </c>
      <c r="N172" s="33">
        <f t="shared" si="77"/>
        <v>4.2258280488894587E-2</v>
      </c>
      <c r="O172" s="33">
        <f t="shared" si="77"/>
        <v>4.4260616052799531E-2</v>
      </c>
      <c r="P172" s="33">
        <f t="shared" si="77"/>
        <v>4.3718279290553282E-2</v>
      </c>
      <c r="Q172" s="33">
        <f t="shared" si="77"/>
        <v>5.4095090441059097E-2</v>
      </c>
      <c r="R172" s="33">
        <f t="shared" si="77"/>
        <v>4.7885108315134919E-3</v>
      </c>
      <c r="T172" s="33">
        <f>IFERROR(T171/T70,0)</f>
        <v>3.3903187302620881E-2</v>
      </c>
      <c r="U172" s="33">
        <f>IFERROR(U171/U70,0)</f>
        <v>4.135603134713018E-2</v>
      </c>
      <c r="V172" s="33">
        <f>IFERROR(V171/V70,0)</f>
        <v>4.0595834398680086E-2</v>
      </c>
      <c r="W172" s="33">
        <f>IFERROR(W171/W70,0)</f>
        <v>3.9840401389574356E-2</v>
      </c>
      <c r="Y172" s="33">
        <f>IFERROR(Y171/Y70,0)</f>
        <v>3.8371729179738974E-2</v>
      </c>
    </row>
    <row r="173" spans="1:25">
      <c r="A173" s="1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T173" s="12"/>
      <c r="U173" s="12"/>
      <c r="V173" s="12"/>
      <c r="W173" s="12"/>
      <c r="Y173" s="12"/>
    </row>
    <row r="174" spans="1:25">
      <c r="A174" s="14"/>
      <c r="B174" s="12" t="s">
        <v>123</v>
      </c>
      <c r="C174" s="12"/>
      <c r="D174" s="12"/>
      <c r="E174" s="23">
        <v>107386.06999999998</v>
      </c>
      <c r="F174" s="23">
        <f t="shared" ref="F174:F183" si="78">+SUM(G174:R174)</f>
        <v>55105.989999999991</v>
      </c>
      <c r="G174" s="23">
        <v>9167</v>
      </c>
      <c r="H174" s="23">
        <v>9167</v>
      </c>
      <c r="I174" s="23">
        <v>9167</v>
      </c>
      <c r="J174" s="23">
        <v>9167</v>
      </c>
      <c r="K174" s="23">
        <v>-14301</v>
      </c>
      <c r="L174" s="23">
        <v>4314.5</v>
      </c>
      <c r="M174" s="23">
        <v>4314.5</v>
      </c>
      <c r="N174" s="23">
        <v>4314.5</v>
      </c>
      <c r="O174" s="23">
        <v>4314.5</v>
      </c>
      <c r="P174" s="23">
        <v>4314.5</v>
      </c>
      <c r="Q174" s="23">
        <v>6217.49999999999</v>
      </c>
      <c r="R174" s="23">
        <v>4948.99</v>
      </c>
      <c r="T174" s="23">
        <f>+SUMIF($G$3:$R$3,T$1,$G174:$R174)</f>
        <v>27501</v>
      </c>
      <c r="U174" s="23">
        <f>+SUMIF($G$3:$R$3,U$1,$G174:$R174)</f>
        <v>-819.5</v>
      </c>
      <c r="V174" s="23">
        <f>+SUMIF($G$3:$R$3,V$1,$G174:$R174)</f>
        <v>12943.5</v>
      </c>
      <c r="W174" s="23">
        <f>+SUMIF($G$3:$R$3,W$1,$G174:$R174)</f>
        <v>15480.989999999989</v>
      </c>
      <c r="Y174" s="23">
        <f>+SUMIF($G$4:$R$4,"X",$G174:$R174)</f>
        <v>26681.5</v>
      </c>
    </row>
    <row r="175" spans="1:25">
      <c r="A175" s="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T175" s="12"/>
      <c r="U175" s="12"/>
      <c r="V175" s="12"/>
      <c r="W175" s="12"/>
      <c r="Y175" s="12"/>
    </row>
    <row r="176" spans="1:25">
      <c r="A176" s="14"/>
      <c r="B176" s="15" t="s">
        <v>124</v>
      </c>
      <c r="C176" s="34"/>
      <c r="D176" s="15"/>
      <c r="E176" s="24"/>
      <c r="F176" s="41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T176" s="24"/>
      <c r="U176" s="24"/>
      <c r="V176" s="24"/>
      <c r="W176" s="24"/>
      <c r="Y176" s="24"/>
    </row>
    <row r="177" spans="1:25">
      <c r="A177" s="14"/>
      <c r="B177" s="12"/>
      <c r="C177" s="12" t="s">
        <v>125</v>
      </c>
      <c r="D177" s="15"/>
      <c r="E177" s="23">
        <v>5475.0399999999991</v>
      </c>
      <c r="F177" s="23">
        <f t="shared" si="78"/>
        <v>-4458.1100000000006</v>
      </c>
      <c r="G177" s="23">
        <v>-3540.56</v>
      </c>
      <c r="H177" s="23">
        <v>-389.55</v>
      </c>
      <c r="I177" s="23">
        <v>213.88</v>
      </c>
      <c r="J177" s="23">
        <v>-2045.53</v>
      </c>
      <c r="K177" s="23">
        <v>268.04000000000002</v>
      </c>
      <c r="L177" s="23">
        <v>-40.97</v>
      </c>
      <c r="M177" s="23">
        <v>896.96</v>
      </c>
      <c r="N177" s="23">
        <v>179.62</v>
      </c>
      <c r="O177" s="23">
        <v>-40.97</v>
      </c>
      <c r="P177" s="23">
        <v>40.97</v>
      </c>
      <c r="Q177" s="23">
        <v>0</v>
      </c>
      <c r="R177" s="23">
        <v>0</v>
      </c>
      <c r="T177" s="23">
        <f t="shared" ref="T177:W182" si="79">+SUMIF($G$3:$R$3,T$1,$G177:$R177)</f>
        <v>-3716.23</v>
      </c>
      <c r="U177" s="23">
        <f t="shared" si="79"/>
        <v>-1818.46</v>
      </c>
      <c r="V177" s="23">
        <f t="shared" si="79"/>
        <v>1035.6099999999999</v>
      </c>
      <c r="W177" s="23">
        <f t="shared" si="79"/>
        <v>40.97</v>
      </c>
      <c r="Y177" s="23">
        <f t="shared" ref="Y177:Y182" si="80">+SUMIF($G$4:$R$4,"X",$G177:$R177)</f>
        <v>-5534.6900000000005</v>
      </c>
    </row>
    <row r="178" spans="1:25">
      <c r="A178" s="14"/>
      <c r="B178" s="12"/>
      <c r="C178" s="12" t="s">
        <v>126</v>
      </c>
      <c r="D178" s="15"/>
      <c r="E178" s="23">
        <v>12182.400000000001</v>
      </c>
      <c r="F178" s="23">
        <f t="shared" si="78"/>
        <v>6847.0799999999945</v>
      </c>
      <c r="G178" s="23">
        <v>570.58999999999992</v>
      </c>
      <c r="H178" s="23">
        <v>570.58999999999992</v>
      </c>
      <c r="I178" s="23">
        <v>570.58999999999992</v>
      </c>
      <c r="J178" s="23">
        <f>570.59</f>
        <v>570.59</v>
      </c>
      <c r="K178" s="23">
        <f>570.59</f>
        <v>570.59</v>
      </c>
      <c r="L178" s="23">
        <v>570.58999999999901</v>
      </c>
      <c r="M178" s="23">
        <v>570.58999999999901</v>
      </c>
      <c r="N178" s="23">
        <v>570.58999999999901</v>
      </c>
      <c r="O178" s="23">
        <v>570.58999999999901</v>
      </c>
      <c r="P178" s="23">
        <v>570.58999999999901</v>
      </c>
      <c r="Q178" s="23">
        <v>570.58999999999901</v>
      </c>
      <c r="R178" s="23">
        <v>570.58999999999901</v>
      </c>
      <c r="T178" s="23">
        <f t="shared" si="79"/>
        <v>1711.7699999999998</v>
      </c>
      <c r="U178" s="23">
        <f t="shared" si="79"/>
        <v>1711.7699999999991</v>
      </c>
      <c r="V178" s="23">
        <f t="shared" si="79"/>
        <v>1711.769999999997</v>
      </c>
      <c r="W178" s="23">
        <f t="shared" si="79"/>
        <v>1711.769999999997</v>
      </c>
      <c r="Y178" s="23">
        <f t="shared" si="80"/>
        <v>3423.5399999999991</v>
      </c>
    </row>
    <row r="179" spans="1:25">
      <c r="A179" s="14"/>
      <c r="B179" s="12"/>
      <c r="C179" s="12" t="s">
        <v>127</v>
      </c>
      <c r="D179" s="15"/>
      <c r="E179" s="23"/>
      <c r="F179" s="23">
        <f t="shared" si="78"/>
        <v>0</v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T179" s="23">
        <f t="shared" si="79"/>
        <v>0</v>
      </c>
      <c r="U179" s="23">
        <f t="shared" si="79"/>
        <v>0</v>
      </c>
      <c r="V179" s="23">
        <f t="shared" si="79"/>
        <v>0</v>
      </c>
      <c r="W179" s="23">
        <f t="shared" si="79"/>
        <v>0</v>
      </c>
      <c r="Y179" s="23">
        <f t="shared" si="80"/>
        <v>0</v>
      </c>
    </row>
    <row r="180" spans="1:25">
      <c r="A180" s="14"/>
      <c r="B180" s="12"/>
      <c r="C180" s="12" t="s">
        <v>128</v>
      </c>
      <c r="D180" s="15"/>
      <c r="E180" s="23"/>
      <c r="F180" s="23">
        <f t="shared" si="78"/>
        <v>0</v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T180" s="23">
        <f t="shared" si="79"/>
        <v>0</v>
      </c>
      <c r="U180" s="23">
        <f t="shared" si="79"/>
        <v>0</v>
      </c>
      <c r="V180" s="23">
        <f t="shared" si="79"/>
        <v>0</v>
      </c>
      <c r="W180" s="23">
        <f t="shared" si="79"/>
        <v>0</v>
      </c>
      <c r="Y180" s="23">
        <f t="shared" si="80"/>
        <v>0</v>
      </c>
    </row>
    <row r="181" spans="1:25">
      <c r="A181" s="14"/>
      <c r="B181" s="12"/>
      <c r="C181" s="12" t="s">
        <v>129</v>
      </c>
      <c r="D181" s="15"/>
      <c r="E181" s="23">
        <v>278987.00999999995</v>
      </c>
      <c r="F181" s="23">
        <f t="shared" si="78"/>
        <v>154563.74</v>
      </c>
      <c r="G181" s="23">
        <v>12064.57</v>
      </c>
      <c r="H181" s="23">
        <v>12365.49</v>
      </c>
      <c r="I181" s="23">
        <v>14050.289999999999</v>
      </c>
      <c r="J181" s="23">
        <v>16003.689999999999</v>
      </c>
      <c r="K181" s="23">
        <v>14570.89</v>
      </c>
      <c r="L181" s="23">
        <v>15511.68</v>
      </c>
      <c r="M181" s="23">
        <v>11210.04</v>
      </c>
      <c r="N181" s="23">
        <v>12253.42</v>
      </c>
      <c r="O181" s="23">
        <v>13365.25</v>
      </c>
      <c r="P181" s="23">
        <v>14766.98</v>
      </c>
      <c r="Q181" s="23">
        <v>12265.41</v>
      </c>
      <c r="R181" s="23">
        <v>6136.03</v>
      </c>
      <c r="T181" s="23">
        <f t="shared" si="79"/>
        <v>38480.35</v>
      </c>
      <c r="U181" s="23">
        <f t="shared" si="79"/>
        <v>46086.259999999995</v>
      </c>
      <c r="V181" s="23">
        <f t="shared" si="79"/>
        <v>36828.71</v>
      </c>
      <c r="W181" s="23">
        <f t="shared" si="79"/>
        <v>33168.42</v>
      </c>
      <c r="Y181" s="23">
        <f t="shared" si="80"/>
        <v>84566.609999999986</v>
      </c>
    </row>
    <row r="182" spans="1:25">
      <c r="A182" s="14"/>
      <c r="B182" s="12"/>
      <c r="C182" s="12" t="s">
        <v>130</v>
      </c>
      <c r="D182" s="15"/>
      <c r="E182" s="23"/>
      <c r="F182" s="23">
        <f t="shared" si="78"/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T182" s="23">
        <f t="shared" si="79"/>
        <v>0</v>
      </c>
      <c r="U182" s="23">
        <f t="shared" si="79"/>
        <v>0</v>
      </c>
      <c r="V182" s="23">
        <f t="shared" si="79"/>
        <v>0</v>
      </c>
      <c r="W182" s="23">
        <f t="shared" si="79"/>
        <v>0</v>
      </c>
      <c r="Y182" s="23">
        <f t="shared" si="80"/>
        <v>0</v>
      </c>
    </row>
    <row r="183" spans="1:25">
      <c r="A183" s="14"/>
      <c r="B183" s="15" t="s">
        <v>131</v>
      </c>
      <c r="C183" s="12"/>
      <c r="D183" s="15"/>
      <c r="E183" s="36">
        <f>SUM(E177:E182)</f>
        <v>296644.44999999995</v>
      </c>
      <c r="F183" s="36">
        <f t="shared" si="78"/>
        <v>156952.71</v>
      </c>
      <c r="G183" s="36">
        <f t="shared" ref="G183:R183" si="81">SUM(G177:G182)</f>
        <v>9094.5999999999985</v>
      </c>
      <c r="H183" s="36">
        <f t="shared" si="81"/>
        <v>12546.529999999999</v>
      </c>
      <c r="I183" s="36">
        <f t="shared" si="81"/>
        <v>14834.759999999998</v>
      </c>
      <c r="J183" s="36">
        <f t="shared" si="81"/>
        <v>14528.749999999998</v>
      </c>
      <c r="K183" s="36">
        <f t="shared" si="81"/>
        <v>15409.52</v>
      </c>
      <c r="L183" s="36">
        <f t="shared" si="81"/>
        <v>16041.3</v>
      </c>
      <c r="M183" s="36">
        <f t="shared" si="81"/>
        <v>12677.59</v>
      </c>
      <c r="N183" s="36">
        <f t="shared" si="81"/>
        <v>13003.63</v>
      </c>
      <c r="O183" s="36">
        <f t="shared" si="81"/>
        <v>13894.869999999999</v>
      </c>
      <c r="P183" s="36">
        <f t="shared" si="81"/>
        <v>15378.539999999999</v>
      </c>
      <c r="Q183" s="36">
        <f t="shared" si="81"/>
        <v>12835.999999999998</v>
      </c>
      <c r="R183" s="36">
        <f t="shared" si="81"/>
        <v>6706.619999999999</v>
      </c>
      <c r="T183" s="36">
        <f>SUM(T177:T182)</f>
        <v>36475.89</v>
      </c>
      <c r="U183" s="36">
        <f>SUM(U177:U182)</f>
        <v>45979.569999999992</v>
      </c>
      <c r="V183" s="36">
        <f>SUM(V177:V182)</f>
        <v>39576.089999999997</v>
      </c>
      <c r="W183" s="36">
        <f>SUM(W177:W182)</f>
        <v>34921.159999999996</v>
      </c>
      <c r="Y183" s="36">
        <f>SUM(Y177:Y182)</f>
        <v>82455.459999999992</v>
      </c>
    </row>
    <row r="184" spans="1:25">
      <c r="A184" s="1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T184" s="12"/>
      <c r="U184" s="12"/>
      <c r="V184" s="12"/>
      <c r="W184" s="12"/>
      <c r="Y184" s="12"/>
    </row>
    <row r="185" spans="1:25">
      <c r="A185" s="42"/>
      <c r="B185" s="15" t="s">
        <v>132</v>
      </c>
      <c r="C185" s="15"/>
      <c r="D185" s="15"/>
      <c r="E185" s="43">
        <f>E171-E174-E183</f>
        <v>386614.92999999749</v>
      </c>
      <c r="F185" s="43">
        <f>+SUM(G185:R185)</f>
        <v>2095529.4699999935</v>
      </c>
      <c r="G185" s="43">
        <f t="shared" ref="G185:R185" si="82">G171-G174-G183</f>
        <v>-32869.219999999877</v>
      </c>
      <c r="H185" s="43">
        <f t="shared" si="82"/>
        <v>112898.53000000003</v>
      </c>
      <c r="I185" s="43">
        <f t="shared" si="82"/>
        <v>227808.43999999983</v>
      </c>
      <c r="J185" s="43">
        <f t="shared" si="82"/>
        <v>187231.44999999995</v>
      </c>
      <c r="K185" s="43">
        <f t="shared" si="82"/>
        <v>281298.69</v>
      </c>
      <c r="L185" s="43">
        <f t="shared" si="82"/>
        <v>165431.86999999918</v>
      </c>
      <c r="M185" s="43">
        <f t="shared" si="82"/>
        <v>161351.10999999996</v>
      </c>
      <c r="N185" s="43">
        <f t="shared" si="82"/>
        <v>204620.09999999939</v>
      </c>
      <c r="O185" s="43">
        <f t="shared" si="82"/>
        <v>239854.15999999706</v>
      </c>
      <c r="P185" s="43">
        <f t="shared" si="82"/>
        <v>204198.16999999943</v>
      </c>
      <c r="Q185" s="43">
        <f t="shared" si="82"/>
        <v>339732.82999999833</v>
      </c>
      <c r="R185" s="43">
        <f t="shared" si="82"/>
        <v>3973.3400000000129</v>
      </c>
      <c r="T185" s="43">
        <f>T171-T174-T183</f>
        <v>307837.75000000012</v>
      </c>
      <c r="U185" s="43">
        <f>U171-U174-U183</f>
        <v>633962.00999999896</v>
      </c>
      <c r="V185" s="43">
        <f>V171-V174-V183</f>
        <v>605825.3699999965</v>
      </c>
      <c r="W185" s="43">
        <f>W171-W174-W183</f>
        <v>547904.33999999787</v>
      </c>
      <c r="Y185" s="43">
        <f>Y171-Y174-Y183</f>
        <v>941799.76000000024</v>
      </c>
    </row>
    <row r="186" spans="1:25">
      <c r="A186" s="1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T186" s="12"/>
      <c r="U186" s="12"/>
      <c r="V186" s="12"/>
      <c r="W186" s="12"/>
      <c r="Y186" s="12"/>
    </row>
    <row r="187" spans="1:25">
      <c r="A187" s="14"/>
      <c r="B187" s="12" t="s">
        <v>133</v>
      </c>
      <c r="C187" s="12"/>
      <c r="D187" s="12"/>
      <c r="E187" s="23">
        <v>0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T187" s="23">
        <f>+SUMIF($G$3:$R$3,T$1,$G187:$R187)</f>
        <v>0</v>
      </c>
      <c r="U187" s="23">
        <f>+SUMIF($G$3:$R$3,U$1,$G187:$R187)</f>
        <v>0</v>
      </c>
      <c r="V187" s="23">
        <f>+SUMIF($G$3:$R$3,V$1,$G187:$R187)</f>
        <v>0</v>
      </c>
      <c r="W187" s="23">
        <f>+SUMIF($G$3:$R$3,W$1,$G187:$R187)</f>
        <v>0</v>
      </c>
      <c r="Y187" s="23">
        <f>+SUMIF($G$4:$R$4,"X",$G187:$R187)</f>
        <v>0</v>
      </c>
    </row>
    <row r="188" spans="1:25">
      <c r="A188" s="1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T188" s="12"/>
      <c r="U188" s="12"/>
      <c r="V188" s="12"/>
      <c r="W188" s="12"/>
      <c r="Y188" s="12"/>
    </row>
    <row r="189" spans="1:25">
      <c r="A189" s="14"/>
      <c r="B189" s="15" t="s">
        <v>134</v>
      </c>
      <c r="C189" s="15"/>
      <c r="D189" s="15"/>
      <c r="E189" s="40">
        <f>E185-E187</f>
        <v>386614.92999999749</v>
      </c>
      <c r="F189" s="40">
        <f>+SUM(G189:R189)</f>
        <v>2095529.4699999935</v>
      </c>
      <c r="G189" s="40">
        <f t="shared" ref="G189:R189" si="83">G185-G187</f>
        <v>-32869.219999999877</v>
      </c>
      <c r="H189" s="40">
        <f t="shared" si="83"/>
        <v>112898.53000000003</v>
      </c>
      <c r="I189" s="40">
        <f t="shared" si="83"/>
        <v>227808.43999999983</v>
      </c>
      <c r="J189" s="40">
        <f t="shared" si="83"/>
        <v>187231.44999999995</v>
      </c>
      <c r="K189" s="40">
        <f t="shared" si="83"/>
        <v>281298.69</v>
      </c>
      <c r="L189" s="40">
        <f t="shared" si="83"/>
        <v>165431.86999999918</v>
      </c>
      <c r="M189" s="40">
        <f t="shared" si="83"/>
        <v>161351.10999999996</v>
      </c>
      <c r="N189" s="40">
        <f t="shared" si="83"/>
        <v>204620.09999999939</v>
      </c>
      <c r="O189" s="40">
        <f t="shared" si="83"/>
        <v>239854.15999999706</v>
      </c>
      <c r="P189" s="40">
        <f t="shared" si="83"/>
        <v>204198.16999999943</v>
      </c>
      <c r="Q189" s="40">
        <f t="shared" si="83"/>
        <v>339732.82999999833</v>
      </c>
      <c r="R189" s="40">
        <f t="shared" si="83"/>
        <v>3973.3400000000129</v>
      </c>
      <c r="T189" s="40">
        <f>T185-T187</f>
        <v>307837.75000000012</v>
      </c>
      <c r="U189" s="40">
        <f>U185-U187</f>
        <v>633962.00999999896</v>
      </c>
      <c r="V189" s="40">
        <f>V185-V187</f>
        <v>605825.3699999965</v>
      </c>
      <c r="W189" s="40">
        <f>W185-W187</f>
        <v>547904.33999999787</v>
      </c>
      <c r="Y189" s="40">
        <f>Y185-Y187</f>
        <v>941799.76000000024</v>
      </c>
    </row>
    <row r="190" spans="1:25">
      <c r="A190" s="14"/>
      <c r="B190" s="32" t="s">
        <v>135</v>
      </c>
      <c r="C190" s="32"/>
      <c r="D190" s="32"/>
      <c r="E190" s="33">
        <f t="shared" ref="E190:R190" si="84">+IFERROR(E189/E70,0)</f>
        <v>8.0607888761145378E-3</v>
      </c>
      <c r="F190" s="33">
        <f t="shared" si="84"/>
        <v>3.5745891292920023E-2</v>
      </c>
      <c r="G190" s="33">
        <f t="shared" si="84"/>
        <v>-1.5839462853768606E-2</v>
      </c>
      <c r="H190" s="33">
        <f t="shared" si="84"/>
        <v>3.2417992458982893E-2</v>
      </c>
      <c r="I190" s="33">
        <f t="shared" si="84"/>
        <v>4.2114868985459672E-2</v>
      </c>
      <c r="J190" s="33">
        <f t="shared" si="84"/>
        <v>3.7641441450939325E-2</v>
      </c>
      <c r="K190" s="33">
        <f t="shared" si="84"/>
        <v>4.8924311051226341E-2</v>
      </c>
      <c r="L190" s="33">
        <f t="shared" si="84"/>
        <v>2.9035326562890391E-2</v>
      </c>
      <c r="M190" s="33">
        <f t="shared" si="84"/>
        <v>3.1424494087822524E-2</v>
      </c>
      <c r="N190" s="33">
        <f t="shared" si="84"/>
        <v>3.8960811661270155E-2</v>
      </c>
      <c r="O190" s="33">
        <f t="shared" si="84"/>
        <v>4.1137517123890924E-2</v>
      </c>
      <c r="P190" s="33">
        <f t="shared" si="84"/>
        <v>3.9872903570800637E-2</v>
      </c>
      <c r="Q190" s="33">
        <f t="shared" si="84"/>
        <v>5.1222347754015463E-2</v>
      </c>
      <c r="R190" s="33">
        <f t="shared" si="84"/>
        <v>1.2173806703128403E-3</v>
      </c>
      <c r="T190" s="33">
        <f>+IFERROR(T189/T70,0)</f>
        <v>2.8069580307723711E-2</v>
      </c>
      <c r="U190" s="33">
        <f>+IFERROR(U189/U70,0)</f>
        <v>3.860594954952673E-2</v>
      </c>
      <c r="V190" s="33">
        <f>+IFERROR(V189/V70,0)</f>
        <v>3.7357294259591632E-2</v>
      </c>
      <c r="W190" s="33">
        <f>+IFERROR(W189/W70,0)</f>
        <v>3.6484191954344027E-2</v>
      </c>
      <c r="Y190" s="33">
        <f>+IFERROR(Y189/Y70,0)</f>
        <v>3.438692800862754E-2</v>
      </c>
    </row>
    <row r="191" spans="1:25">
      <c r="A191" s="1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T191" s="12"/>
      <c r="U191" s="12"/>
      <c r="V191" s="23">
        <f>+SUMIF($G$4:$R$4,"X",$G191:$R191)</f>
        <v>0</v>
      </c>
      <c r="W191" s="12"/>
      <c r="Y191" s="12"/>
    </row>
    <row r="192" spans="1:25" ht="15.75" hidden="1">
      <c r="A192" s="44" t="s">
        <v>136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T192" s="9"/>
      <c r="U192" s="9"/>
      <c r="V192" s="23">
        <f>+SUMIF($G$4:$R$4,"X",$G192:$R192)</f>
        <v>0</v>
      </c>
      <c r="W192" s="9"/>
      <c r="Y192" s="9"/>
    </row>
    <row r="193" spans="1:25" hidden="1">
      <c r="A193" s="1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T193" s="12"/>
      <c r="U193" s="12"/>
      <c r="V193" s="23">
        <f>+SUMIF($G$4:$R$4,"X",$G193:$R193)</f>
        <v>0</v>
      </c>
      <c r="W193" s="12"/>
      <c r="Y193" s="12"/>
    </row>
    <row r="194" spans="1:25" hidden="1">
      <c r="A194" s="14"/>
      <c r="B194" s="15" t="s">
        <v>137</v>
      </c>
      <c r="C194" s="15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T194" s="12"/>
      <c r="U194" s="12"/>
      <c r="V194" s="23">
        <f>+SUMIF($G$4:$R$4,"X",$G194:$R194)</f>
        <v>0</v>
      </c>
      <c r="W194" s="12"/>
      <c r="Y194" s="12"/>
    </row>
    <row r="195" spans="1:25" hidden="1">
      <c r="A195" s="14"/>
      <c r="B195" s="15"/>
      <c r="C195" s="15" t="s">
        <v>138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T195" s="12"/>
      <c r="U195" s="12"/>
      <c r="V195" s="23">
        <f>+SUMIF($G$4:$R$4,"X",$G195:$R195)</f>
        <v>0</v>
      </c>
      <c r="W195" s="12"/>
      <c r="Y195" s="12"/>
    </row>
    <row r="196" spans="1:25" hidden="1">
      <c r="A196" s="14"/>
      <c r="B196" s="12"/>
      <c r="C196" s="12"/>
      <c r="D196" s="12" t="s">
        <v>139</v>
      </c>
      <c r="E196" s="23"/>
      <c r="F196" s="23">
        <f t="shared" ref="F196:F201" si="85">+R196</f>
        <v>0</v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T196" s="23"/>
      <c r="U196" s="23"/>
      <c r="V196" s="36">
        <f>+V181+V174</f>
        <v>49772.21</v>
      </c>
      <c r="W196" s="23"/>
      <c r="Y196" s="23"/>
    </row>
    <row r="197" spans="1:25" hidden="1">
      <c r="A197" s="14"/>
      <c r="B197" s="12"/>
      <c r="C197" s="12"/>
      <c r="D197" s="12" t="s">
        <v>140</v>
      </c>
      <c r="E197" s="23"/>
      <c r="F197" s="23">
        <f t="shared" si="85"/>
        <v>0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T197" s="23"/>
      <c r="U197" s="23"/>
      <c r="V197" s="38">
        <f>+SUMIF($G$4:$R$4,"X",$G197:$R197)</f>
        <v>0</v>
      </c>
      <c r="W197" s="23"/>
      <c r="Y197" s="23"/>
    </row>
    <row r="198" spans="1:25" hidden="1">
      <c r="A198" s="14"/>
      <c r="B198" s="12"/>
      <c r="C198" s="12"/>
      <c r="D198" s="12" t="s">
        <v>141</v>
      </c>
      <c r="E198" s="23"/>
      <c r="F198" s="23">
        <f t="shared" si="85"/>
        <v>0</v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T198" s="23"/>
      <c r="U198" s="23"/>
      <c r="V198" s="12"/>
      <c r="W198" s="23"/>
      <c r="Y198" s="23"/>
    </row>
    <row r="199" spans="1:25" hidden="1">
      <c r="A199" s="14"/>
      <c r="B199" s="12"/>
      <c r="C199" s="12"/>
      <c r="D199" s="12" t="s">
        <v>142</v>
      </c>
      <c r="E199" s="23"/>
      <c r="F199" s="23">
        <f t="shared" si="85"/>
        <v>0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T199" s="23"/>
      <c r="U199" s="23"/>
      <c r="V199" s="40">
        <f>-V196+V197+V170</f>
        <v>-49772.21</v>
      </c>
      <c r="W199" s="23"/>
      <c r="Y199" s="23"/>
    </row>
    <row r="200" spans="1:25" hidden="1">
      <c r="A200" s="14"/>
      <c r="B200" s="34"/>
      <c r="C200" s="34"/>
      <c r="D200" s="12" t="s">
        <v>143</v>
      </c>
      <c r="E200" s="23"/>
      <c r="F200" s="23">
        <f t="shared" si="85"/>
        <v>0</v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T200" s="23"/>
      <c r="U200" s="23"/>
      <c r="V200" s="33">
        <f>IFERROR(V199/V98,0)</f>
        <v>-27.613748153127379</v>
      </c>
      <c r="W200" s="23"/>
      <c r="Y200" s="23"/>
    </row>
    <row r="201" spans="1:25" hidden="1">
      <c r="A201" s="14"/>
      <c r="B201" s="34"/>
      <c r="C201" s="34"/>
      <c r="D201" s="12" t="s">
        <v>144</v>
      </c>
      <c r="E201" s="23"/>
      <c r="F201" s="23">
        <f t="shared" si="85"/>
        <v>0</v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T201" s="23"/>
      <c r="U201" s="23"/>
      <c r="V201" s="12"/>
      <c r="W201" s="23"/>
      <c r="Y201" s="23"/>
    </row>
    <row r="202" spans="1:25" hidden="1">
      <c r="A202" s="14"/>
      <c r="B202" s="34"/>
      <c r="C202" s="34"/>
      <c r="D202" s="12" t="s">
        <v>145</v>
      </c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T202" s="23"/>
      <c r="U202" s="23"/>
      <c r="V202" s="23">
        <f>+SUMIF($G$4:$R$4,"X",$G202:$R202)</f>
        <v>0</v>
      </c>
      <c r="W202" s="23"/>
      <c r="Y202" s="23"/>
    </row>
    <row r="203" spans="1:25" hidden="1">
      <c r="A203" s="14"/>
      <c r="B203" s="12"/>
      <c r="C203" s="12"/>
      <c r="D203" s="12"/>
      <c r="E203" s="23"/>
      <c r="F203" s="23">
        <f>+R203</f>
        <v>0</v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T203" s="23"/>
      <c r="U203" s="23"/>
      <c r="V203" s="12"/>
      <c r="W203" s="23"/>
      <c r="Y203" s="23"/>
    </row>
    <row r="204" spans="1:25" hidden="1">
      <c r="A204" s="14"/>
      <c r="B204" s="12"/>
      <c r="C204" s="12"/>
      <c r="D204" s="12"/>
      <c r="E204" s="23"/>
      <c r="F204" s="23">
        <f>+R204</f>
        <v>0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T204" s="23"/>
      <c r="U204" s="23"/>
      <c r="V204" s="24"/>
      <c r="W204" s="23"/>
      <c r="Y204" s="23"/>
    </row>
    <row r="205" spans="1:25" hidden="1">
      <c r="A205" s="14"/>
      <c r="B205" s="12"/>
      <c r="C205" s="12"/>
      <c r="D205" s="12"/>
      <c r="E205" s="23"/>
      <c r="F205" s="23">
        <f>+R205</f>
        <v>0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T205" s="23"/>
      <c r="U205" s="23"/>
      <c r="V205" s="23">
        <f t="shared" ref="V205:V210" si="86">+SUMIF($G$4:$R$4,"X",$G205:$R205)</f>
        <v>0</v>
      </c>
      <c r="W205" s="23"/>
      <c r="Y205" s="23"/>
    </row>
    <row r="206" spans="1:25" hidden="1">
      <c r="A206" s="14"/>
      <c r="B206" s="12"/>
      <c r="C206" s="12"/>
      <c r="D206" s="12" t="s">
        <v>146</v>
      </c>
      <c r="E206" s="45">
        <f>+SUM(E203:E205)</f>
        <v>0</v>
      </c>
      <c r="F206" s="45">
        <f>+SUM(F203:F205)</f>
        <v>0</v>
      </c>
      <c r="G206" s="45">
        <f t="shared" ref="G206:R206" si="87">+SUM(G203:G205)</f>
        <v>0</v>
      </c>
      <c r="H206" s="45">
        <f t="shared" si="87"/>
        <v>0</v>
      </c>
      <c r="I206" s="45">
        <f t="shared" si="87"/>
        <v>0</v>
      </c>
      <c r="J206" s="45">
        <f t="shared" si="87"/>
        <v>0</v>
      </c>
      <c r="K206" s="45">
        <f t="shared" si="87"/>
        <v>0</v>
      </c>
      <c r="L206" s="45">
        <f>+SUM(L203:L205)</f>
        <v>0</v>
      </c>
      <c r="M206" s="45">
        <f>+SUM(M203:M205)</f>
        <v>0</v>
      </c>
      <c r="N206" s="45">
        <f t="shared" si="87"/>
        <v>0</v>
      </c>
      <c r="O206" s="45">
        <f t="shared" si="87"/>
        <v>0</v>
      </c>
      <c r="P206" s="45">
        <f>+SUM(P203:P205)</f>
        <v>0</v>
      </c>
      <c r="Q206" s="45">
        <v>0</v>
      </c>
      <c r="R206" s="45">
        <f t="shared" si="87"/>
        <v>0</v>
      </c>
      <c r="T206" s="45">
        <f>+SUM(T203:T205)</f>
        <v>0</v>
      </c>
      <c r="U206" s="45">
        <f>+SUM(U203:U205)</f>
        <v>0</v>
      </c>
      <c r="V206" s="23">
        <f t="shared" si="86"/>
        <v>0</v>
      </c>
      <c r="W206" s="45">
        <f>+SUM(W203:W205)</f>
        <v>0</v>
      </c>
      <c r="Y206" s="45"/>
    </row>
    <row r="207" spans="1:25" hidden="1">
      <c r="A207" s="1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T207" s="34"/>
      <c r="U207" s="34"/>
      <c r="V207" s="23">
        <f t="shared" si="86"/>
        <v>0</v>
      </c>
      <c r="W207" s="34"/>
      <c r="Y207" s="34"/>
    </row>
    <row r="208" spans="1:25" hidden="1">
      <c r="A208" s="14"/>
      <c r="B208" s="15"/>
      <c r="C208" s="15" t="s">
        <v>147</v>
      </c>
      <c r="D208" s="15"/>
      <c r="E208" s="37">
        <f>+E206+SUM(E196:E201)</f>
        <v>0</v>
      </c>
      <c r="F208" s="37">
        <f>+F206+SUM(F196:F201)</f>
        <v>0</v>
      </c>
      <c r="G208" s="37">
        <f>+G206+SUM(G196:G201)</f>
        <v>0</v>
      </c>
      <c r="H208" s="37">
        <f t="shared" ref="H208:R208" si="88">+H206+SUM(H196:H201)</f>
        <v>0</v>
      </c>
      <c r="I208" s="37">
        <f t="shared" si="88"/>
        <v>0</v>
      </c>
      <c r="J208" s="37">
        <f t="shared" si="88"/>
        <v>0</v>
      </c>
      <c r="K208" s="37">
        <f t="shared" si="88"/>
        <v>0</v>
      </c>
      <c r="L208" s="37">
        <f>+L206+SUM(L196:L201)</f>
        <v>0</v>
      </c>
      <c r="M208" s="37">
        <f>+M206+SUM(M196:M201)</f>
        <v>0</v>
      </c>
      <c r="N208" s="37">
        <f t="shared" si="88"/>
        <v>0</v>
      </c>
      <c r="O208" s="37">
        <f t="shared" si="88"/>
        <v>0</v>
      </c>
      <c r="P208" s="37">
        <f>+P206+SUM(P196:P201)</f>
        <v>0</v>
      </c>
      <c r="Q208" s="37">
        <v>0</v>
      </c>
      <c r="R208" s="37">
        <f t="shared" si="88"/>
        <v>0</v>
      </c>
      <c r="T208" s="37">
        <f>+T206+SUM(T196:T201)</f>
        <v>0</v>
      </c>
      <c r="U208" s="37">
        <f>+U206+SUM(U196:U201)</f>
        <v>0</v>
      </c>
      <c r="V208" s="23">
        <f t="shared" si="86"/>
        <v>0</v>
      </c>
      <c r="W208" s="37">
        <f>+W206+SUM(W196:W201)</f>
        <v>0</v>
      </c>
      <c r="Y208" s="37"/>
    </row>
    <row r="209" spans="1:25" hidden="1">
      <c r="A209" s="1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T209" s="12"/>
      <c r="U209" s="12"/>
      <c r="V209" s="23">
        <f t="shared" si="86"/>
        <v>0</v>
      </c>
      <c r="W209" s="12"/>
      <c r="Y209" s="12"/>
    </row>
    <row r="210" spans="1:25" hidden="1">
      <c r="A210" s="14"/>
      <c r="B210" s="15"/>
      <c r="C210" s="15" t="s">
        <v>148</v>
      </c>
      <c r="D210" s="15"/>
      <c r="E210" s="15"/>
      <c r="F210" s="2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T210" s="15"/>
      <c r="U210" s="15"/>
      <c r="V210" s="23">
        <f t="shared" si="86"/>
        <v>0</v>
      </c>
      <c r="W210" s="15"/>
      <c r="Y210" s="15"/>
    </row>
    <row r="211" spans="1:25" hidden="1">
      <c r="A211" s="14"/>
      <c r="B211" s="34"/>
      <c r="C211" s="34"/>
      <c r="D211" s="12" t="s">
        <v>149</v>
      </c>
      <c r="E211" s="23"/>
      <c r="F211" s="23">
        <f>+R211</f>
        <v>0</v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T211" s="23"/>
      <c r="U211" s="23"/>
      <c r="V211" s="36">
        <f>SUM(V205:V210)</f>
        <v>0</v>
      </c>
      <c r="W211" s="23"/>
      <c r="Y211" s="23"/>
    </row>
    <row r="212" spans="1:25" hidden="1">
      <c r="A212" s="14"/>
      <c r="B212" s="12"/>
      <c r="C212" s="34"/>
      <c r="D212" s="12" t="s">
        <v>150</v>
      </c>
      <c r="E212" s="23"/>
      <c r="F212" s="23">
        <f t="shared" ref="F212:F221" si="89">+R212</f>
        <v>0</v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T212" s="23"/>
      <c r="U212" s="23"/>
      <c r="V212" s="12"/>
      <c r="W212" s="23"/>
      <c r="Y212" s="23"/>
    </row>
    <row r="213" spans="1:25" hidden="1">
      <c r="A213" s="14"/>
      <c r="B213" s="12"/>
      <c r="C213" s="34"/>
      <c r="D213" s="12" t="s">
        <v>151</v>
      </c>
      <c r="E213" s="23"/>
      <c r="F213" s="23">
        <f t="shared" si="89"/>
        <v>0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T213" s="23"/>
      <c r="U213" s="23"/>
      <c r="V213" s="43">
        <f>V199-V202-V211</f>
        <v>-49772.21</v>
      </c>
      <c r="W213" s="23"/>
      <c r="Y213" s="23"/>
    </row>
    <row r="214" spans="1:25" hidden="1">
      <c r="A214" s="14"/>
      <c r="B214" s="12"/>
      <c r="C214" s="34"/>
      <c r="D214" s="12" t="s">
        <v>98</v>
      </c>
      <c r="E214" s="23"/>
      <c r="F214" s="23">
        <f t="shared" si="89"/>
        <v>0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T214" s="23"/>
      <c r="U214" s="23"/>
      <c r="V214" s="12"/>
      <c r="W214" s="23"/>
      <c r="Y214" s="23"/>
    </row>
    <row r="215" spans="1:25" hidden="1">
      <c r="A215" s="14"/>
      <c r="B215" s="12"/>
      <c r="C215" s="12"/>
      <c r="D215" s="12" t="s">
        <v>152</v>
      </c>
      <c r="E215" s="23"/>
      <c r="F215" s="23">
        <f t="shared" si="89"/>
        <v>0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T215" s="23"/>
      <c r="U215" s="23"/>
      <c r="V215" s="23">
        <f>+SUMIF($G$4:$R$4,"X",$G215:$R215)</f>
        <v>0</v>
      </c>
      <c r="W215" s="23"/>
      <c r="Y215" s="23"/>
    </row>
    <row r="216" spans="1:25" hidden="1">
      <c r="A216" s="14"/>
      <c r="B216" s="12"/>
      <c r="C216" s="12"/>
      <c r="D216" s="12" t="s">
        <v>153</v>
      </c>
      <c r="E216" s="23"/>
      <c r="F216" s="23">
        <f t="shared" si="89"/>
        <v>0</v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T216" s="23"/>
      <c r="U216" s="23"/>
      <c r="V216" s="12"/>
      <c r="W216" s="23"/>
      <c r="Y216" s="23"/>
    </row>
    <row r="217" spans="1:25" hidden="1">
      <c r="A217" s="14"/>
      <c r="B217" s="12"/>
      <c r="C217" s="12"/>
      <c r="D217" s="12" t="s">
        <v>154</v>
      </c>
      <c r="E217" s="23"/>
      <c r="F217" s="23">
        <f t="shared" si="89"/>
        <v>0</v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T217" s="23"/>
      <c r="U217" s="23"/>
      <c r="V217" s="40">
        <f>V213-V215</f>
        <v>-49772.21</v>
      </c>
      <c r="W217" s="23"/>
      <c r="Y217" s="23"/>
    </row>
    <row r="218" spans="1:25" hidden="1">
      <c r="A218" s="14"/>
      <c r="B218" s="12"/>
      <c r="C218" s="12"/>
      <c r="D218" s="12" t="s">
        <v>155</v>
      </c>
      <c r="E218" s="23"/>
      <c r="F218" s="23">
        <f t="shared" si="89"/>
        <v>0</v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T218" s="23"/>
      <c r="U218" s="23"/>
      <c r="V218" s="33">
        <f>+IFERROR(V217/V98,0)</f>
        <v>-27.613748153127379</v>
      </c>
      <c r="W218" s="23"/>
      <c r="Y218" s="23"/>
    </row>
    <row r="219" spans="1:25" hidden="1">
      <c r="A219" s="14"/>
      <c r="B219" s="12"/>
      <c r="C219" s="12"/>
      <c r="D219" s="12" t="s">
        <v>156</v>
      </c>
      <c r="E219" s="23"/>
      <c r="F219" s="23">
        <f t="shared" si="89"/>
        <v>0</v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T219" s="23"/>
      <c r="U219" s="23"/>
      <c r="V219" s="23"/>
      <c r="W219" s="23"/>
      <c r="Y219" s="23"/>
    </row>
    <row r="220" spans="1:25" hidden="1">
      <c r="A220" s="14"/>
      <c r="B220" s="12"/>
      <c r="C220" s="34"/>
      <c r="D220" s="12" t="s">
        <v>157</v>
      </c>
      <c r="E220" s="23"/>
      <c r="F220" s="23">
        <f t="shared" si="89"/>
        <v>0</v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T220" s="23"/>
      <c r="U220" s="23"/>
      <c r="V220" s="23"/>
      <c r="W220" s="23"/>
      <c r="Y220" s="23"/>
    </row>
    <row r="221" spans="1:25" hidden="1">
      <c r="A221" s="14"/>
      <c r="B221" s="12"/>
      <c r="C221" s="34"/>
      <c r="D221" s="12" t="s">
        <v>158</v>
      </c>
      <c r="E221" s="23"/>
      <c r="F221" s="23">
        <f t="shared" si="89"/>
        <v>0</v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T221" s="23"/>
      <c r="U221" s="23"/>
      <c r="V221" s="23"/>
      <c r="W221" s="23"/>
      <c r="Y221" s="23"/>
    </row>
    <row r="222" spans="1:25" hidden="1">
      <c r="A222" s="14"/>
      <c r="B222" s="15"/>
      <c r="C222" s="15" t="s">
        <v>159</v>
      </c>
      <c r="D222" s="15"/>
      <c r="E222" s="37">
        <f>+SUM(E211:E221)</f>
        <v>0</v>
      </c>
      <c r="F222" s="37">
        <f>+SUM(F211:F221)</f>
        <v>0</v>
      </c>
      <c r="G222" s="37">
        <f t="shared" ref="G222:R222" si="90">+SUM(G211:G221)</f>
        <v>0</v>
      </c>
      <c r="H222" s="37">
        <f t="shared" si="90"/>
        <v>0</v>
      </c>
      <c r="I222" s="37">
        <f t="shared" si="90"/>
        <v>0</v>
      </c>
      <c r="J222" s="37">
        <f t="shared" si="90"/>
        <v>0</v>
      </c>
      <c r="K222" s="37">
        <f t="shared" si="90"/>
        <v>0</v>
      </c>
      <c r="L222" s="37">
        <f>+SUM(L211:L221)</f>
        <v>0</v>
      </c>
      <c r="M222" s="37">
        <f>+SUM(M211:M221)</f>
        <v>0</v>
      </c>
      <c r="N222" s="37">
        <f t="shared" si="90"/>
        <v>0</v>
      </c>
      <c r="O222" s="37">
        <f t="shared" si="90"/>
        <v>0</v>
      </c>
      <c r="P222" s="37">
        <f>+SUM(P211:P221)</f>
        <v>0</v>
      </c>
      <c r="Q222" s="37">
        <v>0</v>
      </c>
      <c r="R222" s="37">
        <f t="shared" si="90"/>
        <v>0</v>
      </c>
      <c r="T222" s="37">
        <f>+SUM(T211:T221)</f>
        <v>0</v>
      </c>
      <c r="U222" s="37">
        <f>+SUM(U211:U221)</f>
        <v>0</v>
      </c>
      <c r="V222" s="37">
        <f>+SUM(V211:V221)</f>
        <v>-99572.033748153131</v>
      </c>
      <c r="W222" s="37">
        <f>+SUM(W211:W221)</f>
        <v>0</v>
      </c>
      <c r="Y222" s="37"/>
    </row>
    <row r="223" spans="1:25" hidden="1">
      <c r="A223" s="1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T223" s="12"/>
      <c r="U223" s="12"/>
      <c r="V223" s="12"/>
      <c r="W223" s="12"/>
      <c r="Y223" s="12"/>
    </row>
    <row r="224" spans="1:25" hidden="1">
      <c r="A224" s="14"/>
      <c r="B224" s="15" t="s">
        <v>160</v>
      </c>
      <c r="C224" s="15"/>
      <c r="D224" s="15"/>
      <c r="E224" s="38">
        <f>+E222+E208</f>
        <v>0</v>
      </c>
      <c r="F224" s="38">
        <f>+F222+F208</f>
        <v>0</v>
      </c>
      <c r="G224" s="38">
        <f t="shared" ref="G224:R224" si="91">+G222+G208</f>
        <v>0</v>
      </c>
      <c r="H224" s="38">
        <f t="shared" si="91"/>
        <v>0</v>
      </c>
      <c r="I224" s="38">
        <f t="shared" si="91"/>
        <v>0</v>
      </c>
      <c r="J224" s="38">
        <f t="shared" si="91"/>
        <v>0</v>
      </c>
      <c r="K224" s="38">
        <f t="shared" si="91"/>
        <v>0</v>
      </c>
      <c r="L224" s="38">
        <f>+L222+L208</f>
        <v>0</v>
      </c>
      <c r="M224" s="38">
        <f>+M222+M208</f>
        <v>0</v>
      </c>
      <c r="N224" s="38">
        <f t="shared" si="91"/>
        <v>0</v>
      </c>
      <c r="O224" s="38">
        <f t="shared" si="91"/>
        <v>0</v>
      </c>
      <c r="P224" s="38">
        <f>+P222+P208</f>
        <v>0</v>
      </c>
      <c r="Q224" s="38">
        <v>0</v>
      </c>
      <c r="R224" s="38">
        <f t="shared" si="91"/>
        <v>0</v>
      </c>
      <c r="T224" s="38">
        <f>+T222+T208</f>
        <v>0</v>
      </c>
      <c r="U224" s="38">
        <f>+U222+U208</f>
        <v>0</v>
      </c>
      <c r="V224" s="38">
        <f>+V222+V208</f>
        <v>-99572.033748153131</v>
      </c>
      <c r="W224" s="38">
        <f>+W222+W208</f>
        <v>0</v>
      </c>
      <c r="Y224" s="38"/>
    </row>
    <row r="225" spans="1:25" hidden="1">
      <c r="A225" s="1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T225" s="12"/>
      <c r="U225" s="12"/>
      <c r="V225" s="12"/>
      <c r="W225" s="12"/>
      <c r="Y225" s="12"/>
    </row>
    <row r="226" spans="1:25" hidden="1">
      <c r="A226" s="14"/>
      <c r="B226" s="15" t="s">
        <v>161</v>
      </c>
      <c r="C226" s="15"/>
      <c r="D226" s="15"/>
      <c r="E226" s="15"/>
      <c r="F226" s="2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T226" s="15"/>
      <c r="U226" s="15"/>
      <c r="V226" s="15"/>
      <c r="W226" s="15"/>
      <c r="Y226" s="15"/>
    </row>
    <row r="227" spans="1:25" hidden="1">
      <c r="A227" s="14"/>
      <c r="B227" s="15"/>
      <c r="C227" s="15" t="s">
        <v>162</v>
      </c>
      <c r="D227" s="15"/>
      <c r="E227" s="15"/>
      <c r="F227" s="2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T227" s="15"/>
      <c r="U227" s="15"/>
      <c r="V227" s="15"/>
      <c r="W227" s="15"/>
      <c r="Y227" s="15"/>
    </row>
    <row r="228" spans="1:25" hidden="1">
      <c r="A228" s="14"/>
      <c r="B228" s="12"/>
      <c r="C228" s="12"/>
      <c r="D228" s="12" t="s">
        <v>163</v>
      </c>
      <c r="E228" s="23"/>
      <c r="F228" s="23">
        <f>+R228</f>
        <v>0</v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T228" s="23"/>
      <c r="U228" s="23"/>
      <c r="V228" s="23"/>
      <c r="W228" s="23"/>
      <c r="Y228" s="23"/>
    </row>
    <row r="229" spans="1:25" hidden="1">
      <c r="A229" s="14"/>
      <c r="B229" s="12"/>
      <c r="C229" s="12"/>
      <c r="D229" s="12" t="s">
        <v>164</v>
      </c>
      <c r="E229" s="23"/>
      <c r="F229" s="23">
        <f t="shared" ref="F229:F239" si="92">+R229</f>
        <v>0</v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T229" s="23"/>
      <c r="U229" s="23"/>
      <c r="V229" s="23"/>
      <c r="W229" s="23"/>
      <c r="Y229" s="23"/>
    </row>
    <row r="230" spans="1:25" hidden="1">
      <c r="A230" s="14"/>
      <c r="B230" s="12"/>
      <c r="C230" s="12"/>
      <c r="D230" s="12" t="s">
        <v>165</v>
      </c>
      <c r="E230" s="23"/>
      <c r="F230" s="23">
        <f t="shared" si="92"/>
        <v>0</v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T230" s="23"/>
      <c r="U230" s="23"/>
      <c r="V230" s="23"/>
      <c r="W230" s="23"/>
      <c r="Y230" s="23"/>
    </row>
    <row r="231" spans="1:25" hidden="1">
      <c r="A231" s="14"/>
      <c r="B231" s="12"/>
      <c r="C231" s="12"/>
      <c r="D231" s="12" t="s">
        <v>166</v>
      </c>
      <c r="E231" s="23"/>
      <c r="F231" s="23">
        <f t="shared" si="92"/>
        <v>0</v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T231" s="23"/>
      <c r="U231" s="23"/>
      <c r="V231" s="23"/>
      <c r="W231" s="23"/>
      <c r="Y231" s="23"/>
    </row>
    <row r="232" spans="1:25" hidden="1">
      <c r="A232" s="14"/>
      <c r="B232" s="12"/>
      <c r="C232" s="12"/>
      <c r="D232" s="12" t="s">
        <v>167</v>
      </c>
      <c r="E232" s="23"/>
      <c r="F232" s="23">
        <f t="shared" si="92"/>
        <v>0</v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T232" s="23"/>
      <c r="U232" s="23"/>
      <c r="V232" s="23"/>
      <c r="W232" s="23"/>
      <c r="Y232" s="23"/>
    </row>
    <row r="233" spans="1:25" hidden="1">
      <c r="A233" s="14"/>
      <c r="B233" s="12"/>
      <c r="C233" s="12"/>
      <c r="D233" s="12" t="s">
        <v>168</v>
      </c>
      <c r="E233" s="23"/>
      <c r="F233" s="23">
        <f t="shared" si="92"/>
        <v>0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T233" s="23"/>
      <c r="U233" s="23"/>
      <c r="V233" s="23"/>
      <c r="W233" s="23"/>
      <c r="Y233" s="23"/>
    </row>
    <row r="234" spans="1:25" hidden="1">
      <c r="A234" s="14"/>
      <c r="B234" s="12"/>
      <c r="C234" s="12"/>
      <c r="D234" s="12" t="s">
        <v>169</v>
      </c>
      <c r="E234" s="23"/>
      <c r="F234" s="23">
        <f t="shared" si="92"/>
        <v>0</v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T234" s="23"/>
      <c r="U234" s="23"/>
      <c r="V234" s="23"/>
      <c r="W234" s="23"/>
      <c r="Y234" s="23"/>
    </row>
    <row r="235" spans="1:25" hidden="1">
      <c r="A235" s="14"/>
      <c r="B235" s="12"/>
      <c r="C235" s="12"/>
      <c r="D235" s="12" t="s">
        <v>170</v>
      </c>
      <c r="E235" s="23"/>
      <c r="F235" s="23">
        <f t="shared" si="92"/>
        <v>0</v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T235" s="23"/>
      <c r="U235" s="23"/>
      <c r="V235" s="23"/>
      <c r="W235" s="23"/>
      <c r="Y235" s="23"/>
    </row>
    <row r="236" spans="1:25" hidden="1">
      <c r="A236" s="14"/>
      <c r="B236" s="12"/>
      <c r="C236" s="12"/>
      <c r="D236" s="12" t="s">
        <v>171</v>
      </c>
      <c r="E236" s="23"/>
      <c r="F236" s="23">
        <f t="shared" si="92"/>
        <v>0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T236" s="23"/>
      <c r="U236" s="23"/>
      <c r="V236" s="23"/>
      <c r="W236" s="23"/>
      <c r="Y236" s="23"/>
    </row>
    <row r="237" spans="1:25" hidden="1">
      <c r="A237" s="14"/>
      <c r="B237" s="12"/>
      <c r="C237" s="12"/>
      <c r="D237" s="12" t="s">
        <v>172</v>
      </c>
      <c r="E237" s="23"/>
      <c r="F237" s="23">
        <f t="shared" si="92"/>
        <v>0</v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T237" s="23"/>
      <c r="U237" s="23"/>
      <c r="V237" s="23"/>
      <c r="W237" s="23"/>
      <c r="Y237" s="23"/>
    </row>
    <row r="238" spans="1:25" hidden="1">
      <c r="A238" s="14"/>
      <c r="B238" s="12"/>
      <c r="C238" s="12"/>
      <c r="D238" s="12" t="s">
        <v>173</v>
      </c>
      <c r="E238" s="23"/>
      <c r="F238" s="23">
        <f t="shared" si="92"/>
        <v>0</v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T238" s="23"/>
      <c r="U238" s="23"/>
      <c r="V238" s="23"/>
      <c r="W238" s="23"/>
      <c r="Y238" s="23"/>
    </row>
    <row r="239" spans="1:25" hidden="1">
      <c r="A239" s="14"/>
      <c r="B239" s="12"/>
      <c r="C239" s="12"/>
      <c r="D239" s="12" t="s">
        <v>174</v>
      </c>
      <c r="E239" s="23"/>
      <c r="F239" s="23">
        <f t="shared" si="92"/>
        <v>0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T239" s="23"/>
      <c r="U239" s="23"/>
      <c r="V239" s="23"/>
      <c r="W239" s="23"/>
      <c r="Y239" s="23"/>
    </row>
    <row r="240" spans="1:25" hidden="1">
      <c r="A240" s="14"/>
      <c r="B240" s="15"/>
      <c r="C240" s="15" t="s">
        <v>175</v>
      </c>
      <c r="D240" s="15"/>
      <c r="E240" s="37">
        <f>+SUM(E228:E239)</f>
        <v>0</v>
      </c>
      <c r="F240" s="37">
        <f>+SUM(F228:F239)</f>
        <v>0</v>
      </c>
      <c r="G240" s="37">
        <f t="shared" ref="G240:R240" si="93">+SUM(G228:G239)</f>
        <v>0</v>
      </c>
      <c r="H240" s="37">
        <f t="shared" si="93"/>
        <v>0</v>
      </c>
      <c r="I240" s="37">
        <f t="shared" si="93"/>
        <v>0</v>
      </c>
      <c r="J240" s="37">
        <f t="shared" si="93"/>
        <v>0</v>
      </c>
      <c r="K240" s="37">
        <f t="shared" si="93"/>
        <v>0</v>
      </c>
      <c r="L240" s="37">
        <f>+SUM(L228:L239)</f>
        <v>0</v>
      </c>
      <c r="M240" s="37">
        <f>+SUM(M228:M239)</f>
        <v>0</v>
      </c>
      <c r="N240" s="37">
        <f t="shared" si="93"/>
        <v>0</v>
      </c>
      <c r="O240" s="37">
        <f t="shared" si="93"/>
        <v>0</v>
      </c>
      <c r="P240" s="37">
        <f>+SUM(P228:P239)</f>
        <v>0</v>
      </c>
      <c r="Q240" s="37">
        <v>0</v>
      </c>
      <c r="R240" s="37">
        <f t="shared" si="93"/>
        <v>0</v>
      </c>
      <c r="T240" s="37">
        <f>+SUM(T228:T239)</f>
        <v>0</v>
      </c>
      <c r="U240" s="37">
        <f>+SUM(U228:U239)</f>
        <v>0</v>
      </c>
      <c r="V240" s="37">
        <f>+SUM(V228:V239)</f>
        <v>0</v>
      </c>
      <c r="W240" s="37">
        <f>+SUM(W228:W239)</f>
        <v>0</v>
      </c>
      <c r="Y240" s="37"/>
    </row>
    <row r="241" spans="1:25" hidden="1">
      <c r="A241" s="14"/>
      <c r="B241" s="12"/>
      <c r="C241" s="12"/>
      <c r="D241" s="12"/>
      <c r="E241" s="12"/>
      <c r="F241" s="23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T241" s="12"/>
      <c r="U241" s="12"/>
      <c r="V241" s="12"/>
      <c r="W241" s="12"/>
      <c r="Y241" s="12"/>
    </row>
    <row r="242" spans="1:25" hidden="1">
      <c r="A242" s="14"/>
      <c r="B242" s="15"/>
      <c r="C242" s="15" t="s">
        <v>176</v>
      </c>
      <c r="D242" s="15"/>
      <c r="E242" s="15"/>
      <c r="F242" s="2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T242" s="15"/>
      <c r="U242" s="15"/>
      <c r="V242" s="15"/>
      <c r="W242" s="15"/>
      <c r="Y242" s="15"/>
    </row>
    <row r="243" spans="1:25" hidden="1">
      <c r="A243" s="14"/>
      <c r="B243" s="15"/>
      <c r="C243" s="15"/>
      <c r="D243" s="12" t="s">
        <v>177</v>
      </c>
      <c r="E243" s="23"/>
      <c r="F243" s="23">
        <f>+R243</f>
        <v>0</v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T243" s="23"/>
      <c r="U243" s="23"/>
      <c r="V243" s="23"/>
      <c r="W243" s="23"/>
      <c r="Y243" s="23"/>
    </row>
    <row r="244" spans="1:25" hidden="1">
      <c r="A244" s="14"/>
      <c r="B244" s="15"/>
      <c r="C244" s="15"/>
      <c r="D244" s="12" t="s">
        <v>178</v>
      </c>
      <c r="E244" s="23"/>
      <c r="F244" s="23">
        <f t="shared" ref="F244:F251" si="94">+R244</f>
        <v>0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T244" s="23"/>
      <c r="U244" s="23"/>
      <c r="V244" s="23"/>
      <c r="W244" s="23"/>
      <c r="Y244" s="23"/>
    </row>
    <row r="245" spans="1:25" hidden="1">
      <c r="A245" s="14"/>
      <c r="B245" s="15"/>
      <c r="C245" s="15"/>
      <c r="D245" s="12" t="s">
        <v>179</v>
      </c>
      <c r="E245" s="23"/>
      <c r="F245" s="23">
        <f t="shared" si="94"/>
        <v>0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T245" s="23"/>
      <c r="U245" s="23"/>
      <c r="V245" s="23"/>
      <c r="W245" s="23"/>
      <c r="Y245" s="23"/>
    </row>
    <row r="246" spans="1:25" hidden="1">
      <c r="A246" s="14"/>
      <c r="B246" s="12"/>
      <c r="C246" s="12"/>
      <c r="D246" s="12" t="s">
        <v>180</v>
      </c>
      <c r="E246" s="23"/>
      <c r="F246" s="23">
        <f t="shared" si="94"/>
        <v>0</v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T246" s="23"/>
      <c r="U246" s="23"/>
      <c r="V246" s="23"/>
      <c r="W246" s="23"/>
      <c r="Y246" s="23"/>
    </row>
    <row r="247" spans="1:25" hidden="1">
      <c r="A247" s="14"/>
      <c r="B247" s="12"/>
      <c r="C247" s="12"/>
      <c r="D247" s="12" t="s">
        <v>181</v>
      </c>
      <c r="E247" s="23"/>
      <c r="F247" s="23">
        <f t="shared" si="94"/>
        <v>0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T247" s="23"/>
      <c r="U247" s="23"/>
      <c r="V247" s="23"/>
      <c r="W247" s="23"/>
      <c r="Y247" s="23"/>
    </row>
    <row r="248" spans="1:25" hidden="1">
      <c r="A248" s="14"/>
      <c r="B248" s="15"/>
      <c r="C248" s="15"/>
      <c r="D248" s="12" t="s">
        <v>182</v>
      </c>
      <c r="E248" s="23"/>
      <c r="F248" s="23">
        <f t="shared" si="94"/>
        <v>0</v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T248" s="23"/>
      <c r="U248" s="23"/>
      <c r="V248" s="23"/>
      <c r="W248" s="23"/>
      <c r="Y248" s="23"/>
    </row>
    <row r="249" spans="1:25" hidden="1">
      <c r="A249" s="14"/>
      <c r="B249" s="15"/>
      <c r="C249" s="15"/>
      <c r="D249" s="12" t="s">
        <v>183</v>
      </c>
      <c r="E249" s="23"/>
      <c r="F249" s="23">
        <f t="shared" si="94"/>
        <v>0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T249" s="23"/>
      <c r="U249" s="23"/>
      <c r="V249" s="23"/>
      <c r="W249" s="23"/>
      <c r="Y249" s="23"/>
    </row>
    <row r="250" spans="1:25" hidden="1">
      <c r="A250" s="14"/>
      <c r="B250" s="12"/>
      <c r="C250" s="12"/>
      <c r="D250" s="12" t="s">
        <v>184</v>
      </c>
      <c r="E250" s="23"/>
      <c r="F250" s="23">
        <f t="shared" si="94"/>
        <v>0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T250" s="23"/>
      <c r="U250" s="23"/>
      <c r="V250" s="23"/>
      <c r="W250" s="23"/>
      <c r="Y250" s="23"/>
    </row>
    <row r="251" spans="1:25" hidden="1">
      <c r="A251" s="14"/>
      <c r="B251" s="12"/>
      <c r="C251" s="12"/>
      <c r="D251" s="12" t="s">
        <v>185</v>
      </c>
      <c r="E251" s="23"/>
      <c r="F251" s="23">
        <f t="shared" si="94"/>
        <v>0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T251" s="23"/>
      <c r="U251" s="23"/>
      <c r="V251" s="23"/>
      <c r="W251" s="23"/>
      <c r="Y251" s="23"/>
    </row>
    <row r="252" spans="1:25" hidden="1">
      <c r="A252" s="14"/>
      <c r="B252" s="15"/>
      <c r="C252" s="15" t="s">
        <v>186</v>
      </c>
      <c r="D252" s="15"/>
      <c r="E252" s="37">
        <f>+SUM(E243:E251)</f>
        <v>0</v>
      </c>
      <c r="F252" s="37">
        <f>+SUM(F243:F251)</f>
        <v>0</v>
      </c>
      <c r="G252" s="37">
        <f t="shared" ref="G252:R252" si="95">+SUM(G243:G251)</f>
        <v>0</v>
      </c>
      <c r="H252" s="37">
        <f t="shared" si="95"/>
        <v>0</v>
      </c>
      <c r="I252" s="37">
        <f t="shared" si="95"/>
        <v>0</v>
      </c>
      <c r="J252" s="37">
        <f t="shared" si="95"/>
        <v>0</v>
      </c>
      <c r="K252" s="37">
        <f t="shared" si="95"/>
        <v>0</v>
      </c>
      <c r="L252" s="37">
        <f>+SUM(L243:L251)</f>
        <v>0</v>
      </c>
      <c r="M252" s="37">
        <f>+SUM(M243:M251)</f>
        <v>0</v>
      </c>
      <c r="N252" s="37">
        <f t="shared" si="95"/>
        <v>0</v>
      </c>
      <c r="O252" s="37">
        <f t="shared" si="95"/>
        <v>0</v>
      </c>
      <c r="P252" s="37">
        <f>+SUM(P243:P251)</f>
        <v>0</v>
      </c>
      <c r="Q252" s="37">
        <v>0</v>
      </c>
      <c r="R252" s="37">
        <f t="shared" si="95"/>
        <v>0</v>
      </c>
      <c r="T252" s="37">
        <f>+SUM(T243:T251)</f>
        <v>0</v>
      </c>
      <c r="U252" s="37">
        <f>+SUM(U243:U251)</f>
        <v>0</v>
      </c>
      <c r="V252" s="37">
        <f>+SUM(V243:V251)</f>
        <v>0</v>
      </c>
      <c r="W252" s="37">
        <f>+SUM(W243:W251)</f>
        <v>0</v>
      </c>
      <c r="Y252" s="37"/>
    </row>
    <row r="253" spans="1:25" hidden="1">
      <c r="A253" s="14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T253" s="12"/>
      <c r="U253" s="12"/>
      <c r="V253" s="12"/>
      <c r="W253" s="12"/>
      <c r="Y253" s="12"/>
    </row>
    <row r="254" spans="1:25" hidden="1">
      <c r="A254" s="14"/>
      <c r="B254" s="15" t="s">
        <v>187</v>
      </c>
      <c r="C254" s="15"/>
      <c r="D254" s="15"/>
      <c r="E254" s="38">
        <f>+E252+E240</f>
        <v>0</v>
      </c>
      <c r="F254" s="38">
        <f>+F252+F240</f>
        <v>0</v>
      </c>
      <c r="G254" s="38">
        <f t="shared" ref="G254:R254" si="96">+G252+G240</f>
        <v>0</v>
      </c>
      <c r="H254" s="38">
        <f t="shared" si="96"/>
        <v>0</v>
      </c>
      <c r="I254" s="38">
        <f t="shared" si="96"/>
        <v>0</v>
      </c>
      <c r="J254" s="38">
        <f t="shared" si="96"/>
        <v>0</v>
      </c>
      <c r="K254" s="38">
        <f t="shared" si="96"/>
        <v>0</v>
      </c>
      <c r="L254" s="38">
        <f>+L252+L240</f>
        <v>0</v>
      </c>
      <c r="M254" s="38">
        <f>+M252+M240</f>
        <v>0</v>
      </c>
      <c r="N254" s="38">
        <f t="shared" si="96"/>
        <v>0</v>
      </c>
      <c r="O254" s="38">
        <f t="shared" si="96"/>
        <v>0</v>
      </c>
      <c r="P254" s="38">
        <f>+P252+P240</f>
        <v>0</v>
      </c>
      <c r="Q254" s="38">
        <v>0</v>
      </c>
      <c r="R254" s="38">
        <f t="shared" si="96"/>
        <v>0</v>
      </c>
      <c r="T254" s="38">
        <f>+T252+T240</f>
        <v>0</v>
      </c>
      <c r="U254" s="38">
        <f>+U252+U240</f>
        <v>0</v>
      </c>
      <c r="V254" s="38">
        <f>+V252+V240</f>
        <v>0</v>
      </c>
      <c r="W254" s="38">
        <f>+W252+W240</f>
        <v>0</v>
      </c>
      <c r="Y254" s="38"/>
    </row>
    <row r="255" spans="1:25" hidden="1">
      <c r="A255" s="14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T255" s="12"/>
      <c r="U255" s="12"/>
      <c r="V255" s="12"/>
      <c r="W255" s="12"/>
      <c r="Y255" s="12"/>
    </row>
    <row r="256" spans="1:25" hidden="1">
      <c r="A256" s="14"/>
      <c r="B256" s="15" t="s">
        <v>188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T256" s="12"/>
      <c r="U256" s="12"/>
      <c r="V256" s="12"/>
      <c r="W256" s="12"/>
      <c r="Y256" s="12"/>
    </row>
    <row r="257" spans="1:25" hidden="1">
      <c r="A257" s="14"/>
      <c r="B257" s="12"/>
      <c r="C257" s="12" t="s">
        <v>189</v>
      </c>
      <c r="D257" s="12"/>
      <c r="E257" s="23"/>
      <c r="F257" s="23">
        <f>+R257</f>
        <v>0</v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T257" s="23"/>
      <c r="U257" s="23"/>
      <c r="V257" s="23"/>
      <c r="W257" s="23"/>
      <c r="Y257" s="23"/>
    </row>
    <row r="258" spans="1:25" hidden="1">
      <c r="A258" s="14"/>
      <c r="B258" s="12"/>
      <c r="C258" s="12" t="s">
        <v>190</v>
      </c>
      <c r="D258" s="12"/>
      <c r="E258" s="23"/>
      <c r="F258" s="23">
        <f>+R258</f>
        <v>0</v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T258" s="23"/>
      <c r="U258" s="23"/>
      <c r="V258" s="23"/>
      <c r="W258" s="23"/>
      <c r="Y258" s="23"/>
    </row>
    <row r="259" spans="1:25" hidden="1">
      <c r="A259" s="14"/>
      <c r="B259" s="15" t="s">
        <v>191</v>
      </c>
      <c r="C259" s="15"/>
      <c r="D259" s="15"/>
      <c r="E259" s="46">
        <f>+E257+E258</f>
        <v>0</v>
      </c>
      <c r="F259" s="46">
        <f>+F257+F258</f>
        <v>0</v>
      </c>
      <c r="G259" s="46">
        <f>+G257+G258</f>
        <v>0</v>
      </c>
      <c r="H259" s="46">
        <f t="shared" ref="H259:R259" si="97">+H257+H258</f>
        <v>0</v>
      </c>
      <c r="I259" s="46">
        <f t="shared" si="97"/>
        <v>0</v>
      </c>
      <c r="J259" s="46">
        <f t="shared" si="97"/>
        <v>0</v>
      </c>
      <c r="K259" s="46">
        <f t="shared" si="97"/>
        <v>0</v>
      </c>
      <c r="L259" s="46">
        <f>+L257+L258</f>
        <v>0</v>
      </c>
      <c r="M259" s="46">
        <f>+M257+M258</f>
        <v>0</v>
      </c>
      <c r="N259" s="46">
        <f t="shared" si="97"/>
        <v>0</v>
      </c>
      <c r="O259" s="46">
        <f t="shared" si="97"/>
        <v>0</v>
      </c>
      <c r="P259" s="46">
        <f>+P257+P258</f>
        <v>0</v>
      </c>
      <c r="Q259" s="46">
        <v>0</v>
      </c>
      <c r="R259" s="46">
        <f t="shared" si="97"/>
        <v>0</v>
      </c>
      <c r="T259" s="46">
        <f>+T257+T258</f>
        <v>0</v>
      </c>
      <c r="U259" s="46">
        <f>+U257+U258</f>
        <v>0</v>
      </c>
      <c r="V259" s="46">
        <f>+V257+V258</f>
        <v>0</v>
      </c>
      <c r="W259" s="46">
        <f>+W257+W258</f>
        <v>0</v>
      </c>
      <c r="Y259" s="46"/>
    </row>
    <row r="260" spans="1:25" hidden="1">
      <c r="A260" s="14"/>
      <c r="B260" s="15"/>
      <c r="C260" s="15"/>
      <c r="D260" s="15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T260" s="24"/>
      <c r="U260" s="24"/>
      <c r="V260" s="24"/>
      <c r="W260" s="24"/>
      <c r="Y260" s="24"/>
    </row>
    <row r="261" spans="1:25" hidden="1">
      <c r="A261" s="14"/>
      <c r="B261" s="15"/>
      <c r="C261" s="12" t="s">
        <v>192</v>
      </c>
      <c r="D261" s="15"/>
      <c r="E261" s="23"/>
      <c r="F261" s="23">
        <f>+R261</f>
        <v>0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T261" s="23"/>
      <c r="U261" s="23"/>
      <c r="V261" s="23"/>
      <c r="W261" s="23"/>
      <c r="Y261" s="23"/>
    </row>
    <row r="262" spans="1:25" hidden="1">
      <c r="A262" s="14"/>
      <c r="B262" s="15" t="s">
        <v>193</v>
      </c>
      <c r="C262" s="15"/>
      <c r="D262" s="15"/>
      <c r="E262" s="38">
        <f>+E254+E259+E261</f>
        <v>0</v>
      </c>
      <c r="F262" s="38">
        <f>+F254+F259+F261</f>
        <v>0</v>
      </c>
      <c r="G262" s="38">
        <f t="shared" ref="G262:R262" si="98">+G254+G259+G261</f>
        <v>0</v>
      </c>
      <c r="H262" s="38">
        <f t="shared" si="98"/>
        <v>0</v>
      </c>
      <c r="I262" s="38">
        <f t="shared" si="98"/>
        <v>0</v>
      </c>
      <c r="J262" s="38">
        <f t="shared" si="98"/>
        <v>0</v>
      </c>
      <c r="K262" s="38">
        <f t="shared" si="98"/>
        <v>0</v>
      </c>
      <c r="L262" s="38">
        <f>+L254+L259+L261</f>
        <v>0</v>
      </c>
      <c r="M262" s="38">
        <f>+M254+M259+M261</f>
        <v>0</v>
      </c>
      <c r="N262" s="38">
        <f t="shared" si="98"/>
        <v>0</v>
      </c>
      <c r="O262" s="38">
        <f t="shared" si="98"/>
        <v>0</v>
      </c>
      <c r="P262" s="38">
        <f>+P254+P259+P261</f>
        <v>0</v>
      </c>
      <c r="Q262" s="38">
        <v>0</v>
      </c>
      <c r="R262" s="38">
        <f t="shared" si="98"/>
        <v>0</v>
      </c>
      <c r="T262" s="38">
        <f>+T254+T259+T261</f>
        <v>0</v>
      </c>
      <c r="U262" s="38">
        <f>+U254+U259+U261</f>
        <v>0</v>
      </c>
      <c r="V262" s="38">
        <f>+V254+V259+V261</f>
        <v>0</v>
      </c>
      <c r="W262" s="38">
        <f>+W254+W259+W261</f>
        <v>0</v>
      </c>
      <c r="Y262" s="38"/>
    </row>
    <row r="263" spans="1:25" hidden="1">
      <c r="A263" s="14"/>
      <c r="B263" s="12"/>
      <c r="C263" s="12" t="s">
        <v>194</v>
      </c>
      <c r="D263" s="12"/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3</v>
      </c>
      <c r="M263" s="23">
        <v>3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T263" s="23">
        <v>0</v>
      </c>
      <c r="U263" s="23">
        <v>0</v>
      </c>
      <c r="V263" s="23">
        <v>0</v>
      </c>
      <c r="W263" s="23">
        <v>0</v>
      </c>
      <c r="Y263" s="23"/>
    </row>
    <row r="264" spans="1:25" hidden="1">
      <c r="A264" s="14"/>
      <c r="B264" s="12"/>
      <c r="C264" s="12"/>
      <c r="D264" s="12"/>
      <c r="E264" s="23">
        <v>0</v>
      </c>
      <c r="F264" s="12"/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3</v>
      </c>
      <c r="M264" s="23">
        <v>3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T264" s="23">
        <v>0</v>
      </c>
      <c r="U264" s="23">
        <v>0</v>
      </c>
      <c r="V264" s="23">
        <v>0</v>
      </c>
      <c r="W264" s="23">
        <v>0</v>
      </c>
      <c r="Y264" s="23"/>
    </row>
    <row r="265" spans="1:25" hidden="1">
      <c r="A265" s="14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T265" s="12"/>
      <c r="U265" s="12"/>
      <c r="V265" s="12"/>
      <c r="W265" s="12"/>
      <c r="Y265" s="12"/>
    </row>
    <row r="266" spans="1:25" ht="15.75" hidden="1">
      <c r="A266" s="44" t="s">
        <v>195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T266" s="9"/>
      <c r="U266" s="9"/>
      <c r="V266" s="9"/>
      <c r="W266" s="9"/>
      <c r="Y266" s="9"/>
    </row>
    <row r="267" spans="1:25" hidden="1">
      <c r="A267" s="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T267" s="12"/>
      <c r="U267" s="12"/>
      <c r="V267" s="12"/>
      <c r="W267" s="12"/>
      <c r="Y267" s="12"/>
    </row>
    <row r="268" spans="1:25" hidden="1">
      <c r="A268" s="14"/>
      <c r="B268" s="15" t="s">
        <v>196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T268" s="12"/>
      <c r="U268" s="12"/>
      <c r="V268" s="12"/>
      <c r="W268" s="12"/>
      <c r="Y268" s="12"/>
    </row>
    <row r="269" spans="1:25" hidden="1">
      <c r="A269" s="14"/>
      <c r="B269" s="12"/>
      <c r="C269" s="15" t="s">
        <v>197</v>
      </c>
      <c r="D269" s="12"/>
      <c r="E269" s="23"/>
      <c r="F269" s="47">
        <f>+SUM(G269:R269)</f>
        <v>0</v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T269" s="23"/>
      <c r="U269" s="23"/>
      <c r="V269" s="23"/>
      <c r="W269" s="23"/>
      <c r="Y269" s="23"/>
    </row>
    <row r="270" spans="1:25" hidden="1">
      <c r="A270" s="14"/>
      <c r="B270" s="12"/>
      <c r="C270" s="15" t="s">
        <v>198</v>
      </c>
      <c r="D270" s="12"/>
      <c r="E270" s="23"/>
      <c r="F270" s="47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T270" s="23"/>
      <c r="U270" s="23"/>
      <c r="V270" s="23"/>
      <c r="W270" s="23"/>
      <c r="Y270" s="23"/>
    </row>
    <row r="271" spans="1:25" hidden="1">
      <c r="A271" s="14"/>
      <c r="B271" s="12"/>
      <c r="C271" s="34"/>
      <c r="D271" s="12" t="s">
        <v>199</v>
      </c>
      <c r="E271" s="23"/>
      <c r="F271" s="47">
        <f t="shared" ref="F271:F287" si="99">+SUM(G271:R271)</f>
        <v>0</v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T271" s="23"/>
      <c r="U271" s="23"/>
      <c r="V271" s="23"/>
      <c r="W271" s="23"/>
      <c r="Y271" s="23"/>
    </row>
    <row r="272" spans="1:25" hidden="1">
      <c r="A272" s="14"/>
      <c r="B272" s="12"/>
      <c r="C272" s="12"/>
      <c r="D272" s="12" t="s">
        <v>181</v>
      </c>
      <c r="E272" s="23"/>
      <c r="F272" s="47">
        <f t="shared" si="99"/>
        <v>0</v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T272" s="23"/>
      <c r="U272" s="23"/>
      <c r="V272" s="23"/>
      <c r="W272" s="23"/>
      <c r="Y272" s="23"/>
    </row>
    <row r="273" spans="1:25" hidden="1">
      <c r="A273" s="14"/>
      <c r="B273" s="12"/>
      <c r="C273" s="12"/>
      <c r="D273" s="12" t="s">
        <v>200</v>
      </c>
      <c r="E273" s="23"/>
      <c r="F273" s="47">
        <f t="shared" si="99"/>
        <v>0</v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T273" s="23"/>
      <c r="U273" s="23"/>
      <c r="V273" s="23"/>
      <c r="W273" s="23"/>
      <c r="Y273" s="23"/>
    </row>
    <row r="274" spans="1:25" hidden="1">
      <c r="A274" s="14"/>
      <c r="B274" s="12"/>
      <c r="C274" s="12"/>
      <c r="D274" s="12" t="s">
        <v>201</v>
      </c>
      <c r="E274" s="23"/>
      <c r="F274" s="47">
        <f t="shared" si="99"/>
        <v>0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T274" s="23"/>
      <c r="U274" s="23"/>
      <c r="V274" s="23"/>
      <c r="W274" s="23"/>
      <c r="Y274" s="23"/>
    </row>
    <row r="275" spans="1:25" hidden="1">
      <c r="A275" s="14"/>
      <c r="B275" s="12"/>
      <c r="C275" s="15" t="s">
        <v>202</v>
      </c>
      <c r="D275" s="12"/>
      <c r="E275" s="23"/>
      <c r="F275" s="47">
        <f t="shared" si="99"/>
        <v>0</v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T275" s="23"/>
      <c r="U275" s="23"/>
      <c r="V275" s="23"/>
      <c r="W275" s="23"/>
      <c r="Y275" s="23"/>
    </row>
    <row r="276" spans="1:25" hidden="1">
      <c r="A276" s="14"/>
      <c r="B276" s="12"/>
      <c r="C276" s="12"/>
      <c r="D276" s="12" t="s">
        <v>140</v>
      </c>
      <c r="E276" s="23"/>
      <c r="F276" s="47">
        <f t="shared" si="99"/>
        <v>0</v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T276" s="23"/>
      <c r="U276" s="23"/>
      <c r="V276" s="23"/>
      <c r="W276" s="23"/>
      <c r="Y276" s="23"/>
    </row>
    <row r="277" spans="1:25" hidden="1">
      <c r="A277" s="14"/>
      <c r="B277" s="12"/>
      <c r="C277" s="12"/>
      <c r="D277" s="12" t="s">
        <v>203</v>
      </c>
      <c r="E277" s="23"/>
      <c r="F277" s="47">
        <f t="shared" si="99"/>
        <v>0</v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T277" s="23"/>
      <c r="U277" s="23"/>
      <c r="V277" s="23"/>
      <c r="W277" s="23"/>
      <c r="Y277" s="23"/>
    </row>
    <row r="278" spans="1:25" hidden="1">
      <c r="A278" s="14"/>
      <c r="B278" s="12"/>
      <c r="C278" s="12"/>
      <c r="D278" s="12" t="s">
        <v>204</v>
      </c>
      <c r="E278" s="23"/>
      <c r="F278" s="47">
        <f t="shared" si="99"/>
        <v>0</v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T278" s="23"/>
      <c r="U278" s="23"/>
      <c r="V278" s="23"/>
      <c r="W278" s="23"/>
      <c r="Y278" s="23"/>
    </row>
    <row r="279" spans="1:25" hidden="1">
      <c r="A279" s="14"/>
      <c r="B279" s="12"/>
      <c r="C279" s="12"/>
      <c r="D279" s="12" t="s">
        <v>143</v>
      </c>
      <c r="E279" s="23"/>
      <c r="F279" s="47">
        <f t="shared" si="99"/>
        <v>0</v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T279" s="23"/>
      <c r="U279" s="23"/>
      <c r="V279" s="23"/>
      <c r="W279" s="23"/>
      <c r="Y279" s="23"/>
    </row>
    <row r="280" spans="1:25" hidden="1">
      <c r="A280" s="14"/>
      <c r="B280" s="12"/>
      <c r="C280" s="12"/>
      <c r="D280" s="12" t="s">
        <v>13</v>
      </c>
      <c r="E280" s="23"/>
      <c r="F280" s="47">
        <f t="shared" si="99"/>
        <v>0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T280" s="23"/>
      <c r="U280" s="23"/>
      <c r="V280" s="23"/>
      <c r="W280" s="23"/>
      <c r="Y280" s="23"/>
    </row>
    <row r="281" spans="1:25" hidden="1">
      <c r="A281" s="14"/>
      <c r="B281" s="12"/>
      <c r="C281" s="12"/>
      <c r="D281" s="12" t="s">
        <v>27</v>
      </c>
      <c r="E281" s="23"/>
      <c r="F281" s="47">
        <f t="shared" si="99"/>
        <v>0</v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T281" s="23"/>
      <c r="U281" s="23"/>
      <c r="V281" s="23"/>
      <c r="W281" s="23"/>
      <c r="Y281" s="23"/>
    </row>
    <row r="282" spans="1:25" hidden="1">
      <c r="A282" s="14"/>
      <c r="B282" s="12"/>
      <c r="C282" s="12"/>
      <c r="D282" s="12" t="s">
        <v>48</v>
      </c>
      <c r="E282" s="23"/>
      <c r="F282" s="47">
        <f t="shared" si="99"/>
        <v>0</v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T282" s="23"/>
      <c r="U282" s="23"/>
      <c r="V282" s="23"/>
      <c r="W282" s="23"/>
      <c r="Y282" s="23"/>
    </row>
    <row r="283" spans="1:25" hidden="1">
      <c r="A283" s="14"/>
      <c r="B283" s="12"/>
      <c r="C283" s="12"/>
      <c r="D283" s="12" t="s">
        <v>166</v>
      </c>
      <c r="E283" s="23"/>
      <c r="F283" s="47">
        <f t="shared" si="99"/>
        <v>0</v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T283" s="23"/>
      <c r="U283" s="23"/>
      <c r="V283" s="23"/>
      <c r="W283" s="23"/>
      <c r="Y283" s="23"/>
    </row>
    <row r="284" spans="1:25" hidden="1">
      <c r="A284" s="14"/>
      <c r="B284" s="12"/>
      <c r="C284" s="12"/>
      <c r="D284" s="12" t="s">
        <v>167</v>
      </c>
      <c r="E284" s="23"/>
      <c r="F284" s="47">
        <f t="shared" si="99"/>
        <v>0</v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T284" s="23"/>
      <c r="U284" s="23"/>
      <c r="V284" s="23"/>
      <c r="W284" s="23"/>
      <c r="Y284" s="23"/>
    </row>
    <row r="285" spans="1:25" hidden="1">
      <c r="A285" s="14"/>
      <c r="B285" s="12"/>
      <c r="C285" s="12"/>
      <c r="D285" s="12" t="s">
        <v>155</v>
      </c>
      <c r="E285" s="23"/>
      <c r="F285" s="47">
        <f t="shared" si="99"/>
        <v>0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T285" s="23"/>
      <c r="U285" s="23"/>
      <c r="V285" s="23"/>
      <c r="W285" s="23"/>
      <c r="Y285" s="23"/>
    </row>
    <row r="286" spans="1:25" hidden="1">
      <c r="A286" s="14"/>
      <c r="B286" s="12"/>
      <c r="C286" s="12"/>
      <c r="D286" s="12" t="s">
        <v>169</v>
      </c>
      <c r="E286" s="23"/>
      <c r="F286" s="47">
        <f t="shared" si="99"/>
        <v>0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T286" s="23"/>
      <c r="U286" s="23"/>
      <c r="V286" s="23"/>
      <c r="W286" s="23"/>
      <c r="Y286" s="23"/>
    </row>
    <row r="287" spans="1:25" hidden="1">
      <c r="A287" s="14"/>
      <c r="B287" s="12"/>
      <c r="C287" s="12"/>
      <c r="D287" s="12" t="s">
        <v>174</v>
      </c>
      <c r="E287" s="23"/>
      <c r="F287" s="47">
        <f t="shared" si="99"/>
        <v>0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T287" s="23"/>
      <c r="U287" s="23"/>
      <c r="V287" s="23"/>
      <c r="W287" s="23"/>
      <c r="Y287" s="23"/>
    </row>
    <row r="288" spans="1:25" hidden="1">
      <c r="A288" s="14"/>
      <c r="B288" s="12"/>
      <c r="C288" s="15" t="s">
        <v>205</v>
      </c>
      <c r="D288" s="12"/>
      <c r="E288" s="48">
        <f>+SUM(E276:E287)</f>
        <v>0</v>
      </c>
      <c r="F288" s="48">
        <f>+SUM(F276:F287)</f>
        <v>0</v>
      </c>
      <c r="G288" s="48">
        <f t="shared" ref="G288:R288" si="100">+SUM(G276:G287)</f>
        <v>0</v>
      </c>
      <c r="H288" s="48">
        <f t="shared" si="100"/>
        <v>0</v>
      </c>
      <c r="I288" s="48">
        <f t="shared" si="100"/>
        <v>0</v>
      </c>
      <c r="J288" s="48">
        <f t="shared" si="100"/>
        <v>0</v>
      </c>
      <c r="K288" s="48">
        <f t="shared" si="100"/>
        <v>0</v>
      </c>
      <c r="L288" s="48">
        <f>+SUM(L276:L287)</f>
        <v>0</v>
      </c>
      <c r="M288" s="48">
        <f>+SUM(M276:M287)</f>
        <v>0</v>
      </c>
      <c r="N288" s="48">
        <f t="shared" si="100"/>
        <v>0</v>
      </c>
      <c r="O288" s="48">
        <f t="shared" si="100"/>
        <v>0</v>
      </c>
      <c r="P288" s="48">
        <f>+SUM(P276:P287)</f>
        <v>0</v>
      </c>
      <c r="Q288" s="48">
        <v>0</v>
      </c>
      <c r="R288" s="48">
        <f t="shared" si="100"/>
        <v>0</v>
      </c>
      <c r="T288" s="48">
        <f>+SUM(T276:T287)</f>
        <v>0</v>
      </c>
      <c r="U288" s="48">
        <f>+SUM(U276:U287)</f>
        <v>0</v>
      </c>
      <c r="V288" s="48">
        <f>+SUM(V276:V287)</f>
        <v>0</v>
      </c>
      <c r="W288" s="48">
        <f>+SUM(W276:W287)</f>
        <v>0</v>
      </c>
      <c r="Y288" s="48"/>
    </row>
    <row r="289" spans="1:25" hidden="1">
      <c r="A289" s="14"/>
      <c r="B289" s="15" t="s">
        <v>206</v>
      </c>
      <c r="C289" s="15"/>
      <c r="D289" s="15"/>
      <c r="E289" s="46">
        <f>+E288+E271+E269</f>
        <v>0</v>
      </c>
      <c r="F289" s="46">
        <f>+F288+F271+F269</f>
        <v>0</v>
      </c>
      <c r="G289" s="46">
        <f t="shared" ref="G289:R289" si="101">+G288+G271+G269</f>
        <v>0</v>
      </c>
      <c r="H289" s="46">
        <f t="shared" si="101"/>
        <v>0</v>
      </c>
      <c r="I289" s="46">
        <f t="shared" si="101"/>
        <v>0</v>
      </c>
      <c r="J289" s="46">
        <f t="shared" si="101"/>
        <v>0</v>
      </c>
      <c r="K289" s="46">
        <f t="shared" si="101"/>
        <v>0</v>
      </c>
      <c r="L289" s="46">
        <f>+L288+L271+L269</f>
        <v>0</v>
      </c>
      <c r="M289" s="46">
        <f>+M288+M271+M269</f>
        <v>0</v>
      </c>
      <c r="N289" s="46">
        <f t="shared" si="101"/>
        <v>0</v>
      </c>
      <c r="O289" s="46">
        <f t="shared" si="101"/>
        <v>0</v>
      </c>
      <c r="P289" s="46">
        <f>+P288+P271+P269</f>
        <v>0</v>
      </c>
      <c r="Q289" s="46">
        <v>0</v>
      </c>
      <c r="R289" s="46">
        <f t="shared" si="101"/>
        <v>0</v>
      </c>
      <c r="T289" s="46">
        <f>+T288+T271+T269</f>
        <v>0</v>
      </c>
      <c r="U289" s="46">
        <f>+U288+U271+U269</f>
        <v>0</v>
      </c>
      <c r="V289" s="46">
        <f>+V288+V271+V269</f>
        <v>0</v>
      </c>
      <c r="W289" s="46">
        <f>+W288+W271+W269</f>
        <v>0</v>
      </c>
      <c r="Y289" s="46"/>
    </row>
    <row r="290" spans="1:25" hidden="1">
      <c r="A290" s="14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T290" s="12"/>
      <c r="U290" s="12"/>
      <c r="V290" s="12"/>
      <c r="W290" s="12"/>
      <c r="Y290" s="12"/>
    </row>
    <row r="291" spans="1:25" hidden="1">
      <c r="A291" s="14"/>
      <c r="B291" s="15" t="s">
        <v>207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T291" s="12"/>
      <c r="U291" s="12"/>
      <c r="V291" s="12"/>
      <c r="W291" s="12"/>
      <c r="Y291" s="12"/>
    </row>
    <row r="292" spans="1:25" hidden="1">
      <c r="A292" s="14"/>
      <c r="B292" s="12"/>
      <c r="C292" s="12" t="s">
        <v>208</v>
      </c>
      <c r="D292" s="12"/>
      <c r="E292" s="23"/>
      <c r="F292" s="23">
        <v>0</v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T292" s="23"/>
      <c r="U292" s="23"/>
      <c r="V292" s="23"/>
      <c r="W292" s="23"/>
      <c r="Y292" s="23"/>
    </row>
    <row r="293" spans="1:25" hidden="1">
      <c r="A293" s="14"/>
      <c r="B293" s="12"/>
      <c r="C293" s="12" t="s">
        <v>209</v>
      </c>
      <c r="D293" s="12"/>
      <c r="E293" s="23"/>
      <c r="F293" s="23">
        <f>+SUM(G293:R293)</f>
        <v>0</v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T293" s="23"/>
      <c r="U293" s="23"/>
      <c r="V293" s="23"/>
      <c r="W293" s="23"/>
      <c r="Y293" s="23"/>
    </row>
    <row r="294" spans="1:25" hidden="1">
      <c r="A294" s="14"/>
      <c r="B294" s="12"/>
      <c r="C294" s="12" t="s">
        <v>210</v>
      </c>
      <c r="D294" s="12"/>
      <c r="E294" s="23"/>
      <c r="F294" s="23">
        <f>+SUM(G294:R294)</f>
        <v>0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T294" s="23"/>
      <c r="U294" s="23"/>
      <c r="V294" s="23"/>
      <c r="W294" s="23"/>
      <c r="Y294" s="23"/>
    </row>
    <row r="295" spans="1:25" hidden="1">
      <c r="A295" s="14"/>
      <c r="B295" s="12"/>
      <c r="C295" s="12" t="s">
        <v>211</v>
      </c>
      <c r="D295" s="12"/>
      <c r="E295" s="23"/>
      <c r="F295" s="23">
        <f>+SUM(G295:R295)</f>
        <v>0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T295" s="23"/>
      <c r="U295" s="23"/>
      <c r="V295" s="23"/>
      <c r="W295" s="23"/>
      <c r="Y295" s="23"/>
    </row>
    <row r="296" spans="1:25" hidden="1">
      <c r="A296" s="14"/>
      <c r="B296" s="15" t="s">
        <v>212</v>
      </c>
      <c r="C296" s="12"/>
      <c r="D296" s="12"/>
      <c r="E296" s="49">
        <f>+SUM(E292:E295)</f>
        <v>0</v>
      </c>
      <c r="F296" s="49">
        <f>+SUM(F292:F295)</f>
        <v>0</v>
      </c>
      <c r="G296" s="49">
        <f>+SUM(G292:G295)</f>
        <v>0</v>
      </c>
      <c r="H296" s="49">
        <f t="shared" ref="H296:R296" si="102">+SUM(H292:H295)</f>
        <v>0</v>
      </c>
      <c r="I296" s="49">
        <f t="shared" si="102"/>
        <v>0</v>
      </c>
      <c r="J296" s="49">
        <f t="shared" si="102"/>
        <v>0</v>
      </c>
      <c r="K296" s="49">
        <f t="shared" si="102"/>
        <v>0</v>
      </c>
      <c r="L296" s="49">
        <f>+SUM(L292:L295)</f>
        <v>0</v>
      </c>
      <c r="M296" s="49">
        <f>+SUM(M292:M295)</f>
        <v>0</v>
      </c>
      <c r="N296" s="49">
        <f t="shared" si="102"/>
        <v>0</v>
      </c>
      <c r="O296" s="49">
        <f t="shared" si="102"/>
        <v>0</v>
      </c>
      <c r="P296" s="49">
        <f>+SUM(P292:P295)</f>
        <v>0</v>
      </c>
      <c r="Q296" s="49">
        <v>0</v>
      </c>
      <c r="R296" s="49">
        <f t="shared" si="102"/>
        <v>0</v>
      </c>
      <c r="T296" s="49">
        <f>+SUM(T292:T295)</f>
        <v>0</v>
      </c>
      <c r="U296" s="49">
        <f>+SUM(U292:U295)</f>
        <v>0</v>
      </c>
      <c r="V296" s="49">
        <f>+SUM(V292:V295)</f>
        <v>0</v>
      </c>
      <c r="W296" s="49">
        <f>+SUM(W292:W295)</f>
        <v>0</v>
      </c>
      <c r="Y296" s="49"/>
    </row>
    <row r="297" spans="1:25" hidden="1">
      <c r="A297" s="14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T297" s="12"/>
      <c r="U297" s="12"/>
      <c r="V297" s="12"/>
      <c r="W297" s="12"/>
      <c r="Y297" s="12"/>
    </row>
    <row r="298" spans="1:25" hidden="1">
      <c r="A298" s="14"/>
      <c r="B298" s="15" t="s">
        <v>213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T298" s="12"/>
      <c r="U298" s="12"/>
      <c r="V298" s="12"/>
      <c r="W298" s="12"/>
      <c r="Y298" s="12"/>
    </row>
    <row r="299" spans="1:25" hidden="1">
      <c r="A299" s="14"/>
      <c r="B299" s="15"/>
      <c r="C299" s="12" t="s">
        <v>214</v>
      </c>
      <c r="D299" s="12"/>
      <c r="E299" s="23"/>
      <c r="F299" s="23">
        <f t="shared" ref="F299:F309" si="103">+SUM(G299:R299)</f>
        <v>0</v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T299" s="23"/>
      <c r="U299" s="23"/>
      <c r="V299" s="23"/>
      <c r="W299" s="23"/>
      <c r="Y299" s="23"/>
    </row>
    <row r="300" spans="1:25" hidden="1">
      <c r="A300" s="14"/>
      <c r="B300" s="15"/>
      <c r="C300" s="12" t="s">
        <v>215</v>
      </c>
      <c r="D300" s="12"/>
      <c r="E300" s="23"/>
      <c r="F300" s="23">
        <f t="shared" si="103"/>
        <v>0</v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T300" s="23"/>
      <c r="U300" s="23"/>
      <c r="V300" s="23"/>
      <c r="W300" s="23"/>
      <c r="Y300" s="23"/>
    </row>
    <row r="301" spans="1:25" hidden="1">
      <c r="A301" s="14"/>
      <c r="B301" s="12"/>
      <c r="C301" s="12" t="s">
        <v>216</v>
      </c>
      <c r="D301" s="12"/>
      <c r="E301" s="23"/>
      <c r="F301" s="23">
        <f t="shared" si="103"/>
        <v>0</v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T301" s="23"/>
      <c r="U301" s="23"/>
      <c r="V301" s="23"/>
      <c r="W301" s="23"/>
      <c r="Y301" s="23"/>
    </row>
    <row r="302" spans="1:25" hidden="1">
      <c r="A302" s="14"/>
      <c r="B302" s="12"/>
      <c r="C302" s="12" t="s">
        <v>217</v>
      </c>
      <c r="D302" s="12"/>
      <c r="E302" s="23"/>
      <c r="F302" s="23">
        <f t="shared" si="103"/>
        <v>0</v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T302" s="23"/>
      <c r="U302" s="23"/>
      <c r="V302" s="23"/>
      <c r="W302" s="23"/>
      <c r="Y302" s="23"/>
    </row>
    <row r="303" spans="1:25" hidden="1">
      <c r="A303" s="14"/>
      <c r="B303" s="34"/>
      <c r="C303" s="12" t="s">
        <v>218</v>
      </c>
      <c r="D303" s="34"/>
      <c r="E303" s="23"/>
      <c r="F303" s="23">
        <f t="shared" si="103"/>
        <v>0</v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T303" s="23"/>
      <c r="U303" s="23"/>
      <c r="V303" s="23"/>
      <c r="W303" s="23"/>
      <c r="Y303" s="23"/>
    </row>
    <row r="304" spans="1:25" hidden="1">
      <c r="A304" s="14"/>
      <c r="B304" s="34"/>
      <c r="C304" s="12" t="s">
        <v>219</v>
      </c>
      <c r="D304" s="34"/>
      <c r="E304" s="23"/>
      <c r="F304" s="23">
        <f t="shared" si="103"/>
        <v>0</v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T304" s="23"/>
      <c r="U304" s="23"/>
      <c r="V304" s="23"/>
      <c r="W304" s="23"/>
      <c r="Y304" s="23"/>
    </row>
    <row r="305" spans="1:25" hidden="1">
      <c r="A305" s="14"/>
      <c r="B305" s="34"/>
      <c r="C305" s="12" t="s">
        <v>220</v>
      </c>
      <c r="D305" s="34"/>
      <c r="E305" s="23"/>
      <c r="F305" s="23">
        <f t="shared" si="103"/>
        <v>0</v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T305" s="23"/>
      <c r="U305" s="23"/>
      <c r="V305" s="23"/>
      <c r="W305" s="23"/>
      <c r="Y305" s="23"/>
    </row>
    <row r="306" spans="1:25" hidden="1">
      <c r="A306" s="14"/>
      <c r="B306" s="34"/>
      <c r="C306" s="12" t="s">
        <v>221</v>
      </c>
      <c r="D306" s="34"/>
      <c r="E306" s="23"/>
      <c r="F306" s="23">
        <f t="shared" si="103"/>
        <v>0</v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T306" s="23"/>
      <c r="U306" s="23"/>
      <c r="V306" s="23"/>
      <c r="W306" s="23"/>
      <c r="Y306" s="23"/>
    </row>
    <row r="307" spans="1:25" hidden="1">
      <c r="A307" s="14"/>
      <c r="B307" s="12"/>
      <c r="C307" s="12" t="s">
        <v>222</v>
      </c>
      <c r="D307" s="12"/>
      <c r="E307" s="23"/>
      <c r="F307" s="23">
        <f t="shared" si="103"/>
        <v>0</v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T307" s="23"/>
      <c r="U307" s="23"/>
      <c r="V307" s="23"/>
      <c r="W307" s="23"/>
      <c r="Y307" s="23"/>
    </row>
    <row r="308" spans="1:25" hidden="1">
      <c r="A308" s="14"/>
      <c r="B308" s="34"/>
      <c r="C308" s="12" t="s">
        <v>183</v>
      </c>
      <c r="D308" s="34"/>
      <c r="E308" s="23"/>
      <c r="F308" s="23">
        <f t="shared" si="103"/>
        <v>0</v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T308" s="23"/>
      <c r="U308" s="23"/>
      <c r="V308" s="23"/>
      <c r="W308" s="23"/>
      <c r="Y308" s="23"/>
    </row>
    <row r="309" spans="1:25" hidden="1">
      <c r="A309" s="14"/>
      <c r="B309" s="12"/>
      <c r="C309" s="12" t="s">
        <v>201</v>
      </c>
      <c r="D309" s="12"/>
      <c r="E309" s="23"/>
      <c r="F309" s="23">
        <f t="shared" si="103"/>
        <v>0</v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T309" s="23"/>
      <c r="U309" s="23"/>
      <c r="V309" s="23"/>
      <c r="W309" s="23"/>
      <c r="Y309" s="23"/>
    </row>
    <row r="310" spans="1:25" hidden="1">
      <c r="A310" s="14"/>
      <c r="B310" s="15" t="s">
        <v>223</v>
      </c>
      <c r="C310" s="12"/>
      <c r="D310" s="12"/>
      <c r="E310" s="49">
        <f>+SUM(E299:E309)</f>
        <v>0</v>
      </c>
      <c r="F310" s="49">
        <f>+SUM(F299:F309)</f>
        <v>0</v>
      </c>
      <c r="G310" s="49">
        <f>+SUM(G299:G309)</f>
        <v>0</v>
      </c>
      <c r="H310" s="49">
        <f t="shared" ref="H310:R310" si="104">+SUM(H299:H309)</f>
        <v>0</v>
      </c>
      <c r="I310" s="49">
        <f t="shared" si="104"/>
        <v>0</v>
      </c>
      <c r="J310" s="49">
        <f t="shared" si="104"/>
        <v>0</v>
      </c>
      <c r="K310" s="49">
        <f t="shared" si="104"/>
        <v>0</v>
      </c>
      <c r="L310" s="49">
        <f>+SUM(L299:L309)</f>
        <v>0</v>
      </c>
      <c r="M310" s="49">
        <f>+SUM(M299:M309)</f>
        <v>0</v>
      </c>
      <c r="N310" s="49">
        <f t="shared" si="104"/>
        <v>0</v>
      </c>
      <c r="O310" s="49">
        <f t="shared" si="104"/>
        <v>0</v>
      </c>
      <c r="P310" s="49">
        <f>+SUM(P299:P309)</f>
        <v>0</v>
      </c>
      <c r="Q310" s="49">
        <v>0</v>
      </c>
      <c r="R310" s="49">
        <f t="shared" si="104"/>
        <v>0</v>
      </c>
      <c r="T310" s="49">
        <f>+SUM(T299:T309)</f>
        <v>0</v>
      </c>
      <c r="U310" s="49">
        <f>+SUM(U299:U309)</f>
        <v>0</v>
      </c>
      <c r="V310" s="49">
        <f>+SUM(V299:V309)</f>
        <v>0</v>
      </c>
      <c r="W310" s="49">
        <f>+SUM(W299:W309)</f>
        <v>0</v>
      </c>
      <c r="Y310" s="49"/>
    </row>
    <row r="311" spans="1:25" hidden="1">
      <c r="A311" s="14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T311" s="12"/>
      <c r="U311" s="12"/>
      <c r="V311" s="12"/>
      <c r="W311" s="12"/>
      <c r="Y311" s="12"/>
    </row>
    <row r="312" spans="1:25" hidden="1">
      <c r="A312" s="14"/>
      <c r="B312" s="15" t="s">
        <v>224</v>
      </c>
      <c r="C312" s="12"/>
      <c r="D312" s="12"/>
      <c r="E312" s="48">
        <f t="shared" ref="E312:P312" si="105">+E310+E296+E289</f>
        <v>0</v>
      </c>
      <c r="F312" s="48">
        <f t="shared" si="105"/>
        <v>0</v>
      </c>
      <c r="G312" s="48">
        <f t="shared" si="105"/>
        <v>0</v>
      </c>
      <c r="H312" s="48">
        <f t="shared" si="105"/>
        <v>0</v>
      </c>
      <c r="I312" s="48">
        <f t="shared" si="105"/>
        <v>0</v>
      </c>
      <c r="J312" s="48">
        <f t="shared" si="105"/>
        <v>0</v>
      </c>
      <c r="K312" s="48">
        <f t="shared" si="105"/>
        <v>0</v>
      </c>
      <c r="L312" s="48">
        <f t="shared" si="105"/>
        <v>0</v>
      </c>
      <c r="M312" s="48">
        <f t="shared" si="105"/>
        <v>0</v>
      </c>
      <c r="N312" s="48">
        <f t="shared" si="105"/>
        <v>0</v>
      </c>
      <c r="O312" s="48">
        <f t="shared" si="105"/>
        <v>0</v>
      </c>
      <c r="P312" s="48">
        <f t="shared" si="105"/>
        <v>0</v>
      </c>
      <c r="Q312" s="48">
        <v>0</v>
      </c>
      <c r="R312" s="48">
        <f>+R310+R296+R289</f>
        <v>0</v>
      </c>
      <c r="T312" s="48">
        <f>+T310+T296+T289</f>
        <v>0</v>
      </c>
      <c r="U312" s="48">
        <f>+U310+U296+U289</f>
        <v>0</v>
      </c>
      <c r="V312" s="48">
        <f>+V310+V296+V289</f>
        <v>0</v>
      </c>
      <c r="W312" s="48">
        <f>+W310+W296+W289</f>
        <v>0</v>
      </c>
      <c r="Y312" s="48"/>
    </row>
    <row r="313" spans="1:25" hidden="1">
      <c r="A313" s="14"/>
      <c r="B313" s="15"/>
      <c r="C313" s="12" t="s">
        <v>225</v>
      </c>
      <c r="D313" s="12"/>
      <c r="E313" s="50"/>
      <c r="F313" s="48">
        <v>-11094304.256159395</v>
      </c>
      <c r="G313" s="50"/>
      <c r="H313" s="48">
        <f>+$G$314</f>
        <v>0</v>
      </c>
      <c r="I313" s="48">
        <f>+$G$314</f>
        <v>0</v>
      </c>
      <c r="J313" s="48">
        <f t="shared" ref="J313:W313" si="106">+$G$314</f>
        <v>0</v>
      </c>
      <c r="K313" s="48">
        <f t="shared" si="106"/>
        <v>0</v>
      </c>
      <c r="L313" s="48">
        <f t="shared" si="106"/>
        <v>0</v>
      </c>
      <c r="M313" s="48">
        <f t="shared" si="106"/>
        <v>0</v>
      </c>
      <c r="N313" s="48">
        <f t="shared" si="106"/>
        <v>0</v>
      </c>
      <c r="O313" s="48">
        <f t="shared" si="106"/>
        <v>0</v>
      </c>
      <c r="P313" s="48">
        <f t="shared" si="106"/>
        <v>0</v>
      </c>
      <c r="Q313" s="48">
        <v>0</v>
      </c>
      <c r="R313" s="48">
        <f t="shared" si="106"/>
        <v>0</v>
      </c>
      <c r="T313" s="48">
        <f t="shared" si="106"/>
        <v>0</v>
      </c>
      <c r="U313" s="48">
        <f t="shared" si="106"/>
        <v>0</v>
      </c>
      <c r="V313" s="48">
        <f t="shared" si="106"/>
        <v>0</v>
      </c>
      <c r="W313" s="48">
        <f t="shared" si="106"/>
        <v>0</v>
      </c>
      <c r="Y313" s="48"/>
    </row>
    <row r="314" spans="1:25" hidden="1">
      <c r="A314" s="42"/>
      <c r="B314" s="15" t="s">
        <v>226</v>
      </c>
      <c r="C314" s="15"/>
      <c r="D314" s="15"/>
      <c r="E314" s="40">
        <f>+E312+E313</f>
        <v>0</v>
      </c>
      <c r="F314" s="40">
        <f>+F312+F313</f>
        <v>-11094304.256159395</v>
      </c>
      <c r="G314" s="40">
        <f>+G312+G313</f>
        <v>0</v>
      </c>
      <c r="H314" s="40">
        <f t="shared" ref="H314:R314" si="107">+H312+H313</f>
        <v>0</v>
      </c>
      <c r="I314" s="40">
        <f t="shared" si="107"/>
        <v>0</v>
      </c>
      <c r="J314" s="40">
        <f t="shared" si="107"/>
        <v>0</v>
      </c>
      <c r="K314" s="40">
        <f t="shared" si="107"/>
        <v>0</v>
      </c>
      <c r="L314" s="40">
        <f>+L312+L313</f>
        <v>0</v>
      </c>
      <c r="M314" s="40">
        <f>+M312+M313</f>
        <v>0</v>
      </c>
      <c r="N314" s="40">
        <f t="shared" si="107"/>
        <v>0</v>
      </c>
      <c r="O314" s="40">
        <f t="shared" si="107"/>
        <v>0</v>
      </c>
      <c r="P314" s="40">
        <f>+P312+P313</f>
        <v>0</v>
      </c>
      <c r="Q314" s="40">
        <v>0</v>
      </c>
      <c r="R314" s="40">
        <f t="shared" si="107"/>
        <v>0</v>
      </c>
      <c r="T314" s="40">
        <f>+T312+T313</f>
        <v>0</v>
      </c>
      <c r="U314" s="40">
        <f>+U312+U313</f>
        <v>0</v>
      </c>
      <c r="V314" s="40">
        <f>+V312+V313</f>
        <v>0</v>
      </c>
      <c r="W314" s="40">
        <f>+W312+W313</f>
        <v>0</v>
      </c>
      <c r="Y314" s="40"/>
    </row>
    <row r="315" spans="1:25">
      <c r="A315" s="14"/>
      <c r="B315" s="18"/>
      <c r="C315" s="18"/>
      <c r="D315" s="18" t="s">
        <v>227</v>
      </c>
      <c r="E315" s="18"/>
      <c r="F315" s="18"/>
      <c r="G315" s="51"/>
      <c r="H315" s="51"/>
      <c r="I315" s="51"/>
      <c r="J315" s="51"/>
      <c r="K315" s="51"/>
      <c r="L315" s="51"/>
      <c r="M315" s="51"/>
      <c r="N315" s="51">
        <f>+SUMPRODUCT(N6:N10,N26:N30)/N5</f>
        <v>0</v>
      </c>
      <c r="O315" s="51">
        <f>+SUMPRODUCT(O6:O10,O26:O30)/O5</f>
        <v>0</v>
      </c>
      <c r="P315" s="51">
        <f>+SUMPRODUCT(P6:P10,P26:P30)/P5</f>
        <v>0</v>
      </c>
      <c r="Q315" s="51">
        <v>35214.342857142859</v>
      </c>
      <c r="R315" s="51">
        <f>+SUMPRODUCT(R6:R10,R26:R30)/R5</f>
        <v>0</v>
      </c>
      <c r="T315" s="12"/>
      <c r="U315" s="12"/>
      <c r="V315" s="12"/>
      <c r="W315" s="12"/>
      <c r="Y315" s="12"/>
    </row>
    <row r="316" spans="1:25">
      <c r="A316" s="14"/>
      <c r="B316" s="18"/>
      <c r="C316" s="47"/>
      <c r="D316" s="18" t="s">
        <v>228</v>
      </c>
      <c r="E316" s="47"/>
      <c r="F316" s="23"/>
      <c r="G316" s="51"/>
      <c r="H316" s="51"/>
      <c r="I316" s="51"/>
      <c r="J316" s="51"/>
      <c r="K316" s="51"/>
      <c r="L316" s="51"/>
      <c r="M316" s="51"/>
      <c r="N316" s="51">
        <f>+SUMPRODUCT(N15:N19,N35:N39)/N14</f>
        <v>0</v>
      </c>
      <c r="O316" s="51">
        <f>+SUMPRODUCT(O15:O19,O35:O39)/O14</f>
        <v>0</v>
      </c>
      <c r="P316" s="51">
        <f>+SUMPRODUCT(P15:P19,P35:P39)/P14</f>
        <v>0</v>
      </c>
      <c r="Q316" s="51">
        <v>18000.499999999996</v>
      </c>
      <c r="R316" s="51">
        <f>+SUMPRODUCT(R15:R19,R35:R39)/R14</f>
        <v>0</v>
      </c>
      <c r="T316" s="47"/>
      <c r="U316" s="47"/>
      <c r="V316" s="47"/>
      <c r="W316" s="47"/>
      <c r="Y316" s="47"/>
    </row>
    <row r="317" spans="1:25">
      <c r="A317" s="14"/>
      <c r="B317" s="12"/>
      <c r="C317" s="12"/>
      <c r="D317" s="12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T317" s="47"/>
      <c r="U317" s="47"/>
      <c r="V317" s="47"/>
      <c r="W317" s="47"/>
      <c r="Y317" s="47"/>
    </row>
    <row r="318" spans="1:25">
      <c r="A318" s="22"/>
      <c r="N318" s="52"/>
      <c r="O318" s="52"/>
      <c r="P318" s="52"/>
      <c r="Q318" s="52"/>
      <c r="R318" s="52"/>
    </row>
    <row r="319" spans="1:25">
      <c r="A319" s="22"/>
      <c r="N319" s="28"/>
      <c r="O319" s="28"/>
      <c r="P319" s="28"/>
      <c r="Q319" s="28"/>
      <c r="R319" s="28"/>
    </row>
    <row r="320" spans="1:25">
      <c r="A320" s="22" t="s">
        <v>229</v>
      </c>
      <c r="E320" s="28">
        <f>+E183+E174</f>
        <v>404030.5199999999</v>
      </c>
      <c r="F320" s="28">
        <f>+F183+F174</f>
        <v>212058.69999999998</v>
      </c>
      <c r="G320" s="28">
        <f>+G183+G174</f>
        <v>18261.599999999999</v>
      </c>
      <c r="H320" s="28">
        <f t="shared" ref="H320:R320" si="108">+H183+H174</f>
        <v>21713.53</v>
      </c>
      <c r="I320" s="28">
        <f t="shared" si="108"/>
        <v>24001.759999999998</v>
      </c>
      <c r="J320" s="28">
        <f t="shared" si="108"/>
        <v>23695.75</v>
      </c>
      <c r="K320" s="28">
        <f t="shared" si="108"/>
        <v>1108.5200000000004</v>
      </c>
      <c r="L320" s="28">
        <f t="shared" si="108"/>
        <v>20355.8</v>
      </c>
      <c r="M320" s="28">
        <f t="shared" si="108"/>
        <v>16992.09</v>
      </c>
      <c r="N320" s="28">
        <f t="shared" si="108"/>
        <v>17318.129999999997</v>
      </c>
      <c r="O320" s="28">
        <f t="shared" si="108"/>
        <v>18209.37</v>
      </c>
      <c r="P320" s="28">
        <f t="shared" si="108"/>
        <v>19693.04</v>
      </c>
      <c r="Q320" s="28">
        <f t="shared" si="108"/>
        <v>19053.499999999989</v>
      </c>
      <c r="R320" s="28">
        <f t="shared" si="108"/>
        <v>11655.609999999999</v>
      </c>
      <c r="T320" s="28">
        <f t="shared" ref="T320:W320" si="109">+T183+T174</f>
        <v>63976.89</v>
      </c>
      <c r="U320" s="28">
        <f t="shared" si="109"/>
        <v>45160.069999999992</v>
      </c>
      <c r="V320" s="28">
        <f t="shared" si="109"/>
        <v>52519.59</v>
      </c>
      <c r="W320" s="28">
        <f t="shared" si="109"/>
        <v>50402.149999999987</v>
      </c>
      <c r="Y320" s="28">
        <f t="shared" ref="Y320" si="110">+Y183+Y174</f>
        <v>109136.95999999999</v>
      </c>
    </row>
    <row r="321" spans="1:25">
      <c r="A321" s="22"/>
    </row>
    <row r="322" spans="1:25">
      <c r="A322" s="22" t="s">
        <v>230</v>
      </c>
      <c r="D322" t="s">
        <v>231</v>
      </c>
      <c r="E322" s="28">
        <f>SUM(E119:E123)</f>
        <v>518121.70999999857</v>
      </c>
      <c r="F322" s="28">
        <f t="shared" ref="F322:Y322" si="111">SUM(F119:F123)</f>
        <v>1463292.3299999973</v>
      </c>
      <c r="G322" s="28">
        <f t="shared" si="111"/>
        <v>29294.350000000097</v>
      </c>
      <c r="H322" s="28">
        <f t="shared" si="111"/>
        <v>73123.020000000106</v>
      </c>
      <c r="I322" s="28">
        <f t="shared" si="111"/>
        <v>122247.04999999984</v>
      </c>
      <c r="J322" s="28">
        <f t="shared" si="111"/>
        <v>102505.14999999994</v>
      </c>
      <c r="K322" s="28">
        <f t="shared" si="111"/>
        <v>158566.14000000004</v>
      </c>
      <c r="L322" s="28">
        <f t="shared" si="111"/>
        <v>112198.08999999988</v>
      </c>
      <c r="M322" s="28">
        <f t="shared" si="111"/>
        <v>128105.63999999978</v>
      </c>
      <c r="N322" s="28">
        <f t="shared" si="111"/>
        <v>134559.65999999997</v>
      </c>
      <c r="O322" s="28">
        <f t="shared" si="111"/>
        <v>160908.82999999891</v>
      </c>
      <c r="P322" s="28">
        <f t="shared" si="111"/>
        <v>154339.25999999992</v>
      </c>
      <c r="Q322" s="28">
        <f t="shared" si="111"/>
        <v>195677.3199999989</v>
      </c>
      <c r="R322" s="28">
        <f t="shared" si="111"/>
        <v>91767.819999999992</v>
      </c>
      <c r="T322" s="28">
        <f t="shared" si="111"/>
        <v>224664.42000000004</v>
      </c>
      <c r="U322" s="28">
        <f t="shared" si="111"/>
        <v>373269.37999999983</v>
      </c>
      <c r="V322" s="28">
        <f t="shared" si="111"/>
        <v>423574.12999999867</v>
      </c>
      <c r="W322" s="28">
        <f t="shared" si="111"/>
        <v>441784.3999999988</v>
      </c>
      <c r="Y322" s="28">
        <f t="shared" si="111"/>
        <v>597933.79999999993</v>
      </c>
    </row>
    <row r="323" spans="1:25">
      <c r="A323" s="22" t="s">
        <v>232</v>
      </c>
      <c r="B323" s="7"/>
      <c r="D323" t="s">
        <v>233</v>
      </c>
      <c r="E323" s="28">
        <f>+SUM(E128:E132)</f>
        <v>215408.68999999983</v>
      </c>
      <c r="F323" s="28">
        <f t="shared" ref="F323:R323" si="112">+SUM(F128:F132)</f>
        <v>512540.4899999997</v>
      </c>
      <c r="G323" s="28">
        <f t="shared" si="112"/>
        <v>15381.959999999992</v>
      </c>
      <c r="H323" s="28">
        <f t="shared" si="112"/>
        <v>22956.919999999969</v>
      </c>
      <c r="I323" s="28">
        <f t="shared" ref="I323:K323" si="113">+SUM(I128:I132)</f>
        <v>39178.430000000022</v>
      </c>
      <c r="J323" s="28">
        <f t="shared" si="113"/>
        <v>40730.51</v>
      </c>
      <c r="K323" s="28">
        <f t="shared" si="113"/>
        <v>49609.780000000072</v>
      </c>
      <c r="L323" s="28">
        <f t="shared" si="112"/>
        <v>31386.58</v>
      </c>
      <c r="M323" s="28">
        <f t="shared" si="112"/>
        <v>66839.73</v>
      </c>
      <c r="N323" s="28">
        <f t="shared" si="112"/>
        <v>39074.809999999903</v>
      </c>
      <c r="O323" s="28">
        <f t="shared" si="112"/>
        <v>57188.24</v>
      </c>
      <c r="P323" s="28">
        <f t="shared" si="112"/>
        <v>44053.5099999999</v>
      </c>
      <c r="Q323" s="28">
        <f t="shared" si="112"/>
        <v>65050.729999999901</v>
      </c>
      <c r="R323" s="28">
        <f t="shared" si="112"/>
        <v>41089.29</v>
      </c>
      <c r="T323" s="28">
        <f t="shared" ref="T323:W323" si="114">+SUM(T128:T132)</f>
        <v>77517.309999999983</v>
      </c>
      <c r="U323" s="28">
        <f t="shared" si="114"/>
        <v>121726.87000000008</v>
      </c>
      <c r="V323" s="28">
        <f t="shared" si="114"/>
        <v>163102.77999999991</v>
      </c>
      <c r="W323" s="28">
        <f t="shared" si="114"/>
        <v>150193.5299999998</v>
      </c>
      <c r="Y323" s="28">
        <f t="shared" ref="Y323" si="115">+SUM(Y128:Y132)</f>
        <v>199244.18000000005</v>
      </c>
    </row>
    <row r="324" spans="1:25">
      <c r="A324" s="22"/>
    </row>
    <row r="325" spans="1:25">
      <c r="A325" s="22"/>
      <c r="D325" t="s">
        <v>234</v>
      </c>
      <c r="G325" s="30">
        <f>+G147/SUM(G119:G123,G128:G132)</f>
        <v>0.61135711521385605</v>
      </c>
      <c r="H325" s="30">
        <f t="shared" ref="H325:R325" si="116">+H147/SUM(H119:H123,H128:H132)</f>
        <v>0.41313400070815998</v>
      </c>
      <c r="I325" s="30">
        <f t="shared" si="116"/>
        <v>0.38142107429384786</v>
      </c>
      <c r="J325" s="30">
        <f t="shared" si="116"/>
        <v>0.41270888827544777</v>
      </c>
      <c r="K325" s="30">
        <f t="shared" si="116"/>
        <v>0.34608253442569131</v>
      </c>
      <c r="L325" s="30">
        <f t="shared" si="116"/>
        <v>0.40838447447070814</v>
      </c>
      <c r="M325" s="30">
        <f t="shared" si="116"/>
        <v>0.33035075416256393</v>
      </c>
      <c r="N325" s="30">
        <f t="shared" si="116"/>
        <v>0.38372853040067473</v>
      </c>
      <c r="O325" s="30">
        <f t="shared" si="116"/>
        <v>0.35424391533549887</v>
      </c>
      <c r="P325" s="30">
        <f t="shared" si="116"/>
        <v>0.32356390810007868</v>
      </c>
      <c r="Q325" s="30">
        <f t="shared" si="116"/>
        <v>0.34169614661713732</v>
      </c>
      <c r="R325" s="30">
        <f t="shared" si="116"/>
        <v>0.41943521125817057</v>
      </c>
      <c r="T325" s="30">
        <f t="shared" ref="T325:W325" si="117">+T147/SUM(T119:T123,T128:T132)</f>
        <v>0.42549941718845807</v>
      </c>
      <c r="U325" s="30">
        <f t="shared" si="117"/>
        <v>0.38343407652078182</v>
      </c>
      <c r="V325" s="30">
        <f t="shared" si="117"/>
        <v>0.35503086358043395</v>
      </c>
      <c r="W325" s="30">
        <f t="shared" si="117"/>
        <v>0.35306630434685365</v>
      </c>
      <c r="Y325" s="30">
        <f t="shared" ref="Y325" si="118">+Y147/SUM(Y119:Y123,Y128:Y132)</f>
        <v>0.39937954633418249</v>
      </c>
    </row>
    <row r="326" spans="1:25">
      <c r="A326" s="22"/>
      <c r="D326" t="s">
        <v>235</v>
      </c>
      <c r="G326" s="30">
        <f>+G148/(G126+G135)</f>
        <v>0.29137730520807942</v>
      </c>
      <c r="H326" s="30">
        <f t="shared" ref="H326:R326" si="119">+H148/(H126+H135)</f>
        <v>0.28406205712921306</v>
      </c>
      <c r="I326" s="30">
        <f t="shared" si="119"/>
        <v>0.30941044678421398</v>
      </c>
      <c r="J326" s="30">
        <f t="shared" si="119"/>
        <v>0.3237552053667907</v>
      </c>
      <c r="K326" s="30">
        <f t="shared" si="119"/>
        <v>0.2990912269339745</v>
      </c>
      <c r="L326" s="30">
        <f t="shared" si="119"/>
        <v>0.30000246302385369</v>
      </c>
      <c r="M326" s="30">
        <f t="shared" si="119"/>
        <v>0.30623941166500701</v>
      </c>
      <c r="N326" s="30">
        <f t="shared" si="119"/>
        <v>0.29283504512139508</v>
      </c>
      <c r="O326" s="30">
        <f t="shared" si="119"/>
        <v>0.29534033347260108</v>
      </c>
      <c r="P326" s="30">
        <f t="shared" si="119"/>
        <v>0.29999756203497752</v>
      </c>
      <c r="Q326" s="30">
        <f t="shared" si="119"/>
        <v>0.32155933690862754</v>
      </c>
      <c r="R326" s="30">
        <f t="shared" si="119"/>
        <v>0.29725324360930827</v>
      </c>
      <c r="T326" s="30">
        <f t="shared" ref="T326:W326" si="120">+T148/(T126+T135)</f>
        <v>0.29796808369907724</v>
      </c>
      <c r="U326" s="30">
        <f t="shared" si="120"/>
        <v>0.30660324655401311</v>
      </c>
      <c r="V326" s="30">
        <f t="shared" si="120"/>
        <v>0.298359733751764</v>
      </c>
      <c r="W326" s="30">
        <f t="shared" si="120"/>
        <v>0.30847318243647159</v>
      </c>
      <c r="Y326" s="30">
        <f t="shared" ref="Y326" si="121">+Y148/(Y126+Y135)</f>
        <v>0.30338076033988709</v>
      </c>
    </row>
    <row r="327" spans="1:25">
      <c r="A327" s="22"/>
      <c r="D327" t="s">
        <v>236</v>
      </c>
      <c r="G327" s="30">
        <f>+(G147+G148)/SUM(G135,G128:G132,G126,G119:G123)</f>
        <v>0.45598900647794671</v>
      </c>
      <c r="H327" s="30">
        <f t="shared" ref="H327:R327" si="122">+(H147+H148)/SUM(H135,H128:H132,H126,H119:H123)</f>
        <v>0.35386357132773893</v>
      </c>
      <c r="I327" s="30">
        <f t="shared" si="122"/>
        <v>0.35021710708027604</v>
      </c>
      <c r="J327" s="30">
        <f t="shared" si="122"/>
        <v>0.37194238357288001</v>
      </c>
      <c r="K327" s="30">
        <f t="shared" si="122"/>
        <v>0.32631920566611539</v>
      </c>
      <c r="L327" s="30">
        <f t="shared" si="122"/>
        <v>0.35432037097027003</v>
      </c>
      <c r="M327" s="30">
        <f t="shared" si="122"/>
        <v>0.3194552149666588</v>
      </c>
      <c r="N327" s="30">
        <f t="shared" si="122"/>
        <v>0.34331085805006839</v>
      </c>
      <c r="O327" s="30">
        <f t="shared" si="122"/>
        <v>0.32887149831627782</v>
      </c>
      <c r="P327" s="30">
        <f t="shared" si="122"/>
        <v>0.3139889683361119</v>
      </c>
      <c r="Q327" s="30">
        <f t="shared" si="122"/>
        <v>0.33410134841710259</v>
      </c>
      <c r="R327" s="30">
        <f t="shared" si="122"/>
        <v>0.37295132670999209</v>
      </c>
      <c r="T327" s="30">
        <f t="shared" ref="T327:W327" si="123">+(T147+T148)/SUM(T135,T128:T132,T126,T119:T123)</f>
        <v>0.36811661125157757</v>
      </c>
      <c r="U327" s="30">
        <f t="shared" si="123"/>
        <v>0.34838672861347997</v>
      </c>
      <c r="V327" s="30">
        <f t="shared" si="123"/>
        <v>0.32998015209709963</v>
      </c>
      <c r="W327" s="30">
        <f t="shared" si="123"/>
        <v>0.33576615605366844</v>
      </c>
      <c r="Y327" s="30">
        <f t="shared" ref="Y327" si="124">+(Y147+Y148)/SUM(Y135,Y128:Y132,Y126,Y119:Y123)</f>
        <v>0.35581295228116777</v>
      </c>
    </row>
    <row r="328" spans="1:25">
      <c r="A328" s="22"/>
      <c r="D328" t="s">
        <v>237</v>
      </c>
      <c r="G328" s="53">
        <f t="shared" ref="G328:R328" si="125">+G151/G142</f>
        <v>7.2439779635028401E-2</v>
      </c>
      <c r="H328" s="53">
        <f t="shared" si="125"/>
        <v>6.7141747092097956E-2</v>
      </c>
      <c r="I328" s="53">
        <f t="shared" si="125"/>
        <v>4.639144855803648E-2</v>
      </c>
      <c r="J328" s="53">
        <f t="shared" si="125"/>
        <v>3.1952228005328778E-2</v>
      </c>
      <c r="K328" s="53">
        <f t="shared" si="125"/>
        <v>3.1991624677888353E-2</v>
      </c>
      <c r="L328" s="53">
        <f t="shared" si="125"/>
        <v>3.444125965687652E-2</v>
      </c>
      <c r="M328" s="53">
        <f t="shared" si="125"/>
        <v>3.5389889539970909E-2</v>
      </c>
      <c r="N328" s="53">
        <f t="shared" si="125"/>
        <v>4.5640162449170713E-2</v>
      </c>
      <c r="O328" s="53">
        <f t="shared" si="125"/>
        <v>2.573215928298541E-2</v>
      </c>
      <c r="P328" s="53">
        <f t="shared" si="125"/>
        <v>4.0643580596366635E-2</v>
      </c>
      <c r="Q328" s="53">
        <f t="shared" si="125"/>
        <v>3.6915334636213347E-2</v>
      </c>
      <c r="R328" s="53">
        <f t="shared" si="125"/>
        <v>3.1974127316847817E-2</v>
      </c>
      <c r="T328" s="53">
        <f t="shared" ref="T328:W328" si="126">+T151/T142</f>
        <v>5.8947661176220432E-2</v>
      </c>
      <c r="U328" s="53">
        <f t="shared" si="126"/>
        <v>3.2760117716369712E-2</v>
      </c>
      <c r="V328" s="53">
        <f t="shared" si="126"/>
        <v>3.4911474690421843E-2</v>
      </c>
      <c r="W328" s="53">
        <f t="shared" si="126"/>
        <v>3.6963876962055865E-2</v>
      </c>
      <c r="Y328" s="53">
        <f t="shared" ref="Y328" si="127">+Y151/Y142</f>
        <v>4.3008118332978976E-2</v>
      </c>
    </row>
    <row r="329" spans="1:25">
      <c r="A329" s="22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T329" s="30"/>
      <c r="U329" s="30"/>
      <c r="V329" s="30"/>
      <c r="W329" s="30"/>
      <c r="Y329" s="30"/>
    </row>
    <row r="330" spans="1:25">
      <c r="A330" s="22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T330" s="30"/>
      <c r="U330" s="30"/>
      <c r="V330" s="30"/>
      <c r="W330" s="30"/>
      <c r="Y330" s="30"/>
    </row>
    <row r="331" spans="1:25">
      <c r="A331" s="22" t="s">
        <v>238</v>
      </c>
      <c r="D331" t="s">
        <v>238</v>
      </c>
      <c r="E331" s="28">
        <f>SUM(E128:E132,E135)</f>
        <v>689739.10999999975</v>
      </c>
      <c r="F331" s="28">
        <f t="shared" ref="F331:R331" si="128">SUM(F128:F132,F135)</f>
        <v>1354063.7099999997</v>
      </c>
      <c r="G331" s="28">
        <f t="shared" si="128"/>
        <v>40957.099999999991</v>
      </c>
      <c r="H331" s="28">
        <f t="shared" si="128"/>
        <v>71785.469999999972</v>
      </c>
      <c r="I331" s="28">
        <f t="shared" si="128"/>
        <v>109038.11000000002</v>
      </c>
      <c r="J331" s="28">
        <f t="shared" si="128"/>
        <v>102612.84</v>
      </c>
      <c r="K331" s="28">
        <f t="shared" si="128"/>
        <v>132564.92000000007</v>
      </c>
      <c r="L331" s="28">
        <f t="shared" si="128"/>
        <v>114677.23</v>
      </c>
      <c r="M331" s="28">
        <f t="shared" si="128"/>
        <v>170556.46</v>
      </c>
      <c r="N331" s="28">
        <f t="shared" si="128"/>
        <v>105420.3599999999</v>
      </c>
      <c r="O331" s="28">
        <f t="shared" si="128"/>
        <v>142327.30999999991</v>
      </c>
      <c r="P331" s="28">
        <f t="shared" si="128"/>
        <v>125270.80999999991</v>
      </c>
      <c r="Q331" s="28">
        <f t="shared" si="128"/>
        <v>153892.89999999991</v>
      </c>
      <c r="R331" s="28">
        <f t="shared" si="128"/>
        <v>84960.200000000012</v>
      </c>
      <c r="T331" s="28">
        <f t="shared" ref="T331:W331" si="129">SUM(T128:T132,T135)</f>
        <v>221780.68</v>
      </c>
      <c r="U331" s="28">
        <f t="shared" si="129"/>
        <v>349854.99000000011</v>
      </c>
      <c r="V331" s="28">
        <f t="shared" si="129"/>
        <v>418304.12999999983</v>
      </c>
      <c r="W331" s="28">
        <f t="shared" si="129"/>
        <v>364123.9099999998</v>
      </c>
      <c r="Y331" s="28">
        <f t="shared" ref="Y331" si="130">SUM(Y128:Y132,Y135)</f>
        <v>571635.67000000004</v>
      </c>
    </row>
    <row r="332" spans="1:25">
      <c r="A332" s="22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T332" s="30"/>
      <c r="U332" s="30"/>
      <c r="V332" s="30"/>
      <c r="W332" s="30"/>
      <c r="Y332" s="30"/>
    </row>
    <row r="333" spans="1:25">
      <c r="D333" s="34" t="s">
        <v>239</v>
      </c>
      <c r="E333" s="30">
        <f>+E157/(SUM(E$147:E$148,E$154:E$156,E$92))</f>
        <v>0.11605155142533793</v>
      </c>
      <c r="F333" s="30">
        <f t="shared" ref="F333:R336" si="131">+F157/(SUM(F$147:F$148,F$154:F$156,F$92))</f>
        <v>0.11625806772438067</v>
      </c>
      <c r="G333" s="30">
        <f t="shared" si="131"/>
        <v>9.8400854159133633E-2</v>
      </c>
      <c r="H333" s="30">
        <f t="shared" si="131"/>
        <v>0.12887027098223131</v>
      </c>
      <c r="I333" s="30">
        <f t="shared" si="131"/>
        <v>0.10428283974066978</v>
      </c>
      <c r="J333" s="53">
        <f t="shared" si="131"/>
        <v>8.9964641987766478E-2</v>
      </c>
      <c r="K333" s="53">
        <f t="shared" si="131"/>
        <v>0.10191207953468616</v>
      </c>
      <c r="L333" s="53">
        <f t="shared" si="131"/>
        <v>0.11069788250040456</v>
      </c>
      <c r="M333" s="30">
        <f t="shared" si="131"/>
        <v>0.12543075350599586</v>
      </c>
      <c r="N333" s="30">
        <f t="shared" si="131"/>
        <v>9.4045330117700915E-2</v>
      </c>
      <c r="O333" s="30">
        <f t="shared" si="131"/>
        <v>0.13728678162577396</v>
      </c>
      <c r="P333" s="30">
        <f t="shared" si="131"/>
        <v>9.4645433417065675E-2</v>
      </c>
      <c r="Q333" s="30">
        <f t="shared" si="131"/>
        <v>0.10232047246488045</v>
      </c>
      <c r="R333" s="30">
        <f t="shared" si="131"/>
        <v>0.22577785640154885</v>
      </c>
      <c r="T333" s="30">
        <f t="shared" ref="T333:W336" si="132">+T157/(SUM(T$147:T$148,T$154:T$156,T$92))</f>
        <v>0.11025197100347531</v>
      </c>
      <c r="U333" s="30">
        <f t="shared" si="132"/>
        <v>0.10067924271874203</v>
      </c>
      <c r="V333" s="30">
        <f t="shared" si="132"/>
        <v>0.12000543034021868</v>
      </c>
      <c r="W333" s="30">
        <f t="shared" si="132"/>
        <v>0.13345089136732025</v>
      </c>
      <c r="Y333" s="30">
        <f t="shared" ref="Y333:Y336" si="133">+Y157/(SUM(Y$147:Y$148,Y$154:Y$156,Y$92))</f>
        <v>0.10479353826537098</v>
      </c>
    </row>
    <row r="334" spans="1:25">
      <c r="A334" s="22"/>
      <c r="D334" s="34" t="s">
        <v>240</v>
      </c>
      <c r="E334" s="30">
        <f t="shared" ref="E334:R336" si="134">+E158/(SUM(E$147:E$148,E$154:E$156,E$92))</f>
        <v>7.9214677446835302E-2</v>
      </c>
      <c r="F334" s="30">
        <f t="shared" si="134"/>
        <v>7.817691264351552E-2</v>
      </c>
      <c r="G334" s="30">
        <f t="shared" si="134"/>
        <v>8.2641209087636558E-2</v>
      </c>
      <c r="H334" s="30">
        <f t="shared" si="134"/>
        <v>7.0863776900238137E-2</v>
      </c>
      <c r="I334" s="30">
        <f t="shared" si="134"/>
        <v>8.9494241235921271E-2</v>
      </c>
      <c r="J334" s="53">
        <f t="shared" si="134"/>
        <v>7.8295642795086828E-2</v>
      </c>
      <c r="K334" s="53">
        <f t="shared" si="131"/>
        <v>7.7922029864614079E-2</v>
      </c>
      <c r="L334" s="53">
        <f t="shared" si="134"/>
        <v>8.229894503212816E-2</v>
      </c>
      <c r="M334" s="30">
        <f t="shared" si="134"/>
        <v>8.6702358468580834E-2</v>
      </c>
      <c r="N334" s="30">
        <f t="shared" si="134"/>
        <v>8.0840846014842552E-2</v>
      </c>
      <c r="O334" s="30">
        <f t="shared" si="134"/>
        <v>6.9587493037880629E-2</v>
      </c>
      <c r="P334" s="30">
        <f t="shared" si="134"/>
        <v>6.6780113731378182E-2</v>
      </c>
      <c r="Q334" s="30">
        <f t="shared" si="134"/>
        <v>6.301821675659755E-2</v>
      </c>
      <c r="R334" s="30">
        <f t="shared" si="134"/>
        <v>9.7426503285027208E-2</v>
      </c>
      <c r="T334" s="30">
        <f t="shared" si="132"/>
        <v>8.1880786503380223E-2</v>
      </c>
      <c r="U334" s="30">
        <f t="shared" si="132"/>
        <v>7.9485012674474678E-2</v>
      </c>
      <c r="V334" s="30">
        <f t="shared" si="132"/>
        <v>7.8496531887807891E-2</v>
      </c>
      <c r="W334" s="30">
        <f t="shared" si="132"/>
        <v>7.3680711183757464E-2</v>
      </c>
      <c r="Y334" s="30">
        <f t="shared" si="133"/>
        <v>8.0514700481525064E-2</v>
      </c>
    </row>
    <row r="335" spans="1:25">
      <c r="D335" s="34" t="s">
        <v>241</v>
      </c>
      <c r="E335" s="30">
        <f t="shared" si="134"/>
        <v>0.11624172648845961</v>
      </c>
      <c r="F335" s="30">
        <f t="shared" si="134"/>
        <v>9.8053577997181285E-2</v>
      </c>
      <c r="G335" s="30">
        <f t="shared" si="134"/>
        <v>0.14185908937594252</v>
      </c>
      <c r="H335" s="30">
        <f t="shared" si="134"/>
        <v>0.12307581912404741</v>
      </c>
      <c r="I335" s="30">
        <f t="shared" si="134"/>
        <v>5.9058457858430877E-2</v>
      </c>
      <c r="J335" s="53">
        <f t="shared" si="134"/>
        <v>0.10003829493729173</v>
      </c>
      <c r="K335" s="53">
        <f t="shared" si="131"/>
        <v>9.8478842303064737E-2</v>
      </c>
      <c r="L335" s="53">
        <f t="shared" si="134"/>
        <v>0.10404449958525119</v>
      </c>
      <c r="M335" s="30">
        <f t="shared" si="134"/>
        <v>0.11080978442466753</v>
      </c>
      <c r="N335" s="30">
        <f t="shared" si="134"/>
        <v>0.1041824693626105</v>
      </c>
      <c r="O335" s="30">
        <f t="shared" si="134"/>
        <v>8.8704113808185062E-2</v>
      </c>
      <c r="P335" s="30">
        <f t="shared" si="134"/>
        <v>8.5032872394272332E-2</v>
      </c>
      <c r="Q335" s="30">
        <f t="shared" si="134"/>
        <v>8.0788882926840319E-2</v>
      </c>
      <c r="R335" s="30">
        <f t="shared" si="134"/>
        <v>0.11060771251532746</v>
      </c>
      <c r="T335" s="30">
        <f t="shared" si="132"/>
        <v>0.10141061769971965</v>
      </c>
      <c r="U335" s="30">
        <f t="shared" si="132"/>
        <v>0.10083954195477472</v>
      </c>
      <c r="V335" s="30">
        <f t="shared" si="132"/>
        <v>0.10050679115589846</v>
      </c>
      <c r="W335" s="30">
        <f t="shared" si="132"/>
        <v>9.0360357222423221E-2</v>
      </c>
      <c r="Y335" s="30">
        <f t="shared" si="133"/>
        <v>0.10108498654740583</v>
      </c>
    </row>
    <row r="336" spans="1:25">
      <c r="D336" s="34" t="s">
        <v>242</v>
      </c>
      <c r="E336" s="30">
        <f t="shared" si="134"/>
        <v>1.1086317138643833E-2</v>
      </c>
      <c r="F336" s="30">
        <f t="shared" si="134"/>
        <v>4.308371282066998E-2</v>
      </c>
      <c r="G336" s="30">
        <f t="shared" si="134"/>
        <v>2.2419087164538838E-2</v>
      </c>
      <c r="H336" s="30">
        <f t="shared" si="134"/>
        <v>4.6263621838724782E-2</v>
      </c>
      <c r="I336" s="30">
        <f t="shared" si="134"/>
        <v>5.5402972394347931E-2</v>
      </c>
      <c r="J336" s="53">
        <f t="shared" si="134"/>
        <v>3.0083439136570765E-2</v>
      </c>
      <c r="K336" s="53">
        <f t="shared" si="131"/>
        <v>2.8371016131861378E-2</v>
      </c>
      <c r="L336" s="53">
        <f t="shared" si="134"/>
        <v>2.9930568331542021E-2</v>
      </c>
      <c r="M336" s="30">
        <f t="shared" si="134"/>
        <v>3.0333567690024203E-2</v>
      </c>
      <c r="N336" s="30">
        <f t="shared" si="134"/>
        <v>2.741895765005917E-2</v>
      </c>
      <c r="O336" s="30">
        <f t="shared" si="134"/>
        <v>2.4577834830790003E-2</v>
      </c>
      <c r="P336" s="30">
        <f t="shared" si="134"/>
        <v>2.3678906120055427E-2</v>
      </c>
      <c r="Q336" s="30">
        <f t="shared" si="134"/>
        <v>2.1798939328850526E-2</v>
      </c>
      <c r="R336" s="30">
        <f t="shared" si="134"/>
        <v>0.20004067882170631</v>
      </c>
      <c r="T336" s="30">
        <f t="shared" si="132"/>
        <v>4.3573726403203027E-2</v>
      </c>
      <c r="U336" s="30">
        <f t="shared" si="132"/>
        <v>2.9471494669700896E-2</v>
      </c>
      <c r="V336" s="30">
        <f t="shared" si="132"/>
        <v>2.7278263154831974E-2</v>
      </c>
      <c r="W336" s="30">
        <f t="shared" si="132"/>
        <v>7.110612402922438E-2</v>
      </c>
      <c r="Y336" s="30">
        <f t="shared" si="133"/>
        <v>3.553254095586883E-2</v>
      </c>
    </row>
  </sheetData>
  <conditionalFormatting sqref="F263:H263 R263 N263:P263 L263">
    <cfRule type="cellIs" dxfId="8" priority="13" stopIfTrue="1" operator="notEqual">
      <formula>0</formula>
    </cfRule>
  </conditionalFormatting>
  <conditionalFormatting sqref="E263">
    <cfRule type="cellIs" dxfId="7" priority="12" stopIfTrue="1" operator="notEqual">
      <formula>0</formula>
    </cfRule>
  </conditionalFormatting>
  <conditionalFormatting sqref="T263:W263">
    <cfRule type="cellIs" dxfId="6" priority="11" stopIfTrue="1" operator="notEqual">
      <formula>0</formula>
    </cfRule>
  </conditionalFormatting>
  <conditionalFormatting sqref="M263">
    <cfRule type="cellIs" dxfId="5" priority="9" stopIfTrue="1" operator="notEqual">
      <formula>0</formula>
    </cfRule>
  </conditionalFormatting>
  <conditionalFormatting sqref="Y263">
    <cfRule type="cellIs" dxfId="4" priority="8" stopIfTrue="1" operator="notEqual">
      <formula>0</formula>
    </cfRule>
  </conditionalFormatting>
  <conditionalFormatting sqref="Q263">
    <cfRule type="cellIs" dxfId="3" priority="7" stopIfTrue="1" operator="notEqual">
      <formula>0</formula>
    </cfRule>
  </conditionalFormatting>
  <conditionalFormatting sqref="J263">
    <cfRule type="cellIs" dxfId="2" priority="5" stopIfTrue="1" operator="notEqual">
      <formula>0</formula>
    </cfRule>
  </conditionalFormatting>
  <conditionalFormatting sqref="I263">
    <cfRule type="cellIs" dxfId="1" priority="4" stopIfTrue="1" operator="notEqual">
      <formula>0</formula>
    </cfRule>
  </conditionalFormatting>
  <conditionalFormatting sqref="K263">
    <cfRule type="cellIs" dxfId="0" priority="1" stopIfTrue="1" operator="not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VOLKS</vt:lpstr>
      <vt:lpstr>VOLKS!_DateConc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GPA</cp:lastModifiedBy>
  <dcterms:created xsi:type="dcterms:W3CDTF">2022-07-15T18:17:16Z</dcterms:created>
  <dcterms:modified xsi:type="dcterms:W3CDTF">2022-07-15T18:43:20Z</dcterms:modified>
</cp:coreProperties>
</file>